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897c1734b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 Report - Option 1" sheetId="1" r:id="R8c86924473fe4447"/>
    <x:sheet xmlns:r="http://schemas.openxmlformats.org/officeDocument/2006/relationships" name="Attendance Report - Option 2" sheetId="2" r:id="R67d236366e5f4213"/>
    <x:sheet xmlns:r="http://schemas.openxmlformats.org/officeDocument/2006/relationships" name="EMA Assurance Employee List" sheetId="3" r:id="Re19b86b313764489"/>
    <x:sheet xmlns:r="http://schemas.openxmlformats.org/officeDocument/2006/relationships" name="Dashboard" sheetId="4" r:id="R5a3baa914bd949cb"/>
    <x:sheet xmlns:r="http://schemas.openxmlformats.org/officeDocument/2006/relationships" name="Employee Attendance" sheetId="5" r:id="Re91b2986d9f24819"/>
    <x:sheet xmlns:r="http://schemas.openxmlformats.org/officeDocument/2006/relationships" name="Country Summary" sheetId="6" r:id="R81c9c6741372454a"/>
    <x:sheet xmlns:r="http://schemas.openxmlformats.org/officeDocument/2006/relationships" name="Pivot Data" sheetId="7" r:id="Rede6643e1ab94455"/>
    <x:sheet xmlns:r="http://schemas.openxmlformats.org/officeDocument/2006/relationships" name="Data Quality" sheetId="8" r:id="R8ccb0320a9a1417e"/>
    <x:sheet xmlns:r="http://schemas.openxmlformats.org/officeDocument/2006/relationships" name="Read Me" sheetId="9" r:id="R3cab682d2fa047b3"/>
  </x:sheets>
</x:workbook>
</file>

<file path=xl/sharedStrings.xml><?xml version="1.0" encoding="utf-8"?>
<x:sst xmlns:x="http://schemas.openxmlformats.org/spreadsheetml/2006/main">
  <x:si>
    <x:t xml:space="preserve">1. Summary</x:t>
  </x:si>
  <x:si>
    <x:t xml:space="preserve">Meeting title</x:t>
  </x:si>
  <x:si>
    <x:t xml:space="preserve">Quality:  Our collective responsibility - Mandatory (Option 1)</x:t>
  </x:si>
  <x:si>
    <x:t xml:space="preserve">Attended participants</x:t>
  </x:si>
  <x:si>
    <x:t xml:space="preserve">Start time</x:t>
  </x:si>
  <x:si>
    <x:t xml:space="preserve">10/21/26, 2:23:24 PM</x:t>
  </x:si>
  <x:si>
    <x:t xml:space="preserve">End time</x:t>
  </x:si>
  <x:si>
    <x:t xml:space="preserve">10/21/26, 6:57:06 PM</x:t>
  </x:si>
  <x:si>
    <x:t xml:space="preserve">Meeting duration</x:t>
  </x:si>
  <x:si>
    <x:t xml:space="preserve">4h 33m 41s</x:t>
  </x:si>
  <x:si>
    <x:t xml:space="preserve">Average attendance time</x:t>
  </x:si>
  <x:si>
    <x:t xml:space="preserve">1h 34m 13s</x:t>
  </x:si>
  <x:si>
    <x:t xml:space="preserve">2. Participants</x:t>
  </x:si>
  <x:si>
    <x:t xml:space="preserve">Name</x:t>
  </x:si>
  <x:si>
    <x:t xml:space="preserve">First Join</x:t>
  </x:si>
  <x:si>
    <x:t xml:space="preserve">Last Leave</x:t>
  </x:si>
  <x:si>
    <x:t xml:space="preserve">In-Meeting Duration</x:t>
  </x:si>
  <x:si>
    <x:t xml:space="preserve">Email</x:t>
  </x:si>
  <x:si>
    <x:t xml:space="preserve">Participant ID (UPN)</x:t>
  </x:si>
  <x:si>
    <x:t xml:space="preserve">Role</x:t>
  </x:si>
  <x:si>
    <x:t xml:space="preserve">Engagement: Reaction-Applause</x:t>
  </x:si>
  <x:si>
    <x:t xml:space="preserve">Engagement: Reaction-Laugh</x:t>
  </x:si>
  <x:si>
    <x:t xml:space="preserve">Engagement: Reaction-Like</x:t>
  </x:si>
  <x:si>
    <x:t xml:space="preserve">Engagement: Reaction-Love</x:t>
  </x:si>
  <x:si>
    <x:t xml:space="preserve">Engagement: Reaction-Surprised</x:t>
  </x:si>
  <x:si>
    <x:t xml:space="preserve">Engagement: Camera On</x:t>
  </x:si>
  <x:si>
    <x:t xml:space="preserve">Engagement: Raise Hands</x:t>
  </x:si>
  <x:si>
    <x:t xml:space="preserve">Engagement: Unmute</x:t>
  </x:si>
  <x:si>
    <x:t xml:space="preserve">Michael Mugasa (KE)</x:t>
  </x:si>
  <x:si>
    <x:t xml:space="preserve">10/21/26, 2:25:37 PM</x:t>
  </x:si>
  <x:si>
    <x:t xml:space="preserve">10/21/26, 4:27:53 PM</x:t>
  </x:si>
  <x:si>
    <x:t xml:space="preserve">2h 2m 15s</x:t>
  </x:si>
  <x:si>
    <x:t xml:space="preserve">michael.mugasa@pwc.com</x:t>
  </x:si>
  <x:si>
    <x:t xml:space="preserve">Organizer</x:t>
  </x:si>
  <x:si>
    <x:t xml:space="preserve">Roselyne Ogutu (KE)</x:t>
  </x:si>
  <x:si>
    <x:t xml:space="preserve">10/21/26, 2:24:42 PM</x:t>
  </x:si>
  <x:si>
    <x:t xml:space="preserve">10/21/26, 4:34:10 PM</x:t>
  </x:si>
  <x:si>
    <x:t xml:space="preserve">2h 4m 6s</x:t>
  </x:si>
  <x:si>
    <x:t xml:space="preserve">roselyne.ogutu@pwc.com</x:t>
  </x:si>
  <x:si>
    <x:t xml:space="preserve">Martin Bamukunde (ZM)</x:t>
  </x:si>
  <x:si>
    <x:t xml:space="preserve">10/21/26, 2:30:38 PM</x:t>
  </x:si>
  <x:si>
    <x:t xml:space="preserve">10/21/26, 4:51:10 PM</x:t>
  </x:si>
  <x:si>
    <x:t xml:space="preserve">2h 20m 32s</x:t>
  </x:si>
  <x:si>
    <x:t xml:space="preserve">martin.x.bamukunde@pwc.com</x:t>
  </x:si>
  <x:si>
    <x:t xml:space="preserve">Anel Eksteen (ZA)</x:t>
  </x:si>
  <x:si>
    <x:t xml:space="preserve">10/21/26, 2:31:46 PM</x:t>
  </x:si>
  <x:si>
    <x:t xml:space="preserve">10/21/26, 4:27:58 PM</x:t>
  </x:si>
  <x:si>
    <x:t xml:space="preserve">1h 54m 41s</x:t>
  </x:si>
  <x:si>
    <x:t xml:space="preserve">anel.eksteen@pwc.com</x:t>
  </x:si>
  <x:si>
    <x:t xml:space="preserve">Bernice Kimacia (KE)</x:t>
  </x:si>
  <x:si>
    <x:t xml:space="preserve">10/21/26, 2:32:38 PM</x:t>
  </x:si>
  <x:si>
    <x:t xml:space="preserve">10/21/26, 4:27:54 PM</x:t>
  </x:si>
  <x:si>
    <x:t xml:space="preserve">1h 55m 15s</x:t>
  </x:si>
  <x:si>
    <x:t xml:space="preserve">bernice.kimacia@pwc.com</x:t>
  </x:si>
  <x:si>
    <x:t xml:space="preserve">Sharon Wilfred-Kabubi (ZM)</x:t>
  </x:si>
  <x:si>
    <x:t xml:space="preserve">10/21/26, 2:23:29 PM</x:t>
  </x:si>
  <x:si>
    <x:t xml:space="preserve">10/21/26, 4:28:02 PM</x:t>
  </x:si>
  <x:si>
    <x:t xml:space="preserve">2h 4m 32s</x:t>
  </x:si>
  <x:si>
    <x:t xml:space="preserve">sharon.w.wilfredkabubi@pwc.com</x:t>
  </x:si>
  <x:si>
    <x:t xml:space="preserve">Attendee</x:t>
  </x:si>
  <x:si>
    <x:t xml:space="preserve">Deborah Lukwesa (ZM)</x:t>
  </x:si>
  <x:si>
    <x:t xml:space="preserve">10/21/26, 2:23:37 PM</x:t>
  </x:si>
  <x:si>
    <x:t xml:space="preserve">10/21/26, 4:31:01 PM</x:t>
  </x:si>
  <x:si>
    <x:t xml:space="preserve">2h 7m 24s</x:t>
  </x:si>
  <x:si>
    <x:t xml:space="preserve">deborah.lukwesa@pwc.com</x:t>
  </x:si>
  <x:si>
    <x:t xml:space="preserve">Edna Kimenju (KE)</x:t>
  </x:si>
  <x:si>
    <x:t xml:space="preserve">10/21/26, 2:23:38 PM</x:t>
  </x:si>
  <x:si>
    <x:t xml:space="preserve">10/21/26, 4:27:59 PM</x:t>
  </x:si>
  <x:si>
    <x:t xml:space="preserve">1h 57m 10s</x:t>
  </x:si>
  <x:si>
    <x:t xml:space="preserve">edna.kimenju@pwc.com</x:t>
  </x:si>
  <x:si>
    <x:t xml:space="preserve">Stacey Labuschagne (KE)</x:t>
  </x:si>
  <x:si>
    <x:t xml:space="preserve">10/21/26, 4:31:55 PM</x:t>
  </x:si>
  <x:si>
    <x:t xml:space="preserve">1h 40m 57s</x:t>
  </x:si>
  <x:si>
    <x:t xml:space="preserve">stacey.l.labuschagne@pwc.com</x:t>
  </x:si>
  <x:si>
    <x:t xml:space="preserve">Emmanuel Kamizhi (ZM)</x:t>
  </x:si>
  <x:si>
    <x:t xml:space="preserve">10/21/26, 2:23:40 PM</x:t>
  </x:si>
  <x:si>
    <x:t xml:space="preserve">10/21/26, 4:33:13 PM</x:t>
  </x:si>
  <x:si>
    <x:t xml:space="preserve">2h 9m 32s</x:t>
  </x:si>
  <x:si>
    <x:t xml:space="preserve">emmanuel.kamizhi@pwc.com</x:t>
  </x:si>
  <x:si>
    <x:t xml:space="preserve">Elvan VYTHILINGUM (MU)</x:t>
  </x:si>
  <x:si>
    <x:t xml:space="preserve">10/21/26, 2:23:41 PM</x:t>
  </x:si>
  <x:si>
    <x:t xml:space="preserve">10/21/26, 4:28:16 PM</x:t>
  </x:si>
  <x:si>
    <x:t xml:space="preserve">2h 4m 35s</x:t>
  </x:si>
  <x:si>
    <x:t xml:space="preserve">elvan.vythilingum@pwc.com</x:t>
  </x:si>
  <x:si>
    <x:t xml:space="preserve">Damien Hong Lin (MU)</x:t>
  </x:si>
  <x:si>
    <x:t xml:space="preserve">10/21/26, 2:23:52 PM</x:t>
  </x:si>
  <x:si>
    <x:t xml:space="preserve">10s</x:t>
  </x:si>
  <x:si>
    <x:t xml:space="preserve">damien.hong.lin@pwc.com</x:t>
  </x:si>
  <x:si>
    <x:t xml:space="preserve">Drishtee Gopee (MU)</x:t>
  </x:si>
  <x:si>
    <x:t xml:space="preserve">10/21/26, 2:23:42 PM</x:t>
  </x:si>
  <x:si>
    <x:t xml:space="preserve">10/21/26, 3:14:27 PM</x:t>
  </x:si>
  <x:si>
    <x:t xml:space="preserve">50m 44s</x:t>
  </x:si>
  <x:si>
    <x:t xml:space="preserve">drishtee.gopee@pwc.com</x:t>
  </x:si>
  <x:si>
    <x:t xml:space="preserve">Aisha Kilonda (TZ)</x:t>
  </x:si>
  <x:si>
    <x:t xml:space="preserve">10/21/26, 4:58:17 PM</x:t>
  </x:si>
  <x:si>
    <x:t xml:space="preserve">2h 34m 34s</x:t>
  </x:si>
  <x:si>
    <x:t xml:space="preserve">aisha.kilonda@pwc.com</x:t>
  </x:si>
  <x:si>
    <x:t xml:space="preserve">Trivedi Dabypersad (MU)</x:t>
  </x:si>
  <x:si>
    <x:t xml:space="preserve">10/21/26, 4:28:08 PM</x:t>
  </x:si>
  <x:si>
    <x:t xml:space="preserve">1h 44m 28s</x:t>
  </x:si>
  <x:si>
    <x:t xml:space="preserve">trivedi.dabypersad@pwc.com</x:t>
  </x:si>
  <x:si>
    <x:t xml:space="preserve">Chiranjeev Luchoomun (MU)</x:t>
  </x:si>
  <x:si>
    <x:t xml:space="preserve">10/21/26, 2:23:43 PM</x:t>
  </x:si>
  <x:si>
    <x:t xml:space="preserve">10/21/26, 2:24:07 PM</x:t>
  </x:si>
  <x:si>
    <x:t xml:space="preserve">24s</x:t>
  </x:si>
  <x:si>
    <x:t xml:space="preserve">chiranjeev.l.luchoomun@pwc.com</x:t>
  </x:si>
  <x:si>
    <x:t xml:space="preserve">Careen Mndolwa (TZ)</x:t>
  </x:si>
  <x:si>
    <x:t xml:space="preserve">10/21/26, 2:40:08 PM</x:t>
  </x:si>
  <x:si>
    <x:t xml:space="preserve">16m 25s</x:t>
  </x:si>
  <x:si>
    <x:t xml:space="preserve">careen.mndolwa@pwc.com</x:t>
  </x:si>
  <x:si>
    <x:t xml:space="preserve">Massooto Maurice (UG)</x:t>
  </x:si>
  <x:si>
    <x:t xml:space="preserve">10/21/26, 4:33:12 PM</x:t>
  </x:si>
  <x:si>
    <x:t xml:space="preserve">2h 9m 29s</x:t>
  </x:si>
  <x:si>
    <x:t xml:space="preserve">massooto.maurice@pwc.com</x:t>
  </x:si>
  <x:si>
    <x:t xml:space="preserve">Abel Maiga (TZ)</x:t>
  </x:si>
  <x:si>
    <x:t xml:space="preserve">10/21/26, 2:23:44 PM</x:t>
  </x:si>
  <x:si>
    <x:t xml:space="preserve">10/21/26, 3:39:56 PM</x:t>
  </x:si>
  <x:si>
    <x:t xml:space="preserve">1h 16m 12s</x:t>
  </x:si>
  <x:si>
    <x:t xml:space="preserve">abel.maiga@pwc.com</x:t>
  </x:si>
  <x:si>
    <x:t xml:space="preserve">Tecla Kibor (KE)</x:t>
  </x:si>
  <x:si>
    <x:t xml:space="preserve">10/21/26, 4:29:00 PM</x:t>
  </x:si>
  <x:si>
    <x:t xml:space="preserve">2h 5m 16s</x:t>
  </x:si>
  <x:si>
    <x:t xml:space="preserve">tecla.kibor@pwc.com</x:t>
  </x:si>
  <x:si>
    <x:t xml:space="preserve">Dolesha Gokhul (MU)</x:t>
  </x:si>
  <x:si>
    <x:t xml:space="preserve">10/21/26, 2:24:44 PM</x:t>
  </x:si>
  <x:si>
    <x:t xml:space="preserve">59s</x:t>
  </x:si>
  <x:si>
    <x:t xml:space="preserve">dolesha.gokhul@pwc.com</x:t>
  </x:si>
  <x:si>
    <x:t xml:space="preserve">Eseri Anita Khabuya (UG)</x:t>
  </x:si>
  <x:si>
    <x:t xml:space="preserve">10/21/26, 2:23:45 PM</x:t>
  </x:si>
  <x:si>
    <x:t xml:space="preserve">10/21/26, 2:24:45 PM</x:t>
  </x:si>
  <x:si>
    <x:t xml:space="preserve">1m</x:t>
  </x:si>
  <x:si>
    <x:t xml:space="preserve">eseri.khabuya@pwc.com</x:t>
  </x:si>
  <x:si>
    <x:t xml:space="preserve">Fabrice Irabizi (RW)</x:t>
  </x:si>
  <x:si>
    <x:t xml:space="preserve">10/21/26, 2:23:46 PM</x:t>
  </x:si>
  <x:si>
    <x:t xml:space="preserve">2h 4m 22s</x:t>
  </x:si>
  <x:si>
    <x:t xml:space="preserve">fabrice.irabizi@pwc.com</x:t>
  </x:si>
  <x:si>
    <x:t xml:space="preserve">Theresa Namakula (UG)</x:t>
  </x:si>
  <x:si>
    <x:t xml:space="preserve">10/21/26, 2:23:47 PM</x:t>
  </x:si>
  <x:si>
    <x:t xml:space="preserve">10/21/26, 4:28:03 PM</x:t>
  </x:si>
  <x:si>
    <x:t xml:space="preserve">2h 4m 16s</x:t>
  </x:si>
  <x:si>
    <x:t xml:space="preserve">theresa.k.namakula@pwc.com</x:t>
  </x:si>
  <x:si>
    <x:t xml:space="preserve">Yusto Mwaigwisya (TZ)</x:t>
  </x:si>
  <x:si>
    <x:t xml:space="preserve">10/21/26, 4:28:55 PM</x:t>
  </x:si>
  <x:si>
    <x:t xml:space="preserve">2h 5m 8s</x:t>
  </x:si>
  <x:si>
    <x:t xml:space="preserve">yusto.mwaigwisya@pwc.com</x:t>
  </x:si>
  <x:si>
    <x:t xml:space="preserve">Mercy Koskei (KE)</x:t>
  </x:si>
  <x:si>
    <x:t xml:space="preserve">10/21/26, 4:27:57 PM</x:t>
  </x:si>
  <x:si>
    <x:t xml:space="preserve">2h 4m 9s</x:t>
  </x:si>
  <x:si>
    <x:t xml:space="preserve">mercy.koskei@pwc.com</x:t>
  </x:si>
  <x:si>
    <x:t xml:space="preserve">Maureen Benedict (TZ)</x:t>
  </x:si>
  <x:si>
    <x:t xml:space="preserve">10/21/26, 4:42:46 PM</x:t>
  </x:si>
  <x:si>
    <x:t xml:space="preserve">2h 42s</x:t>
  </x:si>
  <x:si>
    <x:t xml:space="preserve">maureen.benedict@pwc.com</x:t>
  </x:si>
  <x:si>
    <x:t xml:space="preserve">Christella Baho (RW)</x:t>
  </x:si>
  <x:si>
    <x:t xml:space="preserve">10/21/26, 2:23:48 PM</x:t>
  </x:si>
  <x:si>
    <x:t xml:space="preserve">10/21/26, 4:34:43 PM</x:t>
  </x:si>
  <x:si>
    <x:t xml:space="preserve">2h 10m 55s</x:t>
  </x:si>
  <x:si>
    <x:t xml:space="preserve">christella.anny.baho@pwc.com</x:t>
  </x:si>
  <x:si>
    <x:t xml:space="preserve">Georgina Mkuchu (TZ)</x:t>
  </x:si>
  <x:si>
    <x:t xml:space="preserve">10/21/26, 2:23:49 PM</x:t>
  </x:si>
  <x:si>
    <x:t xml:space="preserve">10/21/26, 4:29:20 PM</x:t>
  </x:si>
  <x:si>
    <x:t xml:space="preserve">2h 5m 31s</x:t>
  </x:si>
  <x:si>
    <x:t xml:space="preserve">georgina.mkuchu@pwc.com</x:t>
  </x:si>
  <x:si>
    <x:t xml:space="preserve">Najim Mwanga (TZ)</x:t>
  </x:si>
  <x:si>
    <x:t xml:space="preserve">10/21/26, 2:23:50 PM</x:t>
  </x:si>
  <x:si>
    <x:t xml:space="preserve">10/21/26, 4:28:44 PM</x:t>
  </x:si>
  <x:si>
    <x:t xml:space="preserve">2h 4m 53s</x:t>
  </x:si>
  <x:si>
    <x:t xml:space="preserve">najim.mwanga@pwc.com</x:t>
  </x:si>
  <x:si>
    <x:t xml:space="preserve">Stella Chege (KE)</x:t>
  </x:si>
  <x:si>
    <x:t xml:space="preserve">10/21/26, 2:23:51 PM</x:t>
  </x:si>
  <x:si>
    <x:t xml:space="preserve">10/21/26, 4:28:01 PM</x:t>
  </x:si>
  <x:si>
    <x:t xml:space="preserve">2h 4m 10s</x:t>
  </x:si>
  <x:si>
    <x:t xml:space="preserve">stella.chege@pwc.com</x:t>
  </x:si>
  <x:si>
    <x:t xml:space="preserve">Ria Munogee (MU)</x:t>
  </x:si>
  <x:si>
    <x:t xml:space="preserve">10/21/26, 2:24:50 PM</x:t>
  </x:si>
  <x:si>
    <x:t xml:space="preserve">leenam.munogee@pwc.com</x:t>
  </x:si>
  <x:si>
    <x:t xml:space="preserve">Griffin Erasmus (TZ)</x:t>
  </x:si>
  <x:si>
    <x:t xml:space="preserve">10/21/26, 5:21:01 PM</x:t>
  </x:si>
  <x:si>
    <x:t xml:space="preserve">2h 49m 10s</x:t>
  </x:si>
  <x:si>
    <x:t xml:space="preserve">griffin.erasmus@pwc.com</x:t>
  </x:si>
  <x:si>
    <x:t xml:space="preserve">Teddy Mbore (TZ)</x:t>
  </x:si>
  <x:si>
    <x:t xml:space="preserve">10/21/26, 3:53:55 PM</x:t>
  </x:si>
  <x:si>
    <x:t xml:space="preserve">1h 30m 3s</x:t>
  </x:si>
  <x:si>
    <x:t xml:space="preserve">teddy.mbore@pwc.com</x:t>
  </x:si>
  <x:si>
    <x:t xml:space="preserve">Neetisha Devi Cheekhooree (MU)</x:t>
  </x:si>
  <x:si>
    <x:t xml:space="preserve">10/21/26, 2:25:05 PM</x:t>
  </x:si>
  <x:si>
    <x:t xml:space="preserve">1m 13s</x:t>
  </x:si>
  <x:si>
    <x:t xml:space="preserve">neetisha.cheekhooree@pwc.com</x:t>
  </x:si>
  <x:si>
    <x:t xml:space="preserve">Karan Raggoo (MU)</x:t>
  </x:si>
  <x:si>
    <x:t xml:space="preserve">10/21/26, 2:26:37 PM</x:t>
  </x:si>
  <x:si>
    <x:t xml:space="preserve">2m 45s</x:t>
  </x:si>
  <x:si>
    <x:t xml:space="preserve">karan.raggoo@pwc.com</x:t>
  </x:si>
  <x:si>
    <x:t xml:space="preserve">Catherine Mlay (TZ)</x:t>
  </x:si>
  <x:si>
    <x:t xml:space="preserve">catherine.mlay@pwc.com</x:t>
  </x:si>
  <x:si>
    <x:t xml:space="preserve">Racheal Nakimuli (UG)</x:t>
  </x:si>
  <x:si>
    <x:t xml:space="preserve">10/21/26, 2:23:53 PM</x:t>
  </x:si>
  <x:si>
    <x:t xml:space="preserve">10/21/26, 4:28:07 PM</x:t>
  </x:si>
  <x:si>
    <x:t xml:space="preserve">1h 40m 9s</x:t>
  </x:si>
  <x:si>
    <x:t xml:space="preserve">racheal.nakimuli@pwc.com</x:t>
  </x:si>
  <x:si>
    <x:t xml:space="preserve">Colins Muteti (KE)</x:t>
  </x:si>
  <x:si>
    <x:t xml:space="preserve">10/21/26, 4:28:54 PM</x:t>
  </x:si>
  <x:si>
    <x:t xml:space="preserve">1h 57m 29s</x:t>
  </x:si>
  <x:si>
    <x:t xml:space="preserve">colins.muteti@pwc.com</x:t>
  </x:si>
  <x:si>
    <x:t xml:space="preserve">Richard John (TZ)</x:t>
  </x:si>
  <x:si>
    <x:t xml:space="preserve">10/21/26, 2:23:54 PM</x:t>
  </x:si>
  <x:si>
    <x:t xml:space="preserve">10/21/26, 4:30:08 PM</x:t>
  </x:si>
  <x:si>
    <x:t xml:space="preserve">2h 6m 13s</x:t>
  </x:si>
  <x:si>
    <x:t xml:space="preserve">richard.john@pwc.com</x:t>
  </x:si>
  <x:si>
    <x:t xml:space="preserve">Gisele Ngoga (RW)</x:t>
  </x:si>
  <x:si>
    <x:t xml:space="preserve">2h 3m 59s</x:t>
  </x:si>
  <x:si>
    <x:t xml:space="preserve">gisele.ngoga@pwc.com</x:t>
  </x:si>
  <x:si>
    <x:t xml:space="preserve">Serah Kiprono (KE)</x:t>
  </x:si>
  <x:si>
    <x:t xml:space="preserve">10/21/26, 2:23:55 PM</x:t>
  </x:si>
  <x:si>
    <x:t xml:space="preserve">10/21/26, 4:28:13 PM</x:t>
  </x:si>
  <x:si>
    <x:t xml:space="preserve">2h 4m 18s</x:t>
  </x:si>
  <x:si>
    <x:t xml:space="preserve">serah.kiprono@pwc.com</x:t>
  </x:si>
  <x:si>
    <x:t xml:space="preserve">Godfrey Kizza (UG)</x:t>
  </x:si>
  <x:si>
    <x:t xml:space="preserve">10/21/26, 2:23:56 PM</x:t>
  </x:si>
  <x:si>
    <x:t xml:space="preserve">10/21/26, 3:52:01 PM</x:t>
  </x:si>
  <x:si>
    <x:t xml:space="preserve">1h 28m 5s</x:t>
  </x:si>
  <x:si>
    <x:t xml:space="preserve">godfrey.kizza@pwc.com</x:t>
  </x:si>
  <x:si>
    <x:t xml:space="preserve">Dean Young (MU)</x:t>
  </x:si>
  <x:si>
    <x:t xml:space="preserve">10/21/26, 4:28:11 PM</x:t>
  </x:si>
  <x:si>
    <x:t xml:space="preserve">2h 4m 14s</x:t>
  </x:si>
  <x:si>
    <x:t xml:space="preserve">dean.young@pwc.com</x:t>
  </x:si>
  <x:si>
    <x:t xml:space="preserve">Revatee Huril (MU)</x:t>
  </x:si>
  <x:si>
    <x:t xml:space="preserve">10/21/26, 2:24:12 PM</x:t>
  </x:si>
  <x:si>
    <x:t xml:space="preserve">15s</x:t>
  </x:si>
  <x:si>
    <x:t xml:space="preserve">revatee.huril@pwc.com</x:t>
  </x:si>
  <x:si>
    <x:t xml:space="preserve">Chisala Mukonde (ZM)</x:t>
  </x:si>
  <x:si>
    <x:t xml:space="preserve">10/21/26, 2:23:58 PM</x:t>
  </x:si>
  <x:si>
    <x:t xml:space="preserve">10/21/26, 4:28:00 PM</x:t>
  </x:si>
  <x:si>
    <x:t xml:space="preserve">2h 4m 2s</x:t>
  </x:si>
  <x:si>
    <x:t xml:space="preserve">chisala.mukonde@pwc.com</x:t>
  </x:si>
  <x:si>
    <x:t xml:space="preserve">Shakil Torabally (MU)</x:t>
  </x:si>
  <x:si>
    <x:t xml:space="preserve">10/21/26, 4:28:41 PM</x:t>
  </x:si>
  <x:si>
    <x:t xml:space="preserve">2h 4m 42s</x:t>
  </x:si>
  <x:si>
    <x:t xml:space="preserve">shakil.torabally@pwc.com</x:t>
  </x:si>
  <x:si>
    <x:t xml:space="preserve">Nancy Mwangi (KE)</x:t>
  </x:si>
  <x:si>
    <x:t xml:space="preserve">10/21/26, 2:23:59 PM</x:t>
  </x:si>
  <x:si>
    <x:t xml:space="preserve">50s</x:t>
  </x:si>
  <x:si>
    <x:t xml:space="preserve">nancy.mwangi@pwc.com</x:t>
  </x:si>
  <x:si>
    <x:t xml:space="preserve">Barry Muindi (KE)</x:t>
  </x:si>
  <x:si>
    <x:t xml:space="preserve">10/21/26, 5:03:18 PM</x:t>
  </x:si>
  <x:si>
    <x:t xml:space="preserve">2h 39m 18s</x:t>
  </x:si>
  <x:si>
    <x:t xml:space="preserve">barry.muindi@pwc.com</x:t>
  </x:si>
  <x:si>
    <x:t xml:space="preserve">Kovanam Moodelly (MU)</x:t>
  </x:si>
  <x:si>
    <x:t xml:space="preserve">10/21/26, 2:24:03 PM</x:t>
  </x:si>
  <x:si>
    <x:t xml:space="preserve">10/21/26, 2:38:24 PM</x:t>
  </x:si>
  <x:si>
    <x:t xml:space="preserve">14m 21s</x:t>
  </x:si>
  <x:si>
    <x:t xml:space="preserve">kovanam.moodelly@pwc.com</x:t>
  </x:si>
  <x:si>
    <x:t xml:space="preserve">Victoria Makori (KE)</x:t>
  </x:si>
  <x:si>
    <x:t xml:space="preserve">10/21/26, 2:24:05 PM</x:t>
  </x:si>
  <x:si>
    <x:t xml:space="preserve">2h 3m 56s</x:t>
  </x:si>
  <x:si>
    <x:t xml:space="preserve">victoria.makori@pwc.com</x:t>
  </x:si>
  <x:si>
    <x:t xml:space="preserve">Victor Rotich (KE)</x:t>
  </x:si>
  <x:si>
    <x:t xml:space="preserve">10/21/26, 2:24:06 PM</x:t>
  </x:si>
  <x:si>
    <x:t xml:space="preserve">10/21/26, 5:09:47 PM</x:t>
  </x:si>
  <x:si>
    <x:t xml:space="preserve">2h 41m 31s</x:t>
  </x:si>
  <x:si>
    <x:t xml:space="preserve">victor.rotich@pwc.com</x:t>
  </x:si>
  <x:si>
    <x:t xml:space="preserve">Asmamaw Tamiru (KE)</x:t>
  </x:si>
  <x:si>
    <x:t xml:space="preserve">10/21/26, 2:24:08 PM</x:t>
  </x:si>
  <x:si>
    <x:t xml:space="preserve">10/21/26, 4:38:04 PM</x:t>
  </x:si>
  <x:si>
    <x:t xml:space="preserve">2h 13m 55s</x:t>
  </x:si>
  <x:si>
    <x:t xml:space="preserve">asmamaw.tamiru@pwc.com</x:t>
  </x:si>
  <x:si>
    <x:t xml:space="preserve">Vanshika Akkooloo (MU)</x:t>
  </x:si>
  <x:si>
    <x:t xml:space="preserve">10/21/26, 2:24:09 PM</x:t>
  </x:si>
  <x:si>
    <x:t xml:space="preserve">10/21/26, 4:42:48 PM</x:t>
  </x:si>
  <x:si>
    <x:t xml:space="preserve">2h 1m 14s</x:t>
  </x:si>
  <x:si>
    <x:t xml:space="preserve">vanshika.akkooloo@pwc.com</x:t>
  </x:si>
  <x:si>
    <x:t xml:space="preserve">Ezra Kemboi (KE)</x:t>
  </x:si>
  <x:si>
    <x:t xml:space="preserve">10/21/26, 2:57:28 PM</x:t>
  </x:si>
  <x:si>
    <x:t xml:space="preserve">33m 19s</x:t>
  </x:si>
  <x:si>
    <x:t xml:space="preserve">ezra.kemboi@pwc.com</x:t>
  </x:si>
  <x:si>
    <x:t xml:space="preserve">DAVID Pamba (RW)</x:t>
  </x:si>
  <x:si>
    <x:t xml:space="preserve">10/21/26, 2:24:14 PM</x:t>
  </x:si>
  <x:si>
    <x:t xml:space="preserve">2h 5m 5s</x:t>
  </x:si>
  <x:si>
    <x:t xml:space="preserve">david.pamba@pwc.com</x:t>
  </x:si>
  <x:si>
    <x:t xml:space="preserve">Emmanuel Lema (TZ)</x:t>
  </x:si>
  <x:si>
    <x:t xml:space="preserve">10/21/26, 2:24:17 PM</x:t>
  </x:si>
  <x:si>
    <x:t xml:space="preserve">10/21/26, 4:28:47 PM</x:t>
  </x:si>
  <x:si>
    <x:t xml:space="preserve">1h 36m 7s</x:t>
  </x:si>
  <x:si>
    <x:t xml:space="preserve">emmanuel.lema@pwc.com</x:t>
  </x:si>
  <x:si>
    <x:t xml:space="preserve">Joel Julian (TZ)</x:t>
  </x:si>
  <x:si>
    <x:t xml:space="preserve">10/21/26, 2:24:18 PM</x:t>
  </x:si>
  <x:si>
    <x:t xml:space="preserve">10/21/26, 3:35:42 PM</x:t>
  </x:si>
  <x:si>
    <x:t xml:space="preserve">1h 11m 24s</x:t>
  </x:si>
  <x:si>
    <x:t xml:space="preserve">joel.julian@pwc.com</x:t>
  </x:si>
  <x:si>
    <x:t xml:space="preserve">Jeremiah Musembi (KE)</x:t>
  </x:si>
  <x:si>
    <x:t xml:space="preserve">10/21/26, 2:24:20 PM</x:t>
  </x:si>
  <x:si>
    <x:t xml:space="preserve">10/21/26, 4:25:22 PM</x:t>
  </x:si>
  <x:si>
    <x:t xml:space="preserve">33m 14s</x:t>
  </x:si>
  <x:si>
    <x:t xml:space="preserve">jeremiah.musembi@pwc.com</x:t>
  </x:si>
  <x:si>
    <x:t xml:space="preserve">Nanita Nalule (UG)</x:t>
  </x:si>
  <x:si>
    <x:t xml:space="preserve">10/21/26, 2:24:21 PM</x:t>
  </x:si>
  <x:si>
    <x:t xml:space="preserve">2h 3m 36s</x:t>
  </x:si>
  <x:si>
    <x:t xml:space="preserve">nanita.nalule@pwc.com</x:t>
  </x:si>
  <x:si>
    <x:t xml:space="preserve">Nuhu Mandy (TZ)</x:t>
  </x:si>
  <x:si>
    <x:t xml:space="preserve">10/21/26, 2:24:24 PM</x:t>
  </x:si>
  <x:si>
    <x:t xml:space="preserve">10/21/26, 4:28:09 PM</x:t>
  </x:si>
  <x:si>
    <x:t xml:space="preserve">2h 3m 44s</x:t>
  </x:si>
  <x:si>
    <x:t xml:space="preserve">nuhu.mandy@pwc.com</x:t>
  </x:si>
  <x:si>
    <x:t xml:space="preserve">Rohan Peter (MU)</x:t>
  </x:si>
  <x:si>
    <x:t xml:space="preserve">10/21/26, 2:24:25 PM</x:t>
  </x:si>
  <x:si>
    <x:t xml:space="preserve">10/21/26, 3:36:51 PM</x:t>
  </x:si>
  <x:si>
    <x:t xml:space="preserve">1h 12m 25s</x:t>
  </x:si>
  <x:si>
    <x:t xml:space="preserve">rohan.peter@pwc.com</x:t>
  </x:si>
  <x:si>
    <x:t xml:space="preserve">Ronah Nuwagaba (UG)</x:t>
  </x:si>
  <x:si>
    <x:t xml:space="preserve">10/21/26, 2:24:26 PM</x:t>
  </x:si>
  <x:si>
    <x:t xml:space="preserve">10/21/26, 4:38:47 PM</x:t>
  </x:si>
  <x:si>
    <x:t xml:space="preserve">2h 14m 21s</x:t>
  </x:si>
  <x:si>
    <x:t xml:space="preserve">ronah.nuwagaba@pwc.com</x:t>
  </x:si>
  <x:si>
    <x:t xml:space="preserve">Katai Nakazwe (ZM)</x:t>
  </x:si>
  <x:si>
    <x:t xml:space="preserve">10/21/26, 2:24:27 PM</x:t>
  </x:si>
  <x:si>
    <x:t xml:space="preserve">10/21/26, 4:40:16 PM</x:t>
  </x:si>
  <x:si>
    <x:t xml:space="preserve">2h 15m 49s</x:t>
  </x:si>
  <x:si>
    <x:t xml:space="preserve">katai.nakazwe@pwc.com</x:t>
  </x:si>
  <x:si>
    <x:t xml:space="preserve">Girish Balchurn (MU)</x:t>
  </x:si>
  <x:si>
    <x:t xml:space="preserve">10/21/26, 2:24:34 PM</x:t>
  </x:si>
  <x:si>
    <x:t xml:space="preserve">10/21/26, 3:37:22 PM</x:t>
  </x:si>
  <x:si>
    <x:t xml:space="preserve">1h 12m 48s</x:t>
  </x:si>
  <x:si>
    <x:t xml:space="preserve">girish.balchurn@pwc.com</x:t>
  </x:si>
  <x:si>
    <x:t xml:space="preserve">Rose Muasya (KE)</x:t>
  </x:si>
  <x:si>
    <x:t xml:space="preserve">10/21/26, 2:24:46 PM</x:t>
  </x:si>
  <x:si>
    <x:t xml:space="preserve">10/21/26, 3:39:07 PM</x:t>
  </x:si>
  <x:si>
    <x:t xml:space="preserve">35m 47s</x:t>
  </x:si>
  <x:si>
    <x:t xml:space="preserve">rose.muasya@pwc.com</x:t>
  </x:si>
  <x:si>
    <x:t xml:space="preserve">Esmeralda Kavishe (TZ)</x:t>
  </x:si>
  <x:si>
    <x:t xml:space="preserve">10/21/26, 2:24:54 PM</x:t>
  </x:si>
  <x:si>
    <x:t xml:space="preserve">10/21/26, 4:29:56 PM</x:t>
  </x:si>
  <x:si>
    <x:t xml:space="preserve">2h 5m 2s</x:t>
  </x:si>
  <x:si>
    <x:t xml:space="preserve">esmeralda.kavishe@pwc.com</x:t>
  </x:si>
  <x:si>
    <x:t xml:space="preserve">Rendani Ramulongo (TZ)</x:t>
  </x:si>
  <x:si>
    <x:t xml:space="preserve">10/21/26, 2:24:58 PM</x:t>
  </x:si>
  <x:si>
    <x:t xml:space="preserve">10/21/26, 4:27:52 PM</x:t>
  </x:si>
  <x:si>
    <x:t xml:space="preserve">2h 2m 53s</x:t>
  </x:si>
  <x:si>
    <x:t xml:space="preserve">rendani.r.ramulongo@pwc.com</x:t>
  </x:si>
  <x:si>
    <x:t xml:space="preserve">Jacob Ndemirio (TZ)</x:t>
  </x:si>
  <x:si>
    <x:t xml:space="preserve">10/21/26, 2:25:03 PM</x:t>
  </x:si>
  <x:si>
    <x:t xml:space="preserve">10/21/26, 4:28:05 PM</x:t>
  </x:si>
  <x:si>
    <x:t xml:space="preserve">2h 3m 2s</x:t>
  </x:si>
  <x:si>
    <x:t xml:space="preserve">jacob.ndemirio@pwc.com</x:t>
  </x:si>
  <x:si>
    <x:t xml:space="preserve">Brayan Laizer (TZ)</x:t>
  </x:si>
  <x:si>
    <x:t xml:space="preserve">10/21/26, 2:25:33 PM</x:t>
  </x:si>
  <x:si>
    <x:t xml:space="preserve">10/21/26, 4:28:21 PM</x:t>
  </x:si>
  <x:si>
    <x:t xml:space="preserve">2h 2m 47s</x:t>
  </x:si>
  <x:si>
    <x:t xml:space="preserve">brayan.laizer@pwc.com</x:t>
  </x:si>
  <x:si>
    <x:t xml:space="preserve">Phanastone Yongo (KE)</x:t>
  </x:si>
  <x:si>
    <x:t xml:space="preserve">10/21/26, 4:30:30 PM</x:t>
  </x:si>
  <x:si>
    <x:t xml:space="preserve">phanastone.yongo@pwc.com</x:t>
  </x:si>
  <x:si>
    <x:t xml:space="preserve">Lightness Katunzi (TZ)</x:t>
  </x:si>
  <x:si>
    <x:t xml:space="preserve">10/21/26, 2:25:42 PM</x:t>
  </x:si>
  <x:si>
    <x:t xml:space="preserve">10/21/26, 4:28:12 PM</x:t>
  </x:si>
  <x:si>
    <x:t xml:space="preserve">2h 2m 30s</x:t>
  </x:si>
  <x:si>
    <x:t xml:space="preserve">lightness.katunzi@pwc.com</x:t>
  </x:si>
  <x:si>
    <x:t xml:space="preserve">Linda Batuka (UG)</x:t>
  </x:si>
  <x:si>
    <x:t xml:space="preserve">10/21/26, 2:26:22 PM</x:t>
  </x:si>
  <x:si>
    <x:t xml:space="preserve">2h 2s</x:t>
  </x:si>
  <x:si>
    <x:t xml:space="preserve">linda.batuka@pwc.com</x:t>
  </x:si>
  <x:si>
    <x:t xml:space="preserve">Chimwemwe Mtonga (ZM)</x:t>
  </x:si>
  <x:si>
    <x:t xml:space="preserve">10/21/26, 2:26:25 PM</x:t>
  </x:si>
  <x:si>
    <x:t xml:space="preserve">10/21/26, 4:38:34 PM</x:t>
  </x:si>
  <x:si>
    <x:t xml:space="preserve">2h 12m 9s</x:t>
  </x:si>
  <x:si>
    <x:t xml:space="preserve">chimwemwe.mtonga@pwc.com</x:t>
  </x:si>
  <x:si>
    <x:t xml:space="preserve">David Mugo (KE)</x:t>
  </x:si>
  <x:si>
    <x:t xml:space="preserve">10/21/26, 2:26:35 PM</x:t>
  </x:si>
  <x:si>
    <x:t xml:space="preserve">2h 1m 24s</x:t>
  </x:si>
  <x:si>
    <x:t xml:space="preserve">david.mugo@pwc.com</x:t>
  </x:si>
  <x:si>
    <x:t xml:space="preserve">Jackie Nampala (UG)</x:t>
  </x:si>
  <x:si>
    <x:t xml:space="preserve">10/21/26, 2:26:36 PM</x:t>
  </x:si>
  <x:si>
    <x:t xml:space="preserve">2h 1m 17s</x:t>
  </x:si>
  <x:si>
    <x:t xml:space="preserve">jackie.nampala@pwc.com</x:t>
  </x:si>
  <x:si>
    <x:t xml:space="preserve">Twaambo Milimo (ZM)</x:t>
  </x:si>
  <x:si>
    <x:t xml:space="preserve">10/21/26, 2:26:59 PM</x:t>
  </x:si>
  <x:si>
    <x:t xml:space="preserve">2h 1m 6s</x:t>
  </x:si>
  <x:si>
    <x:t xml:space="preserve">twaambo.m.milimo@pwc.com</x:t>
  </x:si>
  <x:si>
    <x:t xml:space="preserve">Byron Carter (MU)</x:t>
  </x:si>
  <x:si>
    <x:t xml:space="preserve">10/21/26, 2:27:07 PM</x:t>
  </x:si>
  <x:si>
    <x:t xml:space="preserve">2h 1m</x:t>
  </x:si>
  <x:si>
    <x:t xml:space="preserve">byron.carter@pwc.com</x:t>
  </x:si>
  <x:si>
    <x:t xml:space="preserve">Milbert Kakyama (UG)</x:t>
  </x:si>
  <x:si>
    <x:t xml:space="preserve">10/21/26, 2:27:14 PM</x:t>
  </x:si>
  <x:si>
    <x:t xml:space="preserve">10/21/26, 4:29:11 PM</x:t>
  </x:si>
  <x:si>
    <x:t xml:space="preserve">2h 1m 56s</x:t>
  </x:si>
  <x:si>
    <x:t xml:space="preserve">milbert.kakyama@pwc.com</x:t>
  </x:si>
  <x:si>
    <x:t xml:space="preserve">Davish Budhai (MU)</x:t>
  </x:si>
  <x:si>
    <x:t xml:space="preserve">10/21/26, 2:27:16 PM</x:t>
  </x:si>
  <x:si>
    <x:t xml:space="preserve">10/21/26, 4:29:09 PM</x:t>
  </x:si>
  <x:si>
    <x:t xml:space="preserve">2h 1m 53s</x:t>
  </x:si>
  <x:si>
    <x:t xml:space="preserve">davish.budhai@pwc.com</x:t>
  </x:si>
  <x:si>
    <x:t xml:space="preserve">Warren Atugonza (UG)</x:t>
  </x:si>
  <x:si>
    <x:t xml:space="preserve">10/21/26, 2:27:22 PM</x:t>
  </x:si>
  <x:si>
    <x:t xml:space="preserve">10/21/26, 4:31:11 PM</x:t>
  </x:si>
  <x:si>
    <x:t xml:space="preserve">2h 3m 49s</x:t>
  </x:si>
  <x:si>
    <x:t xml:space="preserve">warren.atugonza@pwc.com</x:t>
  </x:si>
  <x:si>
    <x:t xml:space="preserve">Tasneem Butonkee (MU)</x:t>
  </x:si>
  <x:si>
    <x:t xml:space="preserve">10/21/26, 2:27:25 PM</x:t>
  </x:si>
  <x:si>
    <x:t xml:space="preserve">tasneem.butonkee@pwc.com</x:t>
  </x:si>
  <x:si>
    <x:t xml:space="preserve">Naomi Mwamba (ZM)</x:t>
  </x:si>
  <x:si>
    <x:t xml:space="preserve">10/21/26, 2:27:26 PM</x:t>
  </x:si>
  <x:si>
    <x:t xml:space="preserve">10/21/26, 4:32:37 PM</x:t>
  </x:si>
  <x:si>
    <x:t xml:space="preserve">1h 15m 8s</x:t>
  </x:si>
  <x:si>
    <x:t xml:space="preserve">naomi.mwamba@pwc.com</x:t>
  </x:si>
  <x:si>
    <x:t xml:space="preserve">Dowson Kalemba (UG)</x:t>
  </x:si>
  <x:si>
    <x:t xml:space="preserve">10/21/26, 2:27:29 PM</x:t>
  </x:si>
  <x:si>
    <x:t xml:space="preserve">2h 29s</x:t>
  </x:si>
  <x:si>
    <x:t xml:space="preserve">dowson.kalemba@pwc.com</x:t>
  </x:si>
  <x:si>
    <x:t xml:space="preserve">Tirzah Atwiine (UG)</x:t>
  </x:si>
  <x:si>
    <x:t xml:space="preserve">10/21/26, 2:27:41 PM</x:t>
  </x:si>
  <x:si>
    <x:t xml:space="preserve">10/21/26, 4:29:21 PM</x:t>
  </x:si>
  <x:si>
    <x:t xml:space="preserve">2h 1m 40s</x:t>
  </x:si>
  <x:si>
    <x:t xml:space="preserve">tirzah.atwiine@pwc.com</x:t>
  </x:si>
  <x:si>
    <x:t xml:space="preserve">Bhavesh Naggea (MU)</x:t>
  </x:si>
  <x:si>
    <x:t xml:space="preserve">10/21/26, 2:27:44 PM</x:t>
  </x:si>
  <x:si>
    <x:t xml:space="preserve">2h 22s</x:t>
  </x:si>
  <x:si>
    <x:t xml:space="preserve">bhavesh.naggea@pwc.com</x:t>
  </x:si>
  <x:si>
    <x:t xml:space="preserve">Sabryya Moos (MU)</x:t>
  </x:si>
  <x:si>
    <x:t xml:space="preserve">10/21/26, 2:27:49 PM</x:t>
  </x:si>
  <x:si>
    <x:t xml:space="preserve">10/21/26, 4:28:27 PM</x:t>
  </x:si>
  <x:si>
    <x:t xml:space="preserve">1h 43m 19s</x:t>
  </x:si>
  <x:si>
    <x:t xml:space="preserve">sabryya.moos@pwc.com</x:t>
  </x:si>
  <x:si>
    <x:t xml:space="preserve">Fredrick Ogolla (KE)</x:t>
  </x:si>
  <x:si>
    <x:t xml:space="preserve">10/21/26, 2:27:58 PM</x:t>
  </x:si>
  <x:si>
    <x:t xml:space="preserve">fredrick.k.ogolla@pwc.com</x:t>
  </x:si>
  <x:si>
    <x:t xml:space="preserve">Candy Kida (TZ)</x:t>
  </x:si>
  <x:si>
    <x:t xml:space="preserve">10/21/26, 2:28:11 PM</x:t>
  </x:si>
  <x:si>
    <x:t xml:space="preserve">10/21/26, 4:32:22 PM</x:t>
  </x:si>
  <x:si>
    <x:t xml:space="preserve">2h 4m 11s</x:t>
  </x:si>
  <x:si>
    <x:t xml:space="preserve">candy.kida@pwc.com</x:t>
  </x:si>
  <x:si>
    <x:t xml:space="preserve">Chitundu Mbewe (ZM)</x:t>
  </x:si>
  <x:si>
    <x:t xml:space="preserve">10/21/26, 2:28:25 PM</x:t>
  </x:si>
  <x:si>
    <x:t xml:space="preserve">1h 59m 34s</x:t>
  </x:si>
  <x:si>
    <x:t xml:space="preserve">chitundu.mbewe@pwc.com</x:t>
  </x:si>
  <x:si>
    <x:t xml:space="preserve">Ebenezer Mujungu (TZ)</x:t>
  </x:si>
  <x:si>
    <x:t xml:space="preserve">10/21/26, 2:28:47 PM</x:t>
  </x:si>
  <x:si>
    <x:t xml:space="preserve">10/21/26, 4:28:24 PM</x:t>
  </x:si>
  <x:si>
    <x:t xml:space="preserve">1h 36m 22s</x:t>
  </x:si>
  <x:si>
    <x:t xml:space="preserve">ebenezer.mujungu@pwc.com</x:t>
  </x:si>
  <x:si>
    <x:t xml:space="preserve">Ann Muchoki (KE)</x:t>
  </x:si>
  <x:si>
    <x:t xml:space="preserve">10/21/26, 2:28:50 PM</x:t>
  </x:si>
  <x:si>
    <x:t xml:space="preserve">10/21/26, 2:29:55 PM</x:t>
  </x:si>
  <x:si>
    <x:t xml:space="preserve">1m 5s</x:t>
  </x:si>
  <x:si>
    <x:t xml:space="preserve">ann.muchoki@pwc.com</x:t>
  </x:si>
  <x:si>
    <x:t xml:space="preserve">Andrew Chibuye (ZM)</x:t>
  </x:si>
  <x:si>
    <x:t xml:space="preserve">10/21/26, 2:28:55 PM</x:t>
  </x:si>
  <x:si>
    <x:t xml:space="preserve">1h 59m 4s</x:t>
  </x:si>
  <x:si>
    <x:t xml:space="preserve">andrew.chibuye@pwc.com</x:t>
  </x:si>
  <x:si>
    <x:t xml:space="preserve">Joshua Mololo (TZ)</x:t>
  </x:si>
  <x:si>
    <x:t xml:space="preserve">10/21/26, 2:28:58 PM</x:t>
  </x:si>
  <x:si>
    <x:t xml:space="preserve">10/21/26, 4:30:01 PM</x:t>
  </x:si>
  <x:si>
    <x:t xml:space="preserve">2h 1m 2s</x:t>
  </x:si>
  <x:si>
    <x:t xml:space="preserve">joshua.mololo@pwc.com</x:t>
  </x:si>
  <x:si>
    <x:t xml:space="preserve">Naeku Edith (KE)</x:t>
  </x:si>
  <x:si>
    <x:t xml:space="preserve">10/21/26, 2:29:10 PM</x:t>
  </x:si>
  <x:si>
    <x:t xml:space="preserve">10/21/26, 4:29:01 PM</x:t>
  </x:si>
  <x:si>
    <x:t xml:space="preserve">1h 59m 50s</x:t>
  </x:si>
  <x:si>
    <x:t xml:space="preserve">naeku.edith@pwc.com</x:t>
  </x:si>
  <x:si>
    <x:t xml:space="preserve">Neelen Veerapen (MU)</x:t>
  </x:si>
  <x:si>
    <x:t xml:space="preserve">10/21/26, 2:29:39 PM</x:t>
  </x:si>
  <x:si>
    <x:t xml:space="preserve">1h 58m 14s</x:t>
  </x:si>
  <x:si>
    <x:t xml:space="preserve">neelen.veerapen@pwc.com</x:t>
  </x:si>
  <x:si>
    <x:t xml:space="preserve">Diksha Neerbun (MU)</x:t>
  </x:si>
  <x:si>
    <x:t xml:space="preserve">10/21/26, 2:29:42 PM</x:t>
  </x:si>
  <x:si>
    <x:t xml:space="preserve">10/21/26, 4:28:23 PM</x:t>
  </x:si>
  <x:si>
    <x:t xml:space="preserve">1h 58m 41s</x:t>
  </x:si>
  <x:si>
    <x:t xml:space="preserve">diksha.neerbun@pwc.com</x:t>
  </x:si>
  <x:si>
    <x:t xml:space="preserve">Domenic Elasu (UG)</x:t>
  </x:si>
  <x:si>
    <x:t xml:space="preserve">10/21/26, 2:29:43 PM</x:t>
  </x:si>
  <x:si>
    <x:t xml:space="preserve">1h 58m 17s</x:t>
  </x:si>
  <x:si>
    <x:t xml:space="preserve">domenic.elasu@pwc.com</x:t>
  </x:si>
  <x:si>
    <x:t xml:space="preserve">Kelvin Mlagala (TZ)</x:t>
  </x:si>
  <x:si>
    <x:t xml:space="preserve">10/21/26, 2:29:49 PM</x:t>
  </x:si>
  <x:si>
    <x:t xml:space="preserve">10/21/26, 3:25:41 PM</x:t>
  </x:si>
  <x:si>
    <x:t xml:space="preserve">55m 51s</x:t>
  </x:si>
  <x:si>
    <x:t xml:space="preserve">kelvin.mlagala@pwc.com</x:t>
  </x:si>
  <x:si>
    <x:t xml:space="preserve">Jeannie Daka (ZM)</x:t>
  </x:si>
  <x:si>
    <x:t xml:space="preserve">1h 58m 4s</x:t>
  </x:si>
  <x:si>
    <x:t xml:space="preserve">jeannie.daka@pwc.com</x:t>
  </x:si>
  <x:si>
    <x:t xml:space="preserve">Nyongesa Odhiambo (KE)</x:t>
  </x:si>
  <x:si>
    <x:t xml:space="preserve">1h 58m 2s</x:t>
  </x:si>
  <x:si>
    <x:t xml:space="preserve">nyongesa.odhiambo@pwc.com</x:t>
  </x:si>
  <x:si>
    <x:t xml:space="preserve">Ashvi Puholoo (MU)</x:t>
  </x:si>
  <x:si>
    <x:t xml:space="preserve">10/21/26, 2:29:59 PM</x:t>
  </x:si>
  <x:si>
    <x:t xml:space="preserve">10/21/26, 4:28:51 PM</x:t>
  </x:si>
  <x:si>
    <x:t xml:space="preserve">1h 58m 51s</x:t>
  </x:si>
  <x:si>
    <x:t xml:space="preserve">ashvi.p.puholoo@pwc.com</x:t>
  </x:si>
  <x:si>
    <x:t xml:space="preserve">Mary Kariithi (KE)</x:t>
  </x:si>
  <x:si>
    <x:t xml:space="preserve">10/21/26, 2:30:17 PM</x:t>
  </x:si>
  <x:si>
    <x:t xml:space="preserve">10/21/26, 4:22:23 PM</x:t>
  </x:si>
  <x:si>
    <x:t xml:space="preserve">1h 52m 5s</x:t>
  </x:si>
  <x:si>
    <x:t xml:space="preserve">mary.kariithi@pwc.com</x:t>
  </x:si>
  <x:si>
    <x:t xml:space="preserve">Sharon Nanyonga (UG)</x:t>
  </x:si>
  <x:si>
    <x:t xml:space="preserve">10/21/26, 2:30:20 PM</x:t>
  </x:si>
  <x:si>
    <x:t xml:space="preserve">10/21/26, 4:28:48 PM</x:t>
  </x:si>
  <x:si>
    <x:t xml:space="preserve">1h 58m 28s</x:t>
  </x:si>
  <x:si>
    <x:t xml:space="preserve">sharon.nanyonga@pwc.com</x:t>
  </x:si>
  <x:si>
    <x:t xml:space="preserve">Bhuvana Mulliah (MU)</x:t>
  </x:si>
  <x:si>
    <x:t xml:space="preserve">10/21/26, 2:30:21 PM</x:t>
  </x:si>
  <x:si>
    <x:t xml:space="preserve">1h 58m 50s</x:t>
  </x:si>
  <x:si>
    <x:t xml:space="preserve">bhuvana.mulliah@pwc.com</x:t>
  </x:si>
  <x:si>
    <x:t xml:space="preserve">Willie Kimaro (TZ)</x:t>
  </x:si>
  <x:si>
    <x:t xml:space="preserve">10/21/26, 2:30:22 PM</x:t>
  </x:si>
  <x:si>
    <x:t xml:space="preserve">10/21/26, 4:28:04 PM</x:t>
  </x:si>
  <x:si>
    <x:t xml:space="preserve">1h 57m 42s</x:t>
  </x:si>
  <x:si>
    <x:t xml:space="preserve">willie.w.kimaro@pwc.com</x:t>
  </x:si>
  <x:si>
    <x:t xml:space="preserve">Louise Umutesi (RW)</x:t>
  </x:si>
  <x:si>
    <x:t xml:space="preserve">10/21/26, 2:30:25 PM</x:t>
  </x:si>
  <x:si>
    <x:t xml:space="preserve">10/21/26, 4:28:15 PM</x:t>
  </x:si>
  <x:si>
    <x:t xml:space="preserve">1h 57m 50s</x:t>
  </x:si>
  <x:si>
    <x:t xml:space="preserve">louise.umutesi@pwc.com</x:t>
  </x:si>
  <x:si>
    <x:t xml:space="preserve">Manisha Dookhy (MU)</x:t>
  </x:si>
  <x:si>
    <x:t xml:space="preserve">10/21/26, 2:30:26 PM</x:t>
  </x:si>
  <x:si>
    <x:t xml:space="preserve">1h 57m 40s</x:t>
  </x:si>
  <x:si>
    <x:t xml:space="preserve">manisha.dookhy@pwc.com</x:t>
  </x:si>
  <x:si>
    <x:t xml:space="preserve">Akinyemi Awodumila (KE)</x:t>
  </x:si>
  <x:si>
    <x:t xml:space="preserve">10/21/26, 2:30:29 PM</x:t>
  </x:si>
  <x:si>
    <x:t xml:space="preserve">10/21/26, 4:27:50 PM</x:t>
  </x:si>
  <x:si>
    <x:t xml:space="preserve">1h 57m 21s</x:t>
  </x:si>
  <x:si>
    <x:t xml:space="preserve">akinyemi.awodumila@pwc.com</x:t>
  </x:si>
  <x:si>
    <x:t xml:space="preserve">Fraciah Maina (KE)</x:t>
  </x:si>
  <x:si>
    <x:t xml:space="preserve">10/21/26, 2:30:30 PM</x:t>
  </x:si>
  <x:si>
    <x:t xml:space="preserve">1h 58m 10s</x:t>
  </x:si>
  <x:si>
    <x:t xml:space="preserve">fraciah.maina@pwc.com</x:t>
  </x:si>
  <x:si>
    <x:t xml:space="preserve">Elvis Thusiike (UG)</x:t>
  </x:si>
  <x:si>
    <x:t xml:space="preserve">10/21/26, 2:30:32 PM</x:t>
  </x:si>
  <x:si>
    <x:t xml:space="preserve">1h 57m 28s</x:t>
  </x:si>
  <x:si>
    <x:t xml:space="preserve">elvis.thusiike@pwc.com</x:t>
  </x:si>
  <x:si>
    <x:t xml:space="preserve">Joe Manyalla (TZ)</x:t>
  </x:si>
  <x:si>
    <x:t xml:space="preserve">10/21/26, 2:30:33 PM</x:t>
  </x:si>
  <x:si>
    <x:t xml:space="preserve">10/21/26, 4:29:55 PM</x:t>
  </x:si>
  <x:si>
    <x:t xml:space="preserve">1h 59m 21s</x:t>
  </x:si>
  <x:si>
    <x:t xml:space="preserve">joe.manyalla@pwc.com</x:t>
  </x:si>
  <x:si>
    <x:t xml:space="preserve">Jacqueline Kamau (KE)</x:t>
  </x:si>
  <x:si>
    <x:t xml:space="preserve">10/21/26, 2:30:34 PM</x:t>
  </x:si>
  <x:si>
    <x:t xml:space="preserve">1h 57m 18s</x:t>
  </x:si>
  <x:si>
    <x:t xml:space="preserve">jacqueline.kamau@pwc.com</x:t>
  </x:si>
  <x:si>
    <x:t xml:space="preserve">Rashida Phiri (ZM)</x:t>
  </x:si>
  <x:si>
    <x:t xml:space="preserve">10/21/26, 2:30:35 PM</x:t>
  </x:si>
  <x:si>
    <x:t xml:space="preserve">1h 57m 36s</x:t>
  </x:si>
  <x:si>
    <x:t xml:space="preserve">rashida.x.phiri@pwc.com</x:t>
  </x:si>
  <x:si>
    <x:t xml:space="preserve">Wandia Gitonga (KE)</x:t>
  </x:si>
  <x:si>
    <x:t xml:space="preserve">10/21/26, 2:30:36 PM</x:t>
  </x:si>
  <x:si>
    <x:t xml:space="preserve">wandia.gitonga@pwc.com</x:t>
  </x:si>
  <x:si>
    <x:t xml:space="preserve">Pieter Hough (ZA)</x:t>
  </x:si>
  <x:si>
    <x:t xml:space="preserve">1h 57m 23s</x:t>
  </x:si>
  <x:si>
    <x:t xml:space="preserve">pieter.hough@pwc.com</x:t>
  </x:si>
  <x:si>
    <x:t xml:space="preserve">Frida Umuhire (RW)</x:t>
  </x:si>
  <x:si>
    <x:t xml:space="preserve">10/21/26, 2:30:39 PM</x:t>
  </x:si>
  <x:si>
    <x:t xml:space="preserve">10/21/26, 4:34:57 PM</x:t>
  </x:si>
  <x:si>
    <x:t xml:space="preserve">2h 4m 17s</x:t>
  </x:si>
  <x:si>
    <x:t xml:space="preserve">frida.umuhire@pwc.com</x:t>
  </x:si>
  <x:si>
    <x:t xml:space="preserve">Purav Patel (KE)</x:t>
  </x:si>
  <x:si>
    <x:t xml:space="preserve">10/21/26, 2:30:46 PM</x:t>
  </x:si>
  <x:si>
    <x:t xml:space="preserve">10/21/26, 4:29:13 PM</x:t>
  </x:si>
  <x:si>
    <x:t xml:space="preserve">1h 58m 27s</x:t>
  </x:si>
  <x:si>
    <x:t xml:space="preserve">purav.patel@pwc.com</x:t>
  </x:si>
  <x:si>
    <x:t xml:space="preserve">Mary Mutuku (KE)</x:t>
  </x:si>
  <x:si>
    <x:t xml:space="preserve">10/21/26, 2:30:48 PM</x:t>
  </x:si>
  <x:si>
    <x:t xml:space="preserve">10/21/26, 4:38:01 PM</x:t>
  </x:si>
  <x:si>
    <x:t xml:space="preserve">2h 7m 12s</x:t>
  </x:si>
  <x:si>
    <x:t xml:space="preserve">mary.mutuku@pwc.com</x:t>
  </x:si>
  <x:si>
    <x:t xml:space="preserve">Benedict Odero (KE)</x:t>
  </x:si>
  <x:si>
    <x:t xml:space="preserve">10/21/26, 2:30:51 PM</x:t>
  </x:si>
  <x:si>
    <x:t xml:space="preserve">10/21/26, 4:29:07 PM</x:t>
  </x:si>
  <x:si>
    <x:t xml:space="preserve">1h 49m 53s</x:t>
  </x:si>
  <x:si>
    <x:t xml:space="preserve">benedict.odero@pwc.com</x:t>
  </x:si>
  <x:si>
    <x:t xml:space="preserve">Charity Mulenga (ZM)</x:t>
  </x:si>
  <x:si>
    <x:t xml:space="preserve">10/21/26, 2:30:55 PM</x:t>
  </x:si>
  <x:si>
    <x:t xml:space="preserve">1h 56m 56s</x:t>
  </x:si>
  <x:si>
    <x:t xml:space="preserve">charity.mulenga@pwc.com</x:t>
  </x:si>
  <x:si>
    <x:t xml:space="preserve">Alvine Oyonga (KE)</x:t>
  </x:si>
  <x:si>
    <x:t xml:space="preserve">10/21/26, 2:31:07 PM</x:t>
  </x:si>
  <x:si>
    <x:t xml:space="preserve">10/21/26, 4:28:17 PM</x:t>
  </x:si>
  <x:si>
    <x:t xml:space="preserve">1h 57m 9s</x:t>
  </x:si>
  <x:si>
    <x:t xml:space="preserve">alvine.oyonga@pwc.com</x:t>
  </x:si>
  <x:si>
    <x:t xml:space="preserve">Alice Muchemi (RW)</x:t>
  </x:si>
  <x:si>
    <x:t xml:space="preserve">1h 57m 20s</x:t>
  </x:si>
  <x:si>
    <x:t xml:space="preserve">alice.muchemi@pwc.com</x:t>
  </x:si>
  <x:si>
    <x:t xml:space="preserve">Jackson Kakae (KE)</x:t>
  </x:si>
  <x:si>
    <x:t xml:space="preserve">10/21/26, 2:31:18 PM</x:t>
  </x:si>
  <x:si>
    <x:t xml:space="preserve">1h 56m 41s</x:t>
  </x:si>
  <x:si>
    <x:t xml:space="preserve">jackson.kakae@pwc.com</x:t>
  </x:si>
  <x:si>
    <x:t xml:space="preserve">Grace Kinyanjui (KE)</x:t>
  </x:si>
  <x:si>
    <x:t xml:space="preserve">10/21/26, 2:31:20 PM</x:t>
  </x:si>
  <x:si>
    <x:t xml:space="preserve">10/21/26, 4:27:55 PM</x:t>
  </x:si>
  <x:si>
    <x:t xml:space="preserve">1h 56m 34s</x:t>
  </x:si>
  <x:si>
    <x:t xml:space="preserve">grace.kinyanjui@pwc.com</x:t>
  </x:si>
  <x:si>
    <x:t xml:space="preserve">Martin Karumba (KE)</x:t>
  </x:si>
  <x:si>
    <x:t xml:space="preserve">10/21/26, 2:31:28 PM</x:t>
  </x:si>
  <x:si>
    <x:t xml:space="preserve">10/21/26, 4:35:31 PM</x:t>
  </x:si>
  <x:si>
    <x:t xml:space="preserve">martin.karumba@pwc.com</x:t>
  </x:si>
  <x:si>
    <x:t xml:space="preserve">Fayson Munkombwe (ZM)</x:t>
  </x:si>
  <x:si>
    <x:t xml:space="preserve">10/21/26, 2:31:30 PM</x:t>
  </x:si>
  <x:si>
    <x:t xml:space="preserve">1h 56m 24s</x:t>
  </x:si>
  <x:si>
    <x:t xml:space="preserve">fayson.x.munkombwe@pwc.com</x:t>
  </x:si>
  <x:si>
    <x:t xml:space="preserve">Michael Male (UG)</x:t>
  </x:si>
  <x:si>
    <x:t xml:space="preserve">10/21/26, 3:37:57 PM</x:t>
  </x:si>
  <x:si>
    <x:t xml:space="preserve">1h 6m 27s</x:t>
  </x:si>
  <x:si>
    <x:t xml:space="preserve">michael.male@pwc.com</x:t>
  </x:si>
  <x:si>
    <x:t xml:space="preserve">Alice Nderitu (KE)</x:t>
  </x:si>
  <x:si>
    <x:t xml:space="preserve">10/21/26, 2:31:33 PM</x:t>
  </x:si>
  <x:si>
    <x:t xml:space="preserve">1h 56m 16s</x:t>
  </x:si>
  <x:si>
    <x:t xml:space="preserve">alice.nderitu@pwc.com</x:t>
  </x:si>
  <x:si>
    <x:t xml:space="preserve">Florencia Kituku (TZ)</x:t>
  </x:si>
  <x:si>
    <x:t xml:space="preserve">10/21/26, 4:27:51 PM</x:t>
  </x:si>
  <x:si>
    <x:t xml:space="preserve">1h 54m 4s</x:t>
  </x:si>
  <x:si>
    <x:t xml:space="preserve">florencia.kituku@pwc.com</x:t>
  </x:si>
  <x:si>
    <x:t xml:space="preserve">Hope Msoffe (TZ)</x:t>
  </x:si>
  <x:si>
    <x:t xml:space="preserve">10/21/26, 2:31:38 PM</x:t>
  </x:si>
  <x:si>
    <x:t xml:space="preserve">1h 56m 15s</x:t>
  </x:si>
  <x:si>
    <x:t xml:space="preserve">hope.msoffe@pwc.com</x:t>
  </x:si>
  <x:si>
    <x:t xml:space="preserve">Job Ngunu (KE)</x:t>
  </x:si>
  <x:si>
    <x:t xml:space="preserve">10/21/26, 2:31:42 PM</x:t>
  </x:si>
  <x:si>
    <x:t xml:space="preserve">job.ngunu@pwc.com</x:t>
  </x:si>
  <x:si>
    <x:t xml:space="preserve">Jackson Omondi (KE)</x:t>
  </x:si>
  <x:si>
    <x:t xml:space="preserve">10/21/26, 2:31:43 PM</x:t>
  </x:si>
  <x:si>
    <x:t xml:space="preserve">10/21/26, 4:28:32 PM</x:t>
  </x:si>
  <x:si>
    <x:t xml:space="preserve">1h 56m 48s</x:t>
  </x:si>
  <x:si>
    <x:t xml:space="preserve">jackson.omondi@pwc.com</x:t>
  </x:si>
  <x:si>
    <x:t xml:space="preserve">Suhashinee Kawal (MU)</x:t>
  </x:si>
  <x:si>
    <x:t xml:space="preserve">10/21/26, 2:31:44 PM</x:t>
  </x:si>
  <x:si>
    <x:t xml:space="preserve">10/21/26, 2:32:42 PM</x:t>
  </x:si>
  <x:si>
    <x:t xml:space="preserve">57s</x:t>
  </x:si>
  <x:si>
    <x:t xml:space="preserve">suhashinee.kawal@pwc.com</x:t>
  </x:si>
  <x:si>
    <x:t xml:space="preserve">James Mwaniki (KE)</x:t>
  </x:si>
  <x:si>
    <x:t xml:space="preserve">1h 48m 23s</x:t>
  </x:si>
  <x:si>
    <x:t xml:space="preserve">james.mwaniki@pwc.com</x:t>
  </x:si>
  <x:si>
    <x:t xml:space="preserve">Dauson Kaijunga (TZ)</x:t>
  </x:si>
  <x:si>
    <x:t xml:space="preserve">10/21/26, 2:31:50 PM</x:t>
  </x:si>
  <x:si>
    <x:t xml:space="preserve">10/21/26, 4:31:21 PM</x:t>
  </x:si>
  <x:si>
    <x:t xml:space="preserve">1h 59m 30s</x:t>
  </x:si>
  <x:si>
    <x:t xml:space="preserve">dauson.kaijunga@pwc.com</x:t>
  </x:si>
  <x:si>
    <x:t xml:space="preserve">Chanele Machimane (TZ)</x:t>
  </x:si>
  <x:si>
    <x:t xml:space="preserve">1h 47m 56s</x:t>
  </x:si>
  <x:si>
    <x:t xml:space="preserve">chanele.m.machimane@pwc.com</x:t>
  </x:si>
  <x:si>
    <x:t xml:space="preserve">Samuel Wanjau (KE)</x:t>
  </x:si>
  <x:si>
    <x:t xml:space="preserve">10/21/26, 2:31:55 PM</x:t>
  </x:si>
  <x:si>
    <x:t xml:space="preserve">1h 4m 42s</x:t>
  </x:si>
  <x:si>
    <x:t xml:space="preserve">samuel.wanjau@pwc.com</x:t>
  </x:si>
  <x:si>
    <x:t xml:space="preserve">Victor Kibet (KE)</x:t>
  </x:si>
  <x:si>
    <x:t xml:space="preserve">10/21/26, 3:23:59 PM</x:t>
  </x:si>
  <x:si>
    <x:t xml:space="preserve">52m 4s</x:t>
  </x:si>
  <x:si>
    <x:t xml:space="preserve">victor.kibet@pwc.com</x:t>
  </x:si>
  <x:si>
    <x:t xml:space="preserve">Alice Ngetich (KE)</x:t>
  </x:si>
  <x:si>
    <x:t xml:space="preserve">1h 55m 57s</x:t>
  </x:si>
  <x:si>
    <x:t xml:space="preserve">alice.ngetich@pwc.com</x:t>
  </x:si>
  <x:si>
    <x:t xml:space="preserve">Stacey Nduku (KE)</x:t>
  </x:si>
  <x:si>
    <x:t xml:space="preserve">10/21/26, 2:31:57 PM</x:t>
  </x:si>
  <x:si>
    <x:t xml:space="preserve">10/21/26, 4:31:18 PM</x:t>
  </x:si>
  <x:si>
    <x:t xml:space="preserve">1h 59m 20s</x:t>
  </x:si>
  <x:si>
    <x:t xml:space="preserve">stacey.nduku@pwc.com</x:t>
  </x:si>
  <x:si>
    <x:t xml:space="preserve">Peter Ojekunle (UG)</x:t>
  </x:si>
  <x:si>
    <x:t xml:space="preserve">10/21/26, 2:32:04 PM</x:t>
  </x:si>
  <x:si>
    <x:t xml:space="preserve">10/21/26, 2:37:53 PM</x:t>
  </x:si>
  <x:si>
    <x:t xml:space="preserve">5m 49s</x:t>
  </x:si>
  <x:si>
    <x:t xml:space="preserve">peter.s.ojekunle@pwc.com</x:t>
  </x:si>
  <x:si>
    <x:t xml:space="preserve">Karen Cha Sow King (MU)</x:t>
  </x:si>
  <x:si>
    <x:t xml:space="preserve">10/21/26, 2:32:06 PM</x:t>
  </x:si>
  <x:si>
    <x:t xml:space="preserve">1h 55m 54s</x:t>
  </x:si>
  <x:si>
    <x:t xml:space="preserve">karen.cha.sow.k.king@pwc.com</x:t>
  </x:si>
  <x:si>
    <x:t xml:space="preserve">Dominicah Mbawa (TZ)</x:t>
  </x:si>
  <x:si>
    <x:t xml:space="preserve">10/21/26, 2:32:16 PM</x:t>
  </x:si>
  <x:si>
    <x:t xml:space="preserve">1h 55m 33s</x:t>
  </x:si>
  <x:si>
    <x:t xml:space="preserve">dominicah.mbawa@pwc.com</x:t>
  </x:si>
  <x:si>
    <x:t xml:space="preserve">Joseph Ndegwa (KE)</x:t>
  </x:si>
  <x:si>
    <x:t xml:space="preserve">10/21/26, 2:32:26 PM</x:t>
  </x:si>
  <x:si>
    <x:t xml:space="preserve">1h 55m 36s</x:t>
  </x:si>
  <x:si>
    <x:t xml:space="preserve">joseph.ndegwa@pwc.com</x:t>
  </x:si>
  <x:si>
    <x:t xml:space="preserve">Issen Koothan (MU)</x:t>
  </x:si>
  <x:si>
    <x:t xml:space="preserve">10/21/26, 2:32:40 PM</x:t>
  </x:si>
  <x:si>
    <x:t xml:space="preserve">10/21/26, 4:28:52 PM</x:t>
  </x:si>
  <x:si>
    <x:t xml:space="preserve">1h 56m 12s</x:t>
  </x:si>
  <x:si>
    <x:t xml:space="preserve">mordagun.koothan@pwc.com</x:t>
  </x:si>
  <x:si>
    <x:t xml:space="preserve">Vasty Nkhoma (ZM)</x:t>
  </x:si>
  <x:si>
    <x:t xml:space="preserve">10/21/26, 2:32:50 PM</x:t>
  </x:si>
  <x:si>
    <x:t xml:space="preserve">1h 55m 13s</x:t>
  </x:si>
  <x:si>
    <x:t xml:space="preserve">vasty.nkhoma@pwc.com</x:t>
  </x:si>
  <x:si>
    <x:t xml:space="preserve">Christopher Ng'angala (TZ)</x:t>
  </x:si>
  <x:si>
    <x:t xml:space="preserve">10/21/26, 2:32:52 PM</x:t>
  </x:si>
  <x:si>
    <x:t xml:space="preserve">10/21/26, 4:28:57 PM</x:t>
  </x:si>
  <x:si>
    <x:t xml:space="preserve">1h 56m 4s</x:t>
  </x:si>
  <x:si>
    <x:t xml:space="preserve">christopher.ngangala@pwc.com</x:t>
  </x:si>
  <x:si>
    <x:t xml:space="preserve">Anne Okwera (KE)</x:t>
  </x:si>
  <x:si>
    <x:t xml:space="preserve">10/21/26, 2:32:54 PM</x:t>
  </x:si>
  <x:si>
    <x:t xml:space="preserve">10/21/26, 4:28:25 PM</x:t>
  </x:si>
  <x:si>
    <x:t xml:space="preserve">1h 55m 31s</x:t>
  </x:si>
  <x:si>
    <x:t xml:space="preserve">anne.okwera@pwc.com</x:t>
  </x:si>
  <x:si>
    <x:t xml:space="preserve">Said Said (TZ)</x:t>
  </x:si>
  <x:si>
    <x:t xml:space="preserve">1h 55m 23s</x:t>
  </x:si>
  <x:si>
    <x:t xml:space="preserve">said.h.said@pwc.com</x:t>
  </x:si>
  <x:si>
    <x:t xml:space="preserve">Belinda Ngowo (TZ)</x:t>
  </x:si>
  <x:si>
    <x:t xml:space="preserve">10/21/26, 2:32:55 PM</x:t>
  </x:si>
  <x:si>
    <x:t xml:space="preserve">10/21/26, 4:29:28 PM</x:t>
  </x:si>
  <x:si>
    <x:t xml:space="preserve">1h 56m 33s</x:t>
  </x:si>
  <x:si>
    <x:t xml:space="preserve">belinda.ngowo@pwc.com</x:t>
  </x:si>
  <x:si>
    <x:t xml:space="preserve">Freda Kithinji (KE)</x:t>
  </x:si>
  <x:si>
    <x:t xml:space="preserve">10/21/26, 2:32:57 PM</x:t>
  </x:si>
  <x:si>
    <x:t xml:space="preserve">1h 55m 2s</x:t>
  </x:si>
  <x:si>
    <x:t xml:space="preserve">freda.k.kithinji@pwc.com</x:t>
  </x:si>
  <x:si>
    <x:t xml:space="preserve">Veronica Biswalo (TZ)</x:t>
  </x:si>
  <x:si>
    <x:t xml:space="preserve">10/21/26, 2:33:00 PM</x:t>
  </x:si>
  <x:si>
    <x:t xml:space="preserve">1h 55m 1s</x:t>
  </x:si>
  <x:si>
    <x:t xml:space="preserve">veronica.biswalo@pwc.com</x:t>
  </x:si>
  <x:si>
    <x:t xml:space="preserve">Seline Achieng (KE)</x:t>
  </x:si>
  <x:si>
    <x:t xml:space="preserve">10/21/26, 2:33:05 PM</x:t>
  </x:si>
  <x:si>
    <x:t xml:space="preserve">1h 38m 57s</x:t>
  </x:si>
  <x:si>
    <x:t xml:space="preserve">seline.achieng@pwc.com</x:t>
  </x:si>
  <x:si>
    <x:t xml:space="preserve">Manish Joorawon (MU)</x:t>
  </x:si>
  <x:si>
    <x:t xml:space="preserve">1h 54m 52s</x:t>
  </x:si>
  <x:si>
    <x:t xml:space="preserve">manish.joorawon@pwc.com</x:t>
  </x:si>
  <x:si>
    <x:t xml:space="preserve">Fikraddis Cheru (KE)</x:t>
  </x:si>
  <x:si>
    <x:t xml:space="preserve">10/21/26, 2:33:11 PM</x:t>
  </x:si>
  <x:si>
    <x:t xml:space="preserve">10/21/26, 4:13:56 PM</x:t>
  </x:si>
  <x:si>
    <x:t xml:space="preserve">46m 56s</x:t>
  </x:si>
  <x:si>
    <x:t xml:space="preserve">fikraddis.cheru@pwc.com</x:t>
  </x:si>
  <x:si>
    <x:t xml:space="preserve">Kelvin Kailikia (KE)</x:t>
  </x:si>
  <x:si>
    <x:t xml:space="preserve">10/21/26, 3:58:47 PM</x:t>
  </x:si>
  <x:si>
    <x:t xml:space="preserve">1h 25m 36s</x:t>
  </x:si>
  <x:si>
    <x:t xml:space="preserve">kelvin.kailikia@pwc.com</x:t>
  </x:si>
  <x:si>
    <x:t xml:space="preserve">Keshini Sahadew (MU)</x:t>
  </x:si>
  <x:si>
    <x:t xml:space="preserve">10/21/26, 2:33:12 PM</x:t>
  </x:si>
  <x:si>
    <x:t xml:space="preserve">10/21/26, 2:33:41 PM</x:t>
  </x:si>
  <x:si>
    <x:t xml:space="preserve">28s</x:t>
  </x:si>
  <x:si>
    <x:t xml:space="preserve">keshini.sahadew@pwc.com</x:t>
  </x:si>
  <x:si>
    <x:t xml:space="preserve">Nancy Woisso (TZ)</x:t>
  </x:si>
  <x:si>
    <x:t xml:space="preserve">10/21/26, 2:33:26 PM</x:t>
  </x:si>
  <x:si>
    <x:t xml:space="preserve">10/21/26, 4:28:35 PM</x:t>
  </x:si>
  <x:si>
    <x:t xml:space="preserve">1h 55m 9s</x:t>
  </x:si>
  <x:si>
    <x:t xml:space="preserve">nancy.woisso@pwc.com</x:t>
  </x:si>
  <x:si>
    <x:t xml:space="preserve">Chanda Chileshe (ZM)</x:t>
  </x:si>
  <x:si>
    <x:t xml:space="preserve">10/21/26, 2:33:28 PM</x:t>
  </x:si>
  <x:si>
    <x:t xml:space="preserve">1h 54m 33s</x:t>
  </x:si>
  <x:si>
    <x:t xml:space="preserve">chanda.chileshe@pwc.com</x:t>
  </x:si>
  <x:si>
    <x:t xml:space="preserve">Harshini Suroopjeet (MU)</x:t>
  </x:si>
  <x:si>
    <x:t xml:space="preserve">10/21/26, 2:33:37 PM</x:t>
  </x:si>
  <x:si>
    <x:t xml:space="preserve">1h 54m 23s</x:t>
  </x:si>
  <x:si>
    <x:t xml:space="preserve">harshini.suroopjeet@pwc.com</x:t>
  </x:si>
  <x:si>
    <x:t xml:space="preserve">Narsis Makori (TZ)</x:t>
  </x:si>
  <x:si>
    <x:t xml:space="preserve">10/21/26, 2:33:42 PM</x:t>
  </x:si>
  <x:si>
    <x:t xml:space="preserve">1h 46m 15s</x:t>
  </x:si>
  <x:si>
    <x:t xml:space="preserve">narsis.m.makori@pwc.com</x:t>
  </x:si>
  <x:si>
    <x:t xml:space="preserve">Alpha Mukazi (RW)</x:t>
  </x:si>
  <x:si>
    <x:t xml:space="preserve">10/21/26, 2:33:46 PM</x:t>
  </x:si>
  <x:si>
    <x:t xml:space="preserve">1h 54m 12s</x:t>
  </x:si>
  <x:si>
    <x:t xml:space="preserve">alpha.mukazi@pwc.com</x:t>
  </x:si>
  <x:si>
    <x:t xml:space="preserve">Shriya Seesurrun (MU)</x:t>
  </x:si>
  <x:si>
    <x:t xml:space="preserve">10/21/26, 2:33:48 PM</x:t>
  </x:si>
  <x:si>
    <x:t xml:space="preserve">22m 19s</x:t>
  </x:si>
  <x:si>
    <x:t xml:space="preserve">shriya.seesurrun@pwc.com</x:t>
  </x:si>
  <x:si>
    <x:t xml:space="preserve">Linda Musau (KE)</x:t>
  </x:si>
  <x:si>
    <x:t xml:space="preserve">10/21/26, 2:33:51 PM</x:t>
  </x:si>
  <x:si>
    <x:t xml:space="preserve">10/21/26, 4:28:18 PM</x:t>
  </x:si>
  <x:si>
    <x:t xml:space="preserve">1h 54m 26s</x:t>
  </x:si>
  <x:si>
    <x:t xml:space="preserve">linda.musau@pwc.com</x:t>
  </x:si>
  <x:si>
    <x:t xml:space="preserve">Edwin Musire (KE)</x:t>
  </x:si>
  <x:si>
    <x:t xml:space="preserve">10/21/26, 2:33:53 PM</x:t>
  </x:si>
  <x:si>
    <x:t xml:space="preserve">1h 54m 11s</x:t>
  </x:si>
  <x:si>
    <x:t xml:space="preserve">edwin.musire@pwc.com</x:t>
  </x:si>
  <x:si>
    <x:t xml:space="preserve">Mohamed Zuberi (TZ)</x:t>
  </x:si>
  <x:si>
    <x:t xml:space="preserve">10/21/26, 4:28:20 PM</x:t>
  </x:si>
  <x:si>
    <x:t xml:space="preserve">1h 54m 27s</x:t>
  </x:si>
  <x:si>
    <x:t xml:space="preserve">mohamed.zuberi@pwc.com</x:t>
  </x:si>
  <x:si>
    <x:t xml:space="preserve">Neria Rutashobya (TZ)</x:t>
  </x:si>
  <x:si>
    <x:t xml:space="preserve">10/21/26, 4:32:54 PM</x:t>
  </x:si>
  <x:si>
    <x:t xml:space="preserve">1h 55m 35s</x:t>
  </x:si>
  <x:si>
    <x:t xml:space="preserve">neria.rutashobya@pwc.com</x:t>
  </x:si>
  <x:si>
    <x:t xml:space="preserve">Angel Qamara (TZ)</x:t>
  </x:si>
  <x:si>
    <x:t xml:space="preserve">10/21/26, 2:33:59 PM</x:t>
  </x:si>
  <x:si>
    <x:t xml:space="preserve">10/21/26, 4:17:13 PM</x:t>
  </x:si>
  <x:si>
    <x:t xml:space="preserve">1h 43m 13s</x:t>
  </x:si>
  <x:si>
    <x:t xml:space="preserve">angel.qamara@pwc.com</x:t>
  </x:si>
  <x:si>
    <x:t xml:space="preserve">Lucy Thuo (KE)</x:t>
  </x:si>
  <x:si>
    <x:t xml:space="preserve">10/21/26, 2:34:05 PM</x:t>
  </x:si>
  <x:si>
    <x:t xml:space="preserve">10/21/26, 2:59:51 PM</x:t>
  </x:si>
  <x:si>
    <x:t xml:space="preserve">25m 45s</x:t>
  </x:si>
  <x:si>
    <x:t xml:space="preserve">lucy.thuo@pwc.com</x:t>
  </x:si>
  <x:si>
    <x:t xml:space="preserve">Hassan Soormally (MU)</x:t>
  </x:si>
  <x:si>
    <x:t xml:space="preserve">10/21/26, 2:34:16 PM</x:t>
  </x:si>
  <x:si>
    <x:t xml:space="preserve">10/21/26, 4:28:59 PM</x:t>
  </x:si>
  <x:si>
    <x:t xml:space="preserve">1h 54m 43s</x:t>
  </x:si>
  <x:si>
    <x:t xml:space="preserve">hassan.soormally@pwc.com</x:t>
  </x:si>
  <x:si>
    <x:t xml:space="preserve">Penlope Bainomugisha (RW)</x:t>
  </x:si>
  <x:si>
    <x:t xml:space="preserve">10/21/26, 2:34:24 PM</x:t>
  </x:si>
  <x:si>
    <x:t xml:space="preserve">1h 53m 30s</x:t>
  </x:si>
  <x:si>
    <x:t xml:space="preserve">penlope.bainomugisha@pwc.com</x:t>
  </x:si>
  <x:si>
    <x:t xml:space="preserve">Nahashon Kimani (KE)</x:t>
  </x:si>
  <x:si>
    <x:t xml:space="preserve">10/21/26, 2:34:29 PM</x:t>
  </x:si>
  <x:si>
    <x:t xml:space="preserve">10/21/26, 4:28:30 PM</x:t>
  </x:si>
  <x:si>
    <x:t xml:space="preserve">1h 54m</x:t>
  </x:si>
  <x:si>
    <x:t xml:space="preserve">nahashon.kimani@pwc.com</x:t>
  </x:si>
  <x:si>
    <x:t xml:space="preserve">Consolata Orodi (KE)</x:t>
  </x:si>
  <x:si>
    <x:t xml:space="preserve">10/21/26, 2:34:38 PM</x:t>
  </x:si>
  <x:si>
    <x:t xml:space="preserve">1h 54m 22s</x:t>
  </x:si>
  <x:si>
    <x:t xml:space="preserve">consolata.orodi@pwc.com</x:t>
  </x:si>
  <x:si>
    <x:t xml:space="preserve">Maria Amasi (TZ)</x:t>
  </x:si>
  <x:si>
    <x:t xml:space="preserve">10/21/26, 2:34:56 PM</x:t>
  </x:si>
  <x:si>
    <x:t xml:space="preserve">1h 52m 57s</x:t>
  </x:si>
  <x:si>
    <x:t xml:space="preserve">maria.amasi@pwc.com</x:t>
  </x:si>
  <x:si>
    <x:t xml:space="preserve">Daniel Kiilu (KE)</x:t>
  </x:si>
  <x:si>
    <x:t xml:space="preserve">10/21/26, 4:00:32 PM</x:t>
  </x:si>
  <x:si>
    <x:t xml:space="preserve">1h 25m 35s</x:t>
  </x:si>
  <x:si>
    <x:t xml:space="preserve">daniel.kiilu@pwc.com</x:t>
  </x:si>
  <x:si>
    <x:t xml:space="preserve">Moses Njoroge (KE)</x:t>
  </x:si>
  <x:si>
    <x:t xml:space="preserve">10/21/26, 2:34:57 PM</x:t>
  </x:si>
  <x:si>
    <x:t xml:space="preserve">1h 53m 8s</x:t>
  </x:si>
  <x:si>
    <x:t xml:space="preserve">moses.njoroge@pwc.com</x:t>
  </x:si>
  <x:si>
    <x:t xml:space="preserve">Moureen Ongaga (KE)</x:t>
  </x:si>
  <x:si>
    <x:t xml:space="preserve">10/21/26, 2:35:06 PM</x:t>
  </x:si>
  <x:si>
    <x:t xml:space="preserve">10/21/26, 4:17:00 PM</x:t>
  </x:si>
  <x:si>
    <x:t xml:space="preserve">1h 22m 48s</x:t>
  </x:si>
  <x:si>
    <x:t xml:space="preserve">moureen.ongaga@pwc.com</x:t>
  </x:si>
  <x:si>
    <x:t xml:space="preserve">Faheem Ammeer (MU)</x:t>
  </x:si>
  <x:si>
    <x:t xml:space="preserve">10/21/26, 2:35:08 PM</x:t>
  </x:si>
  <x:si>
    <x:t xml:space="preserve">10/21/26, 3:17:54 PM</x:t>
  </x:si>
  <x:si>
    <x:t xml:space="preserve">42m 45s</x:t>
  </x:si>
  <x:si>
    <x:t xml:space="preserve">faheem.ammeer@pwc.com</x:t>
  </x:si>
  <x:si>
    <x:t xml:space="preserve">Hudah Naluwembe (UG)</x:t>
  </x:si>
  <x:si>
    <x:t xml:space="preserve">10/21/26, 2:35:18 PM</x:t>
  </x:si>
  <x:si>
    <x:t xml:space="preserve">10/21/26, 4:19:18 PM</x:t>
  </x:si>
  <x:si>
    <x:t xml:space="preserve">1h 43m 59s</x:t>
  </x:si>
  <x:si>
    <x:t xml:space="preserve">hudah.naluwembe@pwc.com</x:t>
  </x:si>
  <x:si>
    <x:t xml:space="preserve">Bumi Mwampullo (TZ)</x:t>
  </x:si>
  <x:si>
    <x:t xml:space="preserve">10/21/26, 2:35:35 PM</x:t>
  </x:si>
  <x:si>
    <x:t xml:space="preserve">1h 53m 12s</x:t>
  </x:si>
  <x:si>
    <x:t xml:space="preserve">bumi.mwampullo@pwc.com</x:t>
  </x:si>
  <x:si>
    <x:t xml:space="preserve">Nancy Shamge (TZ)</x:t>
  </x:si>
  <x:si>
    <x:t xml:space="preserve">10/21/26, 2:35:37 PM</x:t>
  </x:si>
  <x:si>
    <x:t xml:space="preserve">1h 52m 24s</x:t>
  </x:si>
  <x:si>
    <x:t xml:space="preserve">nancy.shamge@pwc.com</x:t>
  </x:si>
  <x:si>
    <x:t xml:space="preserve">Elizabeth Waudo (KE)</x:t>
  </x:si>
  <x:si>
    <x:t xml:space="preserve">10/21/26, 2:35:38 PM</x:t>
  </x:si>
  <x:si>
    <x:t xml:space="preserve">1h 52m 18s</x:t>
  </x:si>
  <x:si>
    <x:t xml:space="preserve">elizabeth.waudo@pwc.com</x:t>
  </x:si>
  <x:si>
    <x:t xml:space="preserve">Nahashon Thuo (KE)</x:t>
  </x:si>
  <x:si>
    <x:t xml:space="preserve">10/21/26, 2:35:39 PM</x:t>
  </x:si>
  <x:si>
    <x:t xml:space="preserve">1h 52m 35s</x:t>
  </x:si>
  <x:si>
    <x:t xml:space="preserve">nahashon.thuo@pwc.com</x:t>
  </x:si>
  <x:si>
    <x:t xml:space="preserve">Sudarshani Cooshna (MU)</x:t>
  </x:si>
  <x:si>
    <x:t xml:space="preserve">10/21/26, 2:35:45 PM</x:t>
  </x:si>
  <x:si>
    <x:t xml:space="preserve">56m 39s</x:t>
  </x:si>
  <x:si>
    <x:t xml:space="preserve">darshani.cooshna@pwc.com</x:t>
  </x:si>
  <x:si>
    <x:t xml:space="preserve">Nuzhah Rosun (MU)</x:t>
  </x:si>
  <x:si>
    <x:t xml:space="preserve">10/21/26, 2:35:48 PM</x:t>
  </x:si>
  <x:si>
    <x:t xml:space="preserve">10/21/26, 4:29:32 PM</x:t>
  </x:si>
  <x:si>
    <x:t xml:space="preserve">1h 52m 14s</x:t>
  </x:si>
  <x:si>
    <x:t xml:space="preserve">nuzhah.r.rosun@pwc.com</x:t>
  </x:si>
  <x:si>
    <x:t xml:space="preserve">Elizabeth Monga (ZM)</x:t>
  </x:si>
  <x:si>
    <x:t xml:space="preserve">1h 52m 12s</x:t>
  </x:si>
  <x:si>
    <x:t xml:space="preserve">elizabeth.m.monga@pwc.com</x:t>
  </x:si>
  <x:si>
    <x:t xml:space="preserve">Alphonce Odhiambo (TZ)</x:t>
  </x:si>
  <x:si>
    <x:t xml:space="preserve">10/21/26, 2:35:54 PM</x:t>
  </x:si>
  <x:si>
    <x:t xml:space="preserve">10/21/26, 4:28:43 PM</x:t>
  </x:si>
  <x:si>
    <x:t xml:space="preserve">1h 52m 48s</x:t>
  </x:si>
  <x:si>
    <x:t xml:space="preserve">alphonce.o.odhiambo@pwc.com</x:t>
  </x:si>
  <x:si>
    <x:t xml:space="preserve">Alfred Mwendwa (KE)</x:t>
  </x:si>
  <x:si>
    <x:t xml:space="preserve">10/21/26, 2:35:58 PM</x:t>
  </x:si>
  <x:si>
    <x:t xml:space="preserve">1h 52m 25s</x:t>
  </x:si>
  <x:si>
    <x:t xml:space="preserve">alfred.mwendwa@pwc.com</x:t>
  </x:si>
  <x:si>
    <x:t xml:space="preserve">Golder Kamuzora (TZ)</x:t>
  </x:si>
  <x:si>
    <x:t xml:space="preserve">10/21/26, 2:36:01 PM</x:t>
  </x:si>
  <x:si>
    <x:t xml:space="preserve">1h 50m 41s</x:t>
  </x:si>
  <x:si>
    <x:t xml:space="preserve">golder.k.kamuzora@pwc.com</x:t>
  </x:si>
  <x:si>
    <x:t xml:space="preserve">Beryl Wasungu (KE)</x:t>
  </x:si>
  <x:si>
    <x:t xml:space="preserve">10/21/26, 2:36:33 PM</x:t>
  </x:si>
  <x:si>
    <x:t xml:space="preserve">10/21/26, 4:30:05 PM</x:t>
  </x:si>
  <x:si>
    <x:t xml:space="preserve">1h 45m 15s</x:t>
  </x:si>
  <x:si>
    <x:t xml:space="preserve">beryl.wasungu@pwc.com</x:t>
  </x:si>
  <x:si>
    <x:t xml:space="preserve">Jeffrey Koo (MU)</x:t>
  </x:si>
  <x:si>
    <x:t xml:space="preserve">10/21/26, 2:36:34 PM</x:t>
  </x:si>
  <x:si>
    <x:t xml:space="preserve">10/21/26, 4:01:49 PM</x:t>
  </x:si>
  <x:si>
    <x:t xml:space="preserve">1h 25m 14s</x:t>
  </x:si>
  <x:si>
    <x:t xml:space="preserve">jeffrey.koo@pwc.com</x:t>
  </x:si>
  <x:si>
    <x:t xml:space="preserve">Mercy Kuria (KE)</x:t>
  </x:si>
  <x:si>
    <x:t xml:space="preserve">10/21/26, 2:36:46 PM</x:t>
  </x:si>
  <x:si>
    <x:t xml:space="preserve">1h 51m 13s</x:t>
  </x:si>
  <x:si>
    <x:t xml:space="preserve">mercy.kuria@pwc.com</x:t>
  </x:si>
  <x:si>
    <x:t xml:space="preserve">Enock Muywanga (TZ)</x:t>
  </x:si>
  <x:si>
    <x:t xml:space="preserve">10/21/26, 2:36:49 PM</x:t>
  </x:si>
  <x:si>
    <x:t xml:space="preserve">10/21/26, 5:25:34 PM</x:t>
  </x:si>
  <x:si>
    <x:t xml:space="preserve">2h 48m 45s</x:t>
  </x:si>
  <x:si>
    <x:t xml:space="preserve">enock.muywanga@pwc.com</x:t>
  </x:si>
  <x:si>
    <x:t xml:space="preserve">Sharon Obiero (KE)</x:t>
  </x:si>
  <x:si>
    <x:t xml:space="preserve">10/21/26, 4:24:38 PM</x:t>
  </x:si>
  <x:si>
    <x:t xml:space="preserve">1h 47m 48s</x:t>
  </x:si>
  <x:si>
    <x:t xml:space="preserve">sharon.obiero@pwc.com</x:t>
  </x:si>
  <x:si>
    <x:t xml:space="preserve">Maryam Majid (TZ)</x:t>
  </x:si>
  <x:si>
    <x:t xml:space="preserve">10/21/26, 2:36:53 PM</x:t>
  </x:si>
  <x:si>
    <x:t xml:space="preserve">10/21/26, 4:28:14 PM</x:t>
  </x:si>
  <x:si>
    <x:t xml:space="preserve">1h 51m 20s</x:t>
  </x:si>
  <x:si>
    <x:t xml:space="preserve">maryam.majid@pwc.com</x:t>
  </x:si>
  <x:si>
    <x:t xml:space="preserve">Angel Kwaye (TZ)</x:t>
  </x:si>
  <x:si>
    <x:t xml:space="preserve">10/21/26, 2:37:02 PM</x:t>
  </x:si>
  <x:si>
    <x:t xml:space="preserve">1h 51m</x:t>
  </x:si>
  <x:si>
    <x:t xml:space="preserve">angel.kwaye@pwc.com</x:t>
  </x:si>
  <x:si>
    <x:t xml:space="preserve">Masha Alobo (KE)</x:t>
  </x:si>
  <x:si>
    <x:t xml:space="preserve">10/21/26, 2:37:18 PM</x:t>
  </x:si>
  <x:si>
    <x:t xml:space="preserve">10/21/26, 4:28:38 PM</x:t>
  </x:si>
  <x:si>
    <x:t xml:space="preserve">1h 51m 19s</x:t>
  </x:si>
  <x:si>
    <x:t xml:space="preserve">masha.alobo@pwc.com</x:t>
  </x:si>
  <x:si>
    <x:t xml:space="preserve">Cedric Mpobusingye (TZ)</x:t>
  </x:si>
  <x:si>
    <x:t xml:space="preserve">1h 50m 32s</x:t>
  </x:si>
  <x:si>
    <x:t xml:space="preserve">cedric.t.mpobusingye@pwc.com</x:t>
  </x:si>
  <x:si>
    <x:t xml:space="preserve">Davis Ndunguru (TZ)</x:t>
  </x:si>
  <x:si>
    <x:t xml:space="preserve">10/21/26, 2:37:31 PM</x:t>
  </x:si>
  <x:si>
    <x:t xml:space="preserve">10/21/26, 4:14:19 PM</x:t>
  </x:si>
  <x:si>
    <x:t xml:space="preserve">1h 16m 31s</x:t>
  </x:si>
  <x:si>
    <x:t xml:space="preserve">davis.ndunguru@pwc.com</x:t>
  </x:si>
  <x:si>
    <x:t xml:space="preserve">Shafeeka Bauluck (MU)</x:t>
  </x:si>
  <x:si>
    <x:t xml:space="preserve">10/21/26, 2:37:48 PM</x:t>
  </x:si>
  <x:si>
    <x:t xml:space="preserve">10/21/26, 4:33:55 PM</x:t>
  </x:si>
  <x:si>
    <x:t xml:space="preserve">15m 39s</x:t>
  </x:si>
  <x:si>
    <x:t xml:space="preserve">shafeeka.bauluck@pwc.com</x:t>
  </x:si>
  <x:si>
    <x:t xml:space="preserve">Mukota Chungu (ZM)</x:t>
  </x:si>
  <x:si>
    <x:t xml:space="preserve">10/21/26, 4:31:05 PM</x:t>
  </x:si>
  <x:si>
    <x:t xml:space="preserve">1h 53m 16s</x:t>
  </x:si>
  <x:si>
    <x:t xml:space="preserve">mukota.chungu@pwc.com</x:t>
  </x:si>
  <x:si>
    <x:t xml:space="preserve">Mary Juma (KE)</x:t>
  </x:si>
  <x:si>
    <x:t xml:space="preserve">10/21/26, 2:37:50 PM</x:t>
  </x:si>
  <x:si>
    <x:t xml:space="preserve">10/21/26, 3:58:56 PM</x:t>
  </x:si>
  <x:si>
    <x:t xml:space="preserve">1h 21m 6s</x:t>
  </x:si>
  <x:si>
    <x:t xml:space="preserve">mary.juma@pwc.com</x:t>
  </x:si>
  <x:si>
    <x:t xml:space="preserve">Hans Lutchmanen (MU)</x:t>
  </x:si>
  <x:si>
    <x:t xml:space="preserve">10/21/26, 2:38:05 PM</x:t>
  </x:si>
  <x:si>
    <x:t xml:space="preserve">1h 49m 56s</x:t>
  </x:si>
  <x:si>
    <x:t xml:space="preserve">hans.l.lutchmanen@pwc.com</x:t>
  </x:si>
  <x:si>
    <x:t xml:space="preserve">Rose Mufana (ZM)</x:t>
  </x:si>
  <x:si>
    <x:t xml:space="preserve">10/21/26, 2:38:07 PM</x:t>
  </x:si>
  <x:si>
    <x:t xml:space="preserve">10/21/26, 5:21:14 PM</x:t>
  </x:si>
  <x:si>
    <x:t xml:space="preserve">2h 43m 6s</x:t>
  </x:si>
  <x:si>
    <x:t xml:space="preserve">rose.mufana@pwc.com</x:t>
  </x:si>
  <x:si>
    <x:t xml:space="preserve">Ranveer Dindoyal (MU)</x:t>
  </x:si>
  <x:si>
    <x:t xml:space="preserve">10/21/26, 2:39:17 PM</x:t>
  </x:si>
  <x:si>
    <x:t xml:space="preserve">1h 48m 38s</x:t>
  </x:si>
  <x:si>
    <x:t xml:space="preserve">ranveer.d.dindoyal@pwc.com</x:t>
  </x:si>
  <x:si>
    <x:t xml:space="preserve">Rayhaan Cadersa (MU)</x:t>
  </x:si>
  <x:si>
    <x:t xml:space="preserve">10/21/26, 2:39:26 PM</x:t>
  </x:si>
  <x:si>
    <x:t xml:space="preserve">10/21/26, 2:43:00 PM</x:t>
  </x:si>
  <x:si>
    <x:t xml:space="preserve">3m 33s</x:t>
  </x:si>
  <x:si>
    <x:t xml:space="preserve">rayhaan.cadersa@pwc.com</x:t>
  </x:si>
  <x:si>
    <x:t xml:space="preserve">Anusha Jokhoo (MU)</x:t>
  </x:si>
  <x:si>
    <x:t xml:space="preserve">10/21/26, 2:39:28 PM</x:t>
  </x:si>
  <x:si>
    <x:t xml:space="preserve">10/21/26, 3:22:53 PM</x:t>
  </x:si>
  <x:si>
    <x:t xml:space="preserve">43m 25s</x:t>
  </x:si>
  <x:si>
    <x:t xml:space="preserve">anusha.jokhoo@pwc.com</x:t>
  </x:si>
  <x:si>
    <x:t xml:space="preserve">Ramadhani Mshana (TZ)</x:t>
  </x:si>
  <x:si>
    <x:t xml:space="preserve">10/21/26, 2:39:29 PM</x:t>
  </x:si>
  <x:si>
    <x:t xml:space="preserve">10/21/26, 5:16:41 PM</x:t>
  </x:si>
  <x:si>
    <x:t xml:space="preserve">2h 37m 11s</x:t>
  </x:si>
  <x:si>
    <x:t xml:space="preserve">ramadhani.mshana@pwc.com</x:t>
  </x:si>
  <x:si>
    <x:t xml:space="preserve">Tamandani Mwalusaka (ZM)</x:t>
  </x:si>
  <x:si>
    <x:t xml:space="preserve">10/21/26, 2:39:45 PM</x:t>
  </x:si>
  <x:si>
    <x:t xml:space="preserve">10/21/26, 2:49:22 PM</x:t>
  </x:si>
  <x:si>
    <x:t xml:space="preserve">9m 37s</x:t>
  </x:si>
  <x:si>
    <x:t xml:space="preserve">tamandani.mwalusaka@pwc.com</x:t>
  </x:si>
  <x:si>
    <x:t xml:space="preserve">Emmanuel Ngemi (KE)</x:t>
  </x:si>
  <x:si>
    <x:t xml:space="preserve">10/21/26, 2:39:47 PM</x:t>
  </x:si>
  <x:si>
    <x:t xml:space="preserve">1h 48m 19s</x:t>
  </x:si>
  <x:si>
    <x:t xml:space="preserve">emmanuel.ngemi@pwc.com</x:t>
  </x:si>
  <x:si>
    <x:t xml:space="preserve">Mutale Mulubwa (ZM)</x:t>
  </x:si>
  <x:si>
    <x:t xml:space="preserve">10/21/26, 2:39:56 PM</x:t>
  </x:si>
  <x:si>
    <x:t xml:space="preserve">10/21/26, 6:22:34 PM</x:t>
  </x:si>
  <x:si>
    <x:t xml:space="preserve">3h 38m 52s</x:t>
  </x:si>
  <x:si>
    <x:t xml:space="preserve">mutale.mulubwa@pwc.com</x:t>
  </x:si>
  <x:si>
    <x:t xml:space="preserve">Wendy Mwiti (KE)</x:t>
  </x:si>
  <x:si>
    <x:t xml:space="preserve">10/21/26, 2:40:00 PM</x:t>
  </x:si>
  <x:si>
    <x:t xml:space="preserve">10/21/26, 4:30:58 PM</x:t>
  </x:si>
  <x:si>
    <x:t xml:space="preserve">1h 50m 57s</x:t>
  </x:si>
  <x:si>
    <x:t xml:space="preserve">wendy.mwiti@pwc.com</x:t>
  </x:si>
  <x:si>
    <x:t xml:space="preserve">Nivenda Govindramen (MU)</x:t>
  </x:si>
  <x:si>
    <x:t xml:space="preserve">10/21/26, 2:40:09 PM</x:t>
  </x:si>
  <x:si>
    <x:t xml:space="preserve">10/21/26, 4:27:56 PM</x:t>
  </x:si>
  <x:si>
    <x:t xml:space="preserve">1h 35m 42s</x:t>
  </x:si>
  <x:si>
    <x:t xml:space="preserve">nivenda.govindramen@pwc.com</x:t>
  </x:si>
  <x:si>
    <x:t xml:space="preserve">Trishtee Gopeechund (MU)</x:t>
  </x:si>
  <x:si>
    <x:t xml:space="preserve">10/21/26, 2:40:19 PM</x:t>
  </x:si>
  <x:si>
    <x:t xml:space="preserve">1h 47m 44s</x:t>
  </x:si>
  <x:si>
    <x:t xml:space="preserve">trishtee.gopeechund@pwc.com</x:t>
  </x:si>
  <x:si>
    <x:t xml:space="preserve">Etase Nyirenda (ZM)</x:t>
  </x:si>
  <x:si>
    <x:t xml:space="preserve">10/21/26, 2:40:26 PM</x:t>
  </x:si>
  <x:si>
    <x:t xml:space="preserve">10/21/26, 4:28:22 PM</x:t>
  </x:si>
  <x:si>
    <x:t xml:space="preserve">etase.nyirenda@pwc.com</x:t>
  </x:si>
  <x:si>
    <x:t xml:space="preserve">Doroth Mushi (TZ)</x:t>
  </x:si>
  <x:si>
    <x:t xml:space="preserve">10/21/26, 2:40:47 PM</x:t>
  </x:si>
  <x:si>
    <x:t xml:space="preserve">10/21/26, 3:01:02 PM</x:t>
  </x:si>
  <x:si>
    <x:t xml:space="preserve">20m 14s</x:t>
  </x:si>
  <x:si>
    <x:t xml:space="preserve">doroth.mushi@pwc.com</x:t>
  </x:si>
  <x:si>
    <x:t xml:space="preserve">JohnBaptist Wachira (KE)</x:t>
  </x:si>
  <x:si>
    <x:t xml:space="preserve">10/21/26, 4:23:26 PM</x:t>
  </x:si>
  <x:si>
    <x:t xml:space="preserve">1h 42m 38s</x:t>
  </x:si>
  <x:si>
    <x:t xml:space="preserve">johnbaptist.wachira@pwc.com</x:t>
  </x:si>
  <x:si>
    <x:t xml:space="preserve">Moddie Mwewa (ZM)</x:t>
  </x:si>
  <x:si>
    <x:t xml:space="preserve">10/21/26, 2:40:50 PM</x:t>
  </x:si>
  <x:si>
    <x:t xml:space="preserve">10/21/26, 4:29:05 PM</x:t>
  </x:si>
  <x:si>
    <x:t xml:space="preserve">1h 48m 15s</x:t>
  </x:si>
  <x:si>
    <x:t xml:space="preserve">moddie.mwewa@pwc.com</x:t>
  </x:si>
  <x:si>
    <x:t xml:space="preserve">John Lukwesa (ZM)</x:t>
  </x:si>
  <x:si>
    <x:t xml:space="preserve">10/21/26, 2:40:58 PM</x:t>
  </x:si>
  <x:si>
    <x:t xml:space="preserve">1h 47m 17s</x:t>
  </x:si>
  <x:si>
    <x:t xml:space="preserve">john.lukwesa@pwc.com</x:t>
  </x:si>
  <x:si>
    <x:t xml:space="preserve">Honorine Ihimbazwe (RW)</x:t>
  </x:si>
  <x:si>
    <x:t xml:space="preserve">10/21/26, 2:41:17 PM</x:t>
  </x:si>
  <x:si>
    <x:t xml:space="preserve">1h 46m 57s</x:t>
  </x:si>
  <x:si>
    <x:t xml:space="preserve">honorine.i.ihimbazwe@pwc.com</x:t>
  </x:si>
  <x:si>
    <x:t xml:space="preserve">Ronald Simba (TZ)</x:t>
  </x:si>
  <x:si>
    <x:t xml:space="preserve">10/21/26, 2:41:19 PM</x:t>
  </x:si>
  <x:si>
    <x:t xml:space="preserve">4h 15m 46s</x:t>
  </x:si>
  <x:si>
    <x:t xml:space="preserve">ronald.simba@pwc.com</x:t>
  </x:si>
  <x:si>
    <x:t xml:space="preserve">Erick Mona (TZ)</x:t>
  </x:si>
  <x:si>
    <x:t xml:space="preserve">10/21/26, 2:42:18 PM</x:t>
  </x:si>
  <x:si>
    <x:t xml:space="preserve">10/21/26, 4:29:04 PM</x:t>
  </x:si>
  <x:si>
    <x:t xml:space="preserve">1h 46m 45s</x:t>
  </x:si>
  <x:si>
    <x:t xml:space="preserve">erick.mona@pwc.com</x:t>
  </x:si>
  <x:si>
    <x:t xml:space="preserve">Bertha Chenga (TZ)</x:t>
  </x:si>
  <x:si>
    <x:t xml:space="preserve">10/21/26, 2:42:30 PM</x:t>
  </x:si>
  <x:si>
    <x:t xml:space="preserve">1h 45m 36s</x:t>
  </x:si>
  <x:si>
    <x:t xml:space="preserve">bertha.chenga@pwc.com</x:t>
  </x:si>
  <x:si>
    <x:t xml:space="preserve">Clement Muhoro (KE)</x:t>
  </x:si>
  <x:si>
    <x:t xml:space="preserve">10/21/26, 2:42:40 PM</x:t>
  </x:si>
  <x:si>
    <x:t xml:space="preserve">1h 42m 14s</x:t>
  </x:si>
  <x:si>
    <x:t xml:space="preserve">clement.muhoro@pwc.com</x:t>
  </x:si>
  <x:si>
    <x:t xml:space="preserve">Martin Niyonkuru (RW)</x:t>
  </x:si>
  <x:si>
    <x:t xml:space="preserve">10/21/26, 2:43:10 PM</x:t>
  </x:si>
  <x:si>
    <x:t xml:space="preserve">10/21/26, 4:28:29 PM</x:t>
  </x:si>
  <x:si>
    <x:t xml:space="preserve">1h 34m 1s</x:t>
  </x:si>
  <x:si>
    <x:t xml:space="preserve">yves.m.niyonkuru@pwc.com</x:t>
  </x:si>
  <x:si>
    <x:t xml:space="preserve">Antony Wawira (KE)</x:t>
  </x:si>
  <x:si>
    <x:t xml:space="preserve">10/21/26, 2:43:23 PM</x:t>
  </x:si>
  <x:si>
    <x:t xml:space="preserve">10/21/26, 3:58:34 PM</x:t>
  </x:si>
  <x:si>
    <x:t xml:space="preserve">1h 15m 10s</x:t>
  </x:si>
  <x:si>
    <x:t xml:space="preserve">antony.wawira@pwc.com</x:t>
  </x:si>
  <x:si>
    <x:t xml:space="preserve">Collins Maina (KE)</x:t>
  </x:si>
  <x:si>
    <x:t xml:space="preserve">10/21/26, 2:43:34 PM</x:t>
  </x:si>
  <x:si>
    <x:t xml:space="preserve">1h 44m 30s</x:t>
  </x:si>
  <x:si>
    <x:t xml:space="preserve">collins.maina@pwc.com</x:t>
  </x:si>
  <x:si>
    <x:t xml:space="preserve">Malike Uwizeyimana (RW)</x:t>
  </x:si>
  <x:si>
    <x:t xml:space="preserve">1h 44m 38s</x:t>
  </x:si>
  <x:si>
    <x:t xml:space="preserve">malike.uwizeyimana@pwc.com</x:t>
  </x:si>
  <x:si>
    <x:t xml:space="preserve">Ian Aruasa (KE)</x:t>
  </x:si>
  <x:si>
    <x:t xml:space="preserve">10/21/26, 2:43:58 PM</x:t>
  </x:si>
  <x:si>
    <x:t xml:space="preserve">1h 45m 6s</x:t>
  </x:si>
  <x:si>
    <x:t xml:space="preserve">ian.aruasa@pwc.com</x:t>
  </x:si>
  <x:si>
    <x:t xml:space="preserve">Witness Meena (TZ)</x:t>
  </x:si>
  <x:si>
    <x:t xml:space="preserve">10/21/26, 2:44:04 PM</x:t>
  </x:si>
  <x:si>
    <x:t xml:space="preserve">1h 44m 9s</x:t>
  </x:si>
  <x:si>
    <x:t xml:space="preserve">witness.meena@pwc.com</x:t>
  </x:si>
  <x:si>
    <x:t xml:space="preserve">Teresia Kilawe (TZ)</x:t>
  </x:si>
  <x:si>
    <x:t xml:space="preserve">10/21/26, 2:44:46 PM</x:t>
  </x:si>
  <x:si>
    <x:t xml:space="preserve">1h 43m 22s</x:t>
  </x:si>
  <x:si>
    <x:t xml:space="preserve">teresia.kilawe@pwc.com</x:t>
  </x:si>
  <x:si>
    <x:t xml:space="preserve">Mercy John (KE)</x:t>
  </x:si>
  <x:si>
    <x:t xml:space="preserve">10/21/26, 2:45:04 PM</x:t>
  </x:si>
  <x:si>
    <x:t xml:space="preserve">1h 43m 44s</x:t>
  </x:si>
  <x:si>
    <x:t xml:space="preserve">mercy.john@pwc.com</x:t>
  </x:si>
  <x:si>
    <x:t xml:space="preserve">Marion Basil (KE)</x:t>
  </x:si>
  <x:si>
    <x:t xml:space="preserve">10/21/26, 2:45:11 PM</x:t>
  </x:si>
  <x:si>
    <x:t xml:space="preserve">10/21/26, 4:28:06 PM</x:t>
  </x:si>
  <x:si>
    <x:t xml:space="preserve">1h 42m 55s</x:t>
  </x:si>
  <x:si>
    <x:t xml:space="preserve">marion.basil@pwc.com</x:t>
  </x:si>
  <x:si>
    <x:t xml:space="preserve">Jacqueline Makasa (ZM)</x:t>
  </x:si>
  <x:si>
    <x:t xml:space="preserve">10/21/26, 2:45:14 PM</x:t>
  </x:si>
  <x:si>
    <x:t xml:space="preserve">1h 43m 24s</x:t>
  </x:si>
  <x:si>
    <x:t xml:space="preserve">jacqueline.makasa@pwc.com</x:t>
  </x:si>
  <x:si>
    <x:t xml:space="preserve">Rebecca Osunga (KE)</x:t>
  </x:si>
  <x:si>
    <x:t xml:space="preserve">10/21/26, 2:45:46 PM</x:t>
  </x:si>
  <x:si>
    <x:t xml:space="preserve">10/21/26, 4:31:12 PM</x:t>
  </x:si>
  <x:si>
    <x:t xml:space="preserve">1h 21m 56s</x:t>
  </x:si>
  <x:si>
    <x:t xml:space="preserve">rebecca.osunga@pwc.com</x:t>
  </x:si>
  <x:si>
    <x:t xml:space="preserve">Maurine Cheptoo (KE)</x:t>
  </x:si>
  <x:si>
    <x:t xml:space="preserve">10/21/26, 2:46:03 PM</x:t>
  </x:si>
  <x:si>
    <x:t xml:space="preserve">1h 42m 1s</x:t>
  </x:si>
  <x:si>
    <x:t xml:space="preserve">maurine.cheptoo@pwc.com</x:t>
  </x:si>
  <x:si>
    <x:t xml:space="preserve">Seth Adoli (KE)</x:t>
  </x:si>
  <x:si>
    <x:t xml:space="preserve">10/21/26, 2:46:09 PM</x:t>
  </x:si>
  <x:si>
    <x:t xml:space="preserve">1h 36m 54s</x:t>
  </x:si>
  <x:si>
    <x:t xml:space="preserve">seth.adoli@pwc.com</x:t>
  </x:si>
  <x:si>
    <x:t xml:space="preserve">Beatrice Owino (KE)</x:t>
  </x:si>
  <x:si>
    <x:t xml:space="preserve">10/21/26, 2:47:46 PM</x:t>
  </x:si>
  <x:si>
    <x:t xml:space="preserve">1h 40m 12s</x:t>
  </x:si>
  <x:si>
    <x:t xml:space="preserve">beatrice.owino@pwc.com</x:t>
  </x:si>
  <x:si>
    <x:t xml:space="preserve">Erick Mdaki (TZ)</x:t>
  </x:si>
  <x:si>
    <x:t xml:space="preserve">1h 40m 16s</x:t>
  </x:si>
  <x:si>
    <x:t xml:space="preserve">erick.mdaki@pwc.com</x:t>
  </x:si>
  <x:si>
    <x:t xml:space="preserve">Wilson Judah (Unverified)</x:t>
  </x:si>
  <x:si>
    <x:t xml:space="preserve">10/21/26, 2:48:28 PM</x:t>
  </x:si>
  <x:si>
    <x:t xml:space="preserve">10/21/26, 4:29:15 PM</x:t>
  </x:si>
  <x:si>
    <x:t xml:space="preserve">1h 40m 47s</x:t>
  </x:si>
  <x:si>
    <x:t xml:space="preserve">Irene Sabuni (TZ)</x:t>
  </x:si>
  <x:si>
    <x:t xml:space="preserve">10/21/26, 2:48:30 PM</x:t>
  </x:si>
  <x:si>
    <x:t xml:space="preserve">1h 39m 37s</x:t>
  </x:si>
  <x:si>
    <x:t xml:space="preserve">irene.sabuni@pwc.com</x:t>
  </x:si>
  <x:si>
    <x:t xml:space="preserve">Mukundi Makhado (ZA)</x:t>
  </x:si>
  <x:si>
    <x:t xml:space="preserve">10/21/26, 2:49:02 PM</x:t>
  </x:si>
  <x:si>
    <x:t xml:space="preserve">10/21/26, 4:32:32 PM</x:t>
  </x:si>
  <x:si>
    <x:t xml:space="preserve">1h 43m 30s</x:t>
  </x:si>
  <x:si>
    <x:t xml:space="preserve">mukundi.makhado@pwc.com</x:t>
  </x:si>
  <x:si>
    <x:t xml:space="preserve">Assery Msangi (TZ)</x:t>
  </x:si>
  <x:si>
    <x:t xml:space="preserve">10/21/26, 2:49:05 PM</x:t>
  </x:si>
  <x:si>
    <x:t xml:space="preserve">1h 38m 51s</x:t>
  </x:si>
  <x:si>
    <x:t xml:space="preserve">assery.msangi@pwc.com</x:t>
  </x:si>
  <x:si>
    <x:t xml:space="preserve">Renou Ramdany (MU)</x:t>
  </x:si>
  <x:si>
    <x:t xml:space="preserve">10/21/26, 2:49:16 PM</x:t>
  </x:si>
  <x:si>
    <x:t xml:space="preserve">10/21/26, 4:50:02 PM</x:t>
  </x:si>
  <x:si>
    <x:t xml:space="preserve">2h 46s</x:t>
  </x:si>
  <x:si>
    <x:t xml:space="preserve">renou.ramdany@pwc.com</x:t>
  </x:si>
  <x:si>
    <x:t xml:space="preserve">Farouk Kasadha (UG)</x:t>
  </x:si>
  <x:si>
    <x:t xml:space="preserve">10/21/26, 2:49:31 PM</x:t>
  </x:si>
  <x:si>
    <x:t xml:space="preserve">10/21/26, 3:17:50 PM</x:t>
  </x:si>
  <x:si>
    <x:t xml:space="preserve">28m 19s</x:t>
  </x:si>
  <x:si>
    <x:t xml:space="preserve">farouk.kasadha@pwc.com</x:t>
  </x:si>
  <x:si>
    <x:t xml:space="preserve">Bruno Kayonga (RW)</x:t>
  </x:si>
  <x:si>
    <x:t xml:space="preserve">10/21/26, 2:50:15 PM</x:t>
  </x:si>
  <x:si>
    <x:t xml:space="preserve">10/21/26, 4:34:23 PM</x:t>
  </x:si>
  <x:si>
    <x:t xml:space="preserve">1h 44m 8s</x:t>
  </x:si>
  <x:si>
    <x:t xml:space="preserve">bruno.kayonga@pwc.com</x:t>
  </x:si>
  <x:si>
    <x:t xml:space="preserve">Gloria Aheebwa (UG)</x:t>
  </x:si>
  <x:si>
    <x:t xml:space="preserve">10/21/26, 2:50:30 PM</x:t>
  </x:si>
  <x:si>
    <x:t xml:space="preserve">10/21/26, 4:28:33 PM</x:t>
  </x:si>
  <x:si>
    <x:t xml:space="preserve">1h 38m 3s</x:t>
  </x:si>
  <x:si>
    <x:t xml:space="preserve">gloria.aheebwa@pwc.com</x:t>
  </x:si>
  <x:si>
    <x:t xml:space="preserve">Dickson Mohoni (TZ)</x:t>
  </x:si>
  <x:si>
    <x:t xml:space="preserve">10/21/26, 2:51:33 PM</x:t>
  </x:si>
  <x:si>
    <x:t xml:space="preserve">1h 37m 14s</x:t>
  </x:si>
  <x:si>
    <x:t xml:space="preserve">dickson.m.mohoni@pwc.com</x:t>
  </x:si>
  <x:si>
    <x:t xml:space="preserve">Kerry Watiri (KE)</x:t>
  </x:si>
  <x:si>
    <x:t xml:space="preserve">10/21/26, 2:55:57 PM</x:t>
  </x:si>
  <x:si>
    <x:t xml:space="preserve">1h 32m 5s</x:t>
  </x:si>
  <x:si>
    <x:t xml:space="preserve">kerry.watiri@pwc.com</x:t>
  </x:si>
  <x:si>
    <x:t xml:space="preserve">Taufiq Ishimwe (RW)</x:t>
  </x:si>
  <x:si>
    <x:t xml:space="preserve">10/21/26, 2:57:13 PM</x:t>
  </x:si>
  <x:si>
    <x:t xml:space="preserve">1h 30m 50s</x:t>
  </x:si>
  <x:si>
    <x:t xml:space="preserve">taufiq.ishimwe@pwc.com</x:t>
  </x:si>
  <x:si>
    <x:t xml:space="preserve">Janat Nankya (UG)</x:t>
  </x:si>
  <x:si>
    <x:t xml:space="preserve">10/21/26, 2:57:42 PM</x:t>
  </x:si>
  <x:si>
    <x:t xml:space="preserve">10/21/26, 3:59:44 PM</x:t>
  </x:si>
  <x:si>
    <x:t xml:space="preserve">1h 2m 2s</x:t>
  </x:si>
  <x:si>
    <x:t xml:space="preserve">janat.nankya@pwc.com</x:t>
  </x:si>
  <x:si>
    <x:t xml:space="preserve">Kunda Musolo (ZM)</x:t>
  </x:si>
  <x:si>
    <x:t xml:space="preserve">10/21/26, 2:58:58 PM</x:t>
  </x:si>
  <x:si>
    <x:t xml:space="preserve">10/21/26, 4:28:36 PM</x:t>
  </x:si>
  <x:si>
    <x:t xml:space="preserve">1h 29m 38s</x:t>
  </x:si>
  <x:si>
    <x:t xml:space="preserve">kunda.musolo@pwc.com</x:t>
  </x:si>
  <x:si>
    <x:t xml:space="preserve">Grace Ndhlovu (ZM)</x:t>
  </x:si>
  <x:si>
    <x:t xml:space="preserve">10/21/26, 3:00:20 PM</x:t>
  </x:si>
  <x:si>
    <x:t xml:space="preserve">10/21/26, 4:46:34 PM</x:t>
  </x:si>
  <x:si>
    <x:t xml:space="preserve">1h 46m 14s</x:t>
  </x:si>
  <x:si>
    <x:t xml:space="preserve">grace.n.ndhlovu@pwc.com</x:t>
  </x:si>
  <x:si>
    <x:t xml:space="preserve">Catherine Kilasara (TZ)</x:t>
  </x:si>
  <x:si>
    <x:t xml:space="preserve">10/21/26, 3:00:33 PM</x:t>
  </x:si>
  <x:si>
    <x:t xml:space="preserve">1h 28m 26s</x:t>
  </x:si>
  <x:si>
    <x:t xml:space="preserve">catherine.kilasara@pwc.com</x:t>
  </x:si>
  <x:si>
    <x:t xml:space="preserve">Aderick Bajunana (TZ)</x:t>
  </x:si>
  <x:si>
    <x:t xml:space="preserve">10/21/26, 3:00:59 PM</x:t>
  </x:si>
  <x:si>
    <x:t xml:space="preserve">1h 27m 49s</x:t>
  </x:si>
  <x:si>
    <x:t xml:space="preserve">aderick.bajunana@pwc.com</x:t>
  </x:si>
  <x:si>
    <x:t xml:space="preserve">Rose Banda (ZM)</x:t>
  </x:si>
  <x:si>
    <x:t xml:space="preserve">10/21/26, 3:01:55 PM</x:t>
  </x:si>
  <x:si>
    <x:t xml:space="preserve">1h 26m 40s</x:t>
  </x:si>
  <x:si>
    <x:t xml:space="preserve">rose.banda@pwc.com</x:t>
  </x:si>
  <x:si>
    <x:t xml:space="preserve">Dabria Ringo (TZ)</x:t>
  </x:si>
  <x:si>
    <x:t xml:space="preserve">10/21/26, 3:02:20 PM</x:t>
  </x:si>
  <x:si>
    <x:t xml:space="preserve">10/21/26, 4:35:42 PM</x:t>
  </x:si>
  <x:si>
    <x:t xml:space="preserve">1h 33m 21s</x:t>
  </x:si>
  <x:si>
    <x:t xml:space="preserve">dabria.ringo@pwc.com</x:t>
  </x:si>
  <x:si>
    <x:t xml:space="preserve">Erick Gikaria (ZM)</x:t>
  </x:si>
  <x:si>
    <x:t xml:space="preserve">10/21/26, 3:02:55 PM</x:t>
  </x:si>
  <x:si>
    <x:t xml:space="preserve">1h 25m 6s</x:t>
  </x:si>
  <x:si>
    <x:t xml:space="preserve">erick.g.gikaria@pwc.com</x:t>
  </x:si>
  <x:si>
    <x:t xml:space="preserve">Ahmed Kayungilo (TZ)</x:t>
  </x:si>
  <x:si>
    <x:t xml:space="preserve">10/21/26, 3:04:31 PM</x:t>
  </x:si>
  <x:si>
    <x:t xml:space="preserve">10/21/26, 3:05:25 PM</x:t>
  </x:si>
  <x:si>
    <x:t xml:space="preserve">54s</x:t>
  </x:si>
  <x:si>
    <x:t xml:space="preserve">ahmed.kayungilo@pwc.com</x:t>
  </x:si>
  <x:si>
    <x:t xml:space="preserve">Richard Manzi (RW)</x:t>
  </x:si>
  <x:si>
    <x:t xml:space="preserve">10/21/26, 3:06:52 PM</x:t>
  </x:si>
  <x:si>
    <x:t xml:space="preserve">1h 21m 13s</x:t>
  </x:si>
  <x:si>
    <x:t xml:space="preserve">richard.manzi@pwc.com</x:t>
  </x:si>
  <x:si>
    <x:t xml:space="preserve">James Musyoka (KE)</x:t>
  </x:si>
  <x:si>
    <x:t xml:space="preserve">10/21/26, 3:07:17 PM</x:t>
  </x:si>
  <x:si>
    <x:t xml:space="preserve">1h 20m 47s</x:t>
  </x:si>
  <x:si>
    <x:t xml:space="preserve">james.musyoka@pwc.com</x:t>
  </x:si>
  <x:si>
    <x:t xml:space="preserve">Pravin Meetoo (MU)</x:t>
  </x:si>
  <x:si>
    <x:t xml:space="preserve">10/21/26, 3:08:54 PM</x:t>
  </x:si>
  <x:si>
    <x:t xml:space="preserve">10/21/26, 3:19:12 PM</x:t>
  </x:si>
  <x:si>
    <x:t xml:space="preserve">10m 18s</x:t>
  </x:si>
  <x:si>
    <x:t xml:space="preserve">pravin.p.meetoo@pwc.com</x:t>
  </x:si>
  <x:si>
    <x:t xml:space="preserve">Linet Muthii (KE)</x:t>
  </x:si>
  <x:si>
    <x:t xml:space="preserve">10/21/26, 3:09:35 PM</x:t>
  </x:si>
  <x:si>
    <x:t xml:space="preserve">10/21/26, 4:04:57 PM</x:t>
  </x:si>
  <x:si>
    <x:t xml:space="preserve">55m 22s</x:t>
  </x:si>
  <x:si>
    <x:t xml:space="preserve">linet.muthii@pwc.com</x:t>
  </x:si>
  <x:si>
    <x:t xml:space="preserve">Abigael Kimani (KE)</x:t>
  </x:si>
  <x:si>
    <x:t xml:space="preserve">10/21/26, 3:09:55 PM</x:t>
  </x:si>
  <x:si>
    <x:t xml:space="preserve">10/21/26, 4:40:18 PM</x:t>
  </x:si>
  <x:si>
    <x:t xml:space="preserve">1h 30m 23s</x:t>
  </x:si>
  <x:si>
    <x:t xml:space="preserve">abigael.kimani@pwc.com</x:t>
  </x:si>
  <x:si>
    <x:t xml:space="preserve">Patrick Rimomo (KE)</x:t>
  </x:si>
  <x:si>
    <x:t xml:space="preserve">10/21/26, 3:10:08 PM</x:t>
  </x:si>
  <x:si>
    <x:t xml:space="preserve">1h 14m 51s</x:t>
  </x:si>
  <x:si>
    <x:t xml:space="preserve">patrick.rimomo@pwc.com</x:t>
  </x:si>
  <x:si>
    <x:t xml:space="preserve">Kelly Shema (RW)</x:t>
  </x:si>
  <x:si>
    <x:t xml:space="preserve">10/21/26, 3:10:20 PM</x:t>
  </x:si>
  <x:si>
    <x:t xml:space="preserve">45m</x:t>
  </x:si>
  <x:si>
    <x:t xml:space="preserve">kelly.shema@pwc.com</x:t>
  </x:si>
  <x:si>
    <x:t xml:space="preserve">Esther Mulaisho (ZM)</x:t>
  </x:si>
  <x:si>
    <x:t xml:space="preserve">10/21/26, 3:13:07 PM</x:t>
  </x:si>
  <x:si>
    <x:t xml:space="preserve">1h 14m 56s</x:t>
  </x:si>
  <x:si>
    <x:t xml:space="preserve">esther.mulaisho@pwc.com</x:t>
  </x:si>
  <x:si>
    <x:t xml:space="preserve">Joan Maina (KE)</x:t>
  </x:si>
  <x:si>
    <x:t xml:space="preserve">10/21/26, 3:13:40 PM</x:t>
  </x:si>
  <x:si>
    <x:t xml:space="preserve">1h 14m 27s</x:t>
  </x:si>
  <x:si>
    <x:t xml:space="preserve">joan.maina@pwc.com</x:t>
  </x:si>
  <x:si>
    <x:t xml:space="preserve">Georginah Ayebare (TZ)</x:t>
  </x:si>
  <x:si>
    <x:t xml:space="preserve">10/21/26, 3:14:13 PM</x:t>
  </x:si>
  <x:si>
    <x:t xml:space="preserve">1h 13m 51s</x:t>
  </x:si>
  <x:si>
    <x:t xml:space="preserve">georginah.ayebare@pwc.com</x:t>
  </x:si>
  <x:si>
    <x:t xml:space="preserve">Irene Mtebe (TZ)</x:t>
  </x:si>
  <x:si>
    <x:t xml:space="preserve">10/21/26, 3:14:51 PM</x:t>
  </x:si>
  <x:si>
    <x:t xml:space="preserve">1h 13m 24s</x:t>
  </x:si>
  <x:si>
    <x:t xml:space="preserve">irene.m.mtebe@pwc.com</x:t>
  </x:si>
  <x:si>
    <x:t xml:space="preserve">Joshua Massawe (TZ)</x:t>
  </x:si>
  <x:si>
    <x:t xml:space="preserve">10/21/26, 3:15:07 PM</x:t>
  </x:si>
  <x:si>
    <x:t xml:space="preserve">10/21/26, 4:40:36 PM</x:t>
  </x:si>
  <x:si>
    <x:t xml:space="preserve">1h 25m 29s</x:t>
  </x:si>
  <x:si>
    <x:t xml:space="preserve">joshua.massawe@pwc.com</x:t>
  </x:si>
  <x:si>
    <x:t xml:space="preserve">Faith Kessy (TZ)</x:t>
  </x:si>
  <x:si>
    <x:t xml:space="preserve">10/21/26, 3:15:48 PM</x:t>
  </x:si>
  <x:si>
    <x:t xml:space="preserve">1h 12m 37s</x:t>
  </x:si>
  <x:si>
    <x:t xml:space="preserve">faith.kessy@pwc.com</x:t>
  </x:si>
  <x:si>
    <x:t xml:space="preserve">Peter Placid (TZ)</x:t>
  </x:si>
  <x:si>
    <x:t xml:space="preserve">10/21/26, 3:16:01 PM</x:t>
  </x:si>
  <x:si>
    <x:t xml:space="preserve">10/21/26, 4:36:32 PM</x:t>
  </x:si>
  <x:si>
    <x:t xml:space="preserve">1h 20m 30s</x:t>
  </x:si>
  <x:si>
    <x:t xml:space="preserve">peter.placid@pwc.com</x:t>
  </x:si>
  <x:si>
    <x:t xml:space="preserve">Mercy Kosta (ZM)</x:t>
  </x:si>
  <x:si>
    <x:t xml:space="preserve">10/21/26, 3:16:33 PM</x:t>
  </x:si>
  <x:si>
    <x:t xml:space="preserve">1h 11m 32s</x:t>
  </x:si>
  <x:si>
    <x:t xml:space="preserve">mercy.kosta@pwc.com</x:t>
  </x:si>
  <x:si>
    <x:t xml:space="preserve">Charity Mrinji (TZ)</x:t>
  </x:si>
  <x:si>
    <x:t xml:space="preserve">10/21/26, 3:16:59 PM</x:t>
  </x:si>
  <x:si>
    <x:t xml:space="preserve">1h 11m 11s</x:t>
  </x:si>
  <x:si>
    <x:t xml:space="preserve">charity.mrinji@pwc.com</x:t>
  </x:si>
  <x:si>
    <x:t xml:space="preserve">Judith Okoyo (KE)</x:t>
  </x:si>
  <x:si>
    <x:t xml:space="preserve">10/21/26, 3:17:02 PM</x:t>
  </x:si>
  <x:si>
    <x:t xml:space="preserve">10/21/26, 4:28:39 PM</x:t>
  </x:si>
  <x:si>
    <x:t xml:space="preserve">1h 9m 43s</x:t>
  </x:si>
  <x:si>
    <x:t xml:space="preserve">judith.okoyo@pwc.com</x:t>
  </x:si>
  <x:si>
    <x:t xml:space="preserve">Luc Meunier (MU)</x:t>
  </x:si>
  <x:si>
    <x:t xml:space="preserve">10/21/26, 3:17:36 PM</x:t>
  </x:si>
  <x:si>
    <x:t xml:space="preserve">26m 14s</x:t>
  </x:si>
  <x:si>
    <x:t xml:space="preserve">luc.meunier@pwc.com</x:t>
  </x:si>
  <x:si>
    <x:t xml:space="preserve">Prisca Lifasi (ZM)</x:t>
  </x:si>
  <x:si>
    <x:t xml:space="preserve">10/21/26, 3:20:46 PM</x:t>
  </x:si>
  <x:si>
    <x:t xml:space="preserve">10/21/26, 3:56:23 PM</x:t>
  </x:si>
  <x:si>
    <x:t xml:space="preserve">35m 37s</x:t>
  </x:si>
  <x:si>
    <x:t xml:space="preserve">prisca.lifasi@pwc.com</x:t>
  </x:si>
  <x:si>
    <x:t xml:space="preserve">Vivek Nuckcheddee (MU)</x:t>
  </x:si>
  <x:si>
    <x:t xml:space="preserve">10/21/26, 3:21:02 PM</x:t>
  </x:si>
  <x:si>
    <x:t xml:space="preserve">10/21/26, 4:28:56 PM</x:t>
  </x:si>
  <x:si>
    <x:t xml:space="preserve">1h 7m 54s</x:t>
  </x:si>
  <x:si>
    <x:t xml:space="preserve">vivek.nuckcheddee@pwc.com</x:t>
  </x:si>
  <x:si>
    <x:t xml:space="preserve">Mutale Chibwe (ZM)</x:t>
  </x:si>
  <x:si>
    <x:t xml:space="preserve">10/21/26, 3:22:37 PM</x:t>
  </x:si>
  <x:si>
    <x:t xml:space="preserve">1h 5m 28s</x:t>
  </x:si>
  <x:si>
    <x:t xml:space="preserve">mutale.chibwe@pwc.com</x:t>
  </x:si>
  <x:si>
    <x:t xml:space="preserve">Ndanji Simukoko (ZM)</x:t>
  </x:si>
  <x:si>
    <x:t xml:space="preserve">10/21/26, 3:23:12 PM</x:t>
  </x:si>
  <x:si>
    <x:t xml:space="preserve">10/21/26, 4:28:19 PM</x:t>
  </x:si>
  <x:si>
    <x:t xml:space="preserve">1h 5m 6s</x:t>
  </x:si>
  <x:si>
    <x:t xml:space="preserve">ndanji.simukoko@pwc.com</x:t>
  </x:si>
  <x:si>
    <x:t xml:space="preserve">Ruth Uwera (RW)</x:t>
  </x:si>
  <x:si>
    <x:t xml:space="preserve">10/21/26, 3:25:56 PM</x:t>
  </x:si>
  <x:si>
    <x:t xml:space="preserve">10/21/26, 4:29:02 PM</x:t>
  </x:si>
  <x:si>
    <x:t xml:space="preserve">1h 3m 5s</x:t>
  </x:si>
  <x:si>
    <x:t xml:space="preserve">ruth.uwera@pwc.com</x:t>
  </x:si>
  <x:si>
    <x:t xml:space="preserve">Eddie Wachira (KE)</x:t>
  </x:si>
  <x:si>
    <x:t xml:space="preserve">10/21/26, 3:26:24 PM</x:t>
  </x:si>
  <x:si>
    <x:t xml:space="preserve">1h 1m 35s</x:t>
  </x:si>
  <x:si>
    <x:t xml:space="preserve">eddie.wachira@pwc.com</x:t>
  </x:si>
  <x:si>
    <x:t xml:space="preserve">Benita Ndakebuka (RW)</x:t>
  </x:si>
  <x:si>
    <x:t xml:space="preserve">10/21/26, 3:26:29 PM</x:t>
  </x:si>
  <x:si>
    <x:t xml:space="preserve">1h 1m 50s</x:t>
  </x:si>
  <x:si>
    <x:t xml:space="preserve">benita.ndakebuka@pwc.com</x:t>
  </x:si>
  <x:si>
    <x:t xml:space="preserve">Derrick Muhire (RW)</x:t>
  </x:si>
  <x:si>
    <x:t xml:space="preserve">10/21/26, 3:27:01 PM</x:t>
  </x:si>
  <x:si>
    <x:t xml:space="preserve">10/21/26, 4:33:07 PM</x:t>
  </x:si>
  <x:si>
    <x:t xml:space="preserve">1h 6m 6s</x:t>
  </x:si>
  <x:si>
    <x:t xml:space="preserve">derick.muhire@pwc.com</x:t>
  </x:si>
  <x:si>
    <x:t xml:space="preserve">Nicholas Mahero (KE)</x:t>
  </x:si>
  <x:si>
    <x:t xml:space="preserve">10/21/26, 3:30:37 PM</x:t>
  </x:si>
  <x:si>
    <x:t xml:space="preserve">10/21/26, 4:31:53 PM</x:t>
  </x:si>
  <x:si>
    <x:t xml:space="preserve">1h 1m 15s</x:t>
  </x:si>
  <x:si>
    <x:t xml:space="preserve">nicholas.mahero@pwc.com</x:t>
  </x:si>
  <x:si>
    <x:t xml:space="preserve">Yasiirah Peerbux (MU)</x:t>
  </x:si>
  <x:si>
    <x:t xml:space="preserve">10/21/26, 3:33:20 PM</x:t>
  </x:si>
  <x:si>
    <x:t xml:space="preserve">55m 18s</x:t>
  </x:si>
  <x:si>
    <x:t xml:space="preserve">yasiirah.peerbux@pwc.com</x:t>
  </x:si>
  <x:si>
    <x:t xml:space="preserve">Chengetai Choopa (ZM)</x:t>
  </x:si>
  <x:si>
    <x:t xml:space="preserve">10/21/26, 3:35:12 PM</x:t>
  </x:si>
  <x:si>
    <x:t xml:space="preserve">10/21/26, 4:29:03 PM</x:t>
  </x:si>
  <x:si>
    <x:t xml:space="preserve">53m 51s</x:t>
  </x:si>
  <x:si>
    <x:t xml:space="preserve">chengetai.choopa@pwc.com</x:t>
  </x:si>
  <x:si>
    <x:t xml:space="preserve">Bhavish Bhunjun (MU)</x:t>
  </x:si>
  <x:si>
    <x:t xml:space="preserve">10/21/26, 3:37:10 PM</x:t>
  </x:si>
  <x:si>
    <x:t xml:space="preserve">10/21/26, 4:28:53 PM</x:t>
  </x:si>
  <x:si>
    <x:t xml:space="preserve">51m 43s</x:t>
  </x:si>
  <x:si>
    <x:t xml:space="preserve">bhavish.bhunjun@pwc.com</x:t>
  </x:si>
  <x:si>
    <x:t xml:space="preserve">Dominic Ocharo (KE)</x:t>
  </x:si>
  <x:si>
    <x:t xml:space="preserve">10/21/26, 3:45:11 PM</x:t>
  </x:si>
  <x:si>
    <x:t xml:space="preserve">42m 41s</x:t>
  </x:si>
  <x:si>
    <x:t xml:space="preserve">dominic.ocharo@pwc.com</x:t>
  </x:si>
  <x:si>
    <x:t xml:space="preserve">Davidson Ringo (RW)</x:t>
  </x:si>
  <x:si>
    <x:t xml:space="preserve">10/21/26, 3:47:24 PM</x:t>
  </x:si>
  <x:si>
    <x:t xml:space="preserve">10/21/26, 4:37:20 PM</x:t>
  </x:si>
  <x:si>
    <x:t xml:space="preserve">49m 56s</x:t>
  </x:si>
  <x:si>
    <x:t xml:space="preserve">davidson.a.ringo@pwc.com</x:t>
  </x:si>
  <x:si>
    <x:t xml:space="preserve">Isabella Mayeku (UG)</x:t>
  </x:si>
  <x:si>
    <x:t xml:space="preserve">10/21/26, 3:49:55 PM</x:t>
  </x:si>
  <x:si>
    <x:t xml:space="preserve">10/21/26, 3:52:04 PM</x:t>
  </x:si>
  <x:si>
    <x:t xml:space="preserve">2m 8s</x:t>
  </x:si>
  <x:si>
    <x:t xml:space="preserve">isabella.mayeku@pwc.com</x:t>
  </x:si>
  <x:si>
    <x:t xml:space="preserve">Aime Niyokwizerwa (RW)</x:t>
  </x:si>
  <x:si>
    <x:t xml:space="preserve">10/21/26, 3:52:33 PM</x:t>
  </x:si>
  <x:si>
    <x:t xml:space="preserve">10/21/26, 4:33:23 PM</x:t>
  </x:si>
  <x:si>
    <x:t xml:space="preserve">40m 50s</x:t>
  </x:si>
  <x:si>
    <x:t xml:space="preserve">aime.niyokwizerwa@pwc.com</x:t>
  </x:si>
  <x:si>
    <x:t xml:space="preserve">Peter Ndaki (TZ)</x:t>
  </x:si>
  <x:si>
    <x:t xml:space="preserve">10/21/26, 3:57:23 PM</x:t>
  </x:si>
  <x:si>
    <x:t xml:space="preserve">10/21/26, 3:57:47 PM</x:t>
  </x:si>
  <x:si>
    <x:t xml:space="preserve">peter.ndaki@pwc.com</x:t>
  </x:si>
  <x:si>
    <x:t xml:space="preserve">Leeshikha Boodhoo (MU)</x:t>
  </x:si>
  <x:si>
    <x:t xml:space="preserve">10/21/26, 4:00:09 PM</x:t>
  </x:si>
  <x:si>
    <x:t xml:space="preserve">10/21/26, 4:30:20 PM</x:t>
  </x:si>
  <x:si>
    <x:t xml:space="preserve">30m 10s</x:t>
  </x:si>
  <x:si>
    <x:t xml:space="preserve">leeshikha.boodhoo@pwc.com</x:t>
  </x:si>
  <x:si>
    <x:t xml:space="preserve">Ndana Simataa (ZM)</x:t>
  </x:si>
  <x:si>
    <x:t xml:space="preserve">10/21/26, 4:02:54 PM</x:t>
  </x:si>
  <x:si>
    <x:t xml:space="preserve">25m 7s</x:t>
  </x:si>
  <x:si>
    <x:t xml:space="preserve">ndana.simataa@pwc.com</x:t>
  </x:si>
  <x:si>
    <x:t xml:space="preserve">Diana Chege (RW)</x:t>
  </x:si>
  <x:si>
    <x:t xml:space="preserve">10/21/26, 4:05:32 PM</x:t>
  </x:si>
  <x:si>
    <x:t xml:space="preserve">22m 36s</x:t>
  </x:si>
  <x:si>
    <x:t xml:space="preserve">diana.c.chege@pwc.com</x:t>
  </x:si>
  <x:si>
    <x:t xml:space="preserve">Eric Shumbusha (RW)</x:t>
  </x:si>
  <x:si>
    <x:t xml:space="preserve">10/21/26, 4:06:34 PM</x:t>
  </x:si>
  <x:si>
    <x:t xml:space="preserve">10/21/26, 4:38:43 PM</x:t>
  </x:si>
  <x:si>
    <x:t xml:space="preserve">32m 9s</x:t>
  </x:si>
  <x:si>
    <x:t xml:space="preserve">eric.shumbusha@pwc.com</x:t>
  </x:si>
  <x:si>
    <x:t xml:space="preserve">Chali Ngulube (ZM)</x:t>
  </x:si>
  <x:si>
    <x:t xml:space="preserve">10/21/26, 4:06:42 PM</x:t>
  </x:si>
  <x:si>
    <x:t xml:space="preserve">21m 14s</x:t>
  </x:si>
  <x:si>
    <x:t xml:space="preserve">chali.ngulube@pwc.com</x:t>
  </x:si>
  <x:si>
    <x:t xml:space="preserve">Cyrus Muturi (KE)</x:t>
  </x:si>
  <x:si>
    <x:t xml:space="preserve">10/21/26, 4:07:26 PM</x:t>
  </x:si>
  <x:si>
    <x:t xml:space="preserve">10/21/26, 5:07:18 PM</x:t>
  </x:si>
  <x:si>
    <x:t xml:space="preserve">20m 54s</x:t>
  </x:si>
  <x:si>
    <x:t xml:space="preserve">cyrus.muturi@pwc.com</x:t>
  </x:si>
  <x:si>
    <x:t xml:space="preserve">Joshua Maloba (KE)</x:t>
  </x:si>
  <x:si>
    <x:t xml:space="preserve">10/21/26, 4:07:39 PM</x:t>
  </x:si>
  <x:si>
    <x:t xml:space="preserve">10/21/26, 4:29:35 PM</x:t>
  </x:si>
  <x:si>
    <x:t xml:space="preserve">21m 56s</x:t>
  </x:si>
  <x:si>
    <x:t xml:space="preserve">joshua.maloba@pwc.com</x:t>
  </x:si>
  <x:si>
    <x:t xml:space="preserve">Kelvin Mukaria (KE)</x:t>
  </x:si>
  <x:si>
    <x:t xml:space="preserve">10/21/26, 4:09:56 PM</x:t>
  </x:si>
  <x:si>
    <x:t xml:space="preserve">18m 32s</x:t>
  </x:si>
  <x:si>
    <x:t xml:space="preserve">kelvin.mukaria@pwc.com</x:t>
  </x:si>
  <x:si>
    <x:t xml:space="preserve">Safia Abdulkadir (KE)</x:t>
  </x:si>
  <x:si>
    <x:t xml:space="preserve">10/21/26, 4:12:23 PM</x:t>
  </x:si>
  <x:si>
    <x:t xml:space="preserve">15m 37s</x:t>
  </x:si>
  <x:si>
    <x:t xml:space="preserve">safia.abdulkadir@pwc.com</x:t>
  </x:si>
  <x:si>
    <x:t xml:space="preserve">Steffi-Eugenie Hong Lin (MU)</x:t>
  </x:si>
  <x:si>
    <x:t xml:space="preserve">6s</x:t>
  </x:si>
  <x:si>
    <x:t xml:space="preserve">steffi.s.hong@pwc.com</x:t>
  </x:si>
  <x:si>
    <x:t xml:space="preserve">3. In-Meeting Activities</x:t>
  </x:si>
  <x:si>
    <x:t xml:space="preserve">Join Time</x:t>
  </x:si>
  <x:si>
    <x:t xml:space="preserve">Leave Time</x:t>
  </x:si>
  <x:si>
    <x:t xml:space="preserve">Duration</x:t>
  </x:si>
  <x:si>
    <x:t xml:space="preserve">2h 3m 13s</x:t>
  </x:si>
  <x:si>
    <x:t xml:space="preserve">10/21/26, 4:33:17 PM</x:t>
  </x:si>
  <x:si>
    <x:t xml:space="preserve">53s</x:t>
  </x:si>
  <x:si>
    <x:t xml:space="preserve">10/21/26, 2:32:46 PM</x:t>
  </x:si>
  <x:si>
    <x:t xml:space="preserve">1h 53m 41s</x:t>
  </x:si>
  <x:si>
    <x:t xml:space="preserve">10/21/26, 2:40:41 PM</x:t>
  </x:si>
  <x:si>
    <x:t xml:space="preserve">17m 3s</x:t>
  </x:si>
  <x:si>
    <x:t xml:space="preserve">10/21/26, 2:47:51 PM</x:t>
  </x:si>
  <x:si>
    <x:t xml:space="preserve">1h 40m 7s</x:t>
  </x:si>
  <x:si>
    <x:t xml:space="preserve">10/21/26, 2:24:39 PM</x:t>
  </x:si>
  <x:si>
    <x:t xml:space="preserve">10/21/26, 2:47:23 PM</x:t>
  </x:si>
  <x:si>
    <x:t xml:space="preserve">10/21/26, 2:47:30 PM</x:t>
  </x:si>
  <x:si>
    <x:t xml:space="preserve">7s</x:t>
  </x:si>
  <x:si>
    <x:t xml:space="preserve">10/21/26, 2:52:04 PM</x:t>
  </x:si>
  <x:si>
    <x:t xml:space="preserve">1h 39m 50s</x:t>
  </x:si>
  <x:si>
    <x:t xml:space="preserve">10/21/26, 2:44:39 PM</x:t>
  </x:si>
  <x:si>
    <x:t xml:space="preserve">1h 43m 29s</x:t>
  </x:si>
  <x:si>
    <x:t xml:space="preserve">10/21/26, 3:38:15 PM</x:t>
  </x:si>
  <x:si>
    <x:t xml:space="preserve">10/21/26, 3:42:17 PM</x:t>
  </x:si>
  <x:si>
    <x:t xml:space="preserve">10/21/26, 4:28:26 PM</x:t>
  </x:si>
  <x:si>
    <x:t xml:space="preserve">46m 9s</x:t>
  </x:si>
  <x:si>
    <x:t xml:space="preserve">10/21/26, 4:42:40 PM</x:t>
  </x:si>
  <x:si>
    <x:t xml:space="preserve">10/21/26, 2:25:30 PM</x:t>
  </x:si>
  <x:si>
    <x:t xml:space="preserve">1m 39s</x:t>
  </x:si>
  <x:si>
    <x:t xml:space="preserve">10/21/26, 2:32:22 PM</x:t>
  </x:si>
  <x:si>
    <x:t xml:space="preserve">10/21/26, 2:38:56 PM</x:t>
  </x:si>
  <x:si>
    <x:t xml:space="preserve">6m 34s</x:t>
  </x:si>
  <x:si>
    <x:t xml:space="preserve">10/21/26, 2:40:03 PM</x:t>
  </x:si>
  <x:si>
    <x:t xml:space="preserve">2h 40m 57s</x:t>
  </x:si>
  <x:si>
    <x:t xml:space="preserve">10/21/26, 2:25:48 PM</x:t>
  </x:si>
  <x:si>
    <x:t xml:space="preserve">1m 54s</x:t>
  </x:si>
  <x:si>
    <x:t xml:space="preserve">10/21/26, 2:49:52 PM</x:t>
  </x:si>
  <x:si>
    <x:t xml:space="preserve">1h 38m 15s</x:t>
  </x:si>
  <x:si>
    <x:t xml:space="preserve">10/21/26, 3:54:30 PM</x:t>
  </x:si>
  <x:si>
    <x:t xml:space="preserve">1h 30m 37s</x:t>
  </x:si>
  <x:si>
    <x:t xml:space="preserve">10/21/26, 4:02:02 PM</x:t>
  </x:si>
  <x:si>
    <x:t xml:space="preserve">26m 52s</x:t>
  </x:si>
  <x:si>
    <x:t xml:space="preserve">10/21/26, 2:25:06 PM</x:t>
  </x:si>
  <x:si>
    <x:t xml:space="preserve">10/21/26, 2:29:15 PM</x:t>
  </x:si>
  <x:si>
    <x:t xml:space="preserve">2h 40m 31s</x:t>
  </x:si>
  <x:si>
    <x:t xml:space="preserve">10m 6s</x:t>
  </x:si>
  <x:si>
    <x:t xml:space="preserve">10/21/26, 2:51:39 PM</x:t>
  </x:si>
  <x:si>
    <x:t xml:space="preserve">1h 51m 8s</x:t>
  </x:si>
  <x:si>
    <x:t xml:space="preserve">10/21/26, 2:25:32 PM</x:t>
  </x:si>
  <x:si>
    <x:t xml:space="preserve">1m 14s</x:t>
  </x:si>
  <x:si>
    <x:t xml:space="preserve">10/21/26, 2:28:09 PM</x:t>
  </x:si>
  <x:si>
    <x:t xml:space="preserve">10/21/26, 2:38:55 PM</x:t>
  </x:si>
  <x:si>
    <x:t xml:space="preserve">10m 46s</x:t>
  </x:si>
  <x:si>
    <x:t xml:space="preserve">10/21/26, 3:04:39 PM</x:t>
  </x:si>
  <x:si>
    <x:t xml:space="preserve">1h 24m 7s</x:t>
  </x:si>
  <x:si>
    <x:t xml:space="preserve">10/21/26, 2:25:19 PM</x:t>
  </x:si>
  <x:si>
    <x:t xml:space="preserve">58s</x:t>
  </x:si>
  <x:si>
    <x:t xml:space="preserve">10/21/26, 2:42:45 PM</x:t>
  </x:si>
  <x:si>
    <x:t xml:space="preserve">10/21/26, 3:07:49 PM</x:t>
  </x:si>
  <x:si>
    <x:t xml:space="preserve">25m 3s</x:t>
  </x:si>
  <x:si>
    <x:t xml:space="preserve">10/21/26, 3:15:30 PM</x:t>
  </x:si>
  <x:si>
    <x:t xml:space="preserve">10/21/26, 3:19:28 PM</x:t>
  </x:si>
  <x:si>
    <x:t xml:space="preserve">3m 58s</x:t>
  </x:si>
  <x:si>
    <x:t xml:space="preserve">10/21/26, 4:22:06 PM</x:t>
  </x:si>
  <x:si>
    <x:t xml:space="preserve">3m 15s</x:t>
  </x:si>
  <x:si>
    <x:t xml:space="preserve">10/21/26, 2:34:40 PM</x:t>
  </x:si>
  <x:si>
    <x:t xml:space="preserve">9m 54s</x:t>
  </x:si>
  <x:si>
    <x:t xml:space="preserve">10/21/26, 3:13:14 PM</x:t>
  </x:si>
  <x:si>
    <x:t xml:space="preserve">25m 53s</x:t>
  </x:si>
  <x:si>
    <x:t xml:space="preserve">10/21/26, 2:34:02 PM</x:t>
  </x:si>
  <x:si>
    <x:t xml:space="preserve">7m 39s</x:t>
  </x:si>
  <x:si>
    <x:t xml:space="preserve">1h 52m 23s</x:t>
  </x:si>
  <x:si>
    <x:t xml:space="preserve">10/21/26, 2:33:57 PM</x:t>
  </x:si>
  <x:si>
    <x:t xml:space="preserve">6m 31s</x:t>
  </x:si>
  <x:si>
    <x:t xml:space="preserve">10/21/26, 3:24:00 PM</x:t>
  </x:si>
  <x:si>
    <x:t xml:space="preserve">1h 8m 37s</x:t>
  </x:si>
  <x:si>
    <x:t xml:space="preserve">10/21/26, 2:34:32 PM</x:t>
  </x:si>
  <x:si>
    <x:t xml:space="preserve">6m 43s</x:t>
  </x:si>
  <x:si>
    <x:t xml:space="preserve">10/21/26, 2:51:51 PM</x:t>
  </x:si>
  <x:si>
    <x:t xml:space="preserve">1h 36m 36s</x:t>
  </x:si>
  <x:si>
    <x:t xml:space="preserve">10/21/26, 3:35:57 PM</x:t>
  </x:si>
  <x:si>
    <x:t xml:space="preserve">1h 7m 9s</x:t>
  </x:si>
  <x:si>
    <x:t xml:space="preserve">10/21/26, 3:59:11 PM</x:t>
  </x:si>
  <x:si>
    <x:t xml:space="preserve">29m 13s</x:t>
  </x:si>
  <x:si>
    <x:t xml:space="preserve">10/21/26, 4:07:00 PM</x:t>
  </x:si>
  <x:si>
    <x:t xml:space="preserve">1h 36m 8s</x:t>
  </x:si>
  <x:si>
    <x:t xml:space="preserve">10/21/26, 4:15:21 PM</x:t>
  </x:si>
  <x:si>
    <x:t xml:space="preserve">13m 45s</x:t>
  </x:si>
  <x:si>
    <x:t xml:space="preserve">10/21/26, 2:38:53 PM</x:t>
  </x:si>
  <x:si>
    <x:t xml:space="preserve">7m 19s</x:t>
  </x:si>
  <x:si>
    <x:t xml:space="preserve">10/21/26, 2:41:06 PM</x:t>
  </x:si>
  <x:si>
    <x:t xml:space="preserve">10/21/26, 3:01:53 PM</x:t>
  </x:si>
  <x:si>
    <x:t xml:space="preserve">30m 7s</x:t>
  </x:si>
  <x:si>
    <x:t xml:space="preserve">10/21/26, 3:09:44 PM</x:t>
  </x:si>
  <x:si>
    <x:t xml:space="preserve">1h 18m 16s</x:t>
  </x:si>
  <x:si>
    <x:t xml:space="preserve">10/21/26, 2:57:06 PM</x:t>
  </x:si>
  <x:si>
    <x:t xml:space="preserve">25m 16s</x:t>
  </x:si>
  <x:si>
    <x:t xml:space="preserve">10/21/26, 3:05:19 PM</x:t>
  </x:si>
  <x:si>
    <x:t xml:space="preserve">1h 22m 40s</x:t>
  </x:si>
  <x:si>
    <x:t xml:space="preserve">10/21/26, 3:04:34 PM</x:t>
  </x:si>
  <x:si>
    <x:t xml:space="preserve">32m 39s</x:t>
  </x:si>
  <x:si>
    <x:t xml:space="preserve">10/21/26, 3:55:56 PM</x:t>
  </x:si>
  <x:si>
    <x:t xml:space="preserve">32m 3s</x:t>
  </x:si>
  <x:si>
    <x:t xml:space="preserve">10/21/26, 2:50:23 PM</x:t>
  </x:si>
  <x:si>
    <x:t xml:space="preserve">17m 18s</x:t>
  </x:si>
  <x:si>
    <x:t xml:space="preserve">10/21/26, 2:55:51 PM</x:t>
  </x:si>
  <x:si>
    <x:t xml:space="preserve">10/21/26, 3:50:31 PM</x:t>
  </x:si>
  <x:si>
    <x:t xml:space="preserve">54m 40s</x:t>
  </x:si>
  <x:si>
    <x:t xml:space="preserve">10/21/26, 3:53:08 PM</x:t>
  </x:si>
  <x:si>
    <x:t xml:space="preserve">10/21/26, 4:10:00 PM</x:t>
  </x:si>
  <x:si>
    <x:t xml:space="preserve">16m 52s</x:t>
  </x:si>
  <x:si>
    <x:t xml:space="preserve">10/21/26, 4:17:52 PM</x:t>
  </x:si>
  <x:si>
    <x:t xml:space="preserve">10m 7s</x:t>
  </x:si>
  <x:si>
    <x:t xml:space="preserve">10/21/26, 2:44:47 PM</x:t>
  </x:si>
  <x:si>
    <x:t xml:space="preserve">11m 35s</x:t>
  </x:si>
  <x:si>
    <x:t xml:space="preserve">10/21/26, 3:38:35 PM</x:t>
  </x:si>
  <x:si>
    <x:t xml:space="preserve">35m 21s</x:t>
  </x:si>
  <x:si>
    <x:t xml:space="preserve">10/21/26, 3:20:38 PM</x:t>
  </x:si>
  <x:si>
    <x:t xml:space="preserve">10/21/26, 3:28:38 PM</x:t>
  </x:si>
  <x:si>
    <x:t xml:space="preserve">59m 19s</x:t>
  </x:si>
  <x:si>
    <x:t xml:space="preserve">10/21/26, 2:49:24 PM</x:t>
  </x:si>
  <x:si>
    <x:t xml:space="preserve">15m 35s</x:t>
  </x:si>
  <x:si>
    <x:t xml:space="preserve">10/21/26, 4:21:24 PM</x:t>
  </x:si>
  <x:si>
    <x:t xml:space="preserve">6m 44s</x:t>
  </x:si>
  <x:si>
    <x:t xml:space="preserve">1h 54m 20s</x:t>
  </x:si>
  <x:si>
    <x:t xml:space="preserve">10/21/26, 4:31:39 PM</x:t>
  </x:si>
  <x:si>
    <x:t xml:space="preserve">1m 15s</x:t>
  </x:si>
  <x:si>
    <x:t xml:space="preserve">10/21/26, 3:05:07 PM</x:t>
  </x:si>
  <x:si>
    <x:t xml:space="preserve">30m 1s</x:t>
  </x:si>
  <x:si>
    <x:t xml:space="preserve">10/21/26, 3:15:05 PM</x:t>
  </x:si>
  <x:si>
    <x:t xml:space="preserve">10/21/26, 4:00:05 PM</x:t>
  </x:si>
  <x:si>
    <x:t xml:space="preserve">10/21/26, 4:09:12 PM</x:t>
  </x:si>
  <x:si>
    <x:t xml:space="preserve">7m 47s</x:t>
  </x:si>
  <x:si>
    <x:t xml:space="preserve">10/21/26, 2:58:18 PM</x:t>
  </x:si>
  <x:si>
    <x:t xml:space="preserve">22m 33s</x:t>
  </x:si>
  <x:si>
    <x:t xml:space="preserve">10/21/26, 3:54:20 PM</x:t>
  </x:si>
  <x:si>
    <x:t xml:space="preserve">34m 6s</x:t>
  </x:si>
  <x:si>
    <x:t xml:space="preserve">10/21/26, 2:35:59 PM</x:t>
  </x:si>
  <x:si>
    <x:t xml:space="preserve">11s</x:t>
  </x:si>
  <x:si>
    <x:t xml:space="preserve">10/21/26, 2:37:28 PM</x:t>
  </x:si>
  <x:si>
    <x:t xml:space="preserve">1h 52m 3s</x:t>
  </x:si>
  <x:si>
    <x:t xml:space="preserve">10/21/26, 3:26:56 PM</x:t>
  </x:si>
  <x:si>
    <x:t xml:space="preserve">50m 54s</x:t>
  </x:si>
  <x:si>
    <x:t xml:space="preserve">10/21/26, 3:28:04 PM</x:t>
  </x:si>
  <x:si>
    <x:t xml:space="preserve">59m 47s</x:t>
  </x:si>
  <x:si>
    <x:t xml:space="preserve">10/21/26, 3:39:32 PM</x:t>
  </x:si>
  <x:si>
    <x:t xml:space="preserve">1h 2m 59s</x:t>
  </x:si>
  <x:si>
    <x:t xml:space="preserve">10/21/26, 3:47:48 PM</x:t>
  </x:si>
  <x:si>
    <x:t xml:space="preserve">42m 16s</x:t>
  </x:si>
  <x:si>
    <x:t xml:space="preserve">10/21/26, 3:36:11 PM</x:t>
  </x:si>
  <x:si>
    <x:t xml:space="preserve">58m 39s</x:t>
  </x:si>
  <x:si>
    <x:t xml:space="preserve">10/21/26, 3:37:26 PM</x:t>
  </x:si>
  <x:si>
    <x:t xml:space="preserve">3s</x:t>
  </x:si>
  <x:si>
    <x:t xml:space="preserve">10/21/26, 3:40:29 PM</x:t>
  </x:si>
  <x:si>
    <x:t xml:space="preserve">10/21/26, 3:43:52 PM</x:t>
  </x:si>
  <x:si>
    <x:t xml:space="preserve">3m 23s</x:t>
  </x:si>
  <x:si>
    <x:t xml:space="preserve">10/21/26, 3:59:52 PM</x:t>
  </x:si>
  <x:si>
    <x:t xml:space="preserve">14m 26s</x:t>
  </x:si>
  <x:si>
    <x:t xml:space="preserve">10/21/26, 2:38:29 PM</x:t>
  </x:si>
  <x:si>
    <x:t xml:space="preserve">41s</x:t>
  </x:si>
  <x:si>
    <x:t xml:space="preserve">10/21/26, 4:14:07 PM</x:t>
  </x:si>
  <x:si>
    <x:t xml:space="preserve">14m 47s</x:t>
  </x:si>
  <x:si>
    <x:t xml:space="preserve">10/21/26, 4:33:43 PM</x:t>
  </x:si>
  <x:si>
    <x:t xml:space="preserve">10/21/26, 4:05:07 PM</x:t>
  </x:si>
  <x:si>
    <x:t xml:space="preserve">1h 25m 10s</x:t>
  </x:si>
  <x:si>
    <x:t xml:space="preserve">10/21/26, 4:08:52 PM</x:t>
  </x:si>
  <x:si>
    <x:t xml:space="preserve">2h 13m 42s</x:t>
  </x:si>
  <x:si>
    <x:t xml:space="preserve">10/21/26, 3:22:46 PM</x:t>
  </x:si>
  <x:si>
    <x:t xml:space="preserve">42m 37s</x:t>
  </x:si>
  <x:si>
    <x:t xml:space="preserve">10/21/26, 3:24:06 PM</x:t>
  </x:si>
  <x:si>
    <x:t xml:space="preserve">10/21/26, 3:24:12 PM</x:t>
  </x:si>
  <x:si>
    <x:t xml:space="preserve">10/21/26, 3:25:23 PM</x:t>
  </x:si>
  <x:si>
    <x:t xml:space="preserve">10/21/26, 3:58:16 PM</x:t>
  </x:si>
  <x:si>
    <x:t xml:space="preserve">32m 53s</x:t>
  </x:si>
  <x:si>
    <x:t xml:space="preserve">10/21/26, 4:07:49 PM</x:t>
  </x:si>
  <x:si>
    <x:t xml:space="preserve">20m 6s</x:t>
  </x:si>
  <x:si>
    <x:t xml:space="preserve">10/21/26, 4:03:03 PM</x:t>
  </x:si>
  <x:si>
    <x:t xml:space="preserve">1h 20m 23s</x:t>
  </x:si>
  <x:si>
    <x:t xml:space="preserve">10/21/26, 4:06:11 PM</x:t>
  </x:si>
  <x:si>
    <x:t xml:space="preserve">21m 51s</x:t>
  </x:si>
  <x:si>
    <x:t xml:space="preserve">10/21/26, 2:57:48 PM</x:t>
  </x:si>
  <x:si>
    <x:t xml:space="preserve">14m 37s</x:t>
  </x:si>
  <x:si>
    <x:t xml:space="preserve">10/21/26, 3:00:07 PM</x:t>
  </x:si>
  <x:si>
    <x:t xml:space="preserve">10/21/26, 4:19:01 PM</x:t>
  </x:si>
  <x:si>
    <x:t xml:space="preserve">1h 18m 53s</x:t>
  </x:si>
  <x:si>
    <x:t xml:space="preserve">31s</x:t>
  </x:si>
  <x:si>
    <x:t xml:space="preserve">10/21/26, 3:52:50 PM</x:t>
  </x:si>
  <x:si>
    <x:t xml:space="preserve">1h 7m 3s</x:t>
  </x:si>
  <x:si>
    <x:t xml:space="preserve">10/21/26, 4:16:19 PM</x:t>
  </x:si>
  <x:si>
    <x:t xml:space="preserve">14m 53s</x:t>
  </x:si>
  <x:si>
    <x:t xml:space="preserve">10/21/26, 4:02:00 PM</x:t>
  </x:si>
  <x:si>
    <x:t xml:space="preserve">1h 15m 50s</x:t>
  </x:si>
  <x:si>
    <x:t xml:space="preserve">21m 4s</x:t>
  </x:si>
  <x:si>
    <x:t xml:space="preserve">10/21/26, 3:32:21 PM</x:t>
  </x:si>
  <x:si>
    <x:t xml:space="preserve">22m 13s</x:t>
  </x:si>
  <x:si>
    <x:t xml:space="preserve">10/21/26, 3:35:27 PM</x:t>
  </x:si>
  <x:si>
    <x:t xml:space="preserve">52m 38s</x:t>
  </x:si>
  <x:si>
    <x:t xml:space="preserve">10/21/26, 3:55:04 PM</x:t>
  </x:si>
  <x:si>
    <x:t xml:space="preserve">44m 43s</x:t>
  </x:si>
  <x:si>
    <x:t xml:space="preserve">10/21/26, 4:21:09 PM</x:t>
  </x:si>
  <x:si>
    <x:t xml:space="preserve">10/21/26, 4:21:14 PM</x:t>
  </x:si>
  <x:si>
    <x:t xml:space="preserve">5s</x:t>
  </x:si>
  <x:si>
    <x:t xml:space="preserve">12s</x:t>
  </x:si>
  <x:si>
    <x:t xml:space="preserve">10/21/26, 3:50:46 PM</x:t>
  </x:si>
  <x:si>
    <x:t xml:space="preserve">33m 44s</x:t>
  </x:si>
  <x:si>
    <x:t xml:space="preserve">10/21/26, 3:52:39 PM</x:t>
  </x:si>
  <x:si>
    <x:t xml:space="preserve">35m 59s</x:t>
  </x:si>
  <x:si>
    <x:t xml:space="preserve">10/21/26, 3:20:33 PM</x:t>
  </x:si>
  <x:si>
    <x:t xml:space="preserve">2m 57s</x:t>
  </x:si>
  <x:si>
    <x:t xml:space="preserve">10/21/26, 4:05:30 PM</x:t>
  </x:si>
  <x:si>
    <x:t xml:space="preserve">23m 17s</x:t>
  </x:si>
  <x:si>
    <x:t xml:space="preserve">20m 33s</x:t>
  </x:si>
  <x:si>
    <x:t xml:space="preserve">10/21/26, 5:06:56 PM</x:t>
  </x:si>
  <x:si>
    <x:t xml:space="preserve">21s</x:t>
  </x:si>
  <x:si>
    <x:t xml:space="preserve">4. Meeting Engagement</x:t>
  </x:si>
  <x:si>
    <x:t xml:space="preserve">Engagement Type</x:t>
  </x:si>
  <x:si>
    <x:t xml:space="preserve">Time</x:t>
  </x:si>
  <x:si>
    <x:t xml:space="preserve">Turned on camera</x:t>
  </x:si>
  <x:si>
    <x:t xml:space="preserve">10/21/26, 2:30:52 PM</x:t>
  </x:si>
  <x:si>
    <x:t xml:space="preserve">Unmuted</x:t>
  </x:si>
  <x:si>
    <x:t xml:space="preserve">10/21/26, 2:30:53 PM</x:t>
  </x:si>
  <x:si>
    <x:t xml:space="preserve">10/21/26, 2:34:27 PM</x:t>
  </x:si>
  <x:si>
    <x:t xml:space="preserve">10/21/26, 2:35:10 PM</x:t>
  </x:si>
  <x:si>
    <x:t xml:space="preserve">10/21/26, 3:44:00 PM</x:t>
  </x:si>
  <x:si>
    <x:t xml:space="preserve">10/21/26, 4:17:30 PM</x:t>
  </x:si>
  <x:si>
    <x:t xml:space="preserve">10/21/26, 2:31:26 PM</x:t>
  </x:si>
  <x:si>
    <x:t xml:space="preserve">10/21/26, 2:50:49 PM</x:t>
  </x:si>
  <x:si>
    <x:t xml:space="preserve">10/21/26, 2:35:24 PM</x:t>
  </x:si>
  <x:si>
    <x:t xml:space="preserve">10/21/26, 2:43:43 PM</x:t>
  </x:si>
  <x:si>
    <x:t xml:space="preserve">10/21/26, 2:48:09 PM</x:t>
  </x:si>
  <x:si>
    <x:t xml:space="preserve">10/21/26, 2:48:16 PM</x:t>
  </x:si>
  <x:si>
    <x:t xml:space="preserve">Sent reaction "like"</x:t>
  </x:si>
  <x:si>
    <x:t xml:space="preserve">10/21/26, 3:27:08 PM</x:t>
  </x:si>
  <x:si>
    <x:t xml:space="preserve">10/21/26, 3:27:53 PM</x:t>
  </x:si>
  <x:si>
    <x:t xml:space="preserve">10/21/26, 3:47:21 PM</x:t>
  </x:si>
  <x:si>
    <x:t xml:space="preserve">10/21/26, 2:35:16 PM</x:t>
  </x:si>
  <x:si>
    <x:t xml:space="preserve">10/21/26, 3:44:55 PM</x:t>
  </x:si>
  <x:si>
    <x:t xml:space="preserve">10/21/26, 3:46:57 PM</x:t>
  </x:si>
  <x:si>
    <x:t xml:space="preserve">10/21/26, 4:27:48 PM</x:t>
  </x:si>
  <x:si>
    <x:t xml:space="preserve">10/21/26, 2:50:48 PM</x:t>
  </x:si>
  <x:si>
    <x:t xml:space="preserve">10/21/26, 2:51:20 PM</x:t>
  </x:si>
  <x:si>
    <x:t xml:space="preserve">10/21/26, 2:49:53 PM</x:t>
  </x:si>
  <x:si>
    <x:t xml:space="preserve">10/21/26, 4:28:49 PM</x:t>
  </x:si>
  <x:si>
    <x:t xml:space="preserve">10/21/26, 2:24:43 PM</x:t>
  </x:si>
  <x:si>
    <x:t xml:space="preserve">Sent reaction "applause"</x:t>
  </x:si>
  <x:si>
    <x:t xml:space="preserve">10/21/26, 4:28:10 PM</x:t>
  </x:si>
  <x:si>
    <x:t xml:space="preserve">10/21/26, 2:24:29 PM</x:t>
  </x:si>
  <x:si>
    <x:t xml:space="preserve">10/21/26, 2:34:46 PM</x:t>
  </x:si>
  <x:si>
    <x:t xml:space="preserve">10/21/26, 2:48:37 PM</x:t>
  </x:si>
  <x:si>
    <x:t xml:space="preserve">10/21/26, 3:47:28 PM</x:t>
  </x:si>
  <x:si>
    <x:t xml:space="preserve">10/21/26, 2:31:12 PM</x:t>
  </x:si>
  <x:si>
    <x:t xml:space="preserve">10/21/26, 2:35:25 PM</x:t>
  </x:si>
  <x:si>
    <x:t xml:space="preserve">10/21/26, 3:44:11 PM</x:t>
  </x:si>
  <x:si>
    <x:t xml:space="preserve">10/21/26, 2:34:47 PM</x:t>
  </x:si>
  <x:si>
    <x:t xml:space="preserve">10/21/26, 2:46:54 PM</x:t>
  </x:si>
  <x:si>
    <x:t xml:space="preserve">10/21/26, 2:30:07 PM</x:t>
  </x:si>
  <x:si>
    <x:t xml:space="preserve">10/21/26, 2:34:48 PM</x:t>
  </x:si>
  <x:si>
    <x:t xml:space="preserve">10/21/26, 2:31:19 PM</x:t>
  </x:si>
  <x:si>
    <x:t xml:space="preserve">10/21/26, 2:35:19 PM</x:t>
  </x:si>
  <x:si>
    <x:t xml:space="preserve">Raised hands</x:t>
  </x:si>
  <x:si>
    <x:t xml:space="preserve">10/21/26, 2:42:03 PM</x:t>
  </x:si>
  <x:si>
    <x:t xml:space="preserve">10/21/26, 2:42:49 PM</x:t>
  </x:si>
  <x:si>
    <x:t xml:space="preserve">10/21/26, 2:30:42 PM</x:t>
  </x:si>
  <x:si>
    <x:t xml:space="preserve">10/21/26, 4:20:22 PM</x:t>
  </x:si>
  <x:si>
    <x:t xml:space="preserve">10/21/26, 4:20:24 PM</x:t>
  </x:si>
  <x:si>
    <x:t xml:space="preserve">10/21/26, 2:34:49 PM</x:t>
  </x:si>
  <x:si>
    <x:t xml:space="preserve">10/21/26, 2:48:29 PM</x:t>
  </x:si>
  <x:si>
    <x:t xml:space="preserve">10/21/26, 2:31:59 PM</x:t>
  </x:si>
  <x:si>
    <x:t xml:space="preserve">10/21/26, 2:34:52 PM</x:t>
  </x:si>
  <x:si>
    <x:t xml:space="preserve">10/21/26, 4:24:20 PM</x:t>
  </x:si>
  <x:si>
    <x:t xml:space="preserve">10/21/26, 2:31:51 PM</x:t>
  </x:si>
  <x:si>
    <x:t xml:space="preserve">10/21/26, 3:09:50 PM</x:t>
  </x:si>
  <x:si>
    <x:t xml:space="preserve">10/21/26, 2:32:02 PM</x:t>
  </x:si>
  <x:si>
    <x:t xml:space="preserve">10/21/26, 3:37:59 PM</x:t>
  </x:si>
  <x:si>
    <x:t xml:space="preserve">10/21/26, 2:32:11 PM</x:t>
  </x:si>
  <x:si>
    <x:t xml:space="preserve">10/21/26, 2:48:25 PM</x:t>
  </x:si>
  <x:si>
    <x:t xml:space="preserve">10/21/26, 2:34:36 PM</x:t>
  </x:si>
  <x:si>
    <x:t xml:space="preserve">10/21/26, 2:35:21 PM</x:t>
  </x:si>
  <x:si>
    <x:t xml:space="preserve">10/21/26, 2:48:26 PM</x:t>
  </x:si>
  <x:si>
    <x:t xml:space="preserve">10/21/26, 2:36:22 PM</x:t>
  </x:si>
  <x:si>
    <x:t xml:space="preserve">10/21/26, 2:37:25 PM</x:t>
  </x:si>
  <x:si>
    <x:t xml:space="preserve">10/21/26, 3:59:51 PM</x:t>
  </x:si>
  <x:si>
    <x:t xml:space="preserve">10/21/26, 2:45:30 PM</x:t>
  </x:si>
  <x:si>
    <x:t xml:space="preserve">Sent reaction "laugh"</x:t>
  </x:si>
  <x:si>
    <x:t xml:space="preserve">10/21/26, 3:38:01 PM</x:t>
  </x:si>
  <x:si>
    <x:t xml:space="preserve">10/21/26, 4:13:19 PM</x:t>
  </x:si>
  <x:si>
    <x:t xml:space="preserve">10/21/26, 2:44:23 PM</x:t>
  </x:si>
  <x:si>
    <x:t xml:space="preserve">10/21/26, 2:56:34 PM</x:t>
  </x:si>
  <x:si>
    <x:t xml:space="preserve">10/21/26, 2:45:15 PM</x:t>
  </x:si>
  <x:si>
    <x:t xml:space="preserve">10/21/26, 3:18:52 PM</x:t>
  </x:si>
  <x:si>
    <x:t xml:space="preserve">10/21/26, 3:28:27 PM</x:t>
  </x:si>
  <x:si>
    <x:t xml:space="preserve">10/21/26, 3:26:50 PM</x:t>
  </x:si>
  <x:si>
    <x:t xml:space="preserve">10/21/26, 3:26:34 PM</x:t>
  </x:si>
  <x:si>
    <x:t xml:space="preserve">Quality:  Our collective responsibility - Mandatory Meeting (Option 2)</x:t>
  </x:si>
  <x:si>
    <x:t xml:space="preserve">10/26/26, 7:44:26 AM</x:t>
  </x:si>
  <x:si>
    <x:t xml:space="preserve">10/26/26, 12:08:14 PM</x:t>
  </x:si>
  <x:si>
    <x:t xml:space="preserve">4h 23m 47s</x:t>
  </x:si>
  <x:si>
    <x:t xml:space="preserve">1h 38m 9s</x:t>
  </x:si>
  <x:si>
    <x:t xml:space="preserve">10/26/26, 7:44:30 AM</x:t>
  </x:si>
  <x:si>
    <x:t xml:space="preserve">10/26/26, 10:07:13 AM</x:t>
  </x:si>
  <x:si>
    <x:t xml:space="preserve">2h 22m 42s</x:t>
  </x:si>
  <x:si>
    <x:t xml:space="preserve">10/26/26, 7:45:49 AM</x:t>
  </x:si>
  <x:si>
    <x:t xml:space="preserve">2h 22m 41s</x:t>
  </x:si>
  <x:si>
    <x:t xml:space="preserve">10/26/26, 7:57:18 AM</x:t>
  </x:si>
  <x:si>
    <x:t xml:space="preserve">10/26/26, 10:07:17 AM</x:t>
  </x:si>
  <x:si>
    <x:t xml:space="preserve">2h 9m 58s</x:t>
  </x:si>
  <x:si>
    <x:t xml:space="preserve">10/26/26, 7:59:17 AM</x:t>
  </x:si>
  <x:si>
    <x:t xml:space="preserve">10/26/26, 10:07:15 AM</x:t>
  </x:si>
  <x:si>
    <x:t xml:space="preserve">1h 46m 1s</x:t>
  </x:si>
  <x:si>
    <x:t xml:space="preserve">10/26/26, 8:01:07 AM</x:t>
  </x:si>
  <x:si>
    <x:t xml:space="preserve">2h 6m 10s</x:t>
  </x:si>
  <x:si>
    <x:t xml:space="preserve">10/26/26, 8:03:39 AM</x:t>
  </x:si>
  <x:si>
    <x:t xml:space="preserve">10/26/26, 10:07:08 AM</x:t>
  </x:si>
  <x:si>
    <x:t xml:space="preserve">2h 3m 29s</x:t>
  </x:si>
  <x:si>
    <x:t xml:space="preserve">Kirisha Kasseean (MU)</x:t>
  </x:si>
  <x:si>
    <x:t xml:space="preserve">10/26/26, 7:46:18 AM</x:t>
  </x:si>
  <x:si>
    <x:t xml:space="preserve">10/26/26, 10:07:16 AM</x:t>
  </x:si>
  <x:si>
    <x:t xml:space="preserve">2h 20m 58s</x:t>
  </x:si>
  <x:si>
    <x:t xml:space="preserve">kirisha.kasseean@pwc.com</x:t>
  </x:si>
  <x:si>
    <x:t xml:space="preserve">Presenter</x:t>
  </x:si>
  <x:si>
    <x:t xml:space="preserve">Ubaid Rasmally (MU)</x:t>
  </x:si>
  <x:si>
    <x:t xml:space="preserve">10/26/26, 7:47:17 AM</x:t>
  </x:si>
  <x:si>
    <x:t xml:space="preserve">10/26/26, 10:20:15 AM</x:t>
  </x:si>
  <x:si>
    <x:t xml:space="preserve">1h 42m 36s</x:t>
  </x:si>
  <x:si>
    <x:t xml:space="preserve">ubaidullah.r.rasmally@pwc.com</x:t>
  </x:si>
  <x:si>
    <x:t xml:space="preserve">Chetna Sembhoo (MU)</x:t>
  </x:si>
  <x:si>
    <x:t xml:space="preserve">10/26/26, 7:48:02 AM</x:t>
  </x:si>
  <x:si>
    <x:t xml:space="preserve">10/26/26, 10:07:10 AM</x:t>
  </x:si>
  <x:si>
    <x:t xml:space="preserve">2h 6m 50s</x:t>
  </x:si>
  <x:si>
    <x:t xml:space="preserve">chetna.sembhoo@pwc.com</x:t>
  </x:si>
  <x:si>
    <x:t xml:space="preserve">Glory Nnko (TZ)</x:t>
  </x:si>
  <x:si>
    <x:t xml:space="preserve">10/26/26, 7:48:36 AM</x:t>
  </x:si>
  <x:si>
    <x:t xml:space="preserve">2h 7m 48s</x:t>
  </x:si>
  <x:si>
    <x:t xml:space="preserve">glory.nnko@pwc.com</x:t>
  </x:si>
  <x:si>
    <x:t xml:space="preserve">Matthew Ddimirire (UG)</x:t>
  </x:si>
  <x:si>
    <x:t xml:space="preserve">10/26/26, 7:49:13 AM</x:t>
  </x:si>
  <x:si>
    <x:t xml:space="preserve">2h 14m 49s</x:t>
  </x:si>
  <x:si>
    <x:t xml:space="preserve">matthew.ddimirire@pwc.com</x:t>
  </x:si>
  <x:si>
    <x:t xml:space="preserve">10/26/26, 7:50:14 AM</x:t>
  </x:si>
  <x:si>
    <x:t xml:space="preserve">10/26/26, 10:08:01 AM</x:t>
  </x:si>
  <x:si>
    <x:t xml:space="preserve">2h 15m 42s</x:t>
  </x:si>
  <x:si>
    <x:t xml:space="preserve">Umair Chaudhry (KE)</x:t>
  </x:si>
  <x:si>
    <x:t xml:space="preserve">10/26/26, 7:53:17 AM</x:t>
  </x:si>
  <x:si>
    <x:t xml:space="preserve">10/26/26, 10:07:38 AM</x:t>
  </x:si>
  <x:si>
    <x:t xml:space="preserve">umair.chaudhry@pwc.com</x:t>
  </x:si>
  <x:si>
    <x:t xml:space="preserve">Fardeen Dullull (MU)</x:t>
  </x:si>
  <x:si>
    <x:t xml:space="preserve">10/26/26, 7:53:34 AM</x:t>
  </x:si>
  <x:si>
    <x:t xml:space="preserve">10/26/26, 10:07:21 AM</x:t>
  </x:si>
  <x:si>
    <x:t xml:space="preserve">1h 47m 53s</x:t>
  </x:si>
  <x:si>
    <x:t xml:space="preserve">fardeen.dullull@pwc.com</x:t>
  </x:si>
  <x:si>
    <x:t xml:space="preserve">Helen Nganila (TZ)</x:t>
  </x:si>
  <x:si>
    <x:t xml:space="preserve">10/26/26, 7:55:26 AM</x:t>
  </x:si>
  <x:si>
    <x:t xml:space="preserve">10/26/26, 10:08:58 AM</x:t>
  </x:si>
  <x:si>
    <x:t xml:space="preserve">2h 13m 32s</x:t>
  </x:si>
  <x:si>
    <x:t xml:space="preserve">helen.nganila@pwc.com</x:t>
  </x:si>
  <x:si>
    <x:t xml:space="preserve">Nuzhah Beebeejaun (MU)</x:t>
  </x:si>
  <x:si>
    <x:t xml:space="preserve">10/26/26, 7:56:09 AM</x:t>
  </x:si>
  <x:si>
    <x:t xml:space="preserve">2h 11m 4s</x:t>
  </x:si>
  <x:si>
    <x:t xml:space="preserve">nuzhah.beebeejaun@pwc.com</x:t>
  </x:si>
  <x:si>
    <x:t xml:space="preserve">James Kimani (KE)</x:t>
  </x:si>
  <x:si>
    <x:t xml:space="preserve">10/26/26, 7:57:16 AM</x:t>
  </x:si>
  <x:si>
    <x:t xml:space="preserve">10/26/26, 10:07:07 AM</x:t>
  </x:si>
  <x:si>
    <x:t xml:space="preserve">2h 9m 51s</x:t>
  </x:si>
  <x:si>
    <x:t xml:space="preserve">james.kimani@pwc.com</x:t>
  </x:si>
  <x:si>
    <x:t xml:space="preserve">10/26/26, 7:57:20 AM</x:t>
  </x:si>
  <x:si>
    <x:t xml:space="preserve">10/26/26, 10:08:40 AM</x:t>
  </x:si>
  <x:si>
    <x:t xml:space="preserve">2h 11m 19s</x:t>
  </x:si>
  <x:si>
    <x:t xml:space="preserve">Sadishen Vythilingum (MU)</x:t>
  </x:si>
  <x:si>
    <x:t xml:space="preserve">10/26/26, 7:57:34 AM</x:t>
  </x:si>
  <x:si>
    <x:t xml:space="preserve">2h 9m 40s</x:t>
  </x:si>
  <x:si>
    <x:t xml:space="preserve">sadishen.vythilingum@pwc.com</x:t>
  </x:si>
  <x:si>
    <x:t xml:space="preserve">Izam Joomun (MU)</x:t>
  </x:si>
  <x:si>
    <x:t xml:space="preserve">10/26/26, 7:57:46 AM</x:t>
  </x:si>
  <x:si>
    <x:t xml:space="preserve">10/26/26, 10:07:31 AM</x:t>
  </x:si>
  <x:si>
    <x:t xml:space="preserve">2h 7m 46s</x:t>
  </x:si>
  <x:si>
    <x:t xml:space="preserve">izam.joomun@pwc.com</x:t>
  </x:si>
  <x:si>
    <x:t xml:space="preserve">10/26/26, 7:57:53 AM</x:t>
  </x:si>
  <x:si>
    <x:t xml:space="preserve">10/26/26, 10:08:12 AM</x:t>
  </x:si>
  <x:si>
    <x:t xml:space="preserve">2h 10m 18s</x:t>
  </x:si>
  <x:si>
    <x:t xml:space="preserve">Gavin Allagapen (MU)</x:t>
  </x:si>
  <x:si>
    <x:t xml:space="preserve">10/26/26, 7:57:55 AM</x:t>
  </x:si>
  <x:si>
    <x:t xml:space="preserve">2h 9m 20s</x:t>
  </x:si>
  <x:si>
    <x:t xml:space="preserve">gavin.allagapen@pwc.com</x:t>
  </x:si>
  <x:si>
    <x:t xml:space="preserve">Hannes Jansen Van Rensburg (MU)</x:t>
  </x:si>
  <x:si>
    <x:t xml:space="preserve">10/26/26, 7:57:58 AM</x:t>
  </x:si>
  <x:si>
    <x:t xml:space="preserve">10/26/26, 10:07:28 AM</x:t>
  </x:si>
  <x:si>
    <x:t xml:space="preserve">2h 7m 59s</x:t>
  </x:si>
  <x:si>
    <x:t xml:space="preserve">hannes.jvrensburg@pwc.com</x:t>
  </x:si>
  <x:si>
    <x:t xml:space="preserve">Patience Namugenyi (UG)</x:t>
  </x:si>
  <x:si>
    <x:t xml:space="preserve">10/26/26, 7:58:13 AM</x:t>
  </x:si>
  <x:si>
    <x:t xml:space="preserve">2h 5m 52s</x:t>
  </x:si>
  <x:si>
    <x:t xml:space="preserve">patience.namugenyi@pwc.com</x:t>
  </x:si>
  <x:si>
    <x:t xml:space="preserve">10/26/26, 7:58:17 AM</x:t>
  </x:si>
  <x:si>
    <x:t xml:space="preserve">10/26/26, 10:09:24 AM</x:t>
  </x:si>
  <x:si>
    <x:t xml:space="preserve">2h 11m 6s</x:t>
  </x:si>
  <x:si>
    <x:t xml:space="preserve">Gerald Aheebwa (UG)</x:t>
  </x:si>
  <x:si>
    <x:t xml:space="preserve">10/26/26, 7:58:18 AM</x:t>
  </x:si>
  <x:si>
    <x:t xml:space="preserve">10/26/26, 10:01:21 AM</x:t>
  </x:si>
  <x:si>
    <x:t xml:space="preserve">gerald.aheebwa@pwc.com</x:t>
  </x:si>
  <x:si>
    <x:t xml:space="preserve">10/26/26, 7:58:25 AM</x:t>
  </x:si>
  <x:si>
    <x:t xml:space="preserve">2h 9m 35s</x:t>
  </x:si>
  <x:si>
    <x:t xml:space="preserve">10/26/26, 7:58:27 AM</x:t>
  </x:si>
  <x:si>
    <x:t xml:space="preserve">10/26/26, 10:11:48 AM</x:t>
  </x:si>
  <x:si>
    <x:t xml:space="preserve">2h 13m 21s</x:t>
  </x:si>
  <x:si>
    <x:t xml:space="preserve">Ved Neeraye (MU)</x:t>
  </x:si>
  <x:si>
    <x:t xml:space="preserve">10/26/26, 7:58:31 AM</x:t>
  </x:si>
  <x:si>
    <x:t xml:space="preserve">10/26/26, 10:07:59 AM</x:t>
  </x:si>
  <x:si>
    <x:t xml:space="preserve">2h 9m 28s</x:t>
  </x:si>
  <x:si>
    <x:t xml:space="preserve">vedsagar.neeraye@pwc.com</x:t>
  </x:si>
  <x:si>
    <x:t xml:space="preserve">Samuel Shejamabu (TZ)</x:t>
  </x:si>
  <x:si>
    <x:t xml:space="preserve">10/26/26, 7:58:32 AM</x:t>
  </x:si>
  <x:si>
    <x:t xml:space="preserve">2h 8m 40s</x:t>
  </x:si>
  <x:si>
    <x:t xml:space="preserve">samuel.shejamabu@pwc.com</x:t>
  </x:si>
  <x:si>
    <x:t xml:space="preserve">10/26/26, 7:59:06 AM</x:t>
  </x:si>
  <x:si>
    <x:t xml:space="preserve">2h 8m 1s</x:t>
  </x:si>
  <x:si>
    <x:t xml:space="preserve">Zuhura Mnyamuru (TZ)</x:t>
  </x:si>
  <x:si>
    <x:t xml:space="preserve">10/26/26, 7:59:19 AM</x:t>
  </x:si>
  <x:si>
    <x:t xml:space="preserve">2h 7m 57s</x:t>
  </x:si>
  <x:si>
    <x:t xml:space="preserve">zuhura.z.mnyamuru@pwc.com</x:t>
  </x:si>
  <x:si>
    <x:t xml:space="preserve">Praxy Kanana (KE)</x:t>
  </x:si>
  <x:si>
    <x:t xml:space="preserve">10/26/26, 7:59:29 AM</x:t>
  </x:si>
  <x:si>
    <x:t xml:space="preserve">10/26/26, 9:57:45 AM</x:t>
  </x:si>
  <x:si>
    <x:t xml:space="preserve">1h 58m 15s</x:t>
  </x:si>
  <x:si>
    <x:t xml:space="preserve">praxy.kanana@pwc.com</x:t>
  </x:si>
  <x:si>
    <x:t xml:space="preserve">Bonita Kilama (TZ)</x:t>
  </x:si>
  <x:si>
    <x:t xml:space="preserve">10/26/26, 7:59:31 AM</x:t>
  </x:si>
  <x:si>
    <x:t xml:space="preserve">10/26/26, 10:07:12 AM</x:t>
  </x:si>
  <x:si>
    <x:t xml:space="preserve">2h 7m 41s</x:t>
  </x:si>
  <x:si>
    <x:t xml:space="preserve">bonita.kilama@pwc.com</x:t>
  </x:si>
  <x:si>
    <x:t xml:space="preserve">Rebecca Kayiteesi (UG)</x:t>
  </x:si>
  <x:si>
    <x:t xml:space="preserve">10/26/26, 7:59:32 AM</x:t>
  </x:si>
  <x:si>
    <x:t xml:space="preserve">10/26/26, 10:08:05 AM</x:t>
  </x:si>
  <x:si>
    <x:t xml:space="preserve">1h 53m 21s</x:t>
  </x:si>
  <x:si>
    <x:t xml:space="preserve">rebecca.kayiteesi@pwc.com</x:t>
  </x:si>
  <x:si>
    <x:t xml:space="preserve">Francis Nzau (TZ)</x:t>
  </x:si>
  <x:si>
    <x:t xml:space="preserve">10/26/26, 7:59:33 AM</x:t>
  </x:si>
  <x:si>
    <x:t xml:space="preserve">francis.k.nzau@pwc.com</x:t>
  </x:si>
  <x:si>
    <x:t xml:space="preserve">Moheenee Harah (MU)</x:t>
  </x:si>
  <x:si>
    <x:t xml:space="preserve">10/26/26, 7:59:36 AM</x:t>
  </x:si>
  <x:si>
    <x:t xml:space="preserve">10/26/26, 10:07:11 AM</x:t>
  </x:si>
  <x:si>
    <x:t xml:space="preserve">2h 7m 35s</x:t>
  </x:si>
  <x:si>
    <x:t xml:space="preserve">moheenee.harah@pwc.com</x:t>
  </x:si>
  <x:si>
    <x:t xml:space="preserve">Tarushee Beesoony (MU)</x:t>
  </x:si>
  <x:si>
    <x:t xml:space="preserve">10/26/26, 7:59:49 AM</x:t>
  </x:si>
  <x:si>
    <x:t xml:space="preserve">2h 2m 1s</x:t>
  </x:si>
  <x:si>
    <x:t xml:space="preserve">tarushee.beesoony@pwc.com</x:t>
  </x:si>
  <x:si>
    <x:t xml:space="preserve">Johanne How (MU)</x:t>
  </x:si>
  <x:si>
    <x:t xml:space="preserve">10/26/26, 7:59:51 AM</x:t>
  </x:si>
  <x:si>
    <x:t xml:space="preserve">10/26/26, 9:59:53 AM</x:t>
  </x:si>
  <x:si>
    <x:t xml:space="preserve">2h 1s</x:t>
  </x:si>
  <x:si>
    <x:t xml:space="preserve">how.johanne@pwc.com</x:t>
  </x:si>
  <x:si>
    <x:t xml:space="preserve">Roshik Rughoonauth (MU)</x:t>
  </x:si>
  <x:si>
    <x:t xml:space="preserve">10/26/26, 8:00:00 AM</x:t>
  </x:si>
  <x:si>
    <x:t xml:space="preserve">2h 5m 48s</x:t>
  </x:si>
  <x:si>
    <x:t xml:space="preserve">roshik.r.rughoonauth@pwc.com</x:t>
  </x:si>
  <x:si>
    <x:t xml:space="preserve">Gladness Ngowi (TZ)</x:t>
  </x:si>
  <x:si>
    <x:t xml:space="preserve">10/26/26, 8:00:08 AM</x:t>
  </x:si>
  <x:si>
    <x:t xml:space="preserve">10/26/26, 10:07:30 AM</x:t>
  </x:si>
  <x:si>
    <x:t xml:space="preserve">2h 7m 21s</x:t>
  </x:si>
  <x:si>
    <x:t xml:space="preserve">gladness.ngowi@pwc.com</x:t>
  </x:si>
  <x:si>
    <x:t xml:space="preserve">Howary Kharbush (TZ)</x:t>
  </x:si>
  <x:si>
    <x:t xml:space="preserve">10/26/26, 8:00:12 AM</x:t>
  </x:si>
  <x:si>
    <x:t xml:space="preserve">2h 6m 56s</x:t>
  </x:si>
  <x:si>
    <x:t xml:space="preserve">howary.k.kharbush@pwc.com</x:t>
  </x:si>
  <x:si>
    <x:t xml:space="preserve">Meydini Maslamony (MU)</x:t>
  </x:si>
  <x:si>
    <x:t xml:space="preserve">10/26/26, 8:00:14 AM</x:t>
  </x:si>
  <x:si>
    <x:t xml:space="preserve">10/26/26, 10:07:18 AM</x:t>
  </x:si>
  <x:si>
    <x:t xml:space="preserve">2h 7m 4s</x:t>
  </x:si>
  <x:si>
    <x:t xml:space="preserve">meydini.maslamony@pwc.com</x:t>
  </x:si>
  <x:si>
    <x:t xml:space="preserve">Gaurav Seeam (MU)</x:t>
  </x:si>
  <x:si>
    <x:t xml:space="preserve">10/26/26, 8:00:18 AM</x:t>
  </x:si>
  <x:si>
    <x:t xml:space="preserve">10/26/26, 10:07:44 AM</x:t>
  </x:si>
  <x:si>
    <x:t xml:space="preserve">2h 7m 25s</x:t>
  </x:si>
  <x:si>
    <x:t xml:space="preserve">gaurav.seeam@pwc.com</x:t>
  </x:si>
  <x:si>
    <x:t xml:space="preserve">Emily Lan Hing Po (MU)</x:t>
  </x:si>
  <x:si>
    <x:t xml:space="preserve">10/26/26, 8:00:19 AM</x:t>
  </x:si>
  <x:si>
    <x:t xml:space="preserve">2h 6m 53s</x:t>
  </x:si>
  <x:si>
    <x:t xml:space="preserve">emily.lan.hing.po@pwc.com</x:t>
  </x:si>
  <x:si>
    <x:t xml:space="preserve">Mwangi Karanja (RW)</x:t>
  </x:si>
  <x:si>
    <x:t xml:space="preserve">10/26/26, 8:00:21 AM</x:t>
  </x:si>
  <x:si>
    <x:t xml:space="preserve">10/26/26, 10:07:19 AM</x:t>
  </x:si>
  <x:si>
    <x:t xml:space="preserve">2h 6m 57s</x:t>
  </x:si>
  <x:si>
    <x:t xml:space="preserve">mwangi.j.karanja@pwc.com</x:t>
  </x:si>
  <x:si>
    <x:t xml:space="preserve">Derrick Tembo (ZM)</x:t>
  </x:si>
  <x:si>
    <x:t xml:space="preserve">10/26/26, 8:00:23 AM</x:t>
  </x:si>
  <x:si>
    <x:t xml:space="preserve">1h 57m 38s</x:t>
  </x:si>
  <x:si>
    <x:t xml:space="preserve">derrick.tembo@pwc.com</x:t>
  </x:si>
  <x:si>
    <x:t xml:space="preserve">Joseph Kagiri (KE)</x:t>
  </x:si>
  <x:si>
    <x:t xml:space="preserve">10/26/26, 8:00:26 AM</x:t>
  </x:si>
  <x:si>
    <x:t xml:space="preserve">joseph.kagiri@pwc.com</x:t>
  </x:si>
  <x:si>
    <x:t xml:space="preserve">Jocelyn Batanyita (TZ)</x:t>
  </x:si>
  <x:si>
    <x:t xml:space="preserve">10/26/26, 10:07:37 AM</x:t>
  </x:si>
  <x:si>
    <x:t xml:space="preserve">2h 7m 10s</x:t>
  </x:si>
  <x:si>
    <x:t xml:space="preserve">jocelyn.batanyita@pwc.com</x:t>
  </x:si>
  <x:si>
    <x:t xml:space="preserve">Rehema Muhimbi (TZ)</x:t>
  </x:si>
  <x:si>
    <x:t xml:space="preserve">10/26/26, 8:00:27 AM</x:t>
  </x:si>
  <x:si>
    <x:t xml:space="preserve">2h 6m 46s</x:t>
  </x:si>
  <x:si>
    <x:t xml:space="preserve">rehema.muhimbi@pwc.com</x:t>
  </x:si>
  <x:si>
    <x:t xml:space="preserve">10/26/26, 10:33:04 AM</x:t>
  </x:si>
  <x:si>
    <x:t xml:space="preserve">2h 30m 29s</x:t>
  </x:si>
  <x:si>
    <x:t xml:space="preserve">Amani Mbajo (TZ)</x:t>
  </x:si>
  <x:si>
    <x:t xml:space="preserve">10/26/26, 8:00:29 AM</x:t>
  </x:si>
  <x:si>
    <x:t xml:space="preserve">10/26/26, 10:07:23 AM</x:t>
  </x:si>
  <x:si>
    <x:t xml:space="preserve">2h 6m 54s</x:t>
  </x:si>
  <x:si>
    <x:t xml:space="preserve">amani.mbajo@pwc.com</x:t>
  </x:si>
  <x:si>
    <x:t xml:space="preserve">Navishta Jugasing (MU)</x:t>
  </x:si>
  <x:si>
    <x:t xml:space="preserve">10/26/26, 8:00:31 AM</x:t>
  </x:si>
  <x:si>
    <x:t xml:space="preserve">2h 6m 48s</x:t>
  </x:si>
  <x:si>
    <x:t xml:space="preserve">navishta.jugasing@pwc.com</x:t>
  </x:si>
  <x:si>
    <x:t xml:space="preserve">Altar Inganji (KE)</x:t>
  </x:si>
  <x:si>
    <x:t xml:space="preserve">10/26/26, 8:00:37 AM</x:t>
  </x:si>
  <x:si>
    <x:t xml:space="preserve">2h 6m 36s</x:t>
  </x:si>
  <x:si>
    <x:t xml:space="preserve">altar.inganji@pwc.com</x:t>
  </x:si>
  <x:si>
    <x:t xml:space="preserve">Cyprian Munene (KE)</x:t>
  </x:si>
  <x:si>
    <x:t xml:space="preserve">2h 8m 47s</x:t>
  </x:si>
  <x:si>
    <x:t xml:space="preserve">cyprian.munene@pwc.com</x:t>
  </x:si>
  <x:si>
    <x:t xml:space="preserve">Anish Ramdhonee (MU)</x:t>
  </x:si>
  <x:si>
    <x:t xml:space="preserve">10/26/26, 8:00:42 AM</x:t>
  </x:si>
  <x:si>
    <x:t xml:space="preserve">10/26/26, 10:07:24 AM</x:t>
  </x:si>
  <x:si>
    <x:t xml:space="preserve">2h 6m 42s</x:t>
  </x:si>
  <x:si>
    <x:t xml:space="preserve">anish.r.ramdhonee@pwc.com</x:t>
  </x:si>
  <x:si>
    <x:t xml:space="preserve">Esther Swai (TZ)</x:t>
  </x:si>
  <x:si>
    <x:t xml:space="preserve">10/26/26, 8:00:43 AM</x:t>
  </x:si>
  <x:si>
    <x:t xml:space="preserve">10/26/26, 10:07:25 AM</x:t>
  </x:si>
  <x:si>
    <x:t xml:space="preserve">2h 6m 41s</x:t>
  </x:si>
  <x:si>
    <x:t xml:space="preserve">esther.swai@pwc.com</x:t>
  </x:si>
  <x:si>
    <x:t xml:space="preserve">Brenda Awuor (KE)</x:t>
  </x:si>
  <x:si>
    <x:t xml:space="preserve">10/26/26, 8:00:44 AM</x:t>
  </x:si>
  <x:si>
    <x:t xml:space="preserve">10/26/26, 9:55:11 AM</x:t>
  </x:si>
  <x:si>
    <x:t xml:space="preserve">brenda.awuor@pwc.com</x:t>
  </x:si>
  <x:si>
    <x:t xml:space="preserve">Sarah Otindo (KE)</x:t>
  </x:si>
  <x:si>
    <x:t xml:space="preserve">10/26/26, 10:07:14 AM</x:t>
  </x:si>
  <x:si>
    <x:t xml:space="preserve">2h 6m 30s</x:t>
  </x:si>
  <x:si>
    <x:t xml:space="preserve">sarah.otindo@pwc.com</x:t>
  </x:si>
  <x:si>
    <x:t xml:space="preserve">Dhaarna Jhummun (MU)</x:t>
  </x:si>
  <x:si>
    <x:t xml:space="preserve">10/26/26, 8:00:45 AM</x:t>
  </x:si>
  <x:si>
    <x:t xml:space="preserve">2h 6m 29s</x:t>
  </x:si>
  <x:si>
    <x:t xml:space="preserve">dhaarna.jhummun@pwc.com</x:t>
  </x:si>
  <x:si>
    <x:t xml:space="preserve">Kalkidan Aklilu Admassu (MU)</x:t>
  </x:si>
  <x:si>
    <x:t xml:space="preserve">10/26/26, 8:00:48 AM</x:t>
  </x:si>
  <x:si>
    <x:t xml:space="preserve">10/26/26, 10:09:03 AM</x:t>
  </x:si>
  <x:si>
    <x:t xml:space="preserve">2h 8m 14s</x:t>
  </x:si>
  <x:si>
    <x:t xml:space="preserve">kalkidan.admassu@pwc.com</x:t>
  </x:si>
  <x:si>
    <x:t xml:space="preserve">Caroline Kimario (TZ)</x:t>
  </x:si>
  <x:si>
    <x:t xml:space="preserve">10/26/26, 8:00:50 AM</x:t>
  </x:si>
  <x:si>
    <x:t xml:space="preserve">2h 6m 20s</x:t>
  </x:si>
  <x:si>
    <x:t xml:space="preserve">caroline.kimario@pwc.com</x:t>
  </x:si>
  <x:si>
    <x:t xml:space="preserve">Jackline Mchomvu (TZ)</x:t>
  </x:si>
  <x:si>
    <x:t xml:space="preserve">10/26/26, 8:00:52 AM</x:t>
  </x:si>
  <x:si>
    <x:t xml:space="preserve">2h 1m 52s</x:t>
  </x:si>
  <x:si>
    <x:t xml:space="preserve">jackline.mchomvu@pwc.com</x:t>
  </x:si>
  <x:si>
    <x:t xml:space="preserve">Lubona Mpikwa (ZM)</x:t>
  </x:si>
  <x:si>
    <x:t xml:space="preserve">10/26/26, 8:00:54 AM</x:t>
  </x:si>
  <x:si>
    <x:t xml:space="preserve">2h 6m 22s</x:t>
  </x:si>
  <x:si>
    <x:t xml:space="preserve">lubona.mpikwa@pwc.com</x:t>
  </x:si>
  <x:si>
    <x:t xml:space="preserve">Francis Muriu (KE)</x:t>
  </x:si>
  <x:si>
    <x:t xml:space="preserve">10/26/26, 8:00:55 AM</x:t>
  </x:si>
  <x:si>
    <x:t xml:space="preserve">10/26/26, 10:07:09 AM</x:t>
  </x:si>
  <x:si>
    <x:t xml:space="preserve">2h 6m 14s</x:t>
  </x:si>
  <x:si>
    <x:t xml:space="preserve">francis.muriu@pwc.com</x:t>
  </x:si>
  <x:si>
    <x:t xml:space="preserve">Titus Rotich (KE)</x:t>
  </x:si>
  <x:si>
    <x:t xml:space="preserve">10/26/26, 8:00:56 AM</x:t>
  </x:si>
  <x:si>
    <x:t xml:space="preserve">titus.rotich@pwc.com</x:t>
  </x:si>
  <x:si>
    <x:t xml:space="preserve">Brian Ngunjiri (RW)</x:t>
  </x:si>
  <x:si>
    <x:t xml:space="preserve">10/26/26, 8:00:59 AM</x:t>
  </x:si>
  <x:si>
    <x:t xml:space="preserve">brian.m.ngunjiri@pwc.com</x:t>
  </x:si>
  <x:si>
    <x:t xml:space="preserve">Melanie Li Wan Cheun (MU)</x:t>
  </x:si>
  <x:si>
    <x:t xml:space="preserve">10/26/26, 8:01:00 AM</x:t>
  </x:si>
  <x:si>
    <x:t xml:space="preserve">2h 6m 7s</x:t>
  </x:si>
  <x:si>
    <x:t xml:space="preserve">melanie.li.wan.cheun@pwc.com</x:t>
  </x:si>
  <x:si>
    <x:t xml:space="preserve">Nilshaad Nowbuth (MU)</x:t>
  </x:si>
  <x:si>
    <x:t xml:space="preserve">10/26/26, 8:01:01 AM</x:t>
  </x:si>
  <x:si>
    <x:t xml:space="preserve">10/26/26, 10:07:40 AM</x:t>
  </x:si>
  <x:si>
    <x:t xml:space="preserve">2h 6m 38s</x:t>
  </x:si>
  <x:si>
    <x:t xml:space="preserve">nilshaad.nowbuth@pwc.com</x:t>
  </x:si>
  <x:si>
    <x:t xml:space="preserve">Jacqueline Moshi (TZ)</x:t>
  </x:si>
  <x:si>
    <x:t xml:space="preserve">10/26/26, 8:01:03 AM</x:t>
  </x:si>
  <x:si>
    <x:t xml:space="preserve">2h 6m 12s</x:t>
  </x:si>
  <x:si>
    <x:t xml:space="preserve">jacqueline.m.moshi@pwc.com</x:t>
  </x:si>
  <x:si>
    <x:t xml:space="preserve">Manisha Chensiah (MU)</x:t>
  </x:si>
  <x:si>
    <x:t xml:space="preserve">10/26/26, 8:01:05 AM</x:t>
  </x:si>
  <x:si>
    <x:t xml:space="preserve">10/26/26, 10:00:08 AM</x:t>
  </x:si>
  <x:si>
    <x:t xml:space="preserve">manisha.c.chensiah@pwc.com</x:t>
  </x:si>
  <x:si>
    <x:t xml:space="preserve">Gavin Thirakaluthy (MU)</x:t>
  </x:si>
  <x:si>
    <x:t xml:space="preserve">10/26/26, 8:01:11 AM</x:t>
  </x:si>
  <x:si>
    <x:t xml:space="preserve">10/26/26, 10:07:53 AM</x:t>
  </x:si>
  <x:si>
    <x:t xml:space="preserve">gavin.x.thirakaluthy@pwc.com</x:t>
  </x:si>
  <x:si>
    <x:t xml:space="preserve">10/26/26, 8:01:12 AM</x:t>
  </x:si>
  <x:si>
    <x:t xml:space="preserve">10/26/26, 10:08:38 AM</x:t>
  </x:si>
  <x:si>
    <x:t xml:space="preserve">Rebecca Chepkoech (RW)</x:t>
  </x:si>
  <x:si>
    <x:t xml:space="preserve">10/26/26, 8:01:14 AM</x:t>
  </x:si>
  <x:si>
    <x:t xml:space="preserve">rebecca.r.chepkoech@pwc.com</x:t>
  </x:si>
  <x:si>
    <x:t xml:space="preserve">Brian Nyangweso (KE)</x:t>
  </x:si>
  <x:si>
    <x:t xml:space="preserve">10/26/26, 8:01:16 AM</x:t>
  </x:si>
  <x:si>
    <x:t xml:space="preserve">2h 6m 8s</x:t>
  </x:si>
  <x:si>
    <x:t xml:space="preserve">brian.nyangweso@pwc.com</x:t>
  </x:si>
  <x:si>
    <x:t xml:space="preserve">Evans Makumba (RW)</x:t>
  </x:si>
  <x:si>
    <x:t xml:space="preserve">10/26/26, 8:01:17 AM</x:t>
  </x:si>
  <x:si>
    <x:t xml:space="preserve">10/26/26, 10:07:22 AM</x:t>
  </x:si>
  <x:si>
    <x:t xml:space="preserve">2h 6m 4s</x:t>
  </x:si>
  <x:si>
    <x:t xml:space="preserve">evans.makumba@pwc.com</x:t>
  </x:si>
  <x:si>
    <x:t xml:space="preserve">Shruti Ramdahin (MU)</x:t>
  </x:si>
  <x:si>
    <x:t xml:space="preserve">10/26/26, 8:01:23 AM</x:t>
  </x:si>
  <x:si>
    <x:t xml:space="preserve">2h 5m 58s</x:t>
  </x:si>
  <x:si>
    <x:t xml:space="preserve">shruti.ramdahin@pwc.com</x:t>
  </x:si>
  <x:si>
    <x:t xml:space="preserve">Mustansir Ebrahimjee (KE)</x:t>
  </x:si>
  <x:si>
    <x:t xml:space="preserve">10/26/26, 8:01:26 AM</x:t>
  </x:si>
  <x:si>
    <x:t xml:space="preserve">10/26/26, 10:53:12 AM</x:t>
  </x:si>
  <x:si>
    <x:t xml:space="preserve">2h 5m 55s</x:t>
  </x:si>
  <x:si>
    <x:t xml:space="preserve">mustansir.ebrahimjee@pwc.com</x:t>
  </x:si>
  <x:si>
    <x:t xml:space="preserve">10/26/26, 8:01:27 AM</x:t>
  </x:si>
  <x:si>
    <x:t xml:space="preserve">10/26/26, 10:25:28 AM</x:t>
  </x:si>
  <x:si>
    <x:t xml:space="preserve">2h 15m 9s</x:t>
  </x:si>
  <x:si>
    <x:t xml:space="preserve">10/26/26, 8:01:32 AM</x:t>
  </x:si>
  <x:si>
    <x:t xml:space="preserve">2h 5m 37s</x:t>
  </x:si>
  <x:si>
    <x:t xml:space="preserve">Housnah Sullimun (MU)</x:t>
  </x:si>
  <x:si>
    <x:t xml:space="preserve">10/26/26, 8:01:40 AM</x:t>
  </x:si>
  <x:si>
    <x:t xml:space="preserve">2h 5m 33s</x:t>
  </x:si>
  <x:si>
    <x:t xml:space="preserve">housnah.sullimun@pwc.com</x:t>
  </x:si>
  <x:si>
    <x:t xml:space="preserve">Mohammedsani Sherefa (KE)</x:t>
  </x:si>
  <x:si>
    <x:t xml:space="preserve">10/26/26, 8:01:41 AM</x:t>
  </x:si>
  <x:si>
    <x:t xml:space="preserve">1h 44m 50s</x:t>
  </x:si>
  <x:si>
    <x:t xml:space="preserve">mohammedsani.sherefa@pwc.com</x:t>
  </x:si>
  <x:si>
    <x:t xml:space="preserve">Ashven Rayapen (MU)</x:t>
  </x:si>
  <x:si>
    <x:t xml:space="preserve">10/26/26, 8:01:44 AM</x:t>
  </x:si>
  <x:si>
    <x:t xml:space="preserve">2h 3m</x:t>
  </x:si>
  <x:si>
    <x:t xml:space="preserve">ashven.rayapen@pwc.com</x:t>
  </x:si>
  <x:si>
    <x:t xml:space="preserve">10/26/26, 10:07:26 AM</x:t>
  </x:si>
  <x:si>
    <x:t xml:space="preserve">1h 57m 11s</x:t>
  </x:si>
  <x:si>
    <x:t xml:space="preserve">Shania Ersapah (MU)</x:t>
  </x:si>
  <x:si>
    <x:t xml:space="preserve">2h 5m 42s</x:t>
  </x:si>
  <x:si>
    <x:t xml:space="preserve">shania.ersapah@pwc.com</x:t>
  </x:si>
  <x:si>
    <x:t xml:space="preserve">Anju Sunnassy (MU)</x:t>
  </x:si>
  <x:si>
    <x:t xml:space="preserve">10/26/26, 8:01:45 AM</x:t>
  </x:si>
  <x:si>
    <x:t xml:space="preserve">10/26/26, 10:07:32 AM</x:t>
  </x:si>
  <x:si>
    <x:t xml:space="preserve">2h 5m 46s</x:t>
  </x:si>
  <x:si>
    <x:t xml:space="preserve">anju.sunnassy@pwc.com</x:t>
  </x:si>
  <x:si>
    <x:t xml:space="preserve">Yashna Kowlessur (MU)</x:t>
  </x:si>
  <x:si>
    <x:t xml:space="preserve">10/26/26, 8:01:51 AM</x:t>
  </x:si>
  <x:si>
    <x:t xml:space="preserve">10/26/26, 10:10:53 AM</x:t>
  </x:si>
  <x:si>
    <x:t xml:space="preserve">2h 9m 1s</x:t>
  </x:si>
  <x:si>
    <x:t xml:space="preserve">yashna.kowlessur@pwc.com</x:t>
  </x:si>
  <x:si>
    <x:t xml:space="preserve">Roumaiy Dookhun (MU)</x:t>
  </x:si>
  <x:si>
    <x:t xml:space="preserve">10/26/26, 8:01:52 AM</x:t>
  </x:si>
  <x:si>
    <x:t xml:space="preserve">10/26/26, 10:07:20 AM</x:t>
  </x:si>
  <x:si>
    <x:t xml:space="preserve">2h 5m 27s</x:t>
  </x:si>
  <x:si>
    <x:t xml:space="preserve">roumaiy.dookhun@pwc.com</x:t>
  </x:si>
  <x:si>
    <x:t xml:space="preserve">Crystel Masson (MU)</x:t>
  </x:si>
  <x:si>
    <x:t xml:space="preserve">2h 5m 25s</x:t>
  </x:si>
  <x:si>
    <x:t xml:space="preserve">crystel.masson@pwc.com</x:t>
  </x:si>
  <x:si>
    <x:t xml:space="preserve">Bertha Pascal (TZ)</x:t>
  </x:si>
  <x:si>
    <x:t xml:space="preserve">10/26/26, 8:01:53 AM</x:t>
  </x:si>
  <x:si>
    <x:t xml:space="preserve">10/26/26, 10:07:58 AM</x:t>
  </x:si>
  <x:si>
    <x:t xml:space="preserve">bertha.p.pascal@pwc.com</x:t>
  </x:si>
  <x:si>
    <x:t xml:space="preserve">Valentine Njeri (KE)</x:t>
  </x:si>
  <x:si>
    <x:t xml:space="preserve">10/26/26, 8:01:58 AM</x:t>
  </x:si>
  <x:si>
    <x:t xml:space="preserve">2h 5m 12s</x:t>
  </x:si>
  <x:si>
    <x:t xml:space="preserve">valentine.n.njeri@pwc.com</x:t>
  </x:si>
  <x:si>
    <x:t xml:space="preserve">Avish Bhurtah (MU)</x:t>
  </x:si>
  <x:si>
    <x:t xml:space="preserve">10/26/26, 10:01:47 AM</x:t>
  </x:si>
  <x:si>
    <x:t xml:space="preserve">1h 58m 7s</x:t>
  </x:si>
  <x:si>
    <x:t xml:space="preserve">avish.b.bhurtah@pwc.com</x:t>
  </x:si>
  <x:si>
    <x:t xml:space="preserve">10/26/26, 8:02:11 AM</x:t>
  </x:si>
  <x:si>
    <x:t xml:space="preserve">10/26/26, 10:11:20 AM</x:t>
  </x:si>
  <x:si>
    <x:t xml:space="preserve">2h 1m 35s</x:t>
  </x:si>
  <x:si>
    <x:t xml:space="preserve">Shakil Maghun (MU)</x:t>
  </x:si>
  <x:si>
    <x:t xml:space="preserve">10/26/26, 8:02:13 AM</x:t>
  </x:si>
  <x:si>
    <x:t xml:space="preserve">2h 5m 1s</x:t>
  </x:si>
  <x:si>
    <x:t xml:space="preserve">shakil.maghun@pwc.com</x:t>
  </x:si>
  <x:si>
    <x:t xml:space="preserve">Samuel Bitwire (UG)</x:t>
  </x:si>
  <x:si>
    <x:t xml:space="preserve">10/26/26, 8:02:19 AM</x:t>
  </x:si>
  <x:si>
    <x:t xml:space="preserve">2h 4m 52s</x:t>
  </x:si>
  <x:si>
    <x:t xml:space="preserve">samuel.bitwire@pwc.com</x:t>
  </x:si>
  <x:si>
    <x:t xml:space="preserve">Natasha Kakokota (ZM)</x:t>
  </x:si>
  <x:si>
    <x:t xml:space="preserve">10/26/26, 8:02:21 AM</x:t>
  </x:si>
  <x:si>
    <x:t xml:space="preserve">10/26/26, 10:07:41 AM</x:t>
  </x:si>
  <x:si>
    <x:t xml:space="preserve">2h 5m 20s</x:t>
  </x:si>
  <x:si>
    <x:t xml:space="preserve">natasha.kakokota@pwc.com</x:t>
  </x:si>
  <x:si>
    <x:t xml:space="preserve">Sharvin Ballah (MU)</x:t>
  </x:si>
  <x:si>
    <x:t xml:space="preserve">10/26/26, 8:02:22 AM</x:t>
  </x:si>
  <x:si>
    <x:t xml:space="preserve">10/26/26, 10:07:27 AM</x:t>
  </x:si>
  <x:si>
    <x:t xml:space="preserve">sharvin.ballah@pwc.com</x:t>
  </x:si>
  <x:si>
    <x:t xml:space="preserve">Shaan Seenundun (MU)</x:t>
  </x:si>
  <x:si>
    <x:t xml:space="preserve">10/26/26, 8:02:23 AM</x:t>
  </x:si>
  <x:si>
    <x:t xml:space="preserve">10/26/26, 10:06:21 AM</x:t>
  </x:si>
  <x:si>
    <x:t xml:space="preserve">2h 3m 58s</x:t>
  </x:si>
  <x:si>
    <x:t xml:space="preserve">shaan.seenundun@pwc.com</x:t>
  </x:si>
  <x:si>
    <x:t xml:space="preserve">Ouwais Allymeeah (MU)</x:t>
  </x:si>
  <x:si>
    <x:t xml:space="preserve">10/26/26, 8:02:27 AM</x:t>
  </x:si>
  <x:si>
    <x:t xml:space="preserve">10/26/26, 10:07:47 AM</x:t>
  </x:si>
  <x:si>
    <x:t xml:space="preserve">2h 5m 19s</x:t>
  </x:si>
  <x:si>
    <x:t xml:space="preserve">ouwais.allymeeah@pwc.com</x:t>
  </x:si>
  <x:si>
    <x:t xml:space="preserve">Angelah Mumbia (KE)</x:t>
  </x:si>
  <x:si>
    <x:t xml:space="preserve">10/26/26, 8:02:32 AM</x:t>
  </x:si>
  <x:si>
    <x:t xml:space="preserve">10/26/26, 10:08:57 AM</x:t>
  </x:si>
  <x:si>
    <x:t xml:space="preserve">1h 58m 38s</x:t>
  </x:si>
  <x:si>
    <x:t xml:space="preserve">angelah.mumbia@pwc.com</x:t>
  </x:si>
  <x:si>
    <x:t xml:space="preserve">Devesh Keerpah (MU)</x:t>
  </x:si>
  <x:si>
    <x:t xml:space="preserve">10/26/26, 8:02:34 AM</x:t>
  </x:si>
  <x:si>
    <x:t xml:space="preserve">2h 4m 40s</x:t>
  </x:si>
  <x:si>
    <x:t xml:space="preserve">devesh.keerpah@pwc.com</x:t>
  </x:si>
  <x:si>
    <x:t xml:space="preserve">Rhoda Irungu (KE)</x:t>
  </x:si>
  <x:si>
    <x:t xml:space="preserve">10/26/26, 8:02:38 AM</x:t>
  </x:si>
  <x:si>
    <x:t xml:space="preserve">10/26/26, 10:06:42 AM</x:t>
  </x:si>
  <x:si>
    <x:t xml:space="preserve">2h 4m 3s</x:t>
  </x:si>
  <x:si>
    <x:t xml:space="preserve">rhoda.irungu@pwc.com</x:t>
  </x:si>
  <x:si>
    <x:t xml:space="preserve">Brian Ogoti (KE)</x:t>
  </x:si>
  <x:si>
    <x:t xml:space="preserve">10/26/26, 8:02:50 AM</x:t>
  </x:si>
  <x:si>
    <x:t xml:space="preserve">10/26/26, 8:12:27 AM</x:t>
  </x:si>
  <x:si>
    <x:t xml:space="preserve">brian.ogoti@pwc.com</x:t>
  </x:si>
  <x:si>
    <x:t xml:space="preserve">Hadija Chivugo (TZ)</x:t>
  </x:si>
  <x:si>
    <x:t xml:space="preserve">10/26/26, 8:02:54 AM</x:t>
  </x:si>
  <x:si>
    <x:t xml:space="preserve">1h 42m 57s</x:t>
  </x:si>
  <x:si>
    <x:t xml:space="preserve">hadija.chivugo@pwc.com</x:t>
  </x:si>
  <x:si>
    <x:t xml:space="preserve">Benson Okundi (KE)</x:t>
  </x:si>
  <x:si>
    <x:t xml:space="preserve">2h 2m</x:t>
  </x:si>
  <x:si>
    <x:t xml:space="preserve">benson.okundi@pwc.com</x:t>
  </x:si>
  <x:si>
    <x:t xml:space="preserve">Anthony Njeeh (RW)</x:t>
  </x:si>
  <x:si>
    <x:t xml:space="preserve">10/26/26, 8:02:56 AM</x:t>
  </x:si>
  <x:si>
    <x:t xml:space="preserve">anthony.k.njeeh@pwc.com</x:t>
  </x:si>
  <x:si>
    <x:t xml:space="preserve">Sipiwe Dube (ZM)</x:t>
  </x:si>
  <x:si>
    <x:t xml:space="preserve">10/26/26, 8:02:58 AM</x:t>
  </x:si>
  <x:si>
    <x:t xml:space="preserve">2h 4m 24s</x:t>
  </x:si>
  <x:si>
    <x:t xml:space="preserve">sipiwe.dube@pwc.com</x:t>
  </x:si>
  <x:si>
    <x:t xml:space="preserve">Vivek Allan (MU)</x:t>
  </x:si>
  <x:si>
    <x:t xml:space="preserve">10/26/26, 8:03:00 AM</x:t>
  </x:si>
  <x:si>
    <x:t xml:space="preserve">10/26/26, 10:47:16 AM</x:t>
  </x:si>
  <x:si>
    <x:t xml:space="preserve">1h 52m 56s</x:t>
  </x:si>
  <x:si>
    <x:t xml:space="preserve">vivek.allan@pwc.com</x:t>
  </x:si>
  <x:si>
    <x:t xml:space="preserve">Sofia Hauroo (MU)</x:t>
  </x:si>
  <x:si>
    <x:t xml:space="preserve">10/26/26, 8:03:05 AM</x:t>
  </x:si>
  <x:si>
    <x:t xml:space="preserve">10/26/26, 8:27:09 AM</x:t>
  </x:si>
  <x:si>
    <x:t xml:space="preserve">24m 3s</x:t>
  </x:si>
  <x:si>
    <x:t xml:space="preserve">sofia.hauroo@pwc.com</x:t>
  </x:si>
  <x:si>
    <x:t xml:space="preserve">Flavia Kaluba (ZM)</x:t>
  </x:si>
  <x:si>
    <x:t xml:space="preserve">10/26/26, 8:03:08 AM</x:t>
  </x:si>
  <x:si>
    <x:t xml:space="preserve">10/26/26, 10:08:09 AM</x:t>
  </x:si>
  <x:si>
    <x:t xml:space="preserve">2h 2m 45s</x:t>
  </x:si>
  <x:si>
    <x:t xml:space="preserve">flavia.kaluba@pwc.com</x:t>
  </x:si>
  <x:si>
    <x:t xml:space="preserve">Victoria Titus (KE)</x:t>
  </x:si>
  <x:si>
    <x:t xml:space="preserve">10/26/26, 8:03:16 AM</x:t>
  </x:si>
  <x:si>
    <x:t xml:space="preserve">2h 4m 7s</x:t>
  </x:si>
  <x:si>
    <x:t xml:space="preserve">victoria.titus@pwc.com</x:t>
  </x:si>
  <x:si>
    <x:t xml:space="preserve">10/26/26, 8:03:22 AM</x:t>
  </x:si>
  <x:si>
    <x:t xml:space="preserve">2h 3m 9s</x:t>
  </x:si>
  <x:si>
    <x:t xml:space="preserve">Mansi Jeewooth (MU)</x:t>
  </x:si>
  <x:si>
    <x:t xml:space="preserve">10/26/26, 8:03:24 AM</x:t>
  </x:si>
  <x:si>
    <x:t xml:space="preserve">10/26/26, 10:07:54 AM</x:t>
  </x:si>
  <x:si>
    <x:t xml:space="preserve">1h 56m 45s</x:t>
  </x:si>
  <x:si>
    <x:t xml:space="preserve">mansi.jeewooth@pwc.com</x:t>
  </x:si>
  <x:si>
    <x:t xml:space="preserve">Francisco Mulwana (UG)</x:t>
  </x:si>
  <x:si>
    <x:t xml:space="preserve">10/26/26, 8:03:25 AM</x:t>
  </x:si>
  <x:si>
    <x:t xml:space="preserve">10/26/26, 10:08:20 AM</x:t>
  </x:si>
  <x:si>
    <x:t xml:space="preserve">2h 2m 48s</x:t>
  </x:si>
  <x:si>
    <x:t xml:space="preserve">francisco.mulwana@pwc.com</x:t>
  </x:si>
  <x:si>
    <x:t xml:space="preserve">Dinesh Lutchmun (MU)</x:t>
  </x:si>
  <x:si>
    <x:t xml:space="preserve">10/26/26, 10:08:52 AM</x:t>
  </x:si>
  <x:si>
    <x:t xml:space="preserve">1h 49m 3s</x:t>
  </x:si>
  <x:si>
    <x:t xml:space="preserve">dinesh.lutchmun@pwc.com</x:t>
  </x:si>
  <x:si>
    <x:t xml:space="preserve">Pallavee Narrainen (MU)</x:t>
  </x:si>
  <x:si>
    <x:t xml:space="preserve">10/26/26, 8:03:30 AM</x:t>
  </x:si>
  <x:si>
    <x:t xml:space="preserve">10/26/26, 10:08:25 AM</x:t>
  </x:si>
  <x:si>
    <x:t xml:space="preserve">2h 4m 55s</x:t>
  </x:si>
  <x:si>
    <x:t xml:space="preserve">pallavee.narrainen@pwc.com</x:t>
  </x:si>
  <x:si>
    <x:t xml:space="preserve">Newton Orengeje (UG)</x:t>
  </x:si>
  <x:si>
    <x:t xml:space="preserve">10/26/26, 8:03:38 AM</x:t>
  </x:si>
  <x:si>
    <x:t xml:space="preserve">2h 3m 45s</x:t>
  </x:si>
  <x:si>
    <x:t xml:space="preserve">newton.orengeje@pwc.com</x:t>
  </x:si>
  <x:si>
    <x:t xml:space="preserve">10/26/26, 8:03:41 AM</x:t>
  </x:si>
  <x:si>
    <x:t xml:space="preserve">10/26/26, 10:14:45 AM</x:t>
  </x:si>
  <x:si>
    <x:t xml:space="preserve">Mirriam Muatha (KE)</x:t>
  </x:si>
  <x:si>
    <x:t xml:space="preserve">10/26/26, 10:12:06 AM</x:t>
  </x:si>
  <x:si>
    <x:t xml:space="preserve">2h 8m 25s</x:t>
  </x:si>
  <x:si>
    <x:t xml:space="preserve">mirriam.muatha@pwc.com</x:t>
  </x:si>
  <x:si>
    <x:t xml:space="preserve">Mario Li (MU)</x:t>
  </x:si>
  <x:si>
    <x:t xml:space="preserve">10/26/26, 8:03:50 AM</x:t>
  </x:si>
  <x:si>
    <x:t xml:space="preserve">10/26/26, 10:07:29 AM</x:t>
  </x:si>
  <x:si>
    <x:t xml:space="preserve">2h 3m 39s</x:t>
  </x:si>
  <x:si>
    <x:t xml:space="preserve">mario.li@pwc.com</x:t>
  </x:si>
  <x:si>
    <x:t xml:space="preserve">2h 3m 28s</x:t>
  </x:si>
  <x:si>
    <x:t xml:space="preserve">Amisha Gunputh (MU)</x:t>
  </x:si>
  <x:si>
    <x:t xml:space="preserve">10/26/26, 8:03:51 AM</x:t>
  </x:si>
  <x:si>
    <x:t xml:space="preserve">amisha.gunputh@pwc.com</x:t>
  </x:si>
  <x:si>
    <x:t xml:space="preserve">Gloria Kirungi (UG)</x:t>
  </x:si>
  <x:si>
    <x:t xml:space="preserve">10/26/26, 8:03:52 AM</x:t>
  </x:si>
  <x:si>
    <x:t xml:space="preserve">2h 3m 22s</x:t>
  </x:si>
  <x:si>
    <x:t xml:space="preserve">gloria.kirungi@pwc.com</x:t>
  </x:si>
  <x:si>
    <x:t xml:space="preserve">Elisha Jairo (TZ)</x:t>
  </x:si>
  <x:si>
    <x:t xml:space="preserve">10/26/26, 8:03:56 AM</x:t>
  </x:si>
  <x:si>
    <x:t xml:space="preserve">10/26/26, 9:59:58 AM</x:t>
  </x:si>
  <x:si>
    <x:t xml:space="preserve">1h 56m 2s</x:t>
  </x:si>
  <x:si>
    <x:t xml:space="preserve">elisha.jairo@pwc.com</x:t>
  </x:si>
  <x:si>
    <x:t xml:space="preserve">Faith Makori (KE)</x:t>
  </x:si>
  <x:si>
    <x:t xml:space="preserve">10/26/26, 8:03:57 AM</x:t>
  </x:si>
  <x:si>
    <x:t xml:space="preserve">10/26/26, 10:07:52 AM</x:t>
  </x:si>
  <x:si>
    <x:t xml:space="preserve">2h 3m 55s</x:t>
  </x:si>
  <x:si>
    <x:t xml:space="preserve">faith.makori@pwc.com</x:t>
  </x:si>
  <x:si>
    <x:t xml:space="preserve">Esha Ramsamy (MU)</x:t>
  </x:si>
  <x:si>
    <x:t xml:space="preserve">10/26/26, 8:04:01 AM</x:t>
  </x:si>
  <x:si>
    <x:t xml:space="preserve">2h 3m 18s</x:t>
  </x:si>
  <x:si>
    <x:t xml:space="preserve">esha.ramsamy@pwc.com</x:t>
  </x:si>
  <x:si>
    <x:t xml:space="preserve">Preksha Russeean (MU)</x:t>
  </x:si>
  <x:si>
    <x:t xml:space="preserve">10/26/26, 8:04:05 AM</x:t>
  </x:si>
  <x:si>
    <x:t xml:space="preserve">2h 3m 20s</x:t>
  </x:si>
  <x:si>
    <x:t xml:space="preserve">preksha.russeean@pwc.com</x:t>
  </x:si>
  <x:si>
    <x:t xml:space="preserve">10/26/26, 8:43:07 AM</x:t>
  </x:si>
  <x:si>
    <x:t xml:space="preserve">39m 1s</x:t>
  </x:si>
  <x:si>
    <x:t xml:space="preserve">Successful Amani (TZ)</x:t>
  </x:si>
  <x:si>
    <x:t xml:space="preserve">10/26/26, 8:04:11 AM</x:t>
  </x:si>
  <x:si>
    <x:t xml:space="preserve">10/26/26, 10:07:35 AM</x:t>
  </x:si>
  <x:si>
    <x:t xml:space="preserve">2h 3m 23s</x:t>
  </x:si>
  <x:si>
    <x:t xml:space="preserve">successful.amani@pwc.com</x:t>
  </x:si>
  <x:si>
    <x:t xml:space="preserve">Uthman Mayanja (UG)</x:t>
  </x:si>
  <x:si>
    <x:t xml:space="preserve">10/26/26, 8:04:18 AM</x:t>
  </x:si>
  <x:si>
    <x:t xml:space="preserve">10/26/26, 10:31:25 AM</x:t>
  </x:si>
  <x:si>
    <x:t xml:space="preserve">2h 27m 7s</x:t>
  </x:si>
  <x:si>
    <x:t xml:space="preserve">uthman.mayanja@pwc.com</x:t>
  </x:si>
  <x:si>
    <x:t xml:space="preserve">Homeshwaree Chaytoo (MU)</x:t>
  </x:si>
  <x:si>
    <x:t xml:space="preserve">10/26/26, 8:04:24 AM</x:t>
  </x:si>
  <x:si>
    <x:t xml:space="preserve">10/26/26, 9:48:15 AM</x:t>
  </x:si>
  <x:si>
    <x:t xml:space="preserve">1h 38m 37s</x:t>
  </x:si>
  <x:si>
    <x:t xml:space="preserve">homeshwaree.chaytoo@pwc.com</x:t>
  </x:si>
  <x:si>
    <x:t xml:space="preserve">Keziah Muchiri (KE)</x:t>
  </x:si>
  <x:si>
    <x:t xml:space="preserve">10/26/26, 8:04:28 AM</x:t>
  </x:si>
  <x:si>
    <x:t xml:space="preserve">1h 53m 7s</x:t>
  </x:si>
  <x:si>
    <x:t xml:space="preserve">keziah.muchiri@pwc.com</x:t>
  </x:si>
  <x:si>
    <x:t xml:space="preserve">10/26/26, 8:04:30 AM</x:t>
  </x:si>
  <x:si>
    <x:t xml:space="preserve">2h 2m 55s</x:t>
  </x:si>
  <x:si>
    <x:t xml:space="preserve">10/26/26, 8:04:39 AM</x:t>
  </x:si>
  <x:si>
    <x:t xml:space="preserve">Elizabeth Kway (TZ)</x:t>
  </x:si>
  <x:si>
    <x:t xml:space="preserve">10/26/26, 8:04:46 AM</x:t>
  </x:si>
  <x:si>
    <x:t xml:space="preserve">2h 2m 33s</x:t>
  </x:si>
  <x:si>
    <x:t xml:space="preserve">elizabeth.kway@pwc.com</x:t>
  </x:si>
  <x:si>
    <x:t xml:space="preserve">Andrew Musyimi (KE)</x:t>
  </x:si>
  <x:si>
    <x:t xml:space="preserve">10/26/26, 8:04:48 AM</x:t>
  </x:si>
  <x:si>
    <x:t xml:space="preserve">andrew.musyimi@pwc.com</x:t>
  </x:si>
  <x:si>
    <x:t xml:space="preserve">Lawrence Macharia (KE)</x:t>
  </x:si>
  <x:si>
    <x:t xml:space="preserve">10/26/26, 8:04:53 AM</x:t>
  </x:si>
  <x:si>
    <x:t xml:space="preserve">10/26/26, 10:22:44 AM</x:t>
  </x:si>
  <x:si>
    <x:t xml:space="preserve">1h 54m 24s</x:t>
  </x:si>
  <x:si>
    <x:t xml:space="preserve">lawrence.macharia@pwc.com</x:t>
  </x:si>
  <x:si>
    <x:t xml:space="preserve">10/26/26, 8:04:54 AM</x:t>
  </x:si>
  <x:si>
    <x:t xml:space="preserve">10/26/26, 10:11:10 AM</x:t>
  </x:si>
  <x:si>
    <x:t xml:space="preserve">2h 1m 8s</x:t>
  </x:si>
  <x:si>
    <x:t xml:space="preserve">Stella Githinji (KE)</x:t>
  </x:si>
  <x:si>
    <x:t xml:space="preserve">10/26/26, 8:04:57 AM</x:t>
  </x:si>
  <x:si>
    <x:t xml:space="preserve">2h 2m 24s</x:t>
  </x:si>
  <x:si>
    <x:t xml:space="preserve">stella.githinji@pwc.com</x:t>
  </x:si>
  <x:si>
    <x:t xml:space="preserve">Melvin Xavier (ZM)</x:t>
  </x:si>
  <x:si>
    <x:t xml:space="preserve">10/26/26, 10:07:46 AM</x:t>
  </x:si>
  <x:si>
    <x:t xml:space="preserve">1h 29m 6s</x:t>
  </x:si>
  <x:si>
    <x:t xml:space="preserve">melvin.xavier@pwc.com</x:t>
  </x:si>
  <x:si>
    <x:t xml:space="preserve">Zaynah Burkuth (MU)</x:t>
  </x:si>
  <x:si>
    <x:t xml:space="preserve">10/26/26, 8:05:09 AM</x:t>
  </x:si>
  <x:si>
    <x:t xml:space="preserve">10/26/26, 10:10:03 AM</x:t>
  </x:si>
  <x:si>
    <x:t xml:space="preserve">2h 4m 54s</x:t>
  </x:si>
  <x:si>
    <x:t xml:space="preserve">zaynah.z.burkuth@pwc.com</x:t>
  </x:si>
  <x:si>
    <x:t xml:space="preserve">Gillian Elwor (UG)</x:t>
  </x:si>
  <x:si>
    <x:t xml:space="preserve">10/26/26, 8:05:12 AM</x:t>
  </x:si>
  <x:si>
    <x:t xml:space="preserve">2h 2m 22s</x:t>
  </x:si>
  <x:si>
    <x:t xml:space="preserve">gillian.elwor@pwc.com</x:t>
  </x:si>
  <x:si>
    <x:t xml:space="preserve">10/26/26, 8:05:17 AM</x:t>
  </x:si>
  <x:si>
    <x:t xml:space="preserve">10/26/26, 10:23:06 AM</x:t>
  </x:si>
  <x:si>
    <x:t xml:space="preserve">2h 17m 49s</x:t>
  </x:si>
  <x:si>
    <x:t xml:space="preserve">Obed Manunshu (TZ)</x:t>
  </x:si>
  <x:si>
    <x:t xml:space="preserve">10/26/26, 8:05:19 AM</x:t>
  </x:si>
  <x:si>
    <x:t xml:space="preserve">2h 2m 3s</x:t>
  </x:si>
  <x:si>
    <x:t xml:space="preserve">obed.manunshu@pwc.com</x:t>
  </x:si>
  <x:si>
    <x:t xml:space="preserve">10/26/26, 8:05:30 AM</x:t>
  </x:si>
  <x:si>
    <x:t xml:space="preserve">10/26/26, 9:30:45 AM</x:t>
  </x:si>
  <x:si>
    <x:t xml:space="preserve">Ridhiwani Mohammed (TZ)</x:t>
  </x:si>
  <x:si>
    <x:t xml:space="preserve">10/26/26, 8:05:36 AM</x:t>
  </x:si>
  <x:si>
    <x:t xml:space="preserve">2h 1m 45s</x:t>
  </x:si>
  <x:si>
    <x:t xml:space="preserve">ridhiwani.mohammed@pwc.com</x:t>
  </x:si>
  <x:si>
    <x:t xml:space="preserve">Lena Odara (TZ)</x:t>
  </x:si>
  <x:si>
    <x:t xml:space="preserve">1h 57m 58s</x:t>
  </x:si>
  <x:si>
    <x:t xml:space="preserve">lena.o.odara@pwc.com</x:t>
  </x:si>
  <x:si>
    <x:t xml:space="preserve">George Mukupa (ZM)</x:t>
  </x:si>
  <x:si>
    <x:t xml:space="preserve">10/26/26, 8:05:38 AM</x:t>
  </x:si>
  <x:si>
    <x:t xml:space="preserve">2h 1m 36s</x:t>
  </x:si>
  <x:si>
    <x:t xml:space="preserve">george.mukupa@pwc.com</x:t>
  </x:si>
  <x:si>
    <x:t xml:space="preserve">Susan Namwanje (UG)</x:t>
  </x:si>
  <x:si>
    <x:t xml:space="preserve">10/26/26, 8:05:39 AM</x:t>
  </x:si>
  <x:si>
    <x:t xml:space="preserve">10/26/26, 10:20:03 AM</x:t>
  </x:si>
  <x:si>
    <x:t xml:space="preserve">2h 12m 32s</x:t>
  </x:si>
  <x:si>
    <x:t xml:space="preserve">susan.namwanje@pwc.com</x:t>
  </x:si>
  <x:si>
    <x:t xml:space="preserve">Christophe Fok King (MU)</x:t>
  </x:si>
  <x:si>
    <x:t xml:space="preserve">10/26/26, 8:05:47 AM</x:t>
  </x:si>
  <x:si>
    <x:t xml:space="preserve">2h 1m 47s</x:t>
  </x:si>
  <x:si>
    <x:t xml:space="preserve">christophe.fok.king@pwc.com</x:t>
  </x:si>
  <x:si>
    <x:t xml:space="preserve">Kioko Nzuki (KE)</x:t>
  </x:si>
  <x:si>
    <x:t xml:space="preserve">10/26/26, 8:05:48 AM</x:t>
  </x:si>
  <x:si>
    <x:t xml:space="preserve">10/26/26, 9:37:41 AM</x:t>
  </x:si>
  <x:si>
    <x:t xml:space="preserve">53m 9s</x:t>
  </x:si>
  <x:si>
    <x:t xml:space="preserve">kioko.nzuki@pwc.com</x:t>
  </x:si>
  <x:si>
    <x:t xml:space="preserve">10/26/26, 8:20:37 AM</x:t>
  </x:si>
  <x:si>
    <x:t xml:space="preserve">14m 49s</x:t>
  </x:si>
  <x:si>
    <x:t xml:space="preserve">Nelson Msuya (TZ)</x:t>
  </x:si>
  <x:si>
    <x:t xml:space="preserve">10/26/26, 8:05:51 AM</x:t>
  </x:si>
  <x:si>
    <x:t xml:space="preserve">1h 49m 41s</x:t>
  </x:si>
  <x:si>
    <x:t xml:space="preserve">nelson.msuya@pwc.com</x:t>
  </x:si>
  <x:si>
    <x:t xml:space="preserve">10/26/26, 8:05:58 AM</x:t>
  </x:si>
  <x:si>
    <x:t xml:space="preserve">10/26/26, 10:00:11 AM</x:t>
  </x:si>
  <x:si>
    <x:t xml:space="preserve">1h 54m 13s</x:t>
  </x:si>
  <x:si>
    <x:t xml:space="preserve">Bellonce Nyambura (KE)</x:t>
  </x:si>
  <x:si>
    <x:t xml:space="preserve">10/26/26, 8:05:59 AM</x:t>
  </x:si>
  <x:si>
    <x:t xml:space="preserve">10/26/26, 10:12:51 AM</x:t>
  </x:si>
  <x:si>
    <x:t xml:space="preserve">bellonce.nyambura@pwc.com</x:t>
  </x:si>
  <x:si>
    <x:t xml:space="preserve">Heather Tirikwel (KE)</x:t>
  </x:si>
  <x:si>
    <x:t xml:space="preserve">10/26/26, 8:06:14 AM</x:t>
  </x:si>
  <x:si>
    <x:t xml:space="preserve">10/26/26, 10:10:24 AM</x:t>
  </x:si>
  <x:si>
    <x:t xml:space="preserve">1h 9m 49s</x:t>
  </x:si>
  <x:si>
    <x:t xml:space="preserve">heather.tirikwel@pwc.com</x:t>
  </x:si>
  <x:si>
    <x:t xml:space="preserve">Wambui Gitau (KE)</x:t>
  </x:si>
  <x:si>
    <x:t xml:space="preserve">10/26/26, 8:06:16 AM</x:t>
  </x:si>
  <x:si>
    <x:t xml:space="preserve">10/26/26, 8:12:34 AM</x:t>
  </x:si>
  <x:si>
    <x:t xml:space="preserve">4m 22s</x:t>
  </x:si>
  <x:si>
    <x:t xml:space="preserve">wambui.gitau@pwc.com</x:t>
  </x:si>
  <x:si>
    <x:t xml:space="preserve">Rune Arnold (TZ)</x:t>
  </x:si>
  <x:si>
    <x:t xml:space="preserve">10/26/26, 8:06:30 AM</x:t>
  </x:si>
  <x:si>
    <x:t xml:space="preserve">2h 38s</x:t>
  </x:si>
  <x:si>
    <x:t xml:space="preserve">rune.arnold@pwc.com</x:t>
  </x:si>
  <x:si>
    <x:t xml:space="preserve">Clive Mayombwe (UG)</x:t>
  </x:si>
  <x:si>
    <x:t xml:space="preserve">10/26/26, 8:06:34 AM</x:t>
  </x:si>
  <x:si>
    <x:t xml:space="preserve">2h 36s</x:t>
  </x:si>
  <x:si>
    <x:t xml:space="preserve">clive.mayombwe@pwc.com</x:t>
  </x:si>
  <x:si>
    <x:t xml:space="preserve">Margaret Akinyi (KE)</x:t>
  </x:si>
  <x:si>
    <x:t xml:space="preserve">10/26/26, 8:06:51 AM</x:t>
  </x:si>
  <x:si>
    <x:t xml:space="preserve">1h 1m 29s</x:t>
  </x:si>
  <x:si>
    <x:t xml:space="preserve">margaret.akinyi@pwc.com</x:t>
  </x:si>
  <x:si>
    <x:t xml:space="preserve">Benard Thiong'o (KE)</x:t>
  </x:si>
  <x:si>
    <x:t xml:space="preserve">10/26/26, 8:06:52 AM</x:t>
  </x:si>
  <x:si>
    <x:t xml:space="preserve">benard.thiongo@pwc.com</x:t>
  </x:si>
  <x:si>
    <x:t xml:space="preserve">10/26/26, 8:07:00 AM</x:t>
  </x:si>
  <x:si>
    <x:t xml:space="preserve">10/26/26, 11:03:31 AM</x:t>
  </x:si>
  <x:si>
    <x:t xml:space="preserve">2h 56m 31s</x:t>
  </x:si>
  <x:si>
    <x:t xml:space="preserve">Joseph Temu (TZ)</x:t>
  </x:si>
  <x:si>
    <x:t xml:space="preserve">10/26/26, 8:07:09 AM</x:t>
  </x:si>
  <x:si>
    <x:t xml:space="preserve">1h 49m 31s</x:t>
  </x:si>
  <x:si>
    <x:t xml:space="preserve">joseph.temu@pwc.com</x:t>
  </x:si>
  <x:si>
    <x:t xml:space="preserve">Rachel Mduma (TZ)</x:t>
  </x:si>
  <x:si>
    <x:t xml:space="preserve">10/26/26, 8:07:11 AM</x:t>
  </x:si>
  <x:si>
    <x:t xml:space="preserve">10/26/26, 8:27:37 AM</x:t>
  </x:si>
  <x:si>
    <x:t xml:space="preserve">20m 25s</x:t>
  </x:si>
  <x:si>
    <x:t xml:space="preserve">rachel.mduma@pwc.com</x:t>
  </x:si>
  <x:si>
    <x:t xml:space="preserve">Ampumuza Mmukunda (UG)</x:t>
  </x:si>
  <x:si>
    <x:t xml:space="preserve">10/26/26, 8:07:12 AM</x:t>
  </x:si>
  <x:si>
    <x:t xml:space="preserve">10/26/26, 10:07:43 AM</x:t>
  </x:si>
  <x:si>
    <x:t xml:space="preserve">2h 30s</x:t>
  </x:si>
  <x:si>
    <x:t xml:space="preserve">ampumuza.mmukunda@pwc.com</x:t>
  </x:si>
  <x:si>
    <x:t xml:space="preserve">Mwiya Mwiya (ZM)</x:t>
  </x:si>
  <x:si>
    <x:t xml:space="preserve">10/26/26, 8:07:16 AM</x:t>
  </x:si>
  <x:si>
    <x:t xml:space="preserve">10/26/26, 10:07:34 AM</x:t>
  </x:si>
  <x:si>
    <x:t xml:space="preserve">mwiya.mwiya@pwc.com</x:t>
  </x:si>
  <x:si>
    <x:t xml:space="preserve">Edwin Odhiambo (KE)</x:t>
  </x:si>
  <x:si>
    <x:t xml:space="preserve">10/26/26, 11:46:47 AM</x:t>
  </x:si>
  <x:si>
    <x:t xml:space="preserve">37m 36s</x:t>
  </x:si>
  <x:si>
    <x:t xml:space="preserve">edwin.odhiambo@pwc.com</x:t>
  </x:si>
  <x:si>
    <x:t xml:space="preserve">Veeloshini Kisto (MU)</x:t>
  </x:si>
  <x:si>
    <x:t xml:space="preserve">10/26/26, 8:07:19 AM</x:t>
  </x:si>
  <x:si>
    <x:t xml:space="preserve">2h</x:t>
  </x:si>
  <x:si>
    <x:t xml:space="preserve">veeloshini.kisto@pwc.com</x:t>
  </x:si>
  <x:si>
    <x:t xml:space="preserve">Flavian Atieno (KE)</x:t>
  </x:si>
  <x:si>
    <x:t xml:space="preserve">10/26/26, 8:07:21 AM</x:t>
  </x:si>
  <x:si>
    <x:t xml:space="preserve">2h 25s</x:t>
  </x:si>
  <x:si>
    <x:t xml:space="preserve">flavian.atieno@pwc.com</x:t>
  </x:si>
  <x:si>
    <x:t xml:space="preserve">Sylvia Keter (KE)</x:t>
  </x:si>
  <x:si>
    <x:t xml:space="preserve">10/26/26, 8:07:24 AM</x:t>
  </x:si>
  <x:si>
    <x:t xml:space="preserve">10/26/26, 8:36:30 AM</x:t>
  </x:si>
  <x:si>
    <x:t xml:space="preserve">17m</x:t>
  </x:si>
  <x:si>
    <x:t xml:space="preserve">sylvia.keter@pwc.com</x:t>
  </x:si>
  <x:si>
    <x:t xml:space="preserve">Grace Nalwanga (UG)</x:t>
  </x:si>
  <x:si>
    <x:t xml:space="preserve">10/26/26, 9:57:28 AM</x:t>
  </x:si>
  <x:si>
    <x:t xml:space="preserve">1h 46m 54s</x:t>
  </x:si>
  <x:si>
    <x:t xml:space="preserve">grace.nalwanga@pwc.com</x:t>
  </x:si>
  <x:si>
    <x:t xml:space="preserve">Baraka Pallangyo (TZ)</x:t>
  </x:si>
  <x:si>
    <x:t xml:space="preserve">10/26/26, 8:07:31 AM</x:t>
  </x:si>
  <x:si>
    <x:t xml:space="preserve">10/26/26, 10:11:16 AM</x:t>
  </x:si>
  <x:si>
    <x:t xml:space="preserve">baraka.p.pallangyo@pwc.com</x:t>
  </x:si>
  <x:si>
    <x:t xml:space="preserve">Sania Pooloo (MU)</x:t>
  </x:si>
  <x:si>
    <x:t xml:space="preserve">10/26/26, 8:07:34 AM</x:t>
  </x:si>
  <x:si>
    <x:t xml:space="preserve">2h 35s</x:t>
  </x:si>
  <x:si>
    <x:t xml:space="preserve">sania.pooloo@pwc.com</x:t>
  </x:si>
  <x:si>
    <x:t xml:space="preserve">Neema Shayo (KE)</x:t>
  </x:si>
  <x:si>
    <x:t xml:space="preserve">10/26/26, 10:02:51 AM</x:t>
  </x:si>
  <x:si>
    <x:t xml:space="preserve">1h 52m 17s</x:t>
  </x:si>
  <x:si>
    <x:t xml:space="preserve">neema.shayo@pwc.com</x:t>
  </x:si>
  <x:si>
    <x:t xml:space="preserve">10/26/26, 8:07:36 AM</x:t>
  </x:si>
  <x:si>
    <x:t xml:space="preserve">10/26/26, 10:00:02 AM</x:t>
  </x:si>
  <x:si>
    <x:t xml:space="preserve">1h 52m 26s</x:t>
  </x:si>
  <x:si>
    <x:t xml:space="preserve">Jeremiah Ruita (KE)</x:t>
  </x:si>
  <x:si>
    <x:t xml:space="preserve">10/26/26, 8:07:48 AM</x:t>
  </x:si>
  <x:si>
    <x:t xml:space="preserve">1h 59m 22s</x:t>
  </x:si>
  <x:si>
    <x:t xml:space="preserve">jeremiah.ruita@pwc.com</x:t>
  </x:si>
  <x:si>
    <x:t xml:space="preserve">Fatimah Junggee (MU)</x:t>
  </x:si>
  <x:si>
    <x:t xml:space="preserve">10/26/26, 8:08:02 AM</x:t>
  </x:si>
  <x:si>
    <x:t xml:space="preserve">10/26/26, 10:00:44 AM</x:t>
  </x:si>
  <x:si>
    <x:t xml:space="preserve">1h 16m 53s</x:t>
  </x:si>
  <x:si>
    <x:t xml:space="preserve">fatimah.j.junggee@pwc.com</x:t>
  </x:si>
  <x:si>
    <x:t xml:space="preserve">10/26/26, 8:08:08 AM</x:t>
  </x:si>
  <x:si>
    <x:t xml:space="preserve">1h 59m 1s</x:t>
  </x:si>
  <x:si>
    <x:t xml:space="preserve">10/26/26, 8:08:12 AM</x:t>
  </x:si>
  <x:si>
    <x:t xml:space="preserve">Priscilla Mirembe (UG)</x:t>
  </x:si>
  <x:si>
    <x:t xml:space="preserve">10/26/26, 8:08:24 AM</x:t>
  </x:si>
  <x:si>
    <x:t xml:space="preserve">1h 59m 19s</x:t>
  </x:si>
  <x:si>
    <x:t xml:space="preserve">priscilla.mirembe@pwc.com</x:t>
  </x:si>
  <x:si>
    <x:t xml:space="preserve">Oscar Malogo (TZ)</x:t>
  </x:si>
  <x:si>
    <x:t xml:space="preserve">10/26/26, 8:08:27 AM</x:t>
  </x:si>
  <x:si>
    <x:t xml:space="preserve">1h 9m 28s</x:t>
  </x:si>
  <x:si>
    <x:t xml:space="preserve">oscar.malogo@pwc.com</x:t>
  </x:si>
  <x:si>
    <x:t xml:space="preserve">Annah Mwikali (KE)</x:t>
  </x:si>
  <x:si>
    <x:t xml:space="preserve">10/26/26, 8:08:33 AM</x:t>
  </x:si>
  <x:si>
    <x:t xml:space="preserve">10/26/26, 10:09:19 AM</x:t>
  </x:si>
  <x:si>
    <x:t xml:space="preserve">1h 59m 38s</x:t>
  </x:si>
  <x:si>
    <x:t xml:space="preserve">annah.mwikali@pwc.com</x:t>
  </x:si>
  <x:si>
    <x:t xml:space="preserve">Emily Cheong Nam Kwong (MU)</x:t>
  </x:si>
  <x:si>
    <x:t xml:space="preserve">10/26/26, 8:08:40 AM</x:t>
  </x:si>
  <x:si>
    <x:t xml:space="preserve">1h 58m 34s</x:t>
  </x:si>
  <x:si>
    <x:t xml:space="preserve">emily.cheong.nam.kwong@pwc.com</x:t>
  </x:si>
  <x:si>
    <x:t xml:space="preserve">Victoria Mihayo (TZ)</x:t>
  </x:si>
  <x:si>
    <x:t xml:space="preserve">10/26/26, 8:08:42 AM</x:t>
  </x:si>
  <x:si>
    <x:t xml:space="preserve">10/26/26, 9:34:02 AM</x:t>
  </x:si>
  <x:si>
    <x:t xml:space="preserve">1h 25m 20s</x:t>
  </x:si>
  <x:si>
    <x:t xml:space="preserve">victoria.mihayo@pwc.com</x:t>
  </x:si>
  <x:si>
    <x:t xml:space="preserve">Michael Ngugi (KE)</x:t>
  </x:si>
  <x:si>
    <x:t xml:space="preserve">10/26/26, 8:08:44 AM</x:t>
  </x:si>
  <x:si>
    <x:t xml:space="preserve">10/26/26, 10:30:00 AM</x:t>
  </x:si>
  <x:si>
    <x:t xml:space="preserve">1h 35m 26s</x:t>
  </x:si>
  <x:si>
    <x:t xml:space="preserve">michael.ngugi@pwc.com</x:t>
  </x:si>
  <x:si>
    <x:t xml:space="preserve">Christine Nalwoga (UG)</x:t>
  </x:si>
  <x:si>
    <x:t xml:space="preserve">10/26/26, 8:08:57 AM</x:t>
  </x:si>
  <x:si>
    <x:t xml:space="preserve">christine.nalwoga@pwc.com</x:t>
  </x:si>
  <x:si>
    <x:t xml:space="preserve">Ezra Maruti (KE)</x:t>
  </x:si>
  <x:si>
    <x:t xml:space="preserve">10/26/26, 8:09:05 AM</x:t>
  </x:si>
  <x:si>
    <x:t xml:space="preserve">1h 58m 16s</x:t>
  </x:si>
  <x:si>
    <x:t xml:space="preserve">ezra.maruti@pwc.com</x:t>
  </x:si>
  <x:si>
    <x:t xml:space="preserve">Jaya Moctaram (MU)</x:t>
  </x:si>
  <x:si>
    <x:t xml:space="preserve">10/26/26, 8:09:10 AM</x:t>
  </x:si>
  <x:si>
    <x:t xml:space="preserve">10/26/26, 10:08:29 AM</x:t>
  </x:si>
  <x:si>
    <x:t xml:space="preserve">1h 59m 18s</x:t>
  </x:si>
  <x:si>
    <x:t xml:space="preserve">jaya.moctaram@pwc.com</x:t>
  </x:si>
  <x:si>
    <x:t xml:space="preserve">Lovena Kullean (MU)</x:t>
  </x:si>
  <x:si>
    <x:t xml:space="preserve">10/26/26, 8:09:18 AM</x:t>
  </x:si>
  <x:si>
    <x:t xml:space="preserve">10/26/26, 10:09:02 AM</x:t>
  </x:si>
  <x:si>
    <x:t xml:space="preserve">1h 59m 43s</x:t>
  </x:si>
  <x:si>
    <x:t xml:space="preserve">lovena.kullean@pwc.com</x:t>
  </x:si>
  <x:si>
    <x:t xml:space="preserve">Adrian Oile (KE)</x:t>
  </x:si>
  <x:si>
    <x:t xml:space="preserve">10/26/26, 8:09:19 AM</x:t>
  </x:si>
  <x:si>
    <x:t xml:space="preserve">1h 16m 22s</x:t>
  </x:si>
  <x:si>
    <x:t xml:space="preserve">adrian.oile@pwc.com</x:t>
  </x:si>
  <x:si>
    <x:t xml:space="preserve">Yeshwant Seebaluck (MU)</x:t>
  </x:si>
  <x:si>
    <x:t xml:space="preserve">10/26/26, 8:09:34 AM</x:t>
  </x:si>
  <x:si>
    <x:t xml:space="preserve">10/26/26, 10:08:50 AM</x:t>
  </x:si>
  <x:si>
    <x:t xml:space="preserve">1h 59m 16s</x:t>
  </x:si>
  <x:si>
    <x:t xml:space="preserve">yeshwant.seebaluck@pwc.com</x:t>
  </x:si>
  <x:si>
    <x:t xml:space="preserve">Ruth Nangiro (UG)</x:t>
  </x:si>
  <x:si>
    <x:t xml:space="preserve">10/26/26, 8:09:53 AM</x:t>
  </x:si>
  <x:si>
    <x:t xml:space="preserve">1h 57m 33s</x:t>
  </x:si>
  <x:si>
    <x:t xml:space="preserve">ruth.nangiro@pwc.com</x:t>
  </x:si>
  <x:si>
    <x:t xml:space="preserve">Brian Ndagala (KE)</x:t>
  </x:si>
  <x:si>
    <x:t xml:space="preserve">10/26/26, 8:09:54 AM</x:t>
  </x:si>
  <x:si>
    <x:t xml:space="preserve">10/26/26, 10:12:07 AM</x:t>
  </x:si>
  <x:si>
    <x:t xml:space="preserve">brian.ndagala@pwc.com</x:t>
  </x:si>
  <x:si>
    <x:t xml:space="preserve">Cheshta Nothoo (MU)</x:t>
  </x:si>
  <x:si>
    <x:t xml:space="preserve">10/26/26, 8:10:02 AM</x:t>
  </x:si>
  <x:si>
    <x:t xml:space="preserve">1h 57m 44s</x:t>
  </x:si>
  <x:si>
    <x:t xml:space="preserve">cheshta.nothoo@pwc.com</x:t>
  </x:si>
  <x:si>
    <x:t xml:space="preserve">Moses Mutuku (KE)</x:t>
  </x:si>
  <x:si>
    <x:t xml:space="preserve">10/26/26, 8:10:03 AM</x:t>
  </x:si>
  <x:si>
    <x:t xml:space="preserve">1h 57m 12s</x:t>
  </x:si>
  <x:si>
    <x:t xml:space="preserve">moses.mutuku@pwc.com</x:t>
  </x:si>
  <x:si>
    <x:t xml:space="preserve">Debra Banda (ZM)</x:t>
  </x:si>
  <x:si>
    <x:t xml:space="preserve">10/26/26, 8:10:09 AM</x:t>
  </x:si>
  <x:si>
    <x:t xml:space="preserve">10/26/26, 10:08:17 AM</x:t>
  </x:si>
  <x:si>
    <x:t xml:space="preserve">debra.b.banda@pwc.com</x:t>
  </x:si>
  <x:si>
    <x:t xml:space="preserve">Farida Mohamed (TZ)</x:t>
  </x:si>
  <x:si>
    <x:t xml:space="preserve">10/26/26, 8:10:24 AM</x:t>
  </x:si>
  <x:si>
    <x:t xml:space="preserve">10/26/26, 10:12:00 AM</x:t>
  </x:si>
  <x:si>
    <x:t xml:space="preserve">farida.mohamed@pwc.com</x:t>
  </x:si>
  <x:si>
    <x:t xml:space="preserve">Sadia Emamdee (MU)</x:t>
  </x:si>
  <x:si>
    <x:t xml:space="preserve">1h 57m 13s</x:t>
  </x:si>
  <x:si>
    <x:t xml:space="preserve">sadia.emamdee@pwc.com</x:t>
  </x:si>
  <x:si>
    <x:t xml:space="preserve">10/26/26, 8:10:34 AM</x:t>
  </x:si>
  <x:si>
    <x:t xml:space="preserve">1h 52m 1s</x:t>
  </x:si>
  <x:si>
    <x:t xml:space="preserve">Brenda Nabatanzi (UG)</x:t>
  </x:si>
  <x:si>
    <x:t xml:space="preserve">10/26/26, 8:10:41 AM</x:t>
  </x:si>
  <x:si>
    <x:t xml:space="preserve">10/26/26, 10:13:19 AM</x:t>
  </x:si>
  <x:si>
    <x:t xml:space="preserve">2h 2m 37s</x:t>
  </x:si>
  <x:si>
    <x:t xml:space="preserve">brenda.nabatanzi@pwc.com</x:t>
  </x:si>
  <x:si>
    <x:t xml:space="preserve">Faheem Auliar (MU)</x:t>
  </x:si>
  <x:si>
    <x:t xml:space="preserve">10/26/26, 8:10:48 AM</x:t>
  </x:si>
  <x:si>
    <x:t xml:space="preserve">faheem.auliar@pwc.com</x:t>
  </x:si>
  <x:si>
    <x:t xml:space="preserve">10/26/26, 8:11:07 AM</x:t>
  </x:si>
  <x:si>
    <x:t xml:space="preserve">10/26/26, 8:21:22 AM</x:t>
  </x:si>
  <x:si>
    <x:t xml:space="preserve">10m 14s</x:t>
  </x:si>
  <x:si>
    <x:t xml:space="preserve">Praveena Ramlogun (MU)</x:t>
  </x:si>
  <x:si>
    <x:t xml:space="preserve">10/26/26, 10:07:57 AM</x:t>
  </x:si>
  <x:si>
    <x:t xml:space="preserve">1h 56m 50s</x:t>
  </x:si>
  <x:si>
    <x:t xml:space="preserve">praveena.ramlogun@pwc.com</x:t>
  </x:si>
  <x:si>
    <x:t xml:space="preserve">10/26/26, 8:11:09 AM</x:t>
  </x:si>
  <x:si>
    <x:t xml:space="preserve">10/26/26, 10:07:42 AM</x:t>
  </x:si>
  <x:si>
    <x:t xml:space="preserve">1h 56m 32s</x:t>
  </x:si>
  <x:si>
    <x:t xml:space="preserve">Umair Moniaruth (MU)</x:t>
  </x:si>
  <x:si>
    <x:t xml:space="preserve">10/26/26, 8:11:35 AM</x:t>
  </x:si>
  <x:si>
    <x:t xml:space="preserve">1h 55m 51s</x:t>
  </x:si>
  <x:si>
    <x:t xml:space="preserve">umair.moniaruth@pwc.com</x:t>
  </x:si>
  <x:si>
    <x:t xml:space="preserve">Longo Sikazwe (ZM)</x:t>
  </x:si>
  <x:si>
    <x:t xml:space="preserve">10/26/26, 8:11:37 AM</x:t>
  </x:si>
  <x:si>
    <x:t xml:space="preserve">1h 55m 40s</x:t>
  </x:si>
  <x:si>
    <x:t xml:space="preserve">longo.sikazwe@pwc.com</x:t>
  </x:si>
  <x:si>
    <x:t xml:space="preserve">Devonhope Ntoinya (KE)</x:t>
  </x:si>
  <x:si>
    <x:t xml:space="preserve">10/26/26, 8:11:39 AM</x:t>
  </x:si>
  <x:si>
    <x:t xml:space="preserve">1h 23s</x:t>
  </x:si>
  <x:si>
    <x:t xml:space="preserve">devonhope.ntoinya@pwc.com</x:t>
  </x:si>
  <x:si>
    <x:t xml:space="preserve">10/26/26, 8:11:56 AM</x:t>
  </x:si>
  <x:si>
    <x:t xml:space="preserve">1h 55m 22s</x:t>
  </x:si>
  <x:si>
    <x:t xml:space="preserve">10/26/26, 8:12:00 AM</x:t>
  </x:si>
  <x:si>
    <x:t xml:space="preserve">10/26/26, 10:07:50 AM</x:t>
  </x:si>
  <x:si>
    <x:t xml:space="preserve">1h 55m 49s</x:t>
  </x:si>
  <x:si>
    <x:t xml:space="preserve">Abel Legesse (KE)</x:t>
  </x:si>
  <x:si>
    <x:t xml:space="preserve">10/26/26, 8:12:19 AM</x:t>
  </x:si>
  <x:si>
    <x:t xml:space="preserve">10/26/26, 10:18:56 AM</x:t>
  </x:si>
  <x:si>
    <x:t xml:space="preserve">abel.legesse@pwc.com</x:t>
  </x:si>
  <x:si>
    <x:t xml:space="preserve">Mellisa Nassaka (UG)</x:t>
  </x:si>
  <x:si>
    <x:t xml:space="preserve">10/26/26, 8:12:30 AM</x:t>
  </x:si>
  <x:si>
    <x:t xml:space="preserve">10/26/26, 10:08:32 AM</x:t>
  </x:si>
  <x:si>
    <x:t xml:space="preserve">mellisa.nassaka@pwc.com</x:t>
  </x:si>
  <x:si>
    <x:t xml:space="preserve">Elisha Kilonzo (KE)</x:t>
  </x:si>
  <x:si>
    <x:t xml:space="preserve">10/26/26, 8:12:32 AM</x:t>
  </x:si>
  <x:si>
    <x:t xml:space="preserve">10/26/26, 10:02:38 AM</x:t>
  </x:si>
  <x:si>
    <x:t xml:space="preserve">1h 50m 6s</x:t>
  </x:si>
  <x:si>
    <x:t xml:space="preserve">elisha.kilonzo@pwc.com</x:t>
  </x:si>
  <x:si>
    <x:t xml:space="preserve">10/26/26, 8:12:41 AM</x:t>
  </x:si>
  <x:si>
    <x:t xml:space="preserve">10/26/26, 8:37:40 AM</x:t>
  </x:si>
  <x:si>
    <x:t xml:space="preserve">24m 58s</x:t>
  </x:si>
  <x:si>
    <x:t xml:space="preserve">Cletus Kiyuga (TZ)</x:t>
  </x:si>
  <x:si>
    <x:t xml:space="preserve">10/26/26, 8:12:42 AM</x:t>
  </x:si>
  <x:si>
    <x:t xml:space="preserve">1h 54m 36s</x:t>
  </x:si>
  <x:si>
    <x:t xml:space="preserve">cletus.kiyuga@pwc.com</x:t>
  </x:si>
  <x:si>
    <x:t xml:space="preserve">Shriya Ragoonundun (MU)</x:t>
  </x:si>
  <x:si>
    <x:t xml:space="preserve">10/26/26, 8:13:12 AM</x:t>
  </x:si>
  <x:si>
    <x:t xml:space="preserve">10/26/26, 10:08:46 AM</x:t>
  </x:si>
  <x:si>
    <x:t xml:space="preserve">1h 47m 12s</x:t>
  </x:si>
  <x:si>
    <x:t xml:space="preserve">shriya.r.ragoonundun@pwc.com</x:t>
  </x:si>
  <x:si>
    <x:t xml:space="preserve">Mulenga Chiti (ZM)</x:t>
  </x:si>
  <x:si>
    <x:t xml:space="preserve">10/26/26, 8:13:49 AM</x:t>
  </x:si>
  <x:si>
    <x:t xml:space="preserve">1h 53m 32s</x:t>
  </x:si>
  <x:si>
    <x:t xml:space="preserve">mulenga.chiti@pwc.com</x:t>
  </x:si>
  <x:si>
    <x:t xml:space="preserve">Fahim Damaree (MU)</x:t>
  </x:si>
  <x:si>
    <x:t xml:space="preserve">10/26/26, 10:09:04 AM</x:t>
  </x:si>
  <x:si>
    <x:t xml:space="preserve">fahim.damaree@pwc.com</x:t>
  </x:si>
  <x:si>
    <x:t xml:space="preserve">Mamba Hachongo (ZM)</x:t>
  </x:si>
  <x:si>
    <x:t xml:space="preserve">10/26/26, 8:14:04 AM</x:t>
  </x:si>
  <x:si>
    <x:t xml:space="preserve">10/26/26, 9:20:13 AM</x:t>
  </x:si>
  <x:si>
    <x:t xml:space="preserve">1h 6m 9s</x:t>
  </x:si>
  <x:si>
    <x:t xml:space="preserve">mamba.hachongo@pwc.com</x:t>
  </x:si>
  <x:si>
    <x:t xml:space="preserve">Tabo Mwiya (ZM)</x:t>
  </x:si>
  <x:si>
    <x:t xml:space="preserve">10/26/26, 8:14:07 AM</x:t>
  </x:si>
  <x:si>
    <x:t xml:space="preserve">1h 53m 11s</x:t>
  </x:si>
  <x:si>
    <x:t xml:space="preserve">tabo.mwiya@pwc.com</x:t>
  </x:si>
  <x:si>
    <x:t xml:space="preserve">Yeshlin Govender (ZA)</x:t>
  </x:si>
  <x:si>
    <x:t xml:space="preserve">10/26/26, 8:14:12 AM</x:t>
  </x:si>
  <x:si>
    <x:t xml:space="preserve">1h 28m 45s</x:t>
  </x:si>
  <x:si>
    <x:t xml:space="preserve">yeshlin.govender@pwc.com</x:t>
  </x:si>
  <x:si>
    <x:t xml:space="preserve">Allen Alfred (TZ)</x:t>
  </x:si>
  <x:si>
    <x:t xml:space="preserve">10/26/26, 8:14:36 AM</x:t>
  </x:si>
  <x:si>
    <x:t xml:space="preserve">10/26/26, 10:20:41 AM</x:t>
  </x:si>
  <x:si>
    <x:t xml:space="preserve">1h 40m 8s</x:t>
  </x:si>
  <x:si>
    <x:t xml:space="preserve">allen.alfred@pwc.com</x:t>
  </x:si>
  <x:si>
    <x:t xml:space="preserve">Maureen Isagi (KE)</x:t>
  </x:si>
  <x:si>
    <x:t xml:space="preserve">10/26/26, 8:14:49 AM</x:t>
  </x:si>
  <x:si>
    <x:t xml:space="preserve">10/26/26, 10:07:39 AM</x:t>
  </x:si>
  <x:si>
    <x:t xml:space="preserve">1h 22m 44s</x:t>
  </x:si>
  <x:si>
    <x:t xml:space="preserve">maureen.isagi@pwc.com</x:t>
  </x:si>
  <x:si>
    <x:t xml:space="preserve">Yavish Yallappa (MU)</x:t>
  </x:si>
  <x:si>
    <x:t xml:space="preserve">10/26/26, 10:08:24 AM</x:t>
  </x:si>
  <x:si>
    <x:t xml:space="preserve">1h 42m 32s</x:t>
  </x:si>
  <x:si>
    <x:t xml:space="preserve">yavish.yallappa@pwc.com</x:t>
  </x:si>
  <x:si>
    <x:t xml:space="preserve">10/26/26, 9:34:15 AM</x:t>
  </x:si>
  <x:si>
    <x:t xml:space="preserve">1h 19m 26s</x:t>
  </x:si>
  <x:si>
    <x:t xml:space="preserve">Anjela Papiah (MU)</x:t>
  </x:si>
  <x:si>
    <x:t xml:space="preserve">10/26/26, 8:14:55 AM</x:t>
  </x:si>
  <x:si>
    <x:t xml:space="preserve">anjelah.papiah@pwc.com</x:t>
  </x:si>
  <x:si>
    <x:t xml:space="preserve">10/26/26, 8:15:00 AM</x:t>
  </x:si>
  <x:si>
    <x:t xml:space="preserve">10/26/26, 10:27:22 AM</x:t>
  </x:si>
  <x:si>
    <x:t xml:space="preserve">2h 12m 21s</x:t>
  </x:si>
  <x:si>
    <x:t xml:space="preserve">Mike Oyange (KE)</x:t>
  </x:si>
  <x:si>
    <x:t xml:space="preserve">mike.oyange@pwc.com</x:t>
  </x:si>
  <x:si>
    <x:t xml:space="preserve">Julia Odhiambo (KE)</x:t>
  </x:si>
  <x:si>
    <x:t xml:space="preserve">10/26/26, 8:15:04 AM</x:t>
  </x:si>
  <x:si>
    <x:t xml:space="preserve">10/26/26, 10:50:27 AM</x:t>
  </x:si>
  <x:si>
    <x:t xml:space="preserve">2h 34m 4s</x:t>
  </x:si>
  <x:si>
    <x:t xml:space="preserve">julia.odhiambo@pwc.com</x:t>
  </x:si>
  <x:si>
    <x:t xml:space="preserve">Junaid Alighan (MU)</x:t>
  </x:si>
  <x:si>
    <x:t xml:space="preserve">10/26/26, 8:15:30 AM</x:t>
  </x:si>
  <x:si>
    <x:t xml:space="preserve">10/26/26, 10:08:15 AM</x:t>
  </x:si>
  <x:si>
    <x:t xml:space="preserve">1h 27m 29s</x:t>
  </x:si>
  <x:si>
    <x:t xml:space="preserve">junaid.alighan@pwc.com</x:t>
  </x:si>
  <x:si>
    <x:t xml:space="preserve">Brian Okech (KE)</x:t>
  </x:si>
  <x:si>
    <x:t xml:space="preserve">10/26/26, 8:15:40 AM</x:t>
  </x:si>
  <x:si>
    <x:t xml:space="preserve">1h 51m 29s</x:t>
  </x:si>
  <x:si>
    <x:t xml:space="preserve">brian.okech@pwc.com</x:t>
  </x:si>
  <x:si>
    <x:t xml:space="preserve">Daphne Akol (UG)</x:t>
  </x:si>
  <x:si>
    <x:t xml:space="preserve">10/26/26, 8:15:43 AM</x:t>
  </x:si>
  <x:si>
    <x:t xml:space="preserve">10/26/26, 10:09:55 AM</x:t>
  </x:si>
  <x:si>
    <x:t xml:space="preserve">daphne.akol@pwc.com</x:t>
  </x:si>
  <x:si>
    <x:t xml:space="preserve">10/26/26, 8:15:47 AM</x:t>
  </x:si>
  <x:si>
    <x:t xml:space="preserve">1h 51m 44s</x:t>
  </x:si>
  <x:si>
    <x:t xml:space="preserve">Teeleswarsing Sookhy (MU)</x:t>
  </x:si>
  <x:si>
    <x:t xml:space="preserve">10/26/26, 8:15:57 AM</x:t>
  </x:si>
  <x:si>
    <x:t xml:space="preserve">teeleswarsing.sookhy@pwc.com</x:t>
  </x:si>
  <x:si>
    <x:t xml:space="preserve">Hillary Osoro (KE)</x:t>
  </x:si>
  <x:si>
    <x:t xml:space="preserve">10/26/26, 8:16:09 AM</x:t>
  </x:si>
  <x:si>
    <x:t xml:space="preserve">10/26/26, 10:07:49 AM</x:t>
  </x:si>
  <x:si>
    <x:t xml:space="preserve">1h 51m 40s</x:t>
  </x:si>
  <x:si>
    <x:t xml:space="preserve">hillary.osoro@pwc.com</x:t>
  </x:si>
  <x:si>
    <x:t xml:space="preserve">Tonny Odindo (KE)</x:t>
  </x:si>
  <x:si>
    <x:t xml:space="preserve">10/26/26, 8:16:14 AM</x:t>
  </x:si>
  <x:si>
    <x:t xml:space="preserve">10/26/26, 10:12:18 AM</x:t>
  </x:si>
  <x:si>
    <x:t xml:space="preserve">1h 51m 38s</x:t>
  </x:si>
  <x:si>
    <x:t xml:space="preserve">tonny.odindo@pwc.com</x:t>
  </x:si>
  <x:si>
    <x:t xml:space="preserve">Napelwa Kambafwile (ZM)</x:t>
  </x:si>
  <x:si>
    <x:t xml:space="preserve">10/26/26, 8:16:17 AM</x:t>
  </x:si>
  <x:si>
    <x:t xml:space="preserve">10/26/26, 10:08:03 AM</x:t>
  </x:si>
  <x:si>
    <x:t xml:space="preserve">1h 51m 45s</x:t>
  </x:si>
  <x:si>
    <x:t xml:space="preserve">napelwa.kambafwile@pwc.com</x:t>
  </x:si>
  <x:si>
    <x:t xml:space="preserve">Kelly Alowo (UG)</x:t>
  </x:si>
  <x:si>
    <x:t xml:space="preserve">10/26/26, 8:16:25 AM</x:t>
  </x:si>
  <x:si>
    <x:t xml:space="preserve">10/26/26, 9:59:04 AM</x:t>
  </x:si>
  <x:si>
    <x:t xml:space="preserve">kelly.alowo@pwc.com</x:t>
  </x:si>
  <x:si>
    <x:t xml:space="preserve">Ivy Deborah Naggayi (UG)</x:t>
  </x:si>
  <x:si>
    <x:t xml:space="preserve">10/26/26, 8:16:29 AM</x:t>
  </x:si>
  <x:si>
    <x:t xml:space="preserve">10/26/26, 9:39:16 AM</x:t>
  </x:si>
  <x:si>
    <x:t xml:space="preserve">1h 22m 47s</x:t>
  </x:si>
  <x:si>
    <x:t xml:space="preserve">ivy.naggayi@pwc.com</x:t>
  </x:si>
  <x:si>
    <x:t xml:space="preserve">Raissah Ramdianee (MU)</x:t>
  </x:si>
  <x:si>
    <x:t xml:space="preserve">10/26/26, 10:20:06 AM</x:t>
  </x:si>
  <x:si>
    <x:t xml:space="preserve">1h 55m 37s</x:t>
  </x:si>
  <x:si>
    <x:t xml:space="preserve">raissah.ramdianee@pwc.com</x:t>
  </x:si>
  <x:si>
    <x:t xml:space="preserve">Brian Morara (KE)</x:t>
  </x:si>
  <x:si>
    <x:t xml:space="preserve">10/26/26, 8:16:33 AM</x:t>
  </x:si>
  <x:si>
    <x:t xml:space="preserve">1h 50m 45s</x:t>
  </x:si>
  <x:si>
    <x:t xml:space="preserve">brian.morara@pwc.com</x:t>
  </x:si>
  <x:si>
    <x:t xml:space="preserve">Elvin Isaiah Nuwagaba (UG)</x:t>
  </x:si>
  <x:si>
    <x:t xml:space="preserve">10/26/26, 8:16:52 AM</x:t>
  </x:si>
  <x:si>
    <x:t xml:space="preserve">10/26/26, 10:10:20 AM</x:t>
  </x:si>
  <x:si>
    <x:t xml:space="preserve">1h 53m 28s</x:t>
  </x:si>
  <x:si>
    <x:t xml:space="preserve">isaiah.nuwagaba@pwc.com</x:t>
  </x:si>
  <x:si>
    <x:t xml:space="preserve">Theresa Bazudde (UG)</x:t>
  </x:si>
  <x:si>
    <x:t xml:space="preserve">10/26/26, 8:16:58 AM</x:t>
  </x:si>
  <x:si>
    <x:t xml:space="preserve">10/26/26, 9:56:18 AM</x:t>
  </x:si>
  <x:si>
    <x:t xml:space="preserve">1h 39m 19s</x:t>
  </x:si>
  <x:si>
    <x:t xml:space="preserve">theresa.bazudde@pwc.com</x:t>
  </x:si>
  <x:si>
    <x:t xml:space="preserve">Asha Shekimweri (TZ)</x:t>
  </x:si>
  <x:si>
    <x:t xml:space="preserve">10/26/26, 8:17:39 AM</x:t>
  </x:si>
  <x:si>
    <x:t xml:space="preserve">10/26/26, 9:20:06 AM</x:t>
  </x:si>
  <x:si>
    <x:t xml:space="preserve">1h 2m 26s</x:t>
  </x:si>
  <x:si>
    <x:t xml:space="preserve">asha.shekimweri@pwc.com</x:t>
  </x:si>
  <x:si>
    <x:t xml:space="preserve">Sheila Atuhaire (UG)</x:t>
  </x:si>
  <x:si>
    <x:t xml:space="preserve">10/26/26, 8:17:58 AM</x:t>
  </x:si>
  <x:si>
    <x:t xml:space="preserve">10/26/26, 10:08:11 AM</x:t>
  </x:si>
  <x:si>
    <x:t xml:space="preserve">1h 50m 13s</x:t>
  </x:si>
  <x:si>
    <x:t xml:space="preserve">sheila.atuhaire@pwc.com</x:t>
  </x:si>
  <x:si>
    <x:t xml:space="preserve">Deveena Seelochun (MU)</x:t>
  </x:si>
  <x:si>
    <x:t xml:space="preserve">10/26/26, 8:18:02 AM</x:t>
  </x:si>
  <x:si>
    <x:t xml:space="preserve">10/26/26, 10:08:28 AM</x:t>
  </x:si>
  <x:si>
    <x:t xml:space="preserve">1h 42m 39s</x:t>
  </x:si>
  <x:si>
    <x:t xml:space="preserve">deveena.seelochun@pwc.com</x:t>
  </x:si>
  <x:si>
    <x:t xml:space="preserve">Dennis Ongeri (KE)</x:t>
  </x:si>
  <x:si>
    <x:t xml:space="preserve">10/26/26, 8:18:03 AM</x:t>
  </x:si>
  <x:si>
    <x:t xml:space="preserve">10/26/26, 10:08:51 AM</x:t>
  </x:si>
  <x:si>
    <x:t xml:space="preserve">1h 50m 47s</x:t>
  </x:si>
  <x:si>
    <x:t xml:space="preserve">dennis.ongeri@pwc.com</x:t>
  </x:si>
  <x:si>
    <x:t xml:space="preserve">Dries Tuyishime (RW)</x:t>
  </x:si>
  <x:si>
    <x:t xml:space="preserve">10/26/26, 8:18:04 AM</x:t>
  </x:si>
  <x:si>
    <x:t xml:space="preserve">10/26/26, 10:09:08 AM</x:t>
  </x:si>
  <x:si>
    <x:t xml:space="preserve">1h 51m 3s</x:t>
  </x:si>
  <x:si>
    <x:t xml:space="preserve">dries.tuyishime@pwc.com</x:t>
  </x:si>
  <x:si>
    <x:t xml:space="preserve">Yash Bucchoo (MU)</x:t>
  </x:si>
  <x:si>
    <x:t xml:space="preserve">10/26/26, 8:18:43 AM</x:t>
  </x:si>
  <x:si>
    <x:t xml:space="preserve">10/26/26, 10:08:00 AM</x:t>
  </x:si>
  <x:si>
    <x:t xml:space="preserve">1h 37m 41s</x:t>
  </x:si>
  <x:si>
    <x:t xml:space="preserve">yash.bucchoo@pwc.com</x:t>
  </x:si>
  <x:si>
    <x:t xml:space="preserve">10/26/26, 8:18:57 AM</x:t>
  </x:si>
  <x:si>
    <x:t xml:space="preserve">10/26/26, 9:13:47 AM</x:t>
  </x:si>
  <x:si>
    <x:t xml:space="preserve">54m 50s</x:t>
  </x:si>
  <x:si>
    <x:t xml:space="preserve">Joseph Wanjohi (KE)</x:t>
  </x:si>
  <x:si>
    <x:t xml:space="preserve">10/26/26, 8:19:43 AM</x:t>
  </x:si>
  <x:si>
    <x:t xml:space="preserve">1h 47m 27s</x:t>
  </x:si>
  <x:si>
    <x:t xml:space="preserve">joseph.wanjohi@pwc.com</x:t>
  </x:si>
  <x:si>
    <x:t xml:space="preserve">Lage Kasaro (ZM)</x:t>
  </x:si>
  <x:si>
    <x:t xml:space="preserve">10/26/26, 8:19:46 AM</x:t>
  </x:si>
  <x:si>
    <x:t xml:space="preserve">10/26/26, 9:51:55 AM</x:t>
  </x:si>
  <x:si>
    <x:t xml:space="preserve">1h 29m 47s</x:t>
  </x:si>
  <x:si>
    <x:t xml:space="preserve">lage.kasaro@pwc.com</x:t>
  </x:si>
  <x:si>
    <x:t xml:space="preserve">Catherine Naluuma (UG)</x:t>
  </x:si>
  <x:si>
    <x:t xml:space="preserve">10/26/26, 8:19:51 AM</x:t>
  </x:si>
  <x:si>
    <x:t xml:space="preserve">1h 36m 25s</x:t>
  </x:si>
  <x:si>
    <x:t xml:space="preserve">catherine.naluuma@pwc.com</x:t>
  </x:si>
  <x:si>
    <x:t xml:space="preserve">Stephen Ochieng (KE)</x:t>
  </x:si>
  <x:si>
    <x:t xml:space="preserve">10/26/26, 8:20:31 AM</x:t>
  </x:si>
  <x:si>
    <x:t xml:space="preserve">1h 46m 47s</x:t>
  </x:si>
  <x:si>
    <x:t xml:space="preserve">stephen.ochieng@pwc.com</x:t>
  </x:si>
  <x:si>
    <x:t xml:space="preserve">Hemisha Bhookhul (MU)</x:t>
  </x:si>
  <x:si>
    <x:t xml:space="preserve">10/26/26, 8:20:39 AM</x:t>
  </x:si>
  <x:si>
    <x:t xml:space="preserve">10/26/26, 10:08:08 AM</x:t>
  </x:si>
  <x:si>
    <x:t xml:space="preserve">1h 39m 52s</x:t>
  </x:si>
  <x:si>
    <x:t xml:space="preserve">hemisha.bhookhul@pwc.com</x:t>
  </x:si>
  <x:si>
    <x:t xml:space="preserve">Twesha Nuckecheddy (MU)</x:t>
  </x:si>
  <x:si>
    <x:t xml:space="preserve">twesha.nuckecheddy@pwc.com</x:t>
  </x:si>
  <x:si>
    <x:t xml:space="preserve">Kooshika Sookun (MU)</x:t>
  </x:si>
  <x:si>
    <x:t xml:space="preserve">10/26/26, 8:21:54 AM</x:t>
  </x:si>
  <x:si>
    <x:t xml:space="preserve">10/26/26, 10:09:00 AM</x:t>
  </x:si>
  <x:si>
    <x:t xml:space="preserve">1h 26m</x:t>
  </x:si>
  <x:si>
    <x:t xml:space="preserve">kooshika.sookun@pwc.com</x:t>
  </x:si>
  <x:si>
    <x:t xml:space="preserve">Lucy Ngugi (KE)</x:t>
  </x:si>
  <x:si>
    <x:t xml:space="preserve">1h 45m 21s</x:t>
  </x:si>
  <x:si>
    <x:t xml:space="preserve">lucy.ngugi@pwc.com</x:t>
  </x:si>
  <x:si>
    <x:t xml:space="preserve">Teresiah Maina (KE)</x:t>
  </x:si>
  <x:si>
    <x:t xml:space="preserve">10/26/26, 8:21:57 AM</x:t>
  </x:si>
  <x:si>
    <x:t xml:space="preserve">teresiah.maina@pwc.com</x:t>
  </x:si>
  <x:si>
    <x:t xml:space="preserve">Dooleshsingh Jankee (MU)</x:t>
  </x:si>
  <x:si>
    <x:t xml:space="preserve">10/26/26, 8:22:11 AM</x:t>
  </x:si>
  <x:si>
    <x:t xml:space="preserve">1h 46m 4s</x:t>
  </x:si>
  <x:si>
    <x:t xml:space="preserve">dooleshsingh.jankee@pwc.com</x:t>
  </x:si>
  <x:si>
    <x:t xml:space="preserve">Lorna Ramsamy (MU)</x:t>
  </x:si>
  <x:si>
    <x:t xml:space="preserve">10/26/26, 10:07:33 AM</x:t>
  </x:si>
  <x:si>
    <x:t xml:space="preserve">lorna.ramsamy@pwc.com</x:t>
  </x:si>
  <x:si>
    <x:t xml:space="preserve">Jovia Namulinda (UG)</x:t>
  </x:si>
  <x:si>
    <x:t xml:space="preserve">10/26/26, 8:22:32 AM</x:t>
  </x:si>
  <x:si>
    <x:t xml:space="preserve">10/26/26, 10:11:31 AM</x:t>
  </x:si>
  <x:si>
    <x:t xml:space="preserve">1h 41m 39s</x:t>
  </x:si>
  <x:si>
    <x:t xml:space="preserve">jovia.namulinda@pwc.com</x:t>
  </x:si>
  <x:si>
    <x:t xml:space="preserve">10/26/26, 8:22:41 AM</x:t>
  </x:si>
  <x:si>
    <x:t xml:space="preserve">10/26/26, 10:04:31 AM</x:t>
  </x:si>
  <x:si>
    <x:t xml:space="preserve">1h 41m 49s</x:t>
  </x:si>
  <x:si>
    <x:t xml:space="preserve">Esther Wilson (KE)</x:t>
  </x:si>
  <x:si>
    <x:t xml:space="preserve">10/26/26, 8:23:13 AM</x:t>
  </x:si>
  <x:si>
    <x:t xml:space="preserve">10/26/26, 10:08:10 AM</x:t>
  </x:si>
  <x:si>
    <x:t xml:space="preserve">1h 44m 57s</x:t>
  </x:si>
  <x:si>
    <x:t xml:space="preserve">esther.wilson@pwc.com</x:t>
  </x:si>
  <x:si>
    <x:t xml:space="preserve">Ebby Syombua (KE)</x:t>
  </x:si>
  <x:si>
    <x:t xml:space="preserve">10/26/26, 8:23:15 AM</x:t>
  </x:si>
  <x:si>
    <x:t xml:space="preserve">10/26/26, 10:11:24 AM</x:t>
  </x:si>
  <x:si>
    <x:t xml:space="preserve">2m 49s</x:t>
  </x:si>
  <x:si>
    <x:t xml:space="preserve">ebby.syombua@pwc.com</x:t>
  </x:si>
  <x:si>
    <x:t xml:space="preserve">Yohane Mwanza (ZM)</x:t>
  </x:si>
  <x:si>
    <x:t xml:space="preserve">10/26/26, 8:23:36 AM</x:t>
  </x:si>
  <x:si>
    <x:t xml:space="preserve">1h 45m 25s</x:t>
  </x:si>
  <x:si>
    <x:t xml:space="preserve">yohane.y.mwanza@pwc.com</x:t>
  </x:si>
  <x:si>
    <x:t xml:space="preserve">Serah Omwenga (KE)</x:t>
  </x:si>
  <x:si>
    <x:t xml:space="preserve">10/26/26, 8:23:54 AM</x:t>
  </x:si>
  <x:si>
    <x:t xml:space="preserve">10/26/26, 10:07:48 AM</x:t>
  </x:si>
  <x:si>
    <x:t xml:space="preserve">1h 43m 54s</x:t>
  </x:si>
  <x:si>
    <x:t xml:space="preserve">serah.omwenga@pwc.com</x:t>
  </x:si>
  <x:si>
    <x:t xml:space="preserve">Angelayeyoo Mosha (TZ)</x:t>
  </x:si>
  <x:si>
    <x:t xml:space="preserve">10/26/26, 8:24:37 AM</x:t>
  </x:si>
  <x:si>
    <x:t xml:space="preserve">10/26/26, 10:07:55 AM</x:t>
  </x:si>
  <x:si>
    <x:t xml:space="preserve">1h 43m 17s</x:t>
  </x:si>
  <x:si>
    <x:t xml:space="preserve">angelayeyoo.mosha@pwc.com</x:t>
  </x:si>
  <x:si>
    <x:t xml:space="preserve">Feliciano Fevrier (MU)</x:t>
  </x:si>
  <x:si>
    <x:t xml:space="preserve">10/26/26, 8:25:06 AM</x:t>
  </x:si>
  <x:si>
    <x:t xml:space="preserve">1h 42m 48s</x:t>
  </x:si>
  <x:si>
    <x:t xml:space="preserve">feliciano.fevrier@pwc.com</x:t>
  </x:si>
  <x:si>
    <x:t xml:space="preserve">Hussain Mustun (MU)</x:t>
  </x:si>
  <x:si>
    <x:t xml:space="preserve">10/26/26, 8:25:14 AM</x:t>
  </x:si>
  <x:si>
    <x:t xml:space="preserve">1h 41m 54s</x:t>
  </x:si>
  <x:si>
    <x:t xml:space="preserve">hussain.mustun@pwc.com</x:t>
  </x:si>
  <x:si>
    <x:t xml:space="preserve">Geofrey Bukyana (UG)</x:t>
  </x:si>
  <x:si>
    <x:t xml:space="preserve">10/26/26, 8:26:05 AM</x:t>
  </x:si>
  <x:si>
    <x:t xml:space="preserve">1h 41m 14s</x:t>
  </x:si>
  <x:si>
    <x:t xml:space="preserve">geofrey.bukyana@pwc.com</x:t>
  </x:si>
  <x:si>
    <x:t xml:space="preserve">Sharon Sidialo (KE)</x:t>
  </x:si>
  <x:si>
    <x:t xml:space="preserve">10/26/26, 8:26:10 AM</x:t>
  </x:si>
  <x:si>
    <x:t xml:space="preserve">10/26/26, 9:38:12 AM</x:t>
  </x:si>
  <x:si>
    <x:t xml:space="preserve">1h 5m 46s</x:t>
  </x:si>
  <x:si>
    <x:t xml:space="preserve">sharon.sidialo@pwc.com</x:t>
  </x:si>
  <x:si>
    <x:t xml:space="preserve">Hadassah Phiri (ZM)</x:t>
  </x:si>
  <x:si>
    <x:t xml:space="preserve">10/26/26, 8:26:21 AM</x:t>
  </x:si>
  <x:si>
    <x:t xml:space="preserve">1h 41m 2s</x:t>
  </x:si>
  <x:si>
    <x:t xml:space="preserve">hadassah.phiri@pwc.com</x:t>
  </x:si>
  <x:si>
    <x:t xml:space="preserve">Kesha Seeputhy (MU)</x:t>
  </x:si>
  <x:si>
    <x:t xml:space="preserve">10/26/26, 8:26:38 AM</x:t>
  </x:si>
  <x:si>
    <x:t xml:space="preserve">10/26/26, 10:24:03 AM</x:t>
  </x:si>
  <x:si>
    <x:t xml:space="preserve">1h 49m 11s</x:t>
  </x:si>
  <x:si>
    <x:t xml:space="preserve">kesha.seeputhy@pwc.com</x:t>
  </x:si>
  <x:si>
    <x:t xml:space="preserve">Babra Truphena (KE)</x:t>
  </x:si>
  <x:si>
    <x:t xml:space="preserve">10/26/26, 8:27:00 AM</x:t>
  </x:si>
  <x:si>
    <x:t xml:space="preserve">59m 56s</x:t>
  </x:si>
  <x:si>
    <x:t xml:space="preserve">babra.truphena@pwc.com</x:t>
  </x:si>
  <x:si>
    <x:t xml:space="preserve">Obeid Mluha (TZ)</x:t>
  </x:si>
  <x:si>
    <x:t xml:space="preserve">10/26/26, 8:27:22 AM</x:t>
  </x:si>
  <x:si>
    <x:t xml:space="preserve">10/26/26, 10:19:04 AM</x:t>
  </x:si>
  <x:si>
    <x:t xml:space="preserve">1h 51m 41s</x:t>
  </x:si>
  <x:si>
    <x:t xml:space="preserve">obeid.mluha@pwc.com</x:t>
  </x:si>
  <x:si>
    <x:t xml:space="preserve">Mahima Nowrung (MU)</x:t>
  </x:si>
  <x:si>
    <x:t xml:space="preserve">10/26/26, 8:27:28 AM</x:t>
  </x:si>
  <x:si>
    <x:t xml:space="preserve">10/26/26, 10:08:34 AM</x:t>
  </x:si>
  <x:si>
    <x:t xml:space="preserve">1h 41m 5s</x:t>
  </x:si>
  <x:si>
    <x:t xml:space="preserve">mahima.nowrung@pwc.com</x:t>
  </x:si>
  <x:si>
    <x:t xml:space="preserve">Rael Sumahili (RW)</x:t>
  </x:si>
  <x:si>
    <x:t xml:space="preserve">10/26/26, 8:27:45 AM</x:t>
  </x:si>
  <x:si>
    <x:t xml:space="preserve">1h 39m 31s</x:t>
  </x:si>
  <x:si>
    <x:t xml:space="preserve">rael.sumahili@pwc.com</x:t>
  </x:si>
  <x:si>
    <x:t xml:space="preserve">Jerry Zaipuna (TZ)</x:t>
  </x:si>
  <x:si>
    <x:t xml:space="preserve">10/26/26, 8:28:15 AM</x:t>
  </x:si>
  <x:si>
    <x:t xml:space="preserve">1h 39m 34s</x:t>
  </x:si>
  <x:si>
    <x:t xml:space="preserve">jerry.zaipuna@pwc.com</x:t>
  </x:si>
  <x:si>
    <x:t xml:space="preserve">Emmanuel Shoo (TZ)</x:t>
  </x:si>
  <x:si>
    <x:t xml:space="preserve">10/26/26, 8:28:20 AM</x:t>
  </x:si>
  <x:si>
    <x:t xml:space="preserve">1h 39m 8s</x:t>
  </x:si>
  <x:si>
    <x:t xml:space="preserve">emmanuel.shoo@pwc.com</x:t>
  </x:si>
  <x:si>
    <x:t xml:space="preserve">Stanford Phiri (ZM)</x:t>
  </x:si>
  <x:si>
    <x:t xml:space="preserve">10/26/26, 8:29:14 AM</x:t>
  </x:si>
  <x:si>
    <x:t xml:space="preserve">1h 38m 14s</x:t>
  </x:si>
  <x:si>
    <x:t xml:space="preserve">stanford.m.phiri@pwc.com</x:t>
  </x:si>
  <x:si>
    <x:t xml:space="preserve">10/26/26, 8:29:27 AM</x:t>
  </x:si>
  <x:si>
    <x:t xml:space="preserve">1h 37m 42s</x:t>
  </x:si>
  <x:si>
    <x:t xml:space="preserve">Neeve-Ann Godda (TZ)</x:t>
  </x:si>
  <x:si>
    <x:t xml:space="preserve">10/26/26, 8:29:42 AM</x:t>
  </x:si>
  <x:si>
    <x:t xml:space="preserve">1h 37m 28s</x:t>
  </x:si>
  <x:si>
    <x:t xml:space="preserve">neeve-ann.godda@pwc.com</x:t>
  </x:si>
  <x:si>
    <x:t xml:space="preserve">Rovena Choytah (MU)</x:t>
  </x:si>
  <x:si>
    <x:t xml:space="preserve">10/26/26, 8:29:44 AM</x:t>
  </x:si>
  <x:si>
    <x:t xml:space="preserve">1h 37m 37s</x:t>
  </x:si>
  <x:si>
    <x:t xml:space="preserve">rovena.c.choytah@pwc.com</x:t>
  </x:si>
  <x:si>
    <x:t xml:space="preserve">1h 37m 32s</x:t>
  </x:si>
  <x:si>
    <x:t xml:space="preserve">Jemimah Chella (ZM)</x:t>
  </x:si>
  <x:si>
    <x:t xml:space="preserve">10/26/26, 8:30:18 AM</x:t>
  </x:si>
  <x:si>
    <x:t xml:space="preserve">1h 36m 58s</x:t>
  </x:si>
  <x:si>
    <x:t xml:space="preserve">jemimah.chella@pwc.com</x:t>
  </x:si>
  <x:si>
    <x:t xml:space="preserve">Raj Ghunowa (MU)</x:t>
  </x:si>
  <x:si>
    <x:t xml:space="preserve">10/26/26, 8:30:57 AM</x:t>
  </x:si>
  <x:si>
    <x:t xml:space="preserve">10/26/26, 10:01:22 AM</x:t>
  </x:si>
  <x:si>
    <x:t xml:space="preserve">1h 30m 25s</x:t>
  </x:si>
  <x:si>
    <x:t xml:space="preserve">ghunowa.raj@pwc.com</x:t>
  </x:si>
  <x:si>
    <x:t xml:space="preserve">Keshini Doobah (MU)</x:t>
  </x:si>
  <x:si>
    <x:t xml:space="preserve">10/26/26, 8:31:08 AM</x:t>
  </x:si>
  <x:si>
    <x:t xml:space="preserve">10/26/26, 11:22:17 AM</x:t>
  </x:si>
  <x:si>
    <x:t xml:space="preserve">1h 49m 47s</x:t>
  </x:si>
  <x:si>
    <x:t xml:space="preserve">keshini.doobah@pwc.com</x:t>
  </x:si>
  <x:si>
    <x:t xml:space="preserve">Antony Waweru (KE)</x:t>
  </x:si>
  <x:si>
    <x:t xml:space="preserve">10/26/26, 8:31:24 AM</x:t>
  </x:si>
  <x:si>
    <x:t xml:space="preserve">1h 32m 7s</x:t>
  </x:si>
  <x:si>
    <x:t xml:space="preserve">antony.waweru@pwc.com</x:t>
  </x:si>
  <x:si>
    <x:t xml:space="preserve">Kelvin Wainaina (KE)</x:t>
  </x:si>
  <x:si>
    <x:t xml:space="preserve">10/26/26, 8:31:26 AM</x:t>
  </x:si>
  <x:si>
    <x:t xml:space="preserve">1h 35m 50s</x:t>
  </x:si>
  <x:si>
    <x:t xml:space="preserve">kelvin.wainaina@pwc.com</x:t>
  </x:si>
  <x:si>
    <x:t xml:space="preserve">10/26/26, 8:31:35 AM</x:t>
  </x:si>
  <x:si>
    <x:t xml:space="preserve">1h 35m 35s</x:t>
  </x:si>
  <x:si>
    <x:t xml:space="preserve">Kaunda Mwenya (ZM)</x:t>
  </x:si>
  <x:si>
    <x:t xml:space="preserve">10/26/26, 8:31:56 AM</x:t>
  </x:si>
  <x:si>
    <x:t xml:space="preserve">10/26/26, 9:54:23 AM</x:t>
  </x:si>
  <x:si>
    <x:t xml:space="preserve">1h 16m 16s</x:t>
  </x:si>
  <x:si>
    <x:t xml:space="preserve">kaunda.j.mwenya@pwc.com</x:t>
  </x:si>
  <x:si>
    <x:t xml:space="preserve">Gregory Lallman (MU)</x:t>
  </x:si>
  <x:si>
    <x:t xml:space="preserve">10/26/26, 8:32:23 AM</x:t>
  </x:si>
  <x:si>
    <x:t xml:space="preserve">1h 35m 3s</x:t>
  </x:si>
  <x:si>
    <x:t xml:space="preserve">gregory.lallman@pwc.com</x:t>
  </x:si>
  <x:si>
    <x:t xml:space="preserve">Jahnavi Meetan (MU)</x:t>
  </x:si>
  <x:si>
    <x:t xml:space="preserve">10/26/26, 8:32:41 AM</x:t>
  </x:si>
  <x:si>
    <x:t xml:space="preserve">1h 34m 59s</x:t>
  </x:si>
  <x:si>
    <x:t xml:space="preserve">jahnavi.meetan@pwc.com</x:t>
  </x:si>
  <x:si>
    <x:t xml:space="preserve">Angella Mwai (KE)</x:t>
  </x:si>
  <x:si>
    <x:t xml:space="preserve">10/26/26, 8:33:26 AM</x:t>
  </x:si>
  <x:si>
    <x:t xml:space="preserve">10/26/26, 10:07:01 AM</x:t>
  </x:si>
  <x:si>
    <x:t xml:space="preserve">1h 33m 34s</x:t>
  </x:si>
  <x:si>
    <x:t xml:space="preserve">angella.mwai@pwc.com</x:t>
  </x:si>
  <x:si>
    <x:t xml:space="preserve">Faith Edeni (UG)</x:t>
  </x:si>
  <x:si>
    <x:t xml:space="preserve">10/26/26, 8:33:36 AM</x:t>
  </x:si>
  <x:si>
    <x:t xml:space="preserve">10/26/26, 10:47:54 AM</x:t>
  </x:si>
  <x:si>
    <x:t xml:space="preserve">1h 26m 31s</x:t>
  </x:si>
  <x:si>
    <x:t xml:space="preserve">faith.edeni@pwc.com</x:t>
  </x:si>
  <x:si>
    <x:t xml:space="preserve">Khushal Newoor (MU)</x:t>
  </x:si>
  <x:si>
    <x:t xml:space="preserve">10/26/26, 8:34:14 AM</x:t>
  </x:si>
  <x:si>
    <x:t xml:space="preserve">1h 33m 38s</x:t>
  </x:si>
  <x:si>
    <x:t xml:space="preserve">khushal.newoor@pwc.com</x:t>
  </x:si>
  <x:si>
    <x:t xml:space="preserve">Katayi Kachinda (ZM)</x:t>
  </x:si>
  <x:si>
    <x:t xml:space="preserve">10/26/26, 8:35:11 AM</x:t>
  </x:si>
  <x:si>
    <x:t xml:space="preserve">1h 8m 5s</x:t>
  </x:si>
  <x:si>
    <x:t xml:space="preserve">katayi.kachinda@pwc.com</x:t>
  </x:si>
  <x:si>
    <x:t xml:space="preserve">Pearl Koon (MU)</x:t>
  </x:si>
  <x:si>
    <x:t xml:space="preserve">10/26/26, 8:35:23 AM</x:t>
  </x:si>
  <x:si>
    <x:t xml:space="preserve">1h 32m</x:t>
  </x:si>
  <x:si>
    <x:t xml:space="preserve">pearl.koon@pwc.com</x:t>
  </x:si>
  <x:si>
    <x:t xml:space="preserve">10/26/26, 8:35:24 AM</x:t>
  </x:si>
  <x:si>
    <x:t xml:space="preserve">1h 32m 17s</x:t>
  </x:si>
  <x:si>
    <x:t xml:space="preserve">10/26/26, 8:35:51 AM</x:t>
  </x:si>
  <x:si>
    <x:t xml:space="preserve">10/26/26, 8:38:14 AM</x:t>
  </x:si>
  <x:si>
    <x:t xml:space="preserve">2m 22s</x:t>
  </x:si>
  <x:si>
    <x:t xml:space="preserve">Josiane Tuyizere (RW)</x:t>
  </x:si>
  <x:si>
    <x:t xml:space="preserve">10/26/26, 8:36:04 AM</x:t>
  </x:si>
  <x:si>
    <x:t xml:space="preserve">10/26/26, 9:42:33 AM</x:t>
  </x:si>
  <x:si>
    <x:t xml:space="preserve">1h 6m 29s</x:t>
  </x:si>
  <x:si>
    <x:t xml:space="preserve">josiane.tuyizere@pwc.com</x:t>
  </x:si>
  <x:si>
    <x:t xml:space="preserve">Jackline Mollel (TZ)</x:t>
  </x:si>
  <x:si>
    <x:t xml:space="preserve">10/26/26, 8:36:14 AM</x:t>
  </x:si>
  <x:si>
    <x:t xml:space="preserve">10/26/26, 10:09:01 AM</x:t>
  </x:si>
  <x:si>
    <x:t xml:space="preserve">1h 31m 22s</x:t>
  </x:si>
  <x:si>
    <x:t xml:space="preserve">jackline.mollel@pwc.com</x:t>
  </x:si>
  <x:si>
    <x:t xml:space="preserve">Godbless Kafimbi (TZ)</x:t>
  </x:si>
  <x:si>
    <x:t xml:space="preserve">10/26/26, 8:36:26 AM</x:t>
  </x:si>
  <x:si>
    <x:t xml:space="preserve">1h 27m 34s</x:t>
  </x:si>
  <x:si>
    <x:t xml:space="preserve">godbless.kafimbi@pwc.com</x:t>
  </x:si>
  <x:si>
    <x:t xml:space="preserve">Abdulswamadu Ssekajja (UG)</x:t>
  </x:si>
  <x:si>
    <x:t xml:space="preserve">10/26/26, 8:36:53 AM</x:t>
  </x:si>
  <x:si>
    <x:t xml:space="preserve">10/26/26, 10:14:28 AM</x:t>
  </x:si>
  <x:si>
    <x:t xml:space="preserve">1h 37m 34s</x:t>
  </x:si>
  <x:si>
    <x:t xml:space="preserve">abdulswamadu.ssekajja@pwc.com</x:t>
  </x:si>
  <x:si>
    <x:t xml:space="preserve">Anna Mlay (TZ)</x:t>
  </x:si>
  <x:si>
    <x:t xml:space="preserve">10/26/26, 8:37:08 AM</x:t>
  </x:si>
  <x:si>
    <x:t xml:space="preserve">1h 28m 33s</x:t>
  </x:si>
  <x:si>
    <x:t xml:space="preserve">anna.mlay@pwc.com</x:t>
  </x:si>
  <x:si>
    <x:t xml:space="preserve">Mahir Perbhoo (MU)</x:t>
  </x:si>
  <x:si>
    <x:t xml:space="preserve">10/26/26, 8:37:09 AM</x:t>
  </x:si>
  <x:si>
    <x:t xml:space="preserve">mahir.perbhoo@pwc.com</x:t>
  </x:si>
  <x:si>
    <x:t xml:space="preserve">Dhanishta Snehal Issuree (MU)</x:t>
  </x:si>
  <x:si>
    <x:t xml:space="preserve">10/26/26, 8:37:26 AM</x:t>
  </x:si>
  <x:si>
    <x:t xml:space="preserve">10/26/26, 10:19:22 AM</x:t>
  </x:si>
  <x:si>
    <x:t xml:space="preserve">1h 27m 46s</x:t>
  </x:si>
  <x:si>
    <x:t xml:space="preserve">dhanishta.issuree@pwc.com</x:t>
  </x:si>
  <x:si>
    <x:t xml:space="preserve">Aaliya Nubheebucus (MU)</x:t>
  </x:si>
  <x:si>
    <x:t xml:space="preserve">1h 29m 53s</x:t>
  </x:si>
  <x:si>
    <x:t xml:space="preserve">aaliya.nubheebucus@pwc.com</x:t>
  </x:si>
  <x:si>
    <x:t xml:space="preserve">Duncan Miguna (KE)</x:t>
  </x:si>
  <x:si>
    <x:t xml:space="preserve">10/26/26, 8:37:46 AM</x:t>
  </x:si>
  <x:si>
    <x:t xml:space="preserve">10/26/26, 10:36:08 AM</x:t>
  </x:si>
  <x:si>
    <x:t xml:space="preserve">1h 58m 21s</x:t>
  </x:si>
  <x:si>
    <x:t xml:space="preserve">duncan.miguna@pwc.com</x:t>
  </x:si>
  <x:si>
    <x:t xml:space="preserve">10/26/26, 8:38:05 AM</x:t>
  </x:si>
  <x:si>
    <x:t xml:space="preserve">10/26/26, 10:45:48 AM</x:t>
  </x:si>
  <x:si>
    <x:t xml:space="preserve">2h 7m 43s</x:t>
  </x:si>
  <x:si>
    <x:t xml:space="preserve">David Kalumbu (ZM)</x:t>
  </x:si>
  <x:si>
    <x:t xml:space="preserve">10/26/26, 8:39:38 AM</x:t>
  </x:si>
  <x:si>
    <x:t xml:space="preserve">10/26/26, 10:07:45 AM</x:t>
  </x:si>
  <x:si>
    <x:t xml:space="preserve">1h 28m 7s</x:t>
  </x:si>
  <x:si>
    <x:t xml:space="preserve">david.kalumbu@pwc.com</x:t>
  </x:si>
  <x:si>
    <x:t xml:space="preserve">Keshika Nuthoo (MU)</x:t>
  </x:si>
  <x:si>
    <x:t xml:space="preserve">10/26/26, 8:39:57 AM</x:t>
  </x:si>
  <x:si>
    <x:t xml:space="preserve">10/26/26, 10:08:35 AM</x:t>
  </x:si>
  <x:si>
    <x:t xml:space="preserve">1h 18m 23s</x:t>
  </x:si>
  <x:si>
    <x:t xml:space="preserve">keshika.nuthoo@pwc.com</x:t>
  </x:si>
  <x:si>
    <x:t xml:space="preserve">Purvashi Ramracheea (MU)</x:t>
  </x:si>
  <x:si>
    <x:t xml:space="preserve">10/26/26, 8:40:02 AM</x:t>
  </x:si>
  <x:si>
    <x:t xml:space="preserve">1h 27m 30s</x:t>
  </x:si>
  <x:si>
    <x:t xml:space="preserve">purvashi.ramracheea@pwc.com</x:t>
  </x:si>
  <x:si>
    <x:t xml:space="preserve">Susan Mugera (UG)</x:t>
  </x:si>
  <x:si>
    <x:t xml:space="preserve">10/26/26, 8:40:18 AM</x:t>
  </x:si>
  <x:si>
    <x:t xml:space="preserve">10/26/26, 10:07:36 AM</x:t>
  </x:si>
  <x:si>
    <x:t xml:space="preserve">1h 27m 18s</x:t>
  </x:si>
  <x:si>
    <x:t xml:space="preserve">susan.m.mugera@pwc.com</x:t>
  </x:si>
  <x:si>
    <x:t xml:space="preserve">Chisela Chileshe (ZM)</x:t>
  </x:si>
  <x:si>
    <x:t xml:space="preserve">10/26/26, 8:40:23 AM</x:t>
  </x:si>
  <x:si>
    <x:t xml:space="preserve">1h 26m 59s</x:t>
  </x:si>
  <x:si>
    <x:t xml:space="preserve">chisela.k.chileshe@pwc.com</x:t>
  </x:si>
  <x:si>
    <x:t xml:space="preserve">Glory Madunda (TZ)</x:t>
  </x:si>
  <x:si>
    <x:t xml:space="preserve">10/26/26, 8:41:07 AM</x:t>
  </x:si>
  <x:si>
    <x:t xml:space="preserve">10/26/26, 10:10:25 AM</x:t>
  </x:si>
  <x:si>
    <x:t xml:space="preserve">1h 29m 18s</x:t>
  </x:si>
  <x:si>
    <x:t xml:space="preserve">glory.madunda@pwc.com</x:t>
  </x:si>
  <x:si>
    <x:t xml:space="preserve">Yesha Dwarka (MU)</x:t>
  </x:si>
  <x:si>
    <x:t xml:space="preserve">10/26/26, 8:41:21 AM</x:t>
  </x:si>
  <x:si>
    <x:t xml:space="preserve">yesha.dwarka@pwc.com</x:t>
  </x:si>
  <x:si>
    <x:t xml:space="preserve">Victor Mbago (KE)</x:t>
  </x:si>
  <x:si>
    <x:t xml:space="preserve">10/26/26, 8:41:56 AM</x:t>
  </x:si>
  <x:si>
    <x:t xml:space="preserve">10/26/26, 10:00:07 AM</x:t>
  </x:si>
  <x:si>
    <x:t xml:space="preserve">1h 18m 11s</x:t>
  </x:si>
  <x:si>
    <x:t xml:space="preserve">victor.mbago@pwc.com</x:t>
  </x:si>
  <x:si>
    <x:t xml:space="preserve">Catherine Rutenge (TZ)</x:t>
  </x:si>
  <x:si>
    <x:t xml:space="preserve">10/26/26, 8:42:24 AM</x:t>
  </x:si>
  <x:si>
    <x:t xml:space="preserve">10/26/26, 10:14:15 AM</x:t>
  </x:si>
  <x:si>
    <x:t xml:space="preserve">1h 19m 46s</x:t>
  </x:si>
  <x:si>
    <x:t xml:space="preserve">catherine.rutenge@pwc.com</x:t>
  </x:si>
  <x:si>
    <x:t xml:space="preserve">Farhaan Salamuth (MU)</x:t>
  </x:si>
  <x:si>
    <x:t xml:space="preserve">10/26/26, 8:42:30 AM</x:t>
  </x:si>
  <x:si>
    <x:t xml:space="preserve">10/26/26, 10:11:28 AM</x:t>
  </x:si>
  <x:si>
    <x:t xml:space="preserve">1h 28m 58s</x:t>
  </x:si>
  <x:si>
    <x:t xml:space="preserve">farhaan.salamuth@pwc.com</x:t>
  </x:si>
  <x:si>
    <x:t xml:space="preserve">Darshil Ramyed (MU)</x:t>
  </x:si>
  <x:si>
    <x:t xml:space="preserve">10/26/26, 8:42:43 AM</x:t>
  </x:si>
  <x:si>
    <x:t xml:space="preserve">1h 25m 45s</x:t>
  </x:si>
  <x:si>
    <x:t xml:space="preserve">darshil.ramyed@pwc.com</x:t>
  </x:si>
  <x:si>
    <x:t xml:space="preserve">Masela Chishinga (ZM)</x:t>
  </x:si>
  <x:si>
    <x:t xml:space="preserve">1h 25m 15s</x:t>
  </x:si>
  <x:si>
    <x:t xml:space="preserve">masela.chishinga@pwc.com</x:t>
  </x:si>
  <x:si>
    <x:t xml:space="preserve">Nardos Demeke (KE)</x:t>
  </x:si>
  <x:si>
    <x:t xml:space="preserve">10/26/26, 8:44:47 AM</x:t>
  </x:si>
  <x:si>
    <x:t xml:space="preserve">10/26/26, 12:08:08 PM</x:t>
  </x:si>
  <x:si>
    <x:t xml:space="preserve">3h 18m 37s</x:t>
  </x:si>
  <x:si>
    <x:t xml:space="preserve">nardos.demeke@pwc.com</x:t>
  </x:si>
  <x:si>
    <x:t xml:space="preserve">Mary Lisa Leong (MU)</x:t>
  </x:si>
  <x:si>
    <x:t xml:space="preserve">10/26/26, 8:45:36 AM</x:t>
  </x:si>
  <x:si>
    <x:t xml:space="preserve">1h 22m 11s</x:t>
  </x:si>
  <x:si>
    <x:t xml:space="preserve">mary.lisa.leong@pwc.com</x:t>
  </x:si>
  <x:si>
    <x:t xml:space="preserve">Charvi Dowtal (MU)</x:t>
  </x:si>
  <x:si>
    <x:t xml:space="preserve">10/26/26, 8:46:38 AM</x:t>
  </x:si>
  <x:si>
    <x:t xml:space="preserve">10/26/26, 10:13:06 AM</x:t>
  </x:si>
  <x:si>
    <x:t xml:space="preserve">1h 26m 28s</x:t>
  </x:si>
  <x:si>
    <x:t xml:space="preserve">charvi.dowtal@pwc.com</x:t>
  </x:si>
  <x:si>
    <x:t xml:space="preserve">Amelie Fanfan (MU)</x:t>
  </x:si>
  <x:si>
    <x:t xml:space="preserve">10/26/26, 8:48:08 AM</x:t>
  </x:si>
  <x:si>
    <x:t xml:space="preserve">1h 19m 56s</x:t>
  </x:si>
  <x:si>
    <x:t xml:space="preserve">amelie.fanfan@pwc.com</x:t>
  </x:si>
  <x:si>
    <x:t xml:space="preserve">10/26/26, 8:48:23 AM</x:t>
  </x:si>
  <x:si>
    <x:t xml:space="preserve">1h 18m 56s</x:t>
  </x:si>
  <x:si>
    <x:t xml:space="preserve">Isaac Ntwali (RW)</x:t>
  </x:si>
  <x:si>
    <x:t xml:space="preserve">10/26/26, 8:48:30 AM</x:t>
  </x:si>
  <x:si>
    <x:t xml:space="preserve">1h 18m 43s</x:t>
  </x:si>
  <x:si>
    <x:t xml:space="preserve">isaac.ntwali@pwc.com</x:t>
  </x:si>
  <x:si>
    <x:t xml:space="preserve">10/26/26, 8:48:39 AM</x:t>
  </x:si>
  <x:si>
    <x:t xml:space="preserve">10/26/26, 10:13:54 AM</x:t>
  </x:si>
  <x:si>
    <x:t xml:space="preserve">1h 18m 46s</x:t>
  </x:si>
  <x:si>
    <x:t xml:space="preserve">Joshua Nzali (TZ)</x:t>
  </x:si>
  <x:si>
    <x:t xml:space="preserve">10/26/26, 8:49:47 AM</x:t>
  </x:si>
  <x:si>
    <x:t xml:space="preserve">10/26/26, 11:09:30 AM</x:t>
  </x:si>
  <x:si>
    <x:t xml:space="preserve">2h 19m 42s</x:t>
  </x:si>
  <x:si>
    <x:t xml:space="preserve">joshua.nzali@pwc.com</x:t>
  </x:si>
  <x:si>
    <x:t xml:space="preserve">Vaishnavi Gungaram (MU)</x:t>
  </x:si>
  <x:si>
    <x:t xml:space="preserve">10/26/26, 8:50:00 AM</x:t>
  </x:si>
  <x:si>
    <x:t xml:space="preserve">10/26/26, 10:50:04 AM</x:t>
  </x:si>
  <x:si>
    <x:t xml:space="preserve">2h 4s</x:t>
  </x:si>
  <x:si>
    <x:t xml:space="preserve">vaishnavi.gungaram@pwc.com</x:t>
  </x:si>
  <x:si>
    <x:t xml:space="preserve">Tushita Ruttun (MU)</x:t>
  </x:si>
  <x:si>
    <x:t xml:space="preserve">10/26/26, 8:50:12 AM</x:t>
  </x:si>
  <x:si>
    <x:t xml:space="preserve">1h 17m 12s</x:t>
  </x:si>
  <x:si>
    <x:t xml:space="preserve">tushita.ruttun@pwc.com</x:t>
  </x:si>
  <x:si>
    <x:t xml:space="preserve">10/26/26, 8:50:19 AM</x:t>
  </x:si>
  <x:si>
    <x:t xml:space="preserve">10/26/26, 10:23:55 AM</x:t>
  </x:si>
  <x:si>
    <x:t xml:space="preserve">1h 33m 35s</x:t>
  </x:si>
  <x:si>
    <x:t xml:space="preserve">10/26/26, 8:51:50 AM</x:t>
  </x:si>
  <x:si>
    <x:t xml:space="preserve">10/26/26, 9:18:07 AM</x:t>
  </x:si>
  <x:si>
    <x:t xml:space="preserve">26m 16s</x:t>
  </x:si>
  <x:si>
    <x:t xml:space="preserve">Eyosias Sahlu (KE)</x:t>
  </x:si>
  <x:si>
    <x:t xml:space="preserve">10/26/26, 8:51:54 AM</x:t>
  </x:si>
  <x:si>
    <x:t xml:space="preserve">10/26/26, 9:30:14 AM</x:t>
  </x:si>
  <x:si>
    <x:t xml:space="preserve">32m 52s</x:t>
  </x:si>
  <x:si>
    <x:t xml:space="preserve">eyosisas.sahlu@pwc.com</x:t>
  </x:si>
  <x:si>
    <x:t xml:space="preserve">Sahil Ramyed (MU)</x:t>
  </x:si>
  <x:si>
    <x:t xml:space="preserve">10/26/26, 8:51:58 AM</x:t>
  </x:si>
  <x:si>
    <x:t xml:space="preserve">10/26/26, 10:10:05 AM</x:t>
  </x:si>
  <x:si>
    <x:t xml:space="preserve">1h 18m 7s</x:t>
  </x:si>
  <x:si>
    <x:t xml:space="preserve">sahil.ramyed@pwc.com</x:t>
  </x:si>
  <x:si>
    <x:t xml:space="preserve">10/26/26, 8:52:08 AM</x:t>
  </x:si>
  <x:si>
    <x:t xml:space="preserve">1h 16m 4s</x:t>
  </x:si>
  <x:si>
    <x:t xml:space="preserve">Dylan How Nee Hee Hafee (MU)</x:t>
  </x:si>
  <x:si>
    <x:t xml:space="preserve">10/26/26, 8:52:12 AM</x:t>
  </x:si>
  <x:si>
    <x:t xml:space="preserve">1h 7m 35s</x:t>
  </x:si>
  <x:si>
    <x:t xml:space="preserve">dylan.how.nee.hee.hafee@pwc.com</x:t>
  </x:si>
  <x:si>
    <x:t xml:space="preserve">Catherine Hyagila (TZ)</x:t>
  </x:si>
  <x:si>
    <x:t xml:space="preserve">10/26/26, 8:52:48 AM</x:t>
  </x:si>
  <x:si>
    <x:t xml:space="preserve">1h 14m 47s</x:t>
  </x:si>
  <x:si>
    <x:t xml:space="preserve">catherine.hyagila@pwc.com</x:t>
  </x:si>
  <x:si>
    <x:t xml:space="preserve">John Li (MU)</x:t>
  </x:si>
  <x:si>
    <x:t xml:space="preserve">10/26/26, 8:53:50 AM</x:t>
  </x:si>
  <x:si>
    <x:t xml:space="preserve">1h 13m 27s</x:t>
  </x:si>
  <x:si>
    <x:t xml:space="preserve">john.s.li@pwc.com</x:t>
  </x:si>
  <x:si>
    <x:t xml:space="preserve">Caleb Ogola (RW)</x:t>
  </x:si>
  <x:si>
    <x:t xml:space="preserve">10/26/26, 8:53:52 AM</x:t>
  </x:si>
  <x:si>
    <x:t xml:space="preserve">1h 13m 20s</x:t>
  </x:si>
  <x:si>
    <x:t xml:space="preserve">caleb.b.ogola@pwc.com</x:t>
  </x:si>
  <x:si>
    <x:t xml:space="preserve">Phelister Odhiambo (KE)</x:t>
  </x:si>
  <x:si>
    <x:t xml:space="preserve">10/26/26, 8:54:52 AM</x:t>
  </x:si>
  <x:si>
    <x:t xml:space="preserve">10/26/26, 10:19:59 AM</x:t>
  </x:si>
  <x:si>
    <x:t xml:space="preserve">1h 53s</x:t>
  </x:si>
  <x:si>
    <x:t xml:space="preserve">phelister.odhiambo@pwc.com</x:t>
  </x:si>
  <x:si>
    <x:t xml:space="preserve">10/26/26, 8:55:05 AM</x:t>
  </x:si>
  <x:si>
    <x:t xml:space="preserve">1h 12m 9s</x:t>
  </x:si>
  <x:si>
    <x:t xml:space="preserve">Michael Mwendwa (KE)</x:t>
  </x:si>
  <x:si>
    <x:t xml:space="preserve">10/26/26, 8:55:18 AM</x:t>
  </x:si>
  <x:si>
    <x:t xml:space="preserve">42m 7s</x:t>
  </x:si>
  <x:si>
    <x:t xml:space="preserve">michael.mwendwa@pwc.com</x:t>
  </x:si>
  <x:si>
    <x:t xml:space="preserve">Kelvin Atieno (KE)</x:t>
  </x:si>
  <x:si>
    <x:t xml:space="preserve">10/26/26, 8:56:42 AM</x:t>
  </x:si>
  <x:si>
    <x:t xml:space="preserve">10/26/26, 9:35:54 AM</x:t>
  </x:si>
  <x:si>
    <x:t xml:space="preserve">39m 11s</x:t>
  </x:si>
  <x:si>
    <x:t xml:space="preserve">kelvin.atieno@pwc.com</x:t>
  </x:si>
  <x:si>
    <x:t xml:space="preserve">10/26/26, 8:58:50 AM</x:t>
  </x:si>
  <x:si>
    <x:t xml:space="preserve">1h 7m 40s</x:t>
  </x:si>
  <x:si>
    <x:t xml:space="preserve">Cynthia Waithaka (KE)</x:t>
  </x:si>
  <x:si>
    <x:t xml:space="preserve">10/26/26, 8:59:19 AM</x:t>
  </x:si>
  <x:si>
    <x:t xml:space="preserve">1h 7m 59s</x:t>
  </x:si>
  <x:si>
    <x:t xml:space="preserve">cynthia.waithaka@pwc.com</x:t>
  </x:si>
  <x:si>
    <x:t xml:space="preserve">10/26/26, 8:59:35 AM</x:t>
  </x:si>
  <x:si>
    <x:t xml:space="preserve">10/26/26, 10:12:10 AM</x:t>
  </x:si>
  <x:si>
    <x:t xml:space="preserve">54m 33s</x:t>
  </x:si>
  <x:si>
    <x:t xml:space="preserve">Maureen Carmagnole (MU)</x:t>
  </x:si>
  <x:si>
    <x:t xml:space="preserve">10/26/26, 8:59:47 AM</x:t>
  </x:si>
  <x:si>
    <x:t xml:space="preserve">1h 7m 21s</x:t>
  </x:si>
  <x:si>
    <x:t xml:space="preserve">maureen.carmagnole@pwc.com</x:t>
  </x:si>
  <x:si>
    <x:t xml:space="preserve">Sheila Brelu-Brelu (MU)</x:t>
  </x:si>
  <x:si>
    <x:t xml:space="preserve">10/26/26, 9:00:17 AM</x:t>
  </x:si>
  <x:si>
    <x:t xml:space="preserve">10/26/26, 10:17:17 AM</x:t>
  </x:si>
  <x:si>
    <x:t xml:space="preserve">1h 16m 59s</x:t>
  </x:si>
  <x:si>
    <x:t xml:space="preserve">sheila.brelu-brelu@pwc.com</x:t>
  </x:si>
  <x:si>
    <x:t xml:space="preserve">Christina Dinala (ZM)</x:t>
  </x:si>
  <x:si>
    <x:t xml:space="preserve">10/26/26, 9:00:39 AM</x:t>
  </x:si>
  <x:si>
    <x:t xml:space="preserve">53m 2s</x:t>
  </x:si>
  <x:si>
    <x:t xml:space="preserve">christina.dinala@pwc.com</x:t>
  </x:si>
  <x:si>
    <x:t xml:space="preserve">Edmond Oluoch (KE)</x:t>
  </x:si>
  <x:si>
    <x:t xml:space="preserve">10/26/26, 9:02:04 AM</x:t>
  </x:si>
  <x:si>
    <x:t xml:space="preserve">54m 27s</x:t>
  </x:si>
  <x:si>
    <x:t xml:space="preserve">edmond.oluoch@pwc.com</x:t>
  </x:si>
  <x:si>
    <x:t xml:space="preserve">Noah Tembo (ZM)</x:t>
  </x:si>
  <x:si>
    <x:t xml:space="preserve">10/26/26, 9:03:05 AM</x:t>
  </x:si>
  <x:si>
    <x:t xml:space="preserve">1h 4m 16s</x:t>
  </x:si>
  <x:si>
    <x:t xml:space="preserve">noah.tembo@pwc.com</x:t>
  </x:si>
  <x:si>
    <x:t xml:space="preserve">10/26/26, 9:03:07 AM</x:t>
  </x:si>
  <x:si>
    <x:t xml:space="preserve">1h 4m 50s</x:t>
  </x:si>
  <x:si>
    <x:t xml:space="preserve">Ved Bishundat (MU)</x:t>
  </x:si>
  <x:si>
    <x:t xml:space="preserve">10/26/26, 9:04:30 AM</x:t>
  </x:si>
  <x:si>
    <x:t xml:space="preserve">10/26/26, 9:43:14 AM</x:t>
  </x:si>
  <x:si>
    <x:t xml:space="preserve">38m 43s</x:t>
  </x:si>
  <x:si>
    <x:t xml:space="preserve">ved.bishundat@pwc.com</x:t>
  </x:si>
  <x:si>
    <x:t xml:space="preserve">10/26/26, 9:04:35 AM</x:t>
  </x:si>
  <x:si>
    <x:t xml:space="preserve">10/26/26, 10:08:55 AM</x:t>
  </x:si>
  <x:si>
    <x:t xml:space="preserve">1h 4m 19s</x:t>
  </x:si>
  <x:si>
    <x:t xml:space="preserve">Nigel Clint (KE)</x:t>
  </x:si>
  <x:si>
    <x:t xml:space="preserve">10/26/26, 9:05:00 AM</x:t>
  </x:si>
  <x:si>
    <x:t xml:space="preserve">1h 4s</x:t>
  </x:si>
  <x:si>
    <x:t xml:space="preserve">nigel.clint@pwc.com</x:t>
  </x:si>
  <x:si>
    <x:t xml:space="preserve">Chiteta Katungu (ZM)</x:t>
  </x:si>
  <x:si>
    <x:t xml:space="preserve">10/26/26, 9:05:33 AM</x:t>
  </x:si>
  <x:si>
    <x:t xml:space="preserve">1h 2m 5s</x:t>
  </x:si>
  <x:si>
    <x:t xml:space="preserve">chiteta.katungu@pwc.com</x:t>
  </x:si>
  <x:si>
    <x:t xml:space="preserve">Keshika Kasary (MU)</x:t>
  </x:si>
  <x:si>
    <x:t xml:space="preserve">10/26/26, 9:07:04 AM</x:t>
  </x:si>
  <x:si>
    <x:t xml:space="preserve">1h 1m 52s</x:t>
  </x:si>
  <x:si>
    <x:t xml:space="preserve">keshika.k.kasary@pwc.com</x:t>
  </x:si>
  <x:si>
    <x:t xml:space="preserve">10/26/26, 9:09:13 AM</x:t>
  </x:si>
  <x:si>
    <x:t xml:space="preserve">10/26/26, 10:08:26 AM</x:t>
  </x:si>
  <x:si>
    <x:t xml:space="preserve">59m 12s</x:t>
  </x:si>
  <x:si>
    <x:t xml:space="preserve">10/26/26, 9:09:15 AM</x:t>
  </x:si>
  <x:si>
    <x:t xml:space="preserve">58m 55s</x:t>
  </x:si>
  <x:si>
    <x:t xml:space="preserve">10/26/26, 9:09:59 AM</x:t>
  </x:si>
  <x:si>
    <x:t xml:space="preserve">10/26/26, 10:04:09 AM</x:t>
  </x:si>
  <x:si>
    <x:t xml:space="preserve">47m 41s</x:t>
  </x:si>
  <x:si>
    <x:t xml:space="preserve">10/26/26, 9:12:21 AM</x:t>
  </x:si>
  <x:si>
    <x:t xml:space="preserve">10/26/26, 9:13:20 AM</x:t>
  </x:si>
  <x:si>
    <x:t xml:space="preserve">10/26/26, 9:13:09 AM</x:t>
  </x:si>
  <x:si>
    <x:t xml:space="preserve">10/26/26, 9:24:15 AM</x:t>
  </x:si>
  <x:si>
    <x:t xml:space="preserve">11m 5s</x:t>
  </x:si>
  <x:si>
    <x:t xml:space="preserve">Dhatree Langur (MU)</x:t>
  </x:si>
  <x:si>
    <x:t xml:space="preserve">10/26/26, 9:13:18 AM</x:t>
  </x:si>
  <x:si>
    <x:t xml:space="preserve">55m 14s</x:t>
  </x:si>
  <x:si>
    <x:t xml:space="preserve">dhatree.langur@pwc.com</x:t>
  </x:si>
  <x:si>
    <x:t xml:space="preserve">10/26/26, 9:14:48 AM</x:t>
  </x:si>
  <x:si>
    <x:t xml:space="preserve">52m 48s</x:t>
  </x:si>
  <x:si>
    <x:t xml:space="preserve">Mwaka Njobvu (ZM)</x:t>
  </x:si>
  <x:si>
    <x:t xml:space="preserve">10/26/26, 9:14:57 AM</x:t>
  </x:si>
  <x:si>
    <x:t xml:space="preserve">52m 34s</x:t>
  </x:si>
  <x:si>
    <x:t xml:space="preserve">mwaka.njobvu@pwc.com</x:t>
  </x:si>
  <x:si>
    <x:t xml:space="preserve">Chilufya Mwansa (ZM)</x:t>
  </x:si>
  <x:si>
    <x:t xml:space="preserve">10/26/26, 9:15:11 AM</x:t>
  </x:si>
  <x:si>
    <x:t xml:space="preserve">52m 18s</x:t>
  </x:si>
  <x:si>
    <x:t xml:space="preserve">chilufya.mwansa@pwc.com</x:t>
  </x:si>
  <x:si>
    <x:t xml:space="preserve">Grace Namatovu (UG)</x:t>
  </x:si>
  <x:si>
    <x:t xml:space="preserve">10/26/26, 9:15:21 AM</x:t>
  </x:si>
  <x:si>
    <x:t xml:space="preserve">51m 57s</x:t>
  </x:si>
  <x:si>
    <x:t xml:space="preserve">grace.namatovu@pwc.com</x:t>
  </x:si>
  <x:si>
    <x:t xml:space="preserve">Washington Ochako (KE)</x:t>
  </x:si>
  <x:si>
    <x:t xml:space="preserve">10/26/26, 9:16:13 AM</x:t>
  </x:si>
  <x:si>
    <x:t xml:space="preserve">51m 52s</x:t>
  </x:si>
  <x:si>
    <x:t xml:space="preserve">washington.ochako@pwc.com</x:t>
  </x:si>
  <x:si>
    <x:t xml:space="preserve">10/26/26, 9:17:21 AM</x:t>
  </x:si>
  <x:si>
    <x:t xml:space="preserve">50m 2s</x:t>
  </x:si>
  <x:si>
    <x:t xml:space="preserve">Daniella Sardes (MU)</x:t>
  </x:si>
  <x:si>
    <x:t xml:space="preserve">10/26/26, 9:18:41 AM</x:t>
  </x:si>
  <x:si>
    <x:t xml:space="preserve">48m 28s</x:t>
  </x:si>
  <x:si>
    <x:t xml:space="preserve">perday.sardes@pwc.com</x:t>
  </x:si>
  <x:si>
    <x:t xml:space="preserve">Nelly Muriungi (KE)</x:t>
  </x:si>
  <x:si>
    <x:t xml:space="preserve">10/26/26, 9:19:28 AM</x:t>
  </x:si>
  <x:si>
    <x:t xml:space="preserve">34m 49s</x:t>
  </x:si>
  <x:si>
    <x:t xml:space="preserve">nelly.muriungi@pwc.com</x:t>
  </x:si>
  <x:si>
    <x:t xml:space="preserve">10/26/26, 9:19:37 AM</x:t>
  </x:si>
  <x:si>
    <x:t xml:space="preserve">47m 38s</x:t>
  </x:si>
  <x:si>
    <x:t xml:space="preserve">Anold Ngoli (TZ)</x:t>
  </x:si>
  <x:si>
    <x:t xml:space="preserve">10/26/26, 9:19:57 AM</x:t>
  </x:si>
  <x:si>
    <x:t xml:space="preserve">47m 27s</x:t>
  </x:si>
  <x:si>
    <x:t xml:space="preserve">anold.ngoli@pwc.com</x:t>
  </x:si>
  <x:si>
    <x:t xml:space="preserve">10/26/26, 9:20:49 AM</x:t>
  </x:si>
  <x:si>
    <x:t xml:space="preserve">10/26/26, 10:13:34 AM</x:t>
  </x:si>
  <x:si>
    <x:t xml:space="preserve">52m 45s</x:t>
  </x:si>
  <x:si>
    <x:t xml:space="preserve">Pritika Roy (MU)</x:t>
  </x:si>
  <x:si>
    <x:t xml:space="preserve">10/26/26, 9:20:55 AM</x:t>
  </x:si>
  <x:si>
    <x:t xml:space="preserve">10/26/26, 10:47:12 AM</x:t>
  </x:si>
  <x:si>
    <x:t xml:space="preserve">1h 26m 16s</x:t>
  </x:si>
  <x:si>
    <x:t xml:space="preserve">pritika.roy@pwc.com</x:t>
  </x:si>
  <x:si>
    <x:t xml:space="preserve">10/26/26, 9:21:39 AM</x:t>
  </x:si>
  <x:si>
    <x:t xml:space="preserve">37m 37s</x:t>
  </x:si>
  <x:si>
    <x:t xml:space="preserve">Mulenga Chileshe (ZM)</x:t>
  </x:si>
  <x:si>
    <x:t xml:space="preserve">10/26/26, 9:24:20 AM</x:t>
  </x:si>
  <x:si>
    <x:t xml:space="preserve">10/26/26, 9:54:15 AM</x:t>
  </x:si>
  <x:si>
    <x:t xml:space="preserve">29m 54s</x:t>
  </x:si>
  <x:si>
    <x:t xml:space="preserve">mulenga.chileshe@pwc.com</x:t>
  </x:si>
  <x:si>
    <x:t xml:space="preserve">Patricia Kavuma (UG)</x:t>
  </x:si>
  <x:si>
    <x:t xml:space="preserve">10/26/26, 9:24:26 AM</x:t>
  </x:si>
  <x:si>
    <x:t xml:space="preserve">43m</x:t>
  </x:si>
  <x:si>
    <x:t xml:space="preserve">patricia.kavuma@pwc.com</x:t>
  </x:si>
  <x:si>
    <x:t xml:space="preserve">Blessed Moinket (KE)</x:t>
  </x:si>
  <x:si>
    <x:t xml:space="preserve">10/26/26, 9:25:58 AM</x:t>
  </x:si>
  <x:si>
    <x:t xml:space="preserve">41m 17s</x:t>
  </x:si>
  <x:si>
    <x:t xml:space="preserve">blessed.moinket@pwc.com</x:t>
  </x:si>
  <x:si>
    <x:t xml:space="preserve">Felix Katongo (ZM)</x:t>
  </x:si>
  <x:si>
    <x:t xml:space="preserve">10/26/26, 9:29:57 AM</x:t>
  </x:si>
  <x:si>
    <x:t xml:space="preserve">38m 30s</x:t>
  </x:si>
  <x:si>
    <x:t xml:space="preserve">felix.katongo@pwc.com</x:t>
  </x:si>
  <x:si>
    <x:t xml:space="preserve">10/26/26, 9:32:07 AM</x:t>
  </x:si>
  <x:si>
    <x:t xml:space="preserve">10/26/26, 10:08:33 AM</x:t>
  </x:si>
  <x:si>
    <x:t xml:space="preserve">36m 26s</x:t>
  </x:si>
  <x:si>
    <x:t xml:space="preserve">10/26/26, 9:32:22 AM</x:t>
  </x:si>
  <x:si>
    <x:t xml:space="preserve">30m 45s</x:t>
  </x:si>
  <x:si>
    <x:t xml:space="preserve">Raphael Ochieng (KE)</x:t>
  </x:si>
  <x:si>
    <x:t xml:space="preserve">10/26/26, 9:33:55 AM</x:t>
  </x:si>
  <x:si>
    <x:t xml:space="preserve">33m 23s</x:t>
  </x:si>
  <x:si>
    <x:t xml:space="preserve">raphael.ochieng@pwc.com</x:t>
  </x:si>
  <x:si>
    <x:t xml:space="preserve">10/26/26, 9:34:33 AM</x:t>
  </x:si>
  <x:si>
    <x:t xml:space="preserve">Wezi Gondwe (ZM)</x:t>
  </x:si>
  <x:si>
    <x:t xml:space="preserve">10/26/26, 9:34:57 AM</x:t>
  </x:si>
  <x:si>
    <x:t xml:space="preserve">32m 31s</x:t>
  </x:si>
  <x:si>
    <x:t xml:space="preserve">wezi.gondwe@pwc.com</x:t>
  </x:si>
  <x:si>
    <x:t xml:space="preserve">Mercy Muraya (KE)</x:t>
  </x:si>
  <x:si>
    <x:t xml:space="preserve">10/26/26, 9:37:49 AM</x:t>
  </x:si>
  <x:si>
    <x:t xml:space="preserve">29m 36s</x:t>
  </x:si>
  <x:si>
    <x:t xml:space="preserve">mercy.muraya@pwc.com</x:t>
  </x:si>
  <x:si>
    <x:t xml:space="preserve">10/26/26, 10:23:28 AM</x:t>
  </x:si>
  <x:si>
    <x:t xml:space="preserve">44m 12s</x:t>
  </x:si>
  <x:si>
    <x:t xml:space="preserve">Amos Masangwa (TZ)</x:t>
  </x:si>
  <x:si>
    <x:t xml:space="preserve">10/26/26, 9:40:06 AM</x:t>
  </x:si>
  <x:si>
    <x:t xml:space="preserve">27m 46s</x:t>
  </x:si>
  <x:si>
    <x:t xml:space="preserve">amos.masangwa@pwc.com</x:t>
  </x:si>
  <x:si>
    <x:t xml:space="preserve">Azmiya Khodadin (MU)</x:t>
  </x:si>
  <x:si>
    <x:t xml:space="preserve">10/26/26, 9:40:55 AM</x:t>
  </x:si>
  <x:si>
    <x:t xml:space="preserve">26m 21s</x:t>
  </x:si>
  <x:si>
    <x:t xml:space="preserve">azmiya.khodadin@pwc.com</x:t>
  </x:si>
  <x:si>
    <x:t xml:space="preserve">10/26/26, 9:41:39 AM</x:t>
  </x:si>
  <x:si>
    <x:t xml:space="preserve">10/26/26, 10:34:51 AM</x:t>
  </x:si>
  <x:si>
    <x:t xml:space="preserve">53m 11s</x:t>
  </x:si>
  <x:si>
    <x:t xml:space="preserve">Nirvan Bissessur (MU)</x:t>
  </x:si>
  <x:si>
    <x:t xml:space="preserve">10/26/26, 9:46:53 AM</x:t>
  </x:si>
  <x:si>
    <x:t xml:space="preserve">nirvan.bissessur@pwc.com</x:t>
  </x:si>
  <x:si>
    <x:t xml:space="preserve">Elvin Julius (TZ)</x:t>
  </x:si>
  <x:si>
    <x:t xml:space="preserve">10/26/26, 9:47:09 AM</x:t>
  </x:si>
  <x:si>
    <x:t xml:space="preserve">10/26/26, 11:39:54 AM</x:t>
  </x:si>
  <x:si>
    <x:t xml:space="preserve">22m 1s</x:t>
  </x:si>
  <x:si>
    <x:t xml:space="preserve">elvin.julius@pwc.com</x:t>
  </x:si>
  <x:si>
    <x:t xml:space="preserve">Olivier Rey (MU)</x:t>
  </x:si>
  <x:si>
    <x:t xml:space="preserve">10/26/26, 9:47:29 AM</x:t>
  </x:si>
  <x:si>
    <x:t xml:space="preserve">10/26/26, 9:50:43 AM</x:t>
  </x:si>
  <x:si>
    <x:t xml:space="preserve">3m 14s</x:t>
  </x:si>
  <x:si>
    <x:t xml:space="preserve">olivier.rey@pwc.com</x:t>
  </x:si>
  <x:si>
    <x:t xml:space="preserve">10/26/26, 9:52:04 AM</x:t>
  </x:si>
  <x:si>
    <x:t xml:space="preserve">15m 21s</x:t>
  </x:si>
  <x:si>
    <x:t xml:space="preserve">Douglas Kunda (ZM)</x:t>
  </x:si>
  <x:si>
    <x:t xml:space="preserve">10/26/26, 9:55:42 AM</x:t>
  </x:si>
  <x:si>
    <x:t xml:space="preserve">10/26/26, 10:08:30 AM</x:t>
  </x:si>
  <x:si>
    <x:t xml:space="preserve">12m 48s</x:t>
  </x:si>
  <x:si>
    <x:t xml:space="preserve">douglas.kunda@pwc.com</x:t>
  </x:si>
  <x:si>
    <x:t xml:space="preserve">Dickson Banda (ZM)</x:t>
  </x:si>
  <x:si>
    <x:t xml:space="preserve">10/26/26, 10:01:18 AM</x:t>
  </x:si>
  <x:si>
    <x:t xml:space="preserve">10/26/26, 10:08:48 AM</x:t>
  </x:si>
  <x:si>
    <x:t xml:space="preserve">7m 30s</x:t>
  </x:si>
  <x:si>
    <x:t xml:space="preserve">dickson.banda@pwc.com</x:t>
  </x:si>
  <x:si>
    <x:t xml:space="preserve">Ben Victor Kibet (KE)</x:t>
  </x:si>
  <x:si>
    <x:t xml:space="preserve">10/26/26, 10:05:31 AM</x:t>
  </x:si>
  <x:si>
    <x:t xml:space="preserve">1m 59s</x:t>
  </x:si>
  <x:si>
    <x:t xml:space="preserve">ben.kibet@pwc.com</x:t>
  </x:si>
  <x:si>
    <x:t xml:space="preserve">Micheal Murungi (UG)</x:t>
  </x:si>
  <x:si>
    <x:t xml:space="preserve">10/26/26, 10:13:30 AM</x:t>
  </x:si>
  <x:si>
    <x:t xml:space="preserve">5m 37s</x:t>
  </x:si>
  <x:si>
    <x:t xml:space="preserve">micheal.murungi@pwc.com</x:t>
  </x:si>
  <x:si>
    <x:t xml:space="preserve">Angelique Mugwaneza (RW)</x:t>
  </x:si>
  <x:si>
    <x:t xml:space="preserve">10/26/26, 10:37:34 AM</x:t>
  </x:si>
  <x:si>
    <x:t xml:space="preserve">10/26/26, 10:38:14 AM</x:t>
  </x:si>
  <x:si>
    <x:t xml:space="preserve">40s</x:t>
  </x:si>
  <x:si>
    <x:t xml:space="preserve">angelique.mugwaneza@pwc.com</x:t>
  </x:si>
  <x:si>
    <x:t xml:space="preserve">2h 22m 4s</x:t>
  </x:si>
  <x:si>
    <x:t xml:space="preserve">10/26/26, 12:07:36 PM</x:t>
  </x:si>
  <x:si>
    <x:t xml:space="preserve">37s</x:t>
  </x:si>
  <x:si>
    <x:t xml:space="preserve">10/26/26, 8:05:49 AM</x:t>
  </x:si>
  <x:si>
    <x:t xml:space="preserve">10/26/26, 8:38:59 AM</x:t>
  </x:si>
  <x:si>
    <x:t xml:space="preserve">27m 50s</x:t>
  </x:si>
  <x:si>
    <x:t xml:space="preserve">10/26/26, 8:49:54 AM</x:t>
  </x:si>
  <x:si>
    <x:t xml:space="preserve">10/26/26, 8:55:19 AM</x:t>
  </x:si>
  <x:si>
    <x:t xml:space="preserve">5m 25s</x:t>
  </x:si>
  <x:si>
    <x:t xml:space="preserve">10/26/26, 8:58:29 AM</x:t>
  </x:si>
  <x:si>
    <x:t xml:space="preserve">10/26/26, 9:12:54 AM</x:t>
  </x:si>
  <x:si>
    <x:t xml:space="preserve">14m 24s</x:t>
  </x:si>
  <x:si>
    <x:t xml:space="preserve">10/26/26, 9:15:24 AM</x:t>
  </x:si>
  <x:si>
    <x:t xml:space="preserve">51m 51s</x:t>
  </x:si>
  <x:si>
    <x:t xml:space="preserve">10/26/26, 7:56:25 AM</x:t>
  </x:si>
  <x:si>
    <x:t xml:space="preserve">9m 7s</x:t>
  </x:si>
  <x:si>
    <x:t xml:space="preserve">10/26/26, 8:37:25 AM</x:t>
  </x:si>
  <x:si>
    <x:t xml:space="preserve">10/26/26, 9:46:39 AM</x:t>
  </x:si>
  <x:si>
    <x:t xml:space="preserve">1h 9m 13s</x:t>
  </x:si>
  <x:si>
    <x:t xml:space="preserve">10/26/26, 9:55:58 AM</x:t>
  </x:si>
  <x:si>
    <x:t xml:space="preserve">24m 16s</x:t>
  </x:si>
  <x:si>
    <x:t xml:space="preserve">10/26/26, 7:48:27 AM</x:t>
  </x:si>
  <x:si>
    <x:t xml:space="preserve">25s</x:t>
  </x:si>
  <x:si>
    <x:t xml:space="preserve">10/26/26, 7:55:54 AM</x:t>
  </x:si>
  <x:si>
    <x:t xml:space="preserve">10/26/26, 7:55:58 AM</x:t>
  </x:si>
  <x:si>
    <x:t xml:space="preserve">10/26/26, 7:49:37 AM</x:t>
  </x:si>
  <x:si>
    <x:t xml:space="preserve">10/26/26, 8:29:54 AM</x:t>
  </x:si>
  <x:si>
    <x:t xml:space="preserve">40m 40s</x:t>
  </x:si>
  <x:si>
    <x:t xml:space="preserve">10/26/26, 8:33:03 AM</x:t>
  </x:si>
  <x:si>
    <x:t xml:space="preserve">1h 34m 9s</x:t>
  </x:si>
  <x:si>
    <x:t xml:space="preserve">10/26/26, 9:44:24 AM</x:t>
  </x:si>
  <x:si>
    <x:t xml:space="preserve">1h 54m 9s</x:t>
  </x:si>
  <x:si>
    <x:t xml:space="preserve">10/26/26, 9:46:28 AM</x:t>
  </x:si>
  <x:si>
    <x:t xml:space="preserve">21m 33s</x:t>
  </x:si>
  <x:si>
    <x:t xml:space="preserve">10/26/26, 9:01:21 AM</x:t>
  </x:si>
  <x:si>
    <x:t xml:space="preserve">1h 7m 47s</x:t>
  </x:si>
  <x:si>
    <x:t xml:space="preserve">10/26/26, 9:27:14 AM</x:t>
  </x:si>
  <x:si>
    <x:t xml:space="preserve">40m 6s</x:t>
  </x:si>
  <x:si>
    <x:t xml:space="preserve">10/26/26, 7:57:51 AM</x:t>
  </x:si>
  <x:si>
    <x:t xml:space="preserve">10/26/26, 7:58:01 AM</x:t>
  </x:si>
  <x:si>
    <x:t xml:space="preserve">2h 7m 56s</x:t>
  </x:si>
  <x:si>
    <x:t xml:space="preserve">10/26/26, 9:14:13 AM</x:t>
  </x:si>
  <x:si>
    <x:t xml:space="preserve">1h 16m</x:t>
  </x:si>
  <x:si>
    <x:t xml:space="preserve">10/26/26, 9:17:28 AM</x:t>
  </x:si>
  <x:si>
    <x:t xml:space="preserve">49m 52s</x:t>
  </x:si>
  <x:si>
    <x:t xml:space="preserve">10/26/26, 8:43:38 AM</x:t>
  </x:si>
  <x:si>
    <x:t xml:space="preserve">44m 6s</x:t>
  </x:si>
  <x:si>
    <x:t xml:space="preserve">1h 9m 15s</x:t>
  </x:si>
  <x:si>
    <x:t xml:space="preserve">10/26/26, 8:42:39 AM</x:t>
  </x:si>
  <x:si>
    <x:t xml:space="preserve">42m 49s</x:t>
  </x:si>
  <x:si>
    <x:t xml:space="preserve">10/26/26, 8:48:03 AM</x:t>
  </x:si>
  <x:si>
    <x:t xml:space="preserve">1h 19m 12s</x:t>
  </x:si>
  <x:si>
    <x:t xml:space="preserve">10/26/26, 10:05:20 AM</x:t>
  </x:si>
  <x:si>
    <x:t xml:space="preserve">10/26/26, 10:06:48 AM</x:t>
  </x:si>
  <x:si>
    <x:t xml:space="preserve">10/26/26, 9:27:30 AM</x:t>
  </x:si>
  <x:si>
    <x:t xml:space="preserve">1h 27m 7s</x:t>
  </x:si>
  <x:si>
    <x:t xml:space="preserve">10/26/26, 9:36:45 AM</x:t>
  </x:si>
  <x:si>
    <x:t xml:space="preserve">30m 31s</x:t>
  </x:si>
  <x:si>
    <x:t xml:space="preserve">10/26/26, 8:16:08 AM</x:t>
  </x:si>
  <x:si>
    <x:t xml:space="preserve">15m 41s</x:t>
  </x:si>
  <x:si>
    <x:t xml:space="preserve">10/26/26, 8:18:16 AM</x:t>
  </x:si>
  <x:si>
    <x:t xml:space="preserve">2h 14m 48s</x:t>
  </x:si>
  <x:si>
    <x:t xml:space="preserve">10/26/26, 8:40:22 AM</x:t>
  </x:si>
  <x:si>
    <x:t xml:space="preserve">39m 30s</x:t>
  </x:si>
  <x:si>
    <x:t xml:space="preserve">10/26/26, 8:44:52 AM</x:t>
  </x:si>
  <x:si>
    <x:t xml:space="preserve">1h 22m 22s</x:t>
  </x:si>
  <x:si>
    <x:t xml:space="preserve">10/26/26, 9:00:49 AM</x:t>
  </x:si>
  <x:si>
    <x:t xml:space="preserve">59m 44s</x:t>
  </x:si>
  <x:si>
    <x:t xml:space="preserve">10/26/26, 9:02:23 AM</x:t>
  </x:si>
  <x:si>
    <x:t xml:space="preserve">57m 44s</x:t>
  </x:si>
  <x:si>
    <x:t xml:space="preserve">10/26/26, 10:53:08 AM</x:t>
  </x:si>
  <x:si>
    <x:t xml:space="preserve">10/26/26, 8:16:11 AM</x:t>
  </x:si>
  <x:si>
    <x:t xml:space="preserve">14m 43s</x:t>
  </x:si>
  <x:si>
    <x:t xml:space="preserve">10/26/26, 8:25:01 AM</x:t>
  </x:si>
  <x:si>
    <x:t xml:space="preserve">2h 26s</x:t>
  </x:si>
  <x:si>
    <x:t xml:space="preserve">10/26/26, 8:57:01 AM</x:t>
  </x:si>
  <x:si>
    <x:t xml:space="preserve">55m 20s</x:t>
  </x:si>
  <x:si>
    <x:t xml:space="preserve">10/26/26, 8:58:37 AM</x:t>
  </x:si>
  <x:si>
    <x:t xml:space="preserve">10/26/26, 9:23:34 AM</x:t>
  </x:si>
  <x:si>
    <x:t xml:space="preserve">24m 56s</x:t>
  </x:si>
  <x:si>
    <x:t xml:space="preserve">10/26/26, 9:42:39 AM</x:t>
  </x:si>
  <x:si>
    <x:t xml:space="preserve">24m 34s</x:t>
  </x:si>
  <x:si>
    <x:t xml:space="preserve">10/26/26, 9:35:53 AM</x:t>
  </x:si>
  <x:si>
    <x:t xml:space="preserve">1h 34m 8s</x:t>
  </x:si>
  <x:si>
    <x:t xml:space="preserve">10/26/26, 9:38:29 AM</x:t>
  </x:si>
  <x:si>
    <x:t xml:space="preserve">28m 52s</x:t>
  </x:si>
  <x:si>
    <x:t xml:space="preserve">10/26/26, 8:37:18 AM</x:t>
  </x:si>
  <x:si>
    <x:t xml:space="preserve">35m 34s</x:t>
  </x:si>
  <x:si>
    <x:t xml:space="preserve">10/26/26, 8:44:37 AM</x:t>
  </x:si>
  <x:si>
    <x:t xml:space="preserve">10/26/26, 8:45:37 AM</x:t>
  </x:si>
  <x:si>
    <x:t xml:space="preserve">10/26/26, 8:46:47 AM</x:t>
  </x:si>
  <x:si>
    <x:t xml:space="preserve">1h 20m 38s</x:t>
  </x:si>
  <x:si>
    <x:t xml:space="preserve">10/26/26, 8:02:52 AM</x:t>
  </x:si>
  <x:si>
    <x:t xml:space="preserve">10/26/26, 8:06:54 AM</x:t>
  </x:si>
  <x:si>
    <x:t xml:space="preserve">2m 6s</x:t>
  </x:si>
  <x:si>
    <x:t xml:space="preserve">10/26/26, 8:08:01 AM</x:t>
  </x:si>
  <x:si>
    <x:t xml:space="preserve">1h 59m 57s</x:t>
  </x:si>
  <x:si>
    <x:t xml:space="preserve">10/26/26, 9:19:58 AM</x:t>
  </x:si>
  <x:si>
    <x:t xml:space="preserve">1h 17m 59s</x:t>
  </x:si>
  <x:si>
    <x:t xml:space="preserve">40m 8s</x:t>
  </x:si>
  <x:si>
    <x:t xml:space="preserve">10/26/26, 8:24:19 AM</x:t>
  </x:si>
  <x:si>
    <x:t xml:space="preserve">22m 7s</x:t>
  </x:si>
  <x:si>
    <x:t xml:space="preserve">10/26/26, 8:31:51 AM</x:t>
  </x:si>
  <x:si>
    <x:t xml:space="preserve">1h 39m 28s</x:t>
  </x:si>
  <x:si>
    <x:t xml:space="preserve">10/26/26, 8:13:47 AM</x:t>
  </x:si>
  <x:si>
    <x:t xml:space="preserve">11m 15s</x:t>
  </x:si>
  <x:si>
    <x:t xml:space="preserve">10/26/26, 8:17:27 AM</x:t>
  </x:si>
  <x:si>
    <x:t xml:space="preserve">10/26/26, 8:42:32 AM</x:t>
  </x:si>
  <x:si>
    <x:t xml:space="preserve">25m 5s</x:t>
  </x:si>
  <x:si>
    <x:t xml:space="preserve">1h 22m 18s</x:t>
  </x:si>
  <x:si>
    <x:t xml:space="preserve">10/26/26, 9:21:45 AM</x:t>
  </x:si>
  <x:si>
    <x:t xml:space="preserve">1h 18m 50s</x:t>
  </x:si>
  <x:si>
    <x:t xml:space="preserve">10/26/26, 9:43:07 AM</x:t>
  </x:si>
  <x:si>
    <x:t xml:space="preserve">24m 7s</x:t>
  </x:si>
  <x:si>
    <x:t xml:space="preserve">10/26/26, 10:03:27 AM</x:t>
  </x:si>
  <x:si>
    <x:t xml:space="preserve">2h 33s</x:t>
  </x:si>
  <x:si>
    <x:t xml:space="preserve">10/26/26, 10:05:41 AM</x:t>
  </x:si>
  <x:si>
    <x:t xml:space="preserve">1m 27s</x:t>
  </x:si>
  <x:si>
    <x:t xml:space="preserve">10/26/26, 8:29:07 AM</x:t>
  </x:si>
  <x:si>
    <x:t xml:space="preserve">26m 7s</x:t>
  </x:si>
  <x:si>
    <x:t xml:space="preserve">10/26/26, 9:20:26 AM</x:t>
  </x:si>
  <x:si>
    <x:t xml:space="preserve">1h 26m 49s</x:t>
  </x:si>
  <x:si>
    <x:t xml:space="preserve">10/26/26, 8:45:06 AM</x:t>
  </x:si>
  <x:si>
    <x:t xml:space="preserve">41m 58s</x:t>
  </x:si>
  <x:si>
    <x:t xml:space="preserve">10/26/26, 8:47:22 AM</x:t>
  </x:si>
  <x:si>
    <x:t xml:space="preserve">10/26/26, 9:11:30 AM</x:t>
  </x:si>
  <x:si>
    <x:t xml:space="preserve">1h 8m 8s</x:t>
  </x:si>
  <x:si>
    <x:t xml:space="preserve">10/26/26, 9:13:10 AM</x:t>
  </x:si>
  <x:si>
    <x:t xml:space="preserve">55m 1s</x:t>
  </x:si>
  <x:si>
    <x:t xml:space="preserve">10/26/26, 8:18:51 AM</x:t>
  </x:si>
  <x:si>
    <x:t xml:space="preserve">15m 27s</x:t>
  </x:si>
  <x:si>
    <x:t xml:space="preserve">10/26/26, 8:26:35 AM</x:t>
  </x:si>
  <x:si>
    <x:t xml:space="preserve">1h 41m 18s</x:t>
  </x:si>
  <x:si>
    <x:t xml:space="preserve">10/26/26, 9:10:34 AM</x:t>
  </x:si>
  <x:si>
    <x:t xml:space="preserve">1h 7m 8s</x:t>
  </x:si>
  <x:si>
    <x:t xml:space="preserve">10/26/26, 9:12:39 AM</x:t>
  </x:si>
  <x:si>
    <x:t xml:space="preserve">55m 40s</x:t>
  </x:si>
  <x:si>
    <x:t xml:space="preserve">10/26/26, 8:14:17 AM</x:t>
  </x:si>
  <x:si>
    <x:t xml:space="preserve">10m 52s</x:t>
  </x:si>
  <x:si>
    <x:t xml:space="preserve">10/26/26, 8:30:40 AM</x:t>
  </x:si>
  <x:si>
    <x:t xml:space="preserve">1h 38m 11s</x:t>
  </x:si>
  <x:si>
    <x:t xml:space="preserve">10/26/26, 9:19:25 AM</x:t>
  </x:si>
  <x:si>
    <x:t xml:space="preserve">1h 15m</x:t>
  </x:si>
  <x:si>
    <x:t xml:space="preserve">10/26/26, 9:24:37 AM</x:t>
  </x:si>
  <x:si>
    <x:t xml:space="preserve">23m 37s</x:t>
  </x:si>
  <x:si>
    <x:t xml:space="preserve">10/26/26, 8:42:54 AM</x:t>
  </x:si>
  <x:si>
    <x:t xml:space="preserve">38m 25s</x:t>
  </x:si>
  <x:si>
    <x:t xml:space="preserve">10/26/26, 8:45:11 AM</x:t>
  </x:si>
  <x:si>
    <x:t xml:space="preserve">10/26/26, 8:56:55 AM</x:t>
  </x:si>
  <x:si>
    <x:t xml:space="preserve">11m 44s</x:t>
  </x:si>
  <x:si>
    <x:t xml:space="preserve">10/26/26, 9:04:19 AM</x:t>
  </x:si>
  <x:si>
    <x:t xml:space="preserve">1h 2m 58s</x:t>
  </x:si>
  <x:si>
    <x:t xml:space="preserve">16s</x:t>
  </x:si>
  <x:si>
    <x:t xml:space="preserve">10/26/26, 8:10:53 AM</x:t>
  </x:si>
  <x:si>
    <x:t xml:space="preserve">10/26/26, 10:04:36 AM</x:t>
  </x:si>
  <x:si>
    <x:t xml:space="preserve">1h 53m 42s</x:t>
  </x:si>
  <x:si>
    <x:t xml:space="preserve">10/26/26, 10:22:17 AM</x:t>
  </x:si>
  <x:si>
    <x:t xml:space="preserve">26s</x:t>
  </x:si>
  <x:si>
    <x:t xml:space="preserve">1h 56m 27s</x:t>
  </x:si>
  <x:si>
    <x:t xml:space="preserve">10/26/26, 10:06:28 AM</x:t>
  </x:si>
  <x:si>
    <x:t xml:space="preserve">4m 41s</x:t>
  </x:si>
  <x:si>
    <x:t xml:space="preserve">10/26/26, 9:15:12 AM</x:t>
  </x:si>
  <x:si>
    <x:t xml:space="preserve">1h 10m 14s</x:t>
  </x:si>
  <x:si>
    <x:t xml:space="preserve">10/26/26, 9:48:53 AM</x:t>
  </x:si>
  <x:si>
    <x:t xml:space="preserve">18m 52s</x:t>
  </x:si>
  <x:si>
    <x:t xml:space="preserve">10/26/26, 9:43:46 AM</x:t>
  </x:si>
  <x:si>
    <x:t xml:space="preserve">10/26/26, 9:47:20 AM</x:t>
  </x:si>
  <x:si>
    <x:t xml:space="preserve">19m 49s</x:t>
  </x:si>
  <x:si>
    <x:t xml:space="preserve">10/26/26, 10:18:01 AM</x:t>
  </x:si>
  <x:si>
    <x:t xml:space="preserve">10/26/26, 10:19:51 AM</x:t>
  </x:si>
  <x:si>
    <x:t xml:space="preserve">10/26/26, 8:57:59 AM</x:t>
  </x:si>
  <x:si>
    <x:t xml:space="preserve">52m 10s</x:t>
  </x:si>
  <x:si>
    <x:t xml:space="preserve">10/26/26, 9:36:42 AM</x:t>
  </x:si>
  <x:si>
    <x:t xml:space="preserve">10/26/26, 9:06:27 AM</x:t>
  </x:si>
  <x:si>
    <x:t xml:space="preserve">1h 36s</x:t>
  </x:si>
  <x:si>
    <x:t xml:space="preserve">10/26/26, 9:18:10 AM</x:t>
  </x:si>
  <x:si>
    <x:t xml:space="preserve">49m 5s</x:t>
  </x:si>
  <x:si>
    <x:t xml:space="preserve">2h 1m 32s</x:t>
  </x:si>
  <x:si>
    <x:t xml:space="preserve">10/26/26, 10:12:36 AM</x:t>
  </x:si>
  <x:si>
    <x:t xml:space="preserve">10/26/26, 9:03:01 AM</x:t>
  </x:si>
  <x:si>
    <x:t xml:space="preserve">56m 46s</x:t>
  </x:si>
  <x:si>
    <x:t xml:space="preserve">10/26/26, 9:57:21 AM</x:t>
  </x:si>
  <x:si>
    <x:t xml:space="preserve">13m 3s</x:t>
  </x:si>
  <x:si>
    <x:t xml:space="preserve">10/26/26, 8:09:39 AM</x:t>
  </x:si>
  <x:si>
    <x:t xml:space="preserve">10/26/26, 8:11:34 AM</x:t>
  </x:si>
  <x:si>
    <x:t xml:space="preserve">10/26/26, 8:13:27 AM</x:t>
  </x:si>
  <x:si>
    <x:t xml:space="preserve">6m 36s</x:t>
  </x:si>
  <x:si>
    <x:t xml:space="preserve">10/26/26, 8:30:17 AM</x:t>
  </x:si>
  <x:si>
    <x:t xml:space="preserve">10/26/26, 8:51:29 AM</x:t>
  </x:si>
  <x:si>
    <x:t xml:space="preserve">21m 12s</x:t>
  </x:si>
  <x:si>
    <x:t xml:space="preserve">10/26/26, 8:54:04 AM</x:t>
  </x:si>
  <x:si>
    <x:t xml:space="preserve">10/26/26, 9:21:04 AM</x:t>
  </x:si>
  <x:si>
    <x:t xml:space="preserve">26m 59s</x:t>
  </x:si>
  <x:si>
    <x:t xml:space="preserve">10/26/26, 10:00:58 AM</x:t>
  </x:si>
  <x:si>
    <x:t xml:space="preserve">6m 42s</x:t>
  </x:si>
  <x:si>
    <x:t xml:space="preserve">10/26/26, 8:13:23 AM</x:t>
  </x:si>
  <x:si>
    <x:t xml:space="preserve">6m 14s</x:t>
  </x:si>
  <x:si>
    <x:t xml:space="preserve">10/26/26, 8:24:04 AM</x:t>
  </x:si>
  <x:si>
    <x:t xml:space="preserve">10/26/26, 8:32:31 AM</x:t>
  </x:si>
  <x:si>
    <x:t xml:space="preserve">25m 14s</x:t>
  </x:si>
  <x:si>
    <x:t xml:space="preserve">10/26/26, 8:35:34 AM</x:t>
  </x:si>
  <x:si>
    <x:t xml:space="preserve">10/26/26, 9:14:14 AM</x:t>
  </x:si>
  <x:si>
    <x:t xml:space="preserve">38m 40s</x:t>
  </x:si>
  <x:si>
    <x:t xml:space="preserve">10/26/26, 9:15:33 AM</x:t>
  </x:si>
  <x:si>
    <x:t xml:space="preserve">52m</x:t>
  </x:si>
  <x:si>
    <x:t xml:space="preserve">10/26/26, 8:44:51 AM</x:t>
  </x:si>
  <x:si>
    <x:t xml:space="preserve">37m 34s</x:t>
  </x:si>
  <x:si>
    <x:t xml:space="preserve">10/26/26, 11:46:44 AM</x:t>
  </x:si>
  <x:si>
    <x:t xml:space="preserve">2s</x:t>
  </x:si>
  <x:si>
    <x:t xml:space="preserve">10/26/26, 8:20:08 AM</x:t>
  </x:si>
  <x:si>
    <x:t xml:space="preserve">12m 44s</x:t>
  </x:si>
  <x:si>
    <x:t xml:space="preserve">10/26/26, 8:32:13 AM</x:t>
  </x:si>
  <x:si>
    <x:t xml:space="preserve">4m 16s</x:t>
  </x:si>
  <x:si>
    <x:t xml:space="preserve">10/26/26, 9:38:30 AM</x:t>
  </x:si>
  <x:si>
    <x:t xml:space="preserve">1h 31m 6s</x:t>
  </x:si>
  <x:si>
    <x:t xml:space="preserve">15m 48s</x:t>
  </x:si>
  <x:si>
    <x:t xml:space="preserve">10/26/26, 8:07:39 AM</x:t>
  </x:si>
  <x:si>
    <x:t xml:space="preserve">4s</x:t>
  </x:si>
  <x:si>
    <x:t xml:space="preserve">10/26/26, 8:10:38 AM</x:t>
  </x:si>
  <x:si>
    <x:t xml:space="preserve">1h 52m 13s</x:t>
  </x:si>
  <x:si>
    <x:t xml:space="preserve">10/26/26, 8:08:05 AM</x:t>
  </x:si>
  <x:si>
    <x:t xml:space="preserve">10/26/26, 8:12:35 AM</x:t>
  </x:si>
  <x:si>
    <x:t xml:space="preserve">10/26/26, 9:15:25 AM</x:t>
  </x:si>
  <x:si>
    <x:t xml:space="preserve">1h 2m 49s</x:t>
  </x:si>
  <x:si>
    <x:t xml:space="preserve">10/26/26, 9:46:42 AM</x:t>
  </x:si>
  <x:si>
    <x:t xml:space="preserve">14m 2s</x:t>
  </x:si>
  <x:si>
    <x:t xml:space="preserve">10/26/26, 8:45:56 AM</x:t>
  </x:si>
  <x:si>
    <x:t xml:space="preserve">37m 29s</x:t>
  </x:si>
  <x:si>
    <x:t xml:space="preserve">10/26/26, 9:35:13 AM</x:t>
  </x:si>
  <x:si>
    <x:t xml:space="preserve">31m 59s</x:t>
  </x:si>
  <x:si>
    <x:t xml:space="preserve">10/26/26, 8:22:38 AM</x:t>
  </x:si>
  <x:si>
    <x:t xml:space="preserve">14m 4s</x:t>
  </x:si>
  <x:si>
    <x:t xml:space="preserve">10/26/26, 8:23:45 AM</x:t>
  </x:si>
  <x:si>
    <x:t xml:space="preserve">1h 45m 34s</x:t>
  </x:si>
  <x:si>
    <x:t xml:space="preserve">10/26/26, 8:31:27 AM</x:t>
  </x:si>
  <x:si>
    <x:t xml:space="preserve">22m 42s</x:t>
  </x:si>
  <x:si>
    <x:t xml:space="preserve">10/26/26, 8:57:31 AM</x:t>
  </x:si>
  <x:si>
    <x:t xml:space="preserve">10/26/26, 9:13:17 AM</x:t>
  </x:si>
  <x:si>
    <x:t xml:space="preserve">15m 46s</x:t>
  </x:si>
  <x:si>
    <x:t xml:space="preserve">10/26/26, 9:15:39 AM</x:t>
  </x:si>
  <x:si>
    <x:t xml:space="preserve">10/26/26, 9:18:22 AM</x:t>
  </x:si>
  <x:si>
    <x:t xml:space="preserve">2m 43s</x:t>
  </x:si>
  <x:si>
    <x:t xml:space="preserve">10/26/26, 9:35:44 AM</x:t>
  </x:si>
  <x:si>
    <x:t xml:space="preserve">54m 15s</x:t>
  </x:si>
  <x:si>
    <x:t xml:space="preserve">10/26/26, 8:12:11 AM</x:t>
  </x:si>
  <x:si>
    <x:t xml:space="preserve">10/26/26, 8:13:20 AM</x:t>
  </x:si>
  <x:si>
    <x:t xml:space="preserve">1h 53m 55s</x:t>
  </x:si>
  <x:si>
    <x:t xml:space="preserve">10/26/26, 9:20:15 AM</x:t>
  </x:si>
  <x:si>
    <x:t xml:space="preserve">1h 10m 55s</x:t>
  </x:si>
  <x:si>
    <x:t xml:space="preserve">10/26/26, 9:21:42 AM</x:t>
  </x:si>
  <x:si>
    <x:t xml:space="preserve">10/26/26, 9:22:15 AM</x:t>
  </x:si>
  <x:si>
    <x:t xml:space="preserve">33s</x:t>
  </x:si>
  <x:si>
    <x:t xml:space="preserve">10/26/26, 10:02:57 AM</x:t>
  </x:si>
  <x:si>
    <x:t xml:space="preserve">4m 54s</x:t>
  </x:si>
  <x:si>
    <x:t xml:space="preserve">1h 57m 24s</x:t>
  </x:si>
  <x:si>
    <x:t xml:space="preserve">10/26/26, 10:12:03 AM</x:t>
  </x:si>
  <x:si>
    <x:t xml:space="preserve">10/26/26, 9:37:11 AM</x:t>
  </x:si>
  <x:si>
    <x:t xml:space="preserve">1h 26m 36s</x:t>
  </x:si>
  <x:si>
    <x:t xml:space="preserve">10/26/26, 9:41:58 AM</x:t>
  </x:si>
  <x:si>
    <x:t xml:space="preserve">25m 25s</x:t>
  </x:si>
  <x:si>
    <x:t xml:space="preserve">10/26/26, 8:56:41 AM</x:t>
  </x:si>
  <x:si>
    <x:t xml:space="preserve">45m 2s</x:t>
  </x:si>
  <x:si>
    <x:t xml:space="preserve">10/26/26, 9:14:51 AM</x:t>
  </x:si>
  <x:si>
    <x:t xml:space="preserve">10/26/26, 9:53:40 AM</x:t>
  </x:si>
  <x:si>
    <x:t xml:space="preserve">14m 44s</x:t>
  </x:si>
  <x:si>
    <x:t xml:space="preserve">10/26/26, 8:39:55 AM</x:t>
  </x:si>
  <x:si>
    <x:t xml:space="preserve">27m 36s</x:t>
  </x:si>
  <x:si>
    <x:t xml:space="preserve">10/26/26, 8:49:59 AM</x:t>
  </x:si>
  <x:si>
    <x:t xml:space="preserve">10/26/26, 9:02:20 AM</x:t>
  </x:si>
  <x:si>
    <x:t xml:space="preserve">12m 21s</x:t>
  </x:si>
  <x:si>
    <x:t xml:space="preserve">10/26/26, 9:09:22 AM</x:t>
  </x:si>
  <x:si>
    <x:t xml:space="preserve">1h 9m 34s</x:t>
  </x:si>
  <x:si>
    <x:t xml:space="preserve">10/26/26, 8:43:44 AM</x:t>
  </x:si>
  <x:si>
    <x:t xml:space="preserve">10/26/26, 8:49:40 AM</x:t>
  </x:si>
  <x:si>
    <x:t xml:space="preserve">10/26/26, 9:10:37 AM</x:t>
  </x:si>
  <x:si>
    <x:t xml:space="preserve">20m 56s</x:t>
  </x:si>
  <x:si>
    <x:t xml:space="preserve">10/26/26, 9:13:01 AM</x:t>
  </x:si>
  <x:si>
    <x:t xml:space="preserve">55m 45s</x:t>
  </x:si>
  <x:si>
    <x:t xml:space="preserve">10/26/26, 9:45:34 AM</x:t>
  </x:si>
  <x:si>
    <x:t xml:space="preserve">1h 31m 45s</x:t>
  </x:si>
  <x:si>
    <x:t xml:space="preserve">10/26/26, 9:56:49 AM</x:t>
  </x:si>
  <x:si>
    <x:t xml:space="preserve">12m 14s</x:t>
  </x:si>
  <x:si>
    <x:t xml:space="preserve">10/26/26, 8:19:16 AM</x:t>
  </x:si>
  <x:si>
    <x:t xml:space="preserve">5m 3s</x:t>
  </x:si>
  <x:si>
    <x:t xml:space="preserve">10/26/26, 8:43:27 AM</x:t>
  </x:si>
  <x:si>
    <x:t xml:space="preserve">1h 23m 42s</x:t>
  </x:si>
  <x:si>
    <x:t xml:space="preserve">10/26/26, 9:36:01 AM</x:t>
  </x:si>
  <x:si>
    <x:t xml:space="preserve">1h 21m 24s</x:t>
  </x:si>
  <x:si>
    <x:t xml:space="preserve">10/26/26, 9:49:47 AM</x:t>
  </x:si>
  <x:si>
    <x:t xml:space="preserve">10/26/26, 9:55:30 AM</x:t>
  </x:si>
  <x:si>
    <x:t xml:space="preserve">5m 42s</x:t>
  </x:si>
  <x:si>
    <x:t xml:space="preserve">13m 2s</x:t>
  </x:si>
  <x:si>
    <x:t xml:space="preserve">10/26/26, 9:18:01 AM</x:t>
  </x:si>
  <x:si>
    <x:t xml:space="preserve">1h 3m 12s</x:t>
  </x:si>
  <x:si>
    <x:t xml:space="preserve">10/26/26, 9:48:06 AM</x:t>
  </x:si>
  <x:si>
    <x:t xml:space="preserve">19m 32s</x:t>
  </x:si>
  <x:si>
    <x:t xml:space="preserve">10/26/26, 9:46:19 AM</x:t>
  </x:si>
  <x:si>
    <x:t xml:space="preserve">1h 31m 29s</x:t>
  </x:si>
  <x:si>
    <x:t xml:space="preserve">11m 3s</x:t>
  </x:si>
  <x:si>
    <x:t xml:space="preserve">10/26/26, 9:55:56 AM</x:t>
  </x:si>
  <x:si>
    <x:t xml:space="preserve">1h 40m 51s</x:t>
  </x:si>
  <x:si>
    <x:t xml:space="preserve">10/26/26, 9:57:14 AM</x:t>
  </x:si>
  <x:si>
    <x:t xml:space="preserve">53m 13s</x:t>
  </x:si>
  <x:si>
    <x:t xml:space="preserve">10/26/26, 8:17:48 AM</x:t>
  </x:si>
  <x:si>
    <x:t xml:space="preserve">2m 18s</x:t>
  </x:si>
  <x:si>
    <x:t xml:space="preserve">10/26/26, 8:19:28 AM</x:t>
  </x:si>
  <x:si>
    <x:t xml:space="preserve">10/26/26, 8:52:21 AM</x:t>
  </x:si>
  <x:si>
    <x:t xml:space="preserve">10/26/26, 9:05:26 AM</x:t>
  </x:si>
  <x:si>
    <x:t xml:space="preserve">10/26/26, 9:14:44 AM</x:t>
  </x:si>
  <x:si>
    <x:t xml:space="preserve">9m 17s</x:t>
  </x:si>
  <x:si>
    <x:t xml:space="preserve">10/26/26, 9:17:01 AM</x:t>
  </x:si>
  <x:si>
    <x:t xml:space="preserve">10/26/26, 9:25:49 AM</x:t>
  </x:si>
  <x:si>
    <x:t xml:space="preserve">8m 47s</x:t>
  </x:si>
  <x:si>
    <x:t xml:space="preserve">10/26/26, 9:28:38 AM</x:t>
  </x:si>
  <x:si>
    <x:t xml:space="preserve">10/26/26, 9:32:43 AM</x:t>
  </x:si>
  <x:si>
    <x:t xml:space="preserve">4m 5s</x:t>
  </x:si>
  <x:si>
    <x:t xml:space="preserve">10/26/26, 9:36:27 AM</x:t>
  </x:si>
  <x:si>
    <x:t xml:space="preserve">10/26/26, 9:48:57 AM</x:t>
  </x:si>
  <x:si>
    <x:t xml:space="preserve">12m 29s</x:t>
  </x:si>
  <x:si>
    <x:t xml:space="preserve">10/26/26, 9:50:35 AM</x:t>
  </x:si>
  <x:si>
    <x:t xml:space="preserve">17m 40s</x:t>
  </x:si>
  <x:si>
    <x:t xml:space="preserve">1h 51m 21s</x:t>
  </x:si>
  <x:si>
    <x:t xml:space="preserve">17s</x:t>
  </x:si>
  <x:si>
    <x:t xml:space="preserve">10/26/26, 8:19:11 AM</x:t>
  </x:si>
  <x:si>
    <x:t xml:space="preserve">2m 41s</x:t>
  </x:si>
  <x:si>
    <x:t xml:space="preserve">10/26/26, 8:30:38 AM</x:t>
  </x:si>
  <x:si>
    <x:t xml:space="preserve">42m 15s</x:t>
  </x:si>
  <x:si>
    <x:t xml:space="preserve">10/26/26, 9:17:36 AM</x:t>
  </x:si>
  <x:si>
    <x:t xml:space="preserve">10/26/26, 9:58:41 AM</x:t>
  </x:si>
  <x:si>
    <x:t xml:space="preserve">41m 5s</x:t>
  </x:si>
  <x:si>
    <x:t xml:space="preserve">10/26/26, 10:00:14 AM</x:t>
  </x:si>
  <x:si>
    <x:t xml:space="preserve">8m 14s</x:t>
  </x:si>
  <x:si>
    <x:t xml:space="preserve">10/26/26, 8:40:48 AM</x:t>
  </x:si>
  <x:si>
    <x:t xml:space="preserve">22m 4s</x:t>
  </x:si>
  <x:si>
    <x:t xml:space="preserve">10/26/26, 8:52:22 AM</x:t>
  </x:si>
  <x:si>
    <x:t xml:space="preserve">1h 15m 37s</x:t>
  </x:si>
  <x:si>
    <x:t xml:space="preserve">10/26/26, 9:27:53 AM</x:t>
  </x:si>
  <x:si>
    <x:t xml:space="preserve">1h 8m 6s</x:t>
  </x:si>
  <x:si>
    <x:t xml:space="preserve">10/26/26, 9:30:13 AM</x:t>
  </x:si>
  <x:si>
    <x:t xml:space="preserve">21m 41s</x:t>
  </x:si>
  <x:si>
    <x:t xml:space="preserve">10/26/26, 8:50:28 AM</x:t>
  </x:si>
  <x:si>
    <x:t xml:space="preserve">30m 37s</x:t>
  </x:si>
  <x:si>
    <x:t xml:space="preserve">10/26/26, 9:01:38 AM</x:t>
  </x:si>
  <x:si>
    <x:t xml:space="preserve">1h 5m 48s</x:t>
  </x:si>
  <x:si>
    <x:t xml:space="preserve">10/26/26, 8:28:53 AM</x:t>
  </x:si>
  <x:si>
    <x:t xml:space="preserve">1h 31m 38s</x:t>
  </x:si>
  <x:si>
    <x:t xml:space="preserve">1m 51s</x:t>
  </x:si>
  <x:si>
    <x:t xml:space="preserve">1h 24m 9s</x:t>
  </x:si>
  <x:si>
    <x:t xml:space="preserve">10/26/26, 9:33:46 AM</x:t>
  </x:si>
  <x:si>
    <x:t xml:space="preserve">1h 11m 14s</x:t>
  </x:si>
  <x:si>
    <x:t xml:space="preserve">10/26/26, 9:41:06 AM</x:t>
  </x:si>
  <x:si>
    <x:t xml:space="preserve">30m 25s</x:t>
  </x:si>
  <x:si>
    <x:t xml:space="preserve">10/26/26, 8:25:24 AM</x:t>
  </x:si>
  <x:si>
    <x:t xml:space="preserve">10/26/26, 10:10:43 AM</x:t>
  </x:si>
  <x:si>
    <x:t xml:space="preserve">10/26/26, 8:43:01 AM</x:t>
  </x:si>
  <x:si>
    <x:t xml:space="preserve">16m 50s</x:t>
  </x:si>
  <x:si>
    <x:t xml:space="preserve">10/26/26, 8:47:07 AM</x:t>
  </x:si>
  <x:si>
    <x:t xml:space="preserve">10/26/26, 9:29:54 AM</x:t>
  </x:si>
  <x:si>
    <x:t xml:space="preserve">42m 46s</x:t>
  </x:si>
  <x:si>
    <x:t xml:space="preserve">10/26/26, 9:32:01 AM</x:t>
  </x:si>
  <x:si>
    <x:t xml:space="preserve">6m 10s</x:t>
  </x:si>
  <x:si>
    <x:t xml:space="preserve">10/26/26, 9:20:11 AM</x:t>
  </x:si>
  <x:si>
    <x:t xml:space="preserve">53m 32s</x:t>
  </x:si>
  <x:si>
    <x:t xml:space="preserve">10/26/26, 9:28:23 AM</x:t>
  </x:si>
  <x:si>
    <x:t xml:space="preserve">55m 39s</x:t>
  </x:si>
  <x:si>
    <x:t xml:space="preserve">10/26/26, 9:17:00 AM</x:t>
  </x:si>
  <x:si>
    <x:t xml:space="preserve">50m</x:t>
  </x:si>
  <x:si>
    <x:t xml:space="preserve">10/26/26, 9:58:07 AM</x:t>
  </x:si>
  <x:si>
    <x:t xml:space="preserve">9m 56s</x:t>
  </x:si>
  <x:si>
    <x:t xml:space="preserve">10/26/26, 10:20:43 AM</x:t>
  </x:si>
  <x:si>
    <x:t xml:space="preserve">1h 49m 35s</x:t>
  </x:si>
  <x:si>
    <x:t xml:space="preserve">10/26/26, 11:22:04 AM</x:t>
  </x:si>
  <x:si>
    <x:t xml:space="preserve">10/26/26, 8:38:07 AM</x:t>
  </x:si>
  <x:si>
    <x:t xml:space="preserve">10/26/26, 8:42:07 AM</x:t>
  </x:si>
  <x:si>
    <x:t xml:space="preserve">1h 25m 24s</x:t>
  </x:si>
  <x:si>
    <x:t xml:space="preserve">10/26/26, 9:40:45 AM</x:t>
  </x:si>
  <x:si>
    <x:t xml:space="preserve">1h 8m 48s</x:t>
  </x:si>
  <x:si>
    <x:t xml:space="preserve">10/26/26, 9:46:55 AM</x:t>
  </x:si>
  <x:si>
    <x:t xml:space="preserve">7m 28s</x:t>
  </x:si>
  <x:si>
    <x:t xml:space="preserve">10/26/26, 10:00:00 AM</x:t>
  </x:si>
  <x:si>
    <x:t xml:space="preserve">1h 26m 24s</x:t>
  </x:si>
  <x:si>
    <x:t xml:space="preserve">10/26/26, 10:47:47 AM</x:t>
  </x:si>
  <x:si>
    <x:t xml:space="preserve">10/26/26, 8:44:19 AM</x:t>
  </x:si>
  <x:si>
    <x:t xml:space="preserve">10/26/26, 9:08:20 AM</x:t>
  </x:si>
  <x:si>
    <x:t xml:space="preserve">58m 58s</x:t>
  </x:si>
  <x:si>
    <x:t xml:space="preserve">10/26/26, 8:37:14 AM</x:t>
  </x:si>
  <x:si>
    <x:t xml:space="preserve">10/26/26, 8:38:38 AM</x:t>
  </x:si>
  <x:si>
    <x:t xml:space="preserve">10/26/26, 9:07:59 AM</x:t>
  </x:si>
  <x:si>
    <x:t xml:space="preserve">31m 33s</x:t>
  </x:si>
  <x:si>
    <x:t xml:space="preserve">10/26/26, 9:11:25 AM</x:t>
  </x:si>
  <x:si>
    <x:t xml:space="preserve">56m 1s</x:t>
  </x:si>
  <x:si>
    <x:t xml:space="preserve">10/26/26, 9:28:43 AM</x:t>
  </x:si>
  <x:si>
    <x:t xml:space="preserve">51m 35s</x:t>
  </x:si>
  <x:si>
    <x:t xml:space="preserve">10/26/26, 9:31:11 AM</x:t>
  </x:si>
  <x:si>
    <x:t xml:space="preserve">36m 58s</x:t>
  </x:si>
  <x:si>
    <x:t xml:space="preserve">10/26/26, 8:46:12 AM</x:t>
  </x:si>
  <x:si>
    <x:t xml:space="preserve">8m 45s</x:t>
  </x:si>
  <x:si>
    <x:t xml:space="preserve">10/26/26, 8:48:21 AM</x:t>
  </x:si>
  <x:si>
    <x:t xml:space="preserve">1h 18m 57s</x:t>
  </x:si>
  <x:si>
    <x:t xml:space="preserve">10/26/26, 10:19:17 AM</x:t>
  </x:si>
  <x:si>
    <x:t xml:space="preserve">10/26/26, 9:52:29 AM</x:t>
  </x:si>
  <x:si>
    <x:t xml:space="preserve">1h 12m 32s</x:t>
  </x:si>
  <x:si>
    <x:t xml:space="preserve">10/26/26, 10:02:44 AM</x:t>
  </x:si>
  <x:si>
    <x:t xml:space="preserve">5m 51s</x:t>
  </x:si>
  <x:si>
    <x:t xml:space="preserve">10/26/26, 9:41:13 AM</x:t>
  </x:si>
  <x:si>
    <x:t xml:space="preserve">58m 49s</x:t>
  </x:si>
  <x:si>
    <x:t xml:space="preserve">10/26/26, 9:53:17 AM</x:t>
  </x:si>
  <x:si>
    <x:t xml:space="preserve">20m 57s</x:t>
  </x:si>
  <x:si>
    <x:t xml:space="preserve">35m 9s</x:t>
  </x:si>
  <x:si>
    <x:t xml:space="preserve">10/26/26, 9:24:40 AM</x:t>
  </x:si>
  <x:si>
    <x:t xml:space="preserve">2h 43m 28s</x:t>
  </x:si>
  <x:si>
    <x:t xml:space="preserve">1h 18m 44s</x:t>
  </x:si>
  <x:si>
    <x:t xml:space="preserve">10/26/26, 10:13:52 AM</x:t>
  </x:si>
  <x:si>
    <x:t xml:space="preserve">10/26/26, 9:21:03 AM</x:t>
  </x:si>
  <x:si>
    <x:t xml:space="preserve">29m 8s</x:t>
  </x:si>
  <x:si>
    <x:t xml:space="preserve">10/26/26, 9:26:29 AM</x:t>
  </x:si>
  <x:si>
    <x:t xml:space="preserve">3m 44s</x:t>
  </x:si>
  <x:si>
    <x:t xml:space="preserve">10/26/26, 9:02:15 AM</x:t>
  </x:si>
  <x:si>
    <x:t xml:space="preserve">10m 3s</x:t>
  </x:si>
  <x:si>
    <x:t xml:space="preserve">10/26/26, 9:10:39 AM</x:t>
  </x:si>
  <x:si>
    <x:t xml:space="preserve">57m 32s</x:t>
  </x:si>
  <x:si>
    <x:t xml:space="preserve">10/26/26, 9:41:50 AM</x:t>
  </x:si>
  <x:si>
    <x:t xml:space="preserve">46m 57s</x:t>
  </x:si>
  <x:si>
    <x:t xml:space="preserve">10/26/26, 10:03:55 AM</x:t>
  </x:si>
  <x:si>
    <x:t xml:space="preserve">10/26/26, 10:17:40 AM</x:t>
  </x:si>
  <x:si>
    <x:t xml:space="preserve">13m 44s</x:t>
  </x:si>
  <x:si>
    <x:t xml:space="preserve">10/26/26, 10:19:46 AM</x:t>
  </x:si>
  <x:si>
    <x:t xml:space="preserve">10/26/26, 9:07:34 AM</x:t>
  </x:si>
  <x:si>
    <x:t xml:space="preserve">12m 16s</x:t>
  </x:si>
  <x:si>
    <x:t xml:space="preserve">10/26/26, 9:37:26 AM</x:t>
  </x:si>
  <x:si>
    <x:t xml:space="preserve">29m 51s</x:t>
  </x:si>
  <x:si>
    <x:t xml:space="preserve">10/26/26, 9:06:28 AM</x:t>
  </x:si>
  <x:si>
    <x:t xml:space="preserve">7m 38s</x:t>
  </x:si>
  <x:si>
    <x:t xml:space="preserve">10/26/26, 9:07:30 AM</x:t>
  </x:si>
  <x:si>
    <x:t xml:space="preserve">1h 2s</x:t>
  </x:si>
  <x:si>
    <x:t xml:space="preserve">10/26/26, 9:10:14 AM</x:t>
  </x:si>
  <x:si>
    <x:t xml:space="preserve">10m 39s</x:t>
  </x:si>
  <x:si>
    <x:t xml:space="preserve">10/26/26, 9:24:04 AM</x:t>
  </x:si>
  <x:si>
    <x:t xml:space="preserve">10/26/26, 9:25:39 AM</x:t>
  </x:si>
  <x:si>
    <x:t xml:space="preserve">1m 34s</x:t>
  </x:si>
  <x:si>
    <x:t xml:space="preserve">10/26/26, 9:29:50 AM</x:t>
  </x:si>
  <x:si>
    <x:t xml:space="preserve">42m 20s</x:t>
  </x:si>
  <x:si>
    <x:t xml:space="preserve">10/26/26, 9:15:43 AM</x:t>
  </x:si>
  <x:si>
    <x:t xml:space="preserve">15m 4s</x:t>
  </x:si>
  <x:si>
    <x:t xml:space="preserve">10/26/26, 9:29:23 AM</x:t>
  </x:si>
  <x:si>
    <x:t xml:space="preserve">37m 58s</x:t>
  </x:si>
  <x:si>
    <x:t xml:space="preserve">10/26/26, 9:14:02 AM</x:t>
  </x:si>
  <x:si>
    <x:t xml:space="preserve">11m 57s</x:t>
  </x:si>
  <x:si>
    <x:t xml:space="preserve">10/26/26, 9:20:24 AM</x:t>
  </x:si>
  <x:si>
    <x:t xml:space="preserve">10/26/26, 9:21:23 AM</x:t>
  </x:si>
  <x:si>
    <x:t xml:space="preserve">10/26/26, 9:26:34 AM</x:t>
  </x:si>
  <x:si>
    <x:t xml:space="preserve">41m 31s</x:t>
  </x:si>
  <x:si>
    <x:t xml:space="preserve">10/26/26, 9:31:17 AM</x:t>
  </x:si>
  <x:si>
    <x:t xml:space="preserve">10/26/26, 9:33:36 AM</x:t>
  </x:si>
  <x:si>
    <x:t xml:space="preserve">33m 48s</x:t>
  </x:si>
  <x:si>
    <x:t xml:space="preserve">10/26/26, 9:36:48 AM</x:t>
  </x:si>
  <x:si>
    <x:t xml:space="preserve">26m 48s</x:t>
  </x:si>
  <x:si>
    <x:t xml:space="preserve">10/26/26, 9:38:11 AM</x:t>
  </x:si>
  <x:si>
    <x:t xml:space="preserve">10/26/26, 9:57:20 AM</x:t>
  </x:si>
  <x:si>
    <x:t xml:space="preserve">19m 8s</x:t>
  </x:si>
  <x:si>
    <x:t xml:space="preserve">10/26/26, 10:02:23 AM</x:t>
  </x:si>
  <x:si>
    <x:t xml:space="preserve">1m 45s</x:t>
  </x:si>
  <x:si>
    <x:t xml:space="preserve">10/26/26, 9:40:33 AM</x:t>
  </x:si>
  <x:si>
    <x:t xml:space="preserve">10/26/26, 9:53:25 AM</x:t>
  </x:si>
  <x:si>
    <x:t xml:space="preserve">19m 15s</x:t>
  </x:si>
  <x:si>
    <x:t xml:space="preserve">10/26/26, 9:49:18 AM</x:t>
  </x:si>
  <x:si>
    <x:t xml:space="preserve">18m 22s</x:t>
  </x:si>
  <x:si>
    <x:t xml:space="preserve">10/26/26, 9:37:52 AM</x:t>
  </x:si>
  <x:si>
    <x:t xml:space="preserve">5m 30s</x:t>
  </x:si>
  <x:si>
    <x:t xml:space="preserve">10/26/26, 9:41:54 AM</x:t>
  </x:si>
  <x:si>
    <x:t xml:space="preserve">25m 15s</x:t>
  </x:si>
  <x:si>
    <x:t xml:space="preserve">10/26/26, 11:39:43 AM</x:t>
  </x:si>
  <x:si>
    <x:t xml:space="preserve">10/26/26, 8:04:03 AM</x:t>
  </x:si>
  <x:si>
    <x:t xml:space="preserve">10/26/26, 8:08:36 AM</x:t>
  </x:si>
  <x:si>
    <x:t xml:space="preserve">10/26/26, 9:55:31 AM</x:t>
  </x:si>
  <x:si>
    <x:t xml:space="preserve">10/26/26, 7:45:50 AM</x:t>
  </x:si>
  <x:si>
    <x:t xml:space="preserve">10/26/26, 8:21:26 AM</x:t>
  </x:si>
  <x:si>
    <x:t xml:space="preserve">10/26/26, 12:07:39 PM</x:t>
  </x:si>
  <x:si>
    <x:t xml:space="preserve">10/26/26, 8:08:18 AM</x:t>
  </x:si>
  <x:si>
    <x:t xml:space="preserve">10/26/26, 8:20:27 AM</x:t>
  </x:si>
  <x:si>
    <x:t xml:space="preserve">10/26/26, 8:21:02 AM</x:t>
  </x:si>
  <x:si>
    <x:t xml:space="preserve">10/26/26, 8:26:58 AM</x:t>
  </x:si>
  <x:si>
    <x:t xml:space="preserve">10/26/26, 9:55:52 AM</x:t>
  </x:si>
  <x:si>
    <x:t xml:space="preserve">10/26/26, 9:55:53 AM</x:t>
  </x:si>
  <x:si>
    <x:t xml:space="preserve">10/26/26, 10:03:40 AM</x:t>
  </x:si>
  <x:si>
    <x:t xml:space="preserve">10/26/26, 8:01:39 AM</x:t>
  </x:si>
  <x:si>
    <x:t xml:space="preserve">10/26/26, 8:20:17 AM</x:t>
  </x:si>
  <x:si>
    <x:t xml:space="preserve">10/26/26, 8:21:13 AM</x:t>
  </x:si>
  <x:si>
    <x:t xml:space="preserve">10/26/26, 8:26:54 AM</x:t>
  </x:si>
  <x:si>
    <x:t xml:space="preserve">10/26/26, 9:16:07 AM</x:t>
  </x:si>
  <x:si>
    <x:t xml:space="preserve">10/26/26, 8:55:41 AM</x:t>
  </x:si>
  <x:si>
    <x:t xml:space="preserve">10/26/26, 9:08:29 AM</x:t>
  </x:si>
  <x:si>
    <x:t xml:space="preserve">10/26/26, 7:46:29 AM</x:t>
  </x:si>
  <x:si>
    <x:t xml:space="preserve">10/26/26, 7:47:24 AM</x:t>
  </x:si>
  <x:si>
    <x:t xml:space="preserve">10/26/26, 8:37:28 AM</x:t>
  </x:si>
  <x:si>
    <x:t xml:space="preserve">10/26/26, 9:00:43 AM</x:t>
  </x:si>
  <x:si>
    <x:t xml:space="preserve">10/26/26, 9:36:54 AM</x:t>
  </x:si>
  <x:si>
    <x:t xml:space="preserve">10/26/26, 8:00:20 AM</x:t>
  </x:si>
  <x:si>
    <x:t xml:space="preserve">10/26/26, 9:32:04 AM</x:t>
  </x:si>
  <x:si>
    <x:t xml:space="preserve">10/26/26, 8:00:35 AM</x:t>
  </x:si>
  <x:si>
    <x:t xml:space="preserve">10/26/26, 9:00:04 AM</x:t>
  </x:si>
  <x:si>
    <x:t xml:space="preserve">10/26/26, 9:00:09 AM</x:t>
  </x:si>
  <x:si>
    <x:t xml:space="preserve">10/26/26, 9:02:07 AM</x:t>
  </x:si>
  <x:si>
    <x:t xml:space="preserve">10/26/26, 8:04:27 AM</x:t>
  </x:si>
  <x:si>
    <x:t xml:space="preserve">10/26/26, 8:19:08 AM</x:t>
  </x:si>
  <x:si>
    <x:t xml:space="preserve">10/26/26, 8:59:41 AM</x:t>
  </x:si>
  <x:si>
    <x:t xml:space="preserve">10/26/26, 8:55:42 AM</x:t>
  </x:si>
  <x:si>
    <x:t xml:space="preserve">10/26/26, 9:54:17 AM</x:t>
  </x:si>
  <x:si>
    <x:t xml:space="preserve">10/26/26, 10:01:06 AM</x:t>
  </x:si>
  <x:si>
    <x:t xml:space="preserve">10/26/26, 10:01:15 AM</x:t>
  </x:si>
  <x:si>
    <x:t xml:space="preserve">10/26/26, 8:58:41 AM</x:t>
  </x:si>
  <x:si>
    <x:t xml:space="preserve">10/26/26, 9:08:39 AM</x:t>
  </x:si>
  <x:si>
    <x:t xml:space="preserve">10/26/26, 8:02:20 AM</x:t>
  </x:si>
  <x:si>
    <x:t xml:space="preserve">10/26/26, 9:59:22 AM</x:t>
  </x:si>
  <x:si>
    <x:t xml:space="preserve">10/26/26, 8:04:37 AM</x:t>
  </x:si>
  <x:si>
    <x:t xml:space="preserve">10/26/26, 9:55:57 AM</x:t>
  </x:si>
  <x:si>
    <x:t xml:space="preserve">10/26/26, 9:58:01 AM</x:t>
  </x:si>
  <x:si>
    <x:t xml:space="preserve">10/26/26, 8:10:05 AM</x:t>
  </x:si>
  <x:si>
    <x:t xml:space="preserve">10/26/26, 9:20:59 AM</x:t>
  </x:si>
  <x:si>
    <x:t xml:space="preserve">10/26/26, 8:51:09 AM</x:t>
  </x:si>
  <x:si>
    <x:t xml:space="preserve">10/26/26, 8:19:41 AM</x:t>
  </x:si>
  <x:si>
    <x:t xml:space="preserve">10/26/26, 8:07:04 AM</x:t>
  </x:si>
  <x:si>
    <x:t xml:space="preserve">10/26/26, 8:48:15 AM</x:t>
  </x:si>
  <x:si>
    <x:t xml:space="preserve">10/26/26, 8:32:32 AM</x:t>
  </x:si>
  <x:si>
    <x:t xml:space="preserve">10/26/26, 8:10:33 AM</x:t>
  </x:si>
  <x:si>
    <x:t xml:space="preserve">10/26/26, 8:10:35 AM</x:t>
  </x:si>
  <x:si>
    <x:t xml:space="preserve">10/26/26, 9:02:51 AM</x:t>
  </x:si>
  <x:si>
    <x:t xml:space="preserve">10/26/26, 9:02:54 AM</x:t>
  </x:si>
  <x:si>
    <x:t xml:space="preserve">10/26/26, 8:38:27 AM</x:t>
  </x:si>
  <x:si>
    <x:t xml:space="preserve">10/26/26, 9:26:30 AM</x:t>
  </x:si>
  <x:si>
    <x:t xml:space="preserve">10/26/26, 9:26:32 AM</x:t>
  </x:si>
  <x:si>
    <x:t xml:space="preserve">10/26/26, 9:57:16 AM</x:t>
  </x:si>
  <x:si>
    <x:t xml:space="preserve">10/26/26, 10:07:05 AM</x:t>
  </x:si>
  <x:si>
    <x:t xml:space="preserve">10/26/26, 8:09:58 AM</x:t>
  </x:si>
  <x:si>
    <x:t xml:space="preserve">10/26/26, 8:11:05 AM</x:t>
  </x:si>
  <x:si>
    <x:t xml:space="preserve">10/26/26, 8:50:22 AM</x:t>
  </x:si>
  <x:si>
    <x:t xml:space="preserve">10/26/26, 8:11:32 AM</x:t>
  </x:si>
  <x:si>
    <x:t xml:space="preserve">10/26/26, 8:11:16 AM</x:t>
  </x:si>
  <x:si>
    <x:t xml:space="preserve">10/26/26, 8:19:15 AM</x:t>
  </x:si>
  <x:si>
    <x:t xml:space="preserve">10/26/26, 8:56:10 AM</x:t>
  </x:si>
  <x:si>
    <x:t xml:space="preserve">10/26/26, 9:54:37 AM</x:t>
  </x:si>
  <x:si>
    <x:t xml:space="preserve">10/26/26, 9:22:29 AM</x:t>
  </x:si>
  <x:si>
    <x:t xml:space="preserve">10/26/26, 8:13:54 AM</x:t>
  </x:si>
  <x:si>
    <x:t xml:space="preserve">10/26/26, 8:50:42 AM</x:t>
  </x:si>
  <x:si>
    <x:t xml:space="preserve">10/26/26, 9:18:51 AM</x:t>
  </x:si>
  <x:si>
    <x:t xml:space="preserve">10/26/26, 9:13:49 AM</x:t>
  </x:si>
  <x:si>
    <x:t xml:space="preserve">10/26/26, 8:25:57 AM</x:t>
  </x:si>
  <x:si>
    <x:t xml:space="preserve">10/26/26, 8:17:25 AM</x:t>
  </x:si>
  <x:si>
    <x:t xml:space="preserve">10/26/26, 8:35:18 AM</x:t>
  </x:si>
  <x:si>
    <x:t xml:space="preserve">10/26/26, 10:05:05 AM</x:t>
  </x:si>
  <x:si>
    <x:t xml:space="preserve">10/26/26, 8:33:50 AM</x:t>
  </x:si>
  <x:si>
    <x:t xml:space="preserve">10/26/26, 9:14:30 AM</x:t>
  </x:si>
  <x:si>
    <x:t xml:space="preserve">10/26/26, 9:35:32 AM</x:t>
  </x:si>
  <x:si>
    <x:t xml:space="preserve">10/26/26, 9:28:50 AM</x:t>
  </x:si>
  <x:si>
    <x:t xml:space="preserve">10/26/26, 11:22:10 AM</x:t>
  </x:si>
  <x:si>
    <x:t xml:space="preserve">10/26/26, 8:35:40 AM</x:t>
  </x:si>
  <x:si>
    <x:t xml:space="preserve">10/26/26, 8:51:35 AM</x:t>
  </x:si>
  <x:si>
    <x:t xml:space="preserve">10/26/26, 8:36:33 AM</x:t>
  </x:si>
  <x:si>
    <x:t xml:space="preserve">10/26/26, 9:11:35 AM</x:t>
  </x:si>
  <x:si>
    <x:t xml:space="preserve">10/26/26, 10:06:31 AM</x:t>
  </x:si>
  <x:si>
    <x:t xml:space="preserve">10/26/26, 8:40:32 AM</x:t>
  </x:si>
  <x:si>
    <x:t xml:space="preserve">10/26/26, 8:42:55 AM</x:t>
  </x:si>
  <x:si>
    <x:t xml:space="preserve">10/26/26, 8:43:41 AM</x:t>
  </x:si>
  <x:si>
    <x:t xml:space="preserve">10/26/26, 8:54:16 AM</x:t>
  </x:si>
  <x:si>
    <x:t xml:space="preserve">10/26/26, 9:41:43 AM</x:t>
  </x:si>
  <x:si>
    <x:t xml:space="preserve">10/26/26, 9:42:43 AM</x:t>
  </x:si>
  <x:si>
    <x:t xml:space="preserve">10/26/26, 8:59:17 AM</x:t>
  </x:si>
  <x:si>
    <x:t xml:space="preserve">10/26/26, 9:55:34 AM</x:t>
  </x:si>
  <x:si>
    <x:t xml:space="preserve">10/26/26, 9:35:14 AM</x:t>
  </x:si>
  <x:si>
    <x:t xml:space="preserve">10/26/26, 9:21:41 AM</x:t>
  </x:si>
  <x:si>
    <x:t xml:space="preserve">10/26/26, 9:34:18 AM</x:t>
  </x:si>
  <x:si>
    <x:t xml:space="preserve">10/26/26, 11:39:46 AM</x:t>
  </x:si>
  <x:si>
    <x:t xml:space="preserve">Country Code</x:t>
  </x:si>
  <x:si>
    <x:t xml:space="preserve">Aaliya Nubheebucus</x:t>
  </x:si>
  <x:si>
    <x:t xml:space="preserve">MU</x:t>
  </x:si>
  <x:si>
    <x:t xml:space="preserve">Abdulswamadu Ssekajja</x:t>
  </x:si>
  <x:si>
    <x:t xml:space="preserve">UG</x:t>
  </x:si>
  <x:si>
    <x:t xml:space="preserve">Abel Legesse</x:t>
  </x:si>
  <x:si>
    <x:t xml:space="preserve">KE</x:t>
  </x:si>
  <x:si>
    <x:t xml:space="preserve">Abigael Kimani</x:t>
  </x:si>
  <x:si>
    <x:t xml:space="preserve">Adrian Oile</x:t>
  </x:si>
  <x:si>
    <x:t xml:space="preserve">Aime Niyokwizerwa</x:t>
  </x:si>
  <x:si>
    <x:t xml:space="preserve">RW</x:t>
  </x:si>
  <x:si>
    <x:t xml:space="preserve">Akinyemi Awodumila</x:t>
  </x:si>
  <x:si>
    <x:t xml:space="preserve">Alfred Mwendwa</x:t>
  </x:si>
  <x:si>
    <x:t xml:space="preserve">Alice Muchemi</x:t>
  </x:si>
  <x:si>
    <x:t xml:space="preserve">Alice Nderitu</x:t>
  </x:si>
  <x:si>
    <x:t xml:space="preserve">Alice Ngetich</x:t>
  </x:si>
  <x:si>
    <x:t xml:space="preserve">Allen Alfred</x:t>
  </x:si>
  <x:si>
    <x:t xml:space="preserve">TZ</x:t>
  </x:si>
  <x:si>
    <x:t xml:space="preserve">Alpha Mukazi</x:t>
  </x:si>
  <x:si>
    <x:t xml:space="preserve">Alphonce Odhiambo</x:t>
  </x:si>
  <x:si>
    <x:t xml:space="preserve">Altar Inganji</x:t>
  </x:si>
  <x:si>
    <x:t xml:space="preserve">Alvine Oyonga</x:t>
  </x:si>
  <x:si>
    <x:t xml:space="preserve">Amani Mbajo</x:t>
  </x:si>
  <x:si>
    <x:t xml:space="preserve">Amos Masangwa</x:t>
  </x:si>
  <x:si>
    <x:t xml:space="preserve">Andrew Chibuye</x:t>
  </x:si>
  <x:si>
    <x:t xml:space="preserve">ZM</x:t>
  </x:si>
  <x:si>
    <x:t xml:space="preserve">Andrew Musyimi</x:t>
  </x:si>
  <x:si>
    <x:t xml:space="preserve">Anel Eksteen</x:t>
  </x:si>
  <x:si>
    <x:t xml:space="preserve">ZA</x:t>
  </x:si>
  <x:si>
    <x:t xml:space="preserve">Anesius Kambei</x:t>
  </x:si>
  <x:si>
    <x:t xml:space="preserve">anesius.kambei@pwc.com</x:t>
  </x:si>
  <x:si>
    <x:t xml:space="preserve">Angel Qamara</x:t>
  </x:si>
  <x:si>
    <x:t xml:space="preserve">Angelah Mumbia</x:t>
  </x:si>
  <x:si>
    <x:t xml:space="preserve">Angella Mwai</x:t>
  </x:si>
  <x:si>
    <x:t xml:space="preserve">Anish Ramdhonee</x:t>
  </x:si>
  <x:si>
    <x:t xml:space="preserve">Anjela Papiah</x:t>
  </x:si>
  <x:si>
    <x:t xml:space="preserve">Anju Sunnassy</x:t>
  </x:si>
  <x:si>
    <x:t xml:space="preserve">Ann Muchoki</x:t>
  </x:si>
  <x:si>
    <x:t xml:space="preserve">Anna Mlay</x:t>
  </x:si>
  <x:si>
    <x:t xml:space="preserve">Annah Mwikali</x:t>
  </x:si>
  <x:si>
    <x:t xml:space="preserve">Anneria Bender</x:t>
  </x:si>
  <x:si>
    <x:t xml:space="preserve">anneria.b.bender@pwc.com</x:t>
  </x:si>
  <x:si>
    <x:t xml:space="preserve">Anthony Njeeh</x:t>
  </x:si>
  <x:si>
    <x:t xml:space="preserve">Antony Waweru</x:t>
  </x:si>
  <x:si>
    <x:t xml:space="preserve">Antony Wawira</x:t>
  </x:si>
  <x:si>
    <x:t xml:space="preserve">Anusha Jokhoo</x:t>
  </x:si>
  <x:si>
    <x:t xml:space="preserve">Ashvi Puholoo</x:t>
  </x:si>
  <x:si>
    <x:t xml:space="preserve">Assery Msangi</x:t>
  </x:si>
  <x:si>
    <x:t xml:space="preserve">Astrid Cassia</x:t>
  </x:si>
  <x:si>
    <x:t xml:space="preserve">astrid.cassia@pwc.com</x:t>
  </x:si>
  <x:si>
    <x:t xml:space="preserve">Azmiya Khodadin</x:t>
  </x:si>
  <x:si>
    <x:t xml:space="preserve">Babra Truphena</x:t>
  </x:si>
  <x:si>
    <x:t xml:space="preserve">Baraka Pallangyo</x:t>
  </x:si>
  <x:si>
    <x:t xml:space="preserve">Bellonce Nyambura</x:t>
  </x:si>
  <x:si>
    <x:t xml:space="preserve">Ben Victor Kibet</x:t>
  </x:si>
  <x:si>
    <x:t xml:space="preserve">Benard Thiong'o</x:t>
  </x:si>
  <x:si>
    <x:t xml:space="preserve">Benedict Odero</x:t>
  </x:si>
  <x:si>
    <x:t xml:space="preserve">Benson Okundi</x:t>
  </x:si>
  <x:si>
    <x:t xml:space="preserve">Bernice Kimacia</x:t>
  </x:si>
  <x:si>
    <x:t xml:space="preserve">Bertha Pascal</x:t>
  </x:si>
  <x:si>
    <x:t xml:space="preserve">Beryl Wasungu</x:t>
  </x:si>
  <x:si>
    <x:t xml:space="preserve">Bhavesh Naggea</x:t>
  </x:si>
  <x:si>
    <x:t xml:space="preserve">Bhuvana Mulliah</x:t>
  </x:si>
  <x:si>
    <x:t xml:space="preserve">Brayan Laizer</x:t>
  </x:si>
  <x:si>
    <x:t xml:space="preserve">Brian Morara</x:t>
  </x:si>
  <x:si>
    <x:t xml:space="preserve">Brian Ndagala</x:t>
  </x:si>
  <x:si>
    <x:t xml:space="preserve">Brian Ngunjiri</x:t>
  </x:si>
  <x:si>
    <x:t xml:space="preserve">Brian Nyangweso</x:t>
  </x:si>
  <x:si>
    <x:t xml:space="preserve">Brian Ogoti</x:t>
  </x:si>
  <x:si>
    <x:t xml:space="preserve">Brian Okech</x:t>
  </x:si>
  <x:si>
    <x:t xml:space="preserve">Bruno Kayonga</x:t>
  </x:si>
  <x:si>
    <x:t xml:space="preserve">Bumi Mwampullo</x:t>
  </x:si>
  <x:si>
    <x:t xml:space="preserve">Bupe Mutale</x:t>
  </x:si>
  <x:si>
    <x:t xml:space="preserve">bupe.b.mutale@pwc.com</x:t>
  </x:si>
  <x:si>
    <x:t xml:space="preserve">Byron Carter</x:t>
  </x:si>
  <x:si>
    <x:t xml:space="preserve">Caleb Ogola</x:t>
  </x:si>
  <x:si>
    <x:t xml:space="preserve">Carine Katabarwa</x:t>
  </x:si>
  <x:si>
    <x:t xml:space="preserve">carine.katabarwa@pwc.com</x:t>
  </x:si>
  <x:si>
    <x:t xml:space="preserve">Caroline Kimario</x:t>
  </x:si>
  <x:si>
    <x:t xml:space="preserve">Catherine Kilasara</x:t>
  </x:si>
  <x:si>
    <x:t xml:space="preserve">Catherine Mlay</x:t>
  </x:si>
  <x:si>
    <x:t xml:space="preserve">Catherine Muli</x:t>
  </x:si>
  <x:si>
    <x:t xml:space="preserve">catherine.muli@pwc.com</x:t>
  </x:si>
  <x:si>
    <x:t xml:space="preserve">Catherine Naluuma</x:t>
  </x:si>
  <x:si>
    <x:t xml:space="preserve">Catherine Rutenge</x:t>
  </x:si>
  <x:si>
    <x:t xml:space="preserve">Cedric Mpobusingye</x:t>
  </x:si>
  <x:si>
    <x:t xml:space="preserve">Chanda Chileshe</x:t>
  </x:si>
  <x:si>
    <x:t xml:space="preserve">Chanele Machimane</x:t>
  </x:si>
  <x:si>
    <x:t xml:space="preserve">Charity Mrinji</x:t>
  </x:si>
  <x:si>
    <x:t xml:space="preserve">Charity Mulenga</x:t>
  </x:si>
  <x:si>
    <x:t xml:space="preserve">Chetna Sembhoo</x:t>
  </x:si>
  <x:si>
    <x:t xml:space="preserve">Chilufya Mwansa</x:t>
  </x:si>
  <x:si>
    <x:t xml:space="preserve">Chimwemwe Mtonga</x:t>
  </x:si>
  <x:si>
    <x:t xml:space="preserve">Chiranjeev Luchoomun</x:t>
  </x:si>
  <x:si>
    <x:t xml:space="preserve">Chisala Mukonde</x:t>
  </x:si>
  <x:si>
    <x:t xml:space="preserve">Chisela Chileshe</x:t>
  </x:si>
  <x:si>
    <x:t xml:space="preserve">Chitundu Mbewe</x:t>
  </x:si>
  <x:si>
    <x:t xml:space="preserve">Christella Baho</x:t>
  </x:si>
  <x:si>
    <x:t xml:space="preserve">Christine Nalwoga</x:t>
  </x:si>
  <x:si>
    <x:t xml:space="preserve">Clement Muhoro</x:t>
  </x:si>
  <x:si>
    <x:t xml:space="preserve">Cletus Kiyuga</x:t>
  </x:si>
  <x:si>
    <x:t xml:space="preserve">Clive Mayombwe</x:t>
  </x:si>
  <x:si>
    <x:t xml:space="preserve">Colins Muteti</x:t>
  </x:si>
  <x:si>
    <x:t xml:space="preserve">Collins Kamugisha</x:t>
  </x:si>
  <x:si>
    <x:t xml:space="preserve">collins.i.kamugisha@pwc.com</x:t>
  </x:si>
  <x:si>
    <x:t xml:space="preserve">Collins Maina</x:t>
  </x:si>
  <x:si>
    <x:t xml:space="preserve">Consolata Orodi</x:t>
  </x:si>
  <x:si>
    <x:t xml:space="preserve">Crystel Masson</x:t>
  </x:si>
  <x:si>
    <x:t xml:space="preserve">Cyprian Munene</x:t>
  </x:si>
  <x:si>
    <x:t xml:space="preserve">Cyrus Muturi</x:t>
  </x:si>
  <x:si>
    <x:t xml:space="preserve">Damien Hong Lin</x:t>
  </x:si>
  <x:si>
    <x:t xml:space="preserve">Daniel Kiilu</x:t>
  </x:si>
  <x:si>
    <x:t xml:space="preserve">Daphne Akol</x:t>
  </x:si>
  <x:si>
    <x:t xml:space="preserve">Darshil Ramyed</x:t>
  </x:si>
  <x:si>
    <x:t xml:space="preserve">Dauson Kaijunga</x:t>
  </x:si>
  <x:si>
    <x:t xml:space="preserve">David Mugo</x:t>
  </x:si>
  <x:si>
    <x:t xml:space="preserve">DAVID Pamba</x:t>
  </x:si>
  <x:si>
    <x:t xml:space="preserve">Davidson Ringo</x:t>
  </x:si>
  <x:si>
    <x:t xml:space="preserve">Davis Ndunguru</x:t>
  </x:si>
  <x:si>
    <x:t xml:space="preserve">Davish Budhai</x:t>
  </x:si>
  <x:si>
    <x:t xml:space="preserve">Dean Young</x:t>
  </x:si>
  <x:si>
    <x:t xml:space="preserve">Deborah Lukwesa</x:t>
  </x:si>
  <x:si>
    <x:t xml:space="preserve">Debra Banda</x:t>
  </x:si>
  <x:si>
    <x:t xml:space="preserve">Derrick Tembo</x:t>
  </x:si>
  <x:si>
    <x:t xml:space="preserve">Deveena Seelochun</x:t>
  </x:si>
  <x:si>
    <x:t xml:space="preserve">Devesh Keerpah</x:t>
  </x:si>
  <x:si>
    <x:t xml:space="preserve">Devonhope Ntoinya</x:t>
  </x:si>
  <x:si>
    <x:t xml:space="preserve">Dhaarna Jhummun</x:t>
  </x:si>
  <x:si>
    <x:t xml:space="preserve">Dhanishta Snehal Issuree</x:t>
  </x:si>
  <x:si>
    <x:t xml:space="preserve">Dhatree Langur</x:t>
  </x:si>
  <x:si>
    <x:t xml:space="preserve">Dickson Mohoni</x:t>
  </x:si>
  <x:si>
    <x:t xml:space="preserve">Diksha Neerbun</x:t>
  </x:si>
  <x:si>
    <x:t xml:space="preserve">Dinesh Lutchmun</x:t>
  </x:si>
  <x:si>
    <x:t xml:space="preserve">Dolesha Gokhul</x:t>
  </x:si>
  <x:si>
    <x:t xml:space="preserve">Domenic Elasu</x:t>
  </x:si>
  <x:si>
    <x:t xml:space="preserve">Dominic Kimeu</x:t>
  </x:si>
  <x:si>
    <x:t xml:space="preserve">dominic.kimeu@pwc.com</x:t>
  </x:si>
  <x:si>
    <x:t xml:space="preserve">Dominic Ocharo</x:t>
  </x:si>
  <x:si>
    <x:t xml:space="preserve">Dominicah Mbawa</x:t>
  </x:si>
  <x:si>
    <x:t xml:space="preserve">Dooleshsingh Jankee</x:t>
  </x:si>
  <x:si>
    <x:t xml:space="preserve">Dowson Kalemba</x:t>
  </x:si>
  <x:si>
    <x:t xml:space="preserve">Dries Tuyishime</x:t>
  </x:si>
  <x:si>
    <x:t xml:space="preserve">Drishtee Gopee</x:t>
  </x:si>
  <x:si>
    <x:t xml:space="preserve">Duncan Miguna</x:t>
  </x:si>
  <x:si>
    <x:t xml:space="preserve">Ebenezer Mujungu</x:t>
  </x:si>
  <x:si>
    <x:t xml:space="preserve">Edwin Musire</x:t>
  </x:si>
  <x:si>
    <x:t xml:space="preserve">Edwin Odhiambo</x:t>
  </x:si>
  <x:si>
    <x:t xml:space="preserve">Elibariki Salema</x:t>
  </x:si>
  <x:si>
    <x:t xml:space="preserve">elibariki.s.salema@pwc.com</x:t>
  </x:si>
  <x:si>
    <x:t xml:space="preserve">Elisha Kilonzo</x:t>
  </x:si>
  <x:si>
    <x:t xml:space="preserve">Elizabeth Kway</x:t>
  </x:si>
  <x:si>
    <x:t xml:space="preserve">Elizabeth Waudo</x:t>
  </x:si>
  <x:si>
    <x:t xml:space="preserve">Elsie Ishimwe</x:t>
  </x:si>
  <x:si>
    <x:t xml:space="preserve">elsie.ishimwe@pwc.com</x:t>
  </x:si>
  <x:si>
    <x:t xml:space="preserve">Elvan VYTHILINGUM</x:t>
  </x:si>
  <x:si>
    <x:t xml:space="preserve">Elvis Thusiike</x:t>
  </x:si>
  <x:si>
    <x:t xml:space="preserve">ema_asr-all@pwc.com</x:t>
  </x:si>
  <x:si>
    <x:t xml:space="preserve">Emily Cheong Nam Kwong</x:t>
  </x:si>
  <x:si>
    <x:t xml:space="preserve">Emily Lan Hing Po</x:t>
  </x:si>
  <x:si>
    <x:t xml:space="preserve">Emmanuel Kamizhi</x:t>
  </x:si>
  <x:si>
    <x:t xml:space="preserve">Emmanuel Ngemi</x:t>
  </x:si>
  <x:si>
    <x:t xml:space="preserve">Erick Gikaria</x:t>
  </x:si>
  <x:si>
    <x:t xml:space="preserve">Erick Mona</x:t>
  </x:si>
  <x:si>
    <x:t xml:space="preserve">Eseri Anita Khabuya</x:t>
  </x:si>
  <x:si>
    <x:t xml:space="preserve">Esha Ramsamy</x:t>
  </x:si>
  <x:si>
    <x:t xml:space="preserve">Esmeralda Kavishe</x:t>
  </x:si>
  <x:si>
    <x:t xml:space="preserve">Esther Kimeu</x:t>
  </x:si>
  <x:si>
    <x:t xml:space="preserve">esther.kimeu@pwc.com</x:t>
  </x:si>
  <x:si>
    <x:t xml:space="preserve">Esther Swai</x:t>
  </x:si>
  <x:si>
    <x:t xml:space="preserve">Esther Wilson</x:t>
  </x:si>
  <x:si>
    <x:t xml:space="preserve">Ezra Kemboi</x:t>
  </x:si>
  <x:si>
    <x:t xml:space="preserve">Ezra Maruti</x:t>
  </x:si>
  <x:si>
    <x:t xml:space="preserve">Fahim Damaree</x:t>
  </x:si>
  <x:si>
    <x:t xml:space="preserve">Faith Makori</x:t>
  </x:si>
  <x:si>
    <x:t xml:space="preserve">Fardeen Dullull</x:t>
  </x:si>
  <x:si>
    <x:t xml:space="preserve">Farhaan Salamuth</x:t>
  </x:si>
  <x:si>
    <x:t xml:space="preserve">Farouk Kasadha</x:t>
  </x:si>
  <x:si>
    <x:t xml:space="preserve">Fayson Munkombwe</x:t>
  </x:si>
  <x:si>
    <x:t xml:space="preserve">Flavia Kaluba</x:t>
  </x:si>
  <x:si>
    <x:t xml:space="preserve">Florencia Kituku</x:t>
  </x:si>
  <x:si>
    <x:t xml:space="preserve">Fraciah Maina</x:t>
  </x:si>
  <x:si>
    <x:t xml:space="preserve">Francis Muriu</x:t>
  </x:si>
  <x:si>
    <x:t xml:space="preserve">Francis Nzau</x:t>
  </x:si>
  <x:si>
    <x:t xml:space="preserve">Freda Kithinji</x:t>
  </x:si>
  <x:si>
    <x:t xml:space="preserve">Fredrick Ogolla</x:t>
  </x:si>
  <x:si>
    <x:t xml:space="preserve">Frida Umuhire</x:t>
  </x:si>
  <x:si>
    <x:t xml:space="preserve">Gabrielle Faydherbe</x:t>
  </x:si>
  <x:si>
    <x:t xml:space="preserve">gabrielle.faydherbe@pwc.com</x:t>
  </x:si>
  <x:si>
    <x:t xml:space="preserve">Gaurav Seeam</x:t>
  </x:si>
  <x:si>
    <x:t xml:space="preserve">Gavin Allagapen</x:t>
  </x:si>
  <x:si>
    <x:t xml:space="preserve">George Mukupa</x:t>
  </x:si>
  <x:si>
    <x:t xml:space="preserve">Georgina Mkuchu</x:t>
  </x:si>
  <x:si>
    <x:t xml:space="preserve">Gerald Aheebwa</x:t>
  </x:si>
  <x:si>
    <x:t xml:space="preserve">Gillian Elwor</x:t>
  </x:si>
  <x:si>
    <x:t xml:space="preserve">Girish Balchurn</x:t>
  </x:si>
  <x:si>
    <x:t xml:space="preserve">Gisele Ngoga</x:t>
  </x:si>
  <x:si>
    <x:t xml:space="preserve">Godbless Kafimbi</x:t>
  </x:si>
  <x:si>
    <x:t xml:space="preserve">Godfrey Kizza</x:t>
  </x:si>
  <x:si>
    <x:t xml:space="preserve">Golder Kamuzora</x:t>
  </x:si>
  <x:si>
    <x:t xml:space="preserve">Grace Kinyanjui</x:t>
  </x:si>
  <x:si>
    <x:t xml:space="preserve">Grace Nalwanga</x:t>
  </x:si>
  <x:si>
    <x:t xml:space="preserve">Grace Namatovu</x:t>
  </x:si>
  <x:si>
    <x:t xml:space="preserve">Grace Ndhlovu</x:t>
  </x:si>
  <x:si>
    <x:t xml:space="preserve">Gregory Lallman</x:t>
  </x:si>
  <x:si>
    <x:t xml:space="preserve">Griffin Erasmus</x:t>
  </x:si>
  <x:si>
    <x:t xml:space="preserve">Hadija Chivugo</x:t>
  </x:si>
  <x:si>
    <x:t xml:space="preserve">Hannes Jansen Van Rensburg</x:t>
  </x:si>
  <x:si>
    <x:t xml:space="preserve">Hassan Soormally</x:t>
  </x:si>
  <x:si>
    <x:t xml:space="preserve">Hemisha Bhookhul</x:t>
  </x:si>
  <x:si>
    <x:t xml:space="preserve">Hillary Osoro</x:t>
  </x:si>
  <x:si>
    <x:t xml:space="preserve">Homeshwaree Chaytoo</x:t>
  </x:si>
  <x:si>
    <x:t xml:space="preserve">Hope Msoffe</x:t>
  </x:si>
  <x:si>
    <x:t xml:space="preserve">Housnah Sullimun</x:t>
  </x:si>
  <x:si>
    <x:t xml:space="preserve">Howary Kharbush</x:t>
  </x:si>
  <x:si>
    <x:t xml:space="preserve">Ian Sejinja</x:t>
  </x:si>
  <x:si>
    <x:t xml:space="preserve">ian.sejinja@pwc.com</x:t>
  </x:si>
  <x:si>
    <x:t xml:space="preserve">Irene Sabuni</x:t>
  </x:si>
  <x:si>
    <x:t xml:space="preserve">Isaac Ntwali</x:t>
  </x:si>
  <x:si>
    <x:t xml:space="preserve">Isabella Mayeku</x:t>
  </x:si>
  <x:si>
    <x:t xml:space="preserve">Issen Koothan</x:t>
  </x:si>
  <x:si>
    <x:t xml:space="preserve">Izam Joomun</x:t>
  </x:si>
  <x:si>
    <x:t xml:space="preserve">Jackie Nampala</x:t>
  </x:si>
  <x:si>
    <x:t xml:space="preserve">Jackline Mchomvu</x:t>
  </x:si>
  <x:si>
    <x:t xml:space="preserve">Jackson Kakae</x:t>
  </x:si>
  <x:si>
    <x:t xml:space="preserve">Jackson Omondi</x:t>
  </x:si>
  <x:si>
    <x:t xml:space="preserve">Jacqueline Kamau</x:t>
  </x:si>
  <x:si>
    <x:t xml:space="preserve">Jacqueline Makasa</x:t>
  </x:si>
  <x:si>
    <x:t xml:space="preserve">Jacqueline Moshi</x:t>
  </x:si>
  <x:si>
    <x:t xml:space="preserve">James Kimani</x:t>
  </x:si>
  <x:si>
    <x:t xml:space="preserve">James Msele</x:t>
  </x:si>
  <x:si>
    <x:t xml:space="preserve">james.msele@pwc.com</x:t>
  </x:si>
  <x:si>
    <x:t xml:space="preserve">James Musyoka</x:t>
  </x:si>
  <x:si>
    <x:t xml:space="preserve">James Mwaniki</x:t>
  </x:si>
  <x:si>
    <x:t xml:space="preserve">Janat Nankya</x:t>
  </x:si>
  <x:si>
    <x:t xml:space="preserve">Janneke Timmers</x:t>
  </x:si>
  <x:si>
    <x:t xml:space="preserve">janneke.t.timmers@pwc.com</x:t>
  </x:si>
  <x:si>
    <x:t xml:space="preserve">Jaya Moctaram</x:t>
  </x:si>
  <x:si>
    <x:t xml:space="preserve">Jeannie Daka</x:t>
  </x:si>
  <x:si>
    <x:t xml:space="preserve">Jeffrey Koo</x:t>
  </x:si>
  <x:si>
    <x:t xml:space="preserve">Jeremiah Musembi</x:t>
  </x:si>
  <x:si>
    <x:t xml:space="preserve">Jeremiah Ruita</x:t>
  </x:si>
  <x:si>
    <x:t xml:space="preserve">Jessina Galchoolah</x:t>
  </x:si>
  <x:si>
    <x:t xml:space="preserve">jessina.galchoolah@pwc.com</x:t>
  </x:si>
  <x:si>
    <x:t xml:space="preserve">Joan Letasi</x:t>
  </x:si>
  <x:si>
    <x:t xml:space="preserve">joan.letasi@pwc.com</x:t>
  </x:si>
  <x:si>
    <x:t xml:space="preserve">Joan Maina</x:t>
  </x:si>
  <x:si>
    <x:t xml:space="preserve">Job Ngunu</x:t>
  </x:si>
  <x:si>
    <x:t xml:space="preserve">Jocelyn Batanyita</x:t>
  </x:si>
  <x:si>
    <x:t xml:space="preserve">Joe Manyalla</x:t>
  </x:si>
  <x:si>
    <x:t xml:space="preserve">Johanne How</x:t>
  </x:si>
  <x:si>
    <x:t xml:space="preserve">John Lukwesa</x:t>
  </x:si>
  <x:si>
    <x:t xml:space="preserve">Joseph Kagiri</x:t>
  </x:si>
  <x:si>
    <x:t xml:space="preserve">Joseph Ndegwa</x:t>
  </x:si>
  <x:si>
    <x:t xml:space="preserve">Joshua Maloba</x:t>
  </x:si>
  <x:si>
    <x:t xml:space="preserve">Joshua Massawe</x:t>
  </x:si>
  <x:si>
    <x:t xml:space="preserve">Julia Odhiambo</x:t>
  </x:si>
  <x:si>
    <x:t xml:space="preserve">Junaid Alighan</x:t>
  </x:si>
  <x:si>
    <x:t xml:space="preserve">Kalkidan Aklilu Admassu</x:t>
  </x:si>
  <x:si>
    <x:t xml:space="preserve">Kang'e Saiti</x:t>
  </x:si>
  <x:si>
    <x:t xml:space="preserve">kange.saiti@pwc.com</x:t>
  </x:si>
  <x:si>
    <x:t xml:space="preserve">Karen Gitonga</x:t>
  </x:si>
  <x:si>
    <x:t xml:space="preserve">karen.gitonga@pwc.com</x:t>
  </x:si>
  <x:si>
    <x:t xml:space="preserve">Kelvin Atieno</x:t>
  </x:si>
  <x:si>
    <x:t xml:space="preserve">Kelvin Kailikia</x:t>
  </x:si>
  <x:si>
    <x:t xml:space="preserve">Kelvin Koima</x:t>
  </x:si>
  <x:si>
    <x:t xml:space="preserve">kelvin.koima@pwc.com</x:t>
  </x:si>
  <x:si>
    <x:t xml:space="preserve">Kelvin Mukaria</x:t>
  </x:si>
  <x:si>
    <x:t xml:space="preserve">Kelvin Wainaina</x:t>
  </x:si>
  <x:si>
    <x:t xml:space="preserve">Kerry Watiri</x:t>
  </x:si>
  <x:si>
    <x:t xml:space="preserve">Keshika Kasary</x:t>
  </x:si>
  <x:si>
    <x:t xml:space="preserve">Keshini Doobah</x:t>
  </x:si>
  <x:si>
    <x:t xml:space="preserve">Keshini Sahadew</x:t>
  </x:si>
  <x:si>
    <x:t xml:space="preserve">Kioko Nzuki</x:t>
  </x:si>
  <x:si>
    <x:t xml:space="preserve">Kirisha Kasseean</x:t>
  </x:si>
  <x:si>
    <x:t xml:space="preserve">Kooshika Sookun</x:t>
  </x:si>
  <x:si>
    <x:t xml:space="preserve">Kovanam Moodelly</x:t>
  </x:si>
  <x:si>
    <x:t xml:space="preserve">Lawrence Macharia</x:t>
  </x:si>
  <x:si>
    <x:t xml:space="preserve">Leeshikha Boodhoo</x:t>
  </x:si>
  <x:si>
    <x:t xml:space="preserve">Lena Odara</x:t>
  </x:si>
  <x:si>
    <x:t xml:space="preserve">Lightness Katunzi</x:t>
  </x:si>
  <x:si>
    <x:t xml:space="preserve">Linda Batuka</x:t>
  </x:si>
  <x:si>
    <x:t xml:space="preserve">Linda Musau</x:t>
  </x:si>
  <x:si>
    <x:t xml:space="preserve">Linet Muthii</x:t>
  </x:si>
  <x:si>
    <x:t xml:space="preserve">Lorna Ramsamy</x:t>
  </x:si>
  <x:si>
    <x:t xml:space="preserve">Louise Umutesi</x:t>
  </x:si>
  <x:si>
    <x:t xml:space="preserve">Lubinda Mukelabai</x:t>
  </x:si>
  <x:si>
    <x:t xml:space="preserve">lubinda.mukelabai@pwc.com</x:t>
  </x:si>
  <x:si>
    <x:t xml:space="preserve">Lubona Mpikwa</x:t>
  </x:si>
  <x:si>
    <x:t xml:space="preserve">Luc Meunier</x:t>
  </x:si>
  <x:si>
    <x:t xml:space="preserve">Lucy Ngugi</x:t>
  </x:si>
  <x:si>
    <x:t xml:space="preserve">Lucy Thuo</x:t>
  </x:si>
  <x:si>
    <x:t xml:space="preserve">Mahima Nowrung</x:t>
  </x:si>
  <x:si>
    <x:t xml:space="preserve">Mahir Perbhoo</x:t>
  </x:si>
  <x:si>
    <x:t xml:space="preserve">Manish Joorawon</x:t>
  </x:si>
  <x:si>
    <x:t xml:space="preserve">Manisha Dookhy</x:t>
  </x:si>
  <x:si>
    <x:t xml:space="preserve">Mansi Jeewooth</x:t>
  </x:si>
  <x:si>
    <x:t xml:space="preserve">Mario Li</x:t>
  </x:si>
  <x:si>
    <x:t xml:space="preserve">Martin Bamukunde</x:t>
  </x:si>
  <x:si>
    <x:t xml:space="preserve">Martin Karumba</x:t>
  </x:si>
  <x:si>
    <x:t xml:space="preserve">Mary Juma</x:t>
  </x:si>
  <x:si>
    <x:t xml:space="preserve">Mary Kariithi</x:t>
  </x:si>
  <x:si>
    <x:t xml:space="preserve">Mary Mutuku</x:t>
  </x:si>
  <x:si>
    <x:t xml:space="preserve">Masela Chishinga</x:t>
  </x:si>
  <x:si>
    <x:t xml:space="preserve">Masha Alobo</x:t>
  </x:si>
  <x:si>
    <x:t xml:space="preserve">Matthew Ddimirire</x:t>
  </x:si>
  <x:si>
    <x:t xml:space="preserve">Maureen Benedict</x:t>
  </x:si>
  <x:si>
    <x:t xml:space="preserve">Maureen Carmagnole</x:t>
  </x:si>
  <x:si>
    <x:t xml:space="preserve">Melanie Li Wan Cheun</x:t>
  </x:si>
  <x:si>
    <x:t xml:space="preserve">Mercy John</x:t>
  </x:si>
  <x:si>
    <x:t xml:space="preserve">Mercy Kiprono</x:t>
  </x:si>
  <x:si>
    <x:t xml:space="preserve">mercy.kiprono@pwc.com</x:t>
  </x:si>
  <x:si>
    <x:t xml:space="preserve">Mercy Koskei</x:t>
  </x:si>
  <x:si>
    <x:t xml:space="preserve">Mercy Kuria</x:t>
  </x:si>
  <x:si>
    <x:t xml:space="preserve">Michael Male</x:t>
  </x:si>
  <x:si>
    <x:t xml:space="preserve">Michael Mwendwa</x:t>
  </x:si>
  <x:si>
    <x:t xml:space="preserve">Michael Ngugi</x:t>
  </x:si>
  <x:si>
    <x:t xml:space="preserve">Michael Mugasa</x:t>
  </x:si>
  <x:si>
    <x:t xml:space="preserve">Micheal Murungi</x:t>
  </x:si>
  <x:si>
    <x:t xml:space="preserve">Milbert Kakyama</x:t>
  </x:si>
  <x:si>
    <x:t xml:space="preserve">Mirriam Muatha</x:t>
  </x:si>
  <x:si>
    <x:t xml:space="preserve">Moddie Mwewa</x:t>
  </x:si>
  <x:si>
    <x:t xml:space="preserve">Mohamed Zuberi</x:t>
  </x:si>
  <x:si>
    <x:t xml:space="preserve">Moheenee Harah</x:t>
  </x:si>
  <x:si>
    <x:t xml:space="preserve">Moses Njoroge</x:t>
  </x:si>
  <x:si>
    <x:t xml:space="preserve">Mulenga Chileshe</x:t>
  </x:si>
  <x:si>
    <x:t xml:space="preserve">Mulenga Chiti</x:t>
  </x:si>
  <x:si>
    <x:t xml:space="preserve">Muzzammil Panchoo</x:t>
  </x:si>
  <x:si>
    <x:t xml:space="preserve">muzzammil.panchoo@pwc.com</x:t>
  </x:si>
  <x:si>
    <x:t xml:space="preserve">Mwaka Njobvu</x:t>
  </x:si>
  <x:si>
    <x:t xml:space="preserve">Mwangi Karanja</x:t>
  </x:si>
  <x:si>
    <x:t xml:space="preserve">Mwiya Mwiya</x:t>
  </x:si>
  <x:si>
    <x:t xml:space="preserve">Naeku Edith</x:t>
  </x:si>
  <x:si>
    <x:t xml:space="preserve">Nahashon Kimani</x:t>
  </x:si>
  <x:si>
    <x:t xml:space="preserve">Nahashon Thuo</x:t>
  </x:si>
  <x:si>
    <x:t xml:space="preserve">Nancy Woisso</x:t>
  </x:si>
  <x:si>
    <x:t xml:space="preserve">Naomi Mwamba</x:t>
  </x:si>
  <x:si>
    <x:t xml:space="preserve">Napelwa Kambafwile</x:t>
  </x:si>
  <x:si>
    <x:t xml:space="preserve">Navishta Jugasing</x:t>
  </x:si>
  <x:si>
    <x:t xml:space="preserve">Ndana Simataa</x:t>
  </x:si>
  <x:si>
    <x:t xml:space="preserve">Ndanji Simukoko</x:t>
  </x:si>
  <x:si>
    <x:t xml:space="preserve">Neelen Veerapen</x:t>
  </x:si>
  <x:si>
    <x:t xml:space="preserve">Neema Shayo</x:t>
  </x:si>
  <x:si>
    <x:t xml:space="preserve">Neeve-Ann Godda</x:t>
  </x:si>
  <x:si>
    <x:t xml:space="preserve">Nelly Muriungi</x:t>
  </x:si>
  <x:si>
    <x:t xml:space="preserve">Nelson Msuya</x:t>
  </x:si>
  <x:si>
    <x:t xml:space="preserve">Neria Rutashobya</x:t>
  </x:si>
  <x:si>
    <x:t xml:space="preserve">Newton Orengeje</x:t>
  </x:si>
  <x:si>
    <x:t xml:space="preserve">Nicholas Mahero</x:t>
  </x:si>
  <x:si>
    <x:t xml:space="preserve">Nilshaad Nowbuth</x:t>
  </x:si>
  <x:si>
    <x:t xml:space="preserve">Nirvan Bissessur</x:t>
  </x:si>
  <x:si>
    <x:t xml:space="preserve">Nuzhah Beebeejaun</x:t>
  </x:si>
  <x:si>
    <x:t xml:space="preserve">Nuzhah Dilmohamed</x:t>
  </x:si>
  <x:si>
    <x:t xml:space="preserve">nuzhah.dilmohamed@pwc.com</x:t>
  </x:si>
  <x:si>
    <x:t xml:space="preserve">Nuzhah Rosun</x:t>
  </x:si>
  <x:si>
    <x:t xml:space="preserve">Nyangi Waweru</x:t>
  </x:si>
  <x:si>
    <x:t xml:space="preserve">nyangi.w.waweru@pwc.com</x:t>
  </x:si>
  <x:si>
    <x:t xml:space="preserve">Nyongesa Odhiambo</x:t>
  </x:si>
  <x:si>
    <x:t xml:space="preserve">Obed Manunshu</x:t>
  </x:si>
  <x:si>
    <x:t xml:space="preserve">Olivier Rey</x:t>
  </x:si>
  <x:si>
    <x:t xml:space="preserve">Pallavee Narrainen</x:t>
  </x:si>
  <x:si>
    <x:t xml:space="preserve">Patience Namugenyi</x:t>
  </x:si>
  <x:si>
    <x:t xml:space="preserve">Patricia Kavuma</x:t>
  </x:si>
  <x:si>
    <x:t xml:space="preserve">Patrick Kiambi</x:t>
  </x:si>
  <x:si>
    <x:t xml:space="preserve">patrick.kiambi@pwc.com</x:t>
  </x:si>
  <x:si>
    <x:t xml:space="preserve">Patrick Rimomo</x:t>
  </x:si>
  <x:si>
    <x:t xml:space="preserve">Pearl Koon</x:t>
  </x:si>
  <x:si>
    <x:t xml:space="preserve">Peter Namara</x:t>
  </x:si>
  <x:si>
    <x:t xml:space="preserve">peter.namara@pwc.com</x:t>
  </x:si>
  <x:si>
    <x:t xml:space="preserve">Peter Ngahu</x:t>
  </x:si>
  <x:si>
    <x:t xml:space="preserve">peter.ngahu@pwc.com</x:t>
  </x:si>
  <x:si>
    <x:t xml:space="preserve">Peter Ojekunle</x:t>
  </x:si>
  <x:si>
    <x:t xml:space="preserve">Phaneesh Purmah</x:t>
  </x:si>
  <x:si>
    <x:t xml:space="preserve">phaneesh.purmah@pwc.com</x:t>
  </x:si>
  <x:si>
    <x:t xml:space="preserve">Pieter Hough</x:t>
  </x:si>
  <x:si>
    <x:t xml:space="preserve">Piyanshu Ghumaria</x:t>
  </x:si>
  <x:si>
    <x:t xml:space="preserve">piyanshu.ghumaria@pwc.com</x:t>
  </x:si>
  <x:si>
    <x:t xml:space="preserve">Praveena Ramlogun</x:t>
  </x:si>
  <x:si>
    <x:t xml:space="preserve">Pravin Meetoo</x:t>
  </x:si>
  <x:si>
    <x:t xml:space="preserve">Preksha Russeean</x:t>
  </x:si>
  <x:si>
    <x:t xml:space="preserve">Prisca Lifasi</x:t>
  </x:si>
  <x:si>
    <x:t xml:space="preserve">Purav Patel</x:t>
  </x:si>
  <x:si>
    <x:t xml:space="preserve">Purvashi Ramracheea</x:t>
  </x:si>
  <x:si>
    <x:t xml:space="preserve">Racheal Nakimuli</x:t>
  </x:si>
  <x:si>
    <x:t xml:space="preserve">Raj Sookhurry</x:t>
  </x:si>
  <x:si>
    <x:t xml:space="preserve">raj.sookhurry@pwc.com</x:t>
  </x:si>
  <x:si>
    <x:t xml:space="preserve">Ranveer Dindoyal</x:t>
  </x:si>
  <x:si>
    <x:t xml:space="preserve">Raphael Ochieng</x:t>
  </x:si>
  <x:si>
    <x:t xml:space="preserve">Rashida Phiri</x:t>
  </x:si>
  <x:si>
    <x:t xml:space="preserve">Ray Hang'ambwa</x:t>
  </x:si>
  <x:si>
    <x:t xml:space="preserve">ray.hangambwa@pwc.com</x:t>
  </x:si>
  <x:si>
    <x:t xml:space="preserve">Rebecca Chepkoech</x:t>
  </x:si>
  <x:si>
    <x:t xml:space="preserve">Rehema Muhimbi</x:t>
  </x:si>
  <x:si>
    <x:t xml:space="preserve">Rendani Ramulongo</x:t>
  </x:si>
  <x:si>
    <x:t xml:space="preserve">Renou Ramdany</x:t>
  </x:si>
  <x:si>
    <x:t xml:space="preserve">Revatee Huril</x:t>
  </x:si>
  <x:si>
    <x:t xml:space="preserve">Rhoda Irungu</x:t>
  </x:si>
  <x:si>
    <x:t xml:space="preserve">Richard John</x:t>
  </x:si>
  <x:si>
    <x:t xml:space="preserve">Richard Manzi</x:t>
  </x:si>
  <x:si>
    <x:t xml:space="preserve">Ridhiwani Mohammed</x:t>
  </x:si>
  <x:si>
    <x:t xml:space="preserve">Ronah Nuwagaba</x:t>
  </x:si>
  <x:si>
    <x:t xml:space="preserve">Ronald Simba</x:t>
  </x:si>
  <x:si>
    <x:t xml:space="preserve">Rose Muasya</x:t>
  </x:si>
  <x:si>
    <x:t xml:space="preserve">Rose Mufana</x:t>
  </x:si>
  <x:si>
    <x:t xml:space="preserve">Roselyne Ogutu</x:t>
  </x:si>
  <x:si>
    <x:t xml:space="preserve">Roshik Rughoonauth</x:t>
  </x:si>
  <x:si>
    <x:t xml:space="preserve">Roumaiy Dookhun</x:t>
  </x:si>
  <x:si>
    <x:t xml:space="preserve">Rovena Choytah</x:t>
  </x:si>
  <x:si>
    <x:t xml:space="preserve">Rune Arnold</x:t>
  </x:si>
  <x:si>
    <x:t xml:space="preserve">Ruth Nangiro</x:t>
  </x:si>
  <x:si>
    <x:t xml:space="preserve">Said Said</x:t>
  </x:si>
  <x:si>
    <x:t xml:space="preserve">Samuel Bitwire</x:t>
  </x:si>
  <x:si>
    <x:t xml:space="preserve">Samuel Shejamabu</x:t>
  </x:si>
  <x:si>
    <x:t xml:space="preserve">Samuel Wanjau</x:t>
  </x:si>
  <x:si>
    <x:t xml:space="preserve">Sandra Muriithi</x:t>
  </x:si>
  <x:si>
    <x:t xml:space="preserve">sandra.muriithi@pwc.com</x:t>
  </x:si>
  <x:si>
    <x:t xml:space="preserve">Sania Pooloo</x:t>
  </x:si>
  <x:si>
    <x:t xml:space="preserve">Sanjana Rawoo</x:t>
  </x:si>
  <x:si>
    <x:t xml:space="preserve">sanjana.rawoo@pwc.com</x:t>
  </x:si>
  <x:si>
    <x:t xml:space="preserve">Sarah Otindo</x:t>
  </x:si>
  <x:si>
    <x:t xml:space="preserve">Seline Achieng</x:t>
  </x:si>
  <x:si>
    <x:t xml:space="preserve">Serah Kiprono</x:t>
  </x:si>
  <x:si>
    <x:t xml:space="preserve">Serah Omwenga</x:t>
  </x:si>
  <x:si>
    <x:t xml:space="preserve">Seth Adoli</x:t>
  </x:si>
  <x:si>
    <x:t xml:space="preserve">Shaan Seenundun</x:t>
  </x:si>
  <x:si>
    <x:t xml:space="preserve">Shakil Maghun</x:t>
  </x:si>
  <x:si>
    <x:t xml:space="preserve">Sharon Nanyonga</x:t>
  </x:si>
  <x:si>
    <x:t xml:space="preserve">Sharon Obiero</x:t>
  </x:si>
  <x:si>
    <x:t xml:space="preserve">Sharon Sidialo</x:t>
  </x:si>
  <x:si>
    <x:t xml:space="preserve">Sharon Wilfred-Kabubi</x:t>
  </x:si>
  <x:si>
    <x:t xml:space="preserve">Sharvin Ballah</x:t>
  </x:si>
  <x:si>
    <x:t xml:space="preserve">Sheila Masaki</x:t>
  </x:si>
  <x:si>
    <x:t xml:space="preserve">sheila.masaki@pwc.com</x:t>
  </x:si>
  <x:si>
    <x:t xml:space="preserve">Shriya Ragoonundun</x:t>
  </x:si>
  <x:si>
    <x:t xml:space="preserve">Shriya Seesurrun</x:t>
  </x:si>
  <x:si>
    <x:t xml:space="preserve">Shruti Ramdahin</x:t>
  </x:si>
  <x:si>
    <x:t xml:space="preserve">Sian Odhiambo</x:t>
  </x:si>
  <x:si>
    <x:t xml:space="preserve">sian.odhiambo@pwc.com</x:t>
  </x:si>
  <x:si>
    <x:t xml:space="preserve">Sipiwe Dube</x:t>
  </x:si>
  <x:si>
    <x:t xml:space="preserve">Sneha Sookun</x:t>
  </x:si>
  <x:si>
    <x:t xml:space="preserve">sneha.sookun@pwc.com</x:t>
  </x:si>
  <x:si>
    <x:t xml:space="preserve">Spurgeon Chisulo</x:t>
  </x:si>
  <x:si>
    <x:t xml:space="preserve">spurgeon.chisulo@pwc.com</x:t>
  </x:si>
  <x:si>
    <x:t xml:space="preserve">Stacey Labuschagne</x:t>
  </x:si>
  <x:si>
    <x:t xml:space="preserve">Stacey Mapara</x:t>
  </x:si>
  <x:si>
    <x:t xml:space="preserve">mapara.tanyaradzwa@pwc.com</x:t>
  </x:si>
  <x:si>
    <x:t xml:space="preserve">Stacey Nduku</x:t>
  </x:si>
  <x:si>
    <x:t xml:space="preserve">Steffi-Eugenie Hong Lin</x:t>
  </x:si>
  <x:si>
    <x:t xml:space="preserve">Stella Chege</x:t>
  </x:si>
  <x:si>
    <x:t xml:space="preserve">Stella Githinji</x:t>
  </x:si>
  <x:si>
    <x:t xml:space="preserve">Stephen Ochieng</x:t>
  </x:si>
  <x:si>
    <x:t xml:space="preserve">Suhashinee Kawal</x:t>
  </x:si>
  <x:si>
    <x:t xml:space="preserve">Susan Namwanje</x:t>
  </x:si>
  <x:si>
    <x:t xml:space="preserve">Tamandani Mwalusaka</x:t>
  </x:si>
  <x:si>
    <x:t xml:space="preserve">Tarushee Beesoony</x:t>
  </x:si>
  <x:si>
    <x:t xml:space="preserve">Tasneem Butonkee</x:t>
  </x:si>
  <x:si>
    <x:t xml:space="preserve">Taufiq Ishimwe</x:t>
  </x:si>
  <x:si>
    <x:t xml:space="preserve">Tecla Kibor</x:t>
  </x:si>
  <x:si>
    <x:t xml:space="preserve">Teddy Mbore</x:t>
  </x:si>
  <x:si>
    <x:t xml:space="preserve">Teeleswarsing Sookhy</x:t>
  </x:si>
  <x:si>
    <x:t xml:space="preserve">Teresiah Maina</x:t>
  </x:si>
  <x:si>
    <x:t xml:space="preserve">Theresa Namakula</x:t>
  </x:si>
  <x:si>
    <x:t xml:space="preserve">Titus Rotich</x:t>
  </x:si>
  <x:si>
    <x:t xml:space="preserve">Tonny Odindo</x:t>
  </x:si>
  <x:si>
    <x:t xml:space="preserve">Trishtee Gopeechund</x:t>
  </x:si>
  <x:si>
    <x:t xml:space="preserve">Trivedi Dabypersad</x:t>
  </x:si>
  <x:si>
    <x:t xml:space="preserve">Twaambo Milimo</x:t>
  </x:si>
  <x:si>
    <x:t xml:space="preserve">Twesha Nuckecheddy</x:t>
  </x:si>
  <x:si>
    <x:t xml:space="preserve">Ubaid Rasmally</x:t>
  </x:si>
  <x:si>
    <x:t xml:space="preserve">Umair Chaudhry</x:t>
  </x:si>
  <x:si>
    <x:t xml:space="preserve">Uthman Mayanja</x:t>
  </x:si>
  <x:si>
    <x:t xml:space="preserve">Vaishnavi Gungaram</x:t>
  </x:si>
  <x:si>
    <x:t xml:space="preserve">Valentine Njeri</x:t>
  </x:si>
  <x:si>
    <x:t xml:space="preserve">Vanshika Akkooloo</x:t>
  </x:si>
  <x:si>
    <x:t xml:space="preserve">Vasty Nkhoma</x:t>
  </x:si>
  <x:si>
    <x:t xml:space="preserve">Ved Bishundat</x:t>
  </x:si>
  <x:si>
    <x:t xml:space="preserve">Veeloshini Kisto</x:t>
  </x:si>
  <x:si>
    <x:t xml:space="preserve">Veronica Biswalo</x:t>
  </x:si>
  <x:si>
    <x:t xml:space="preserve">Victor Kibet</x:t>
  </x:si>
  <x:si>
    <x:t xml:space="preserve">Victor Rotich</x:t>
  </x:si>
  <x:si>
    <x:t xml:space="preserve">Victoria Makori</x:t>
  </x:si>
  <x:si>
    <x:t xml:space="preserve">Wandia Gitonga</x:t>
  </x:si>
  <x:si>
    <x:t xml:space="preserve">Warren Atugonza</x:t>
  </x:si>
  <x:si>
    <x:t xml:space="preserve">Washington Ochako</x:t>
  </x:si>
  <x:si>
    <x:t xml:space="preserve">Wendy Mwiti</x:t>
  </x:si>
  <x:si>
    <x:t xml:space="preserve">Wezi Gondwe</x:t>
  </x:si>
  <x:si>
    <x:t xml:space="preserve">Willie Kimaro</x:t>
  </x:si>
  <x:si>
    <x:t xml:space="preserve">Yavish Yallappa</x:t>
  </x:si>
  <x:si>
    <x:t xml:space="preserve">Yesha Dwarka</x:t>
  </x:si>
  <x:si>
    <x:t xml:space="preserve">Yeshlin Govender</x:t>
  </x:si>
  <x:si>
    <x:t xml:space="preserve">Yeshwant Seebaluck</x:t>
  </x:si>
  <x:si>
    <x:t xml:space="preserve">Zahrah Bocus</x:t>
  </x:si>
  <x:si>
    <x:t xml:space="preserve">zahrah.bocus@pwc.com</x:t>
  </x:si>
  <x:si>
    <x:t xml:space="preserve">Zainab Msimbe</x:t>
  </x:si>
  <x:si>
    <x:t xml:space="preserve">zainab.msimbe@pwc.com</x:t>
  </x:si>
  <x:si>
    <x:t xml:space="preserve">Zuhura Mnyamuru</x:t>
  </x:si>
</x:sst>
</file>

<file path=xl/styles.xml><?xml version="1.0" encoding="utf-8"?>
<x:styleSheet xmlns:x="http://schemas.openxmlformats.org/spreadsheetml/2006/main">
  <x:numFmts count="1">
    <x:numFmt numFmtId="200" formatCode="[h]&quot;h &quot;m&quot;m &quot;s&quot;s&quot;"/>
  </x:numFmts>
  <x:fonts count="2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sz val="11"/>
      <x:color rgb="FFFFFFFF"/>
      <x:name val="Aptos Narrow"/>
    </x:font>
    <x:font>
      <x:b/>
      <x:sz val="11"/>
      <x:color rgb="FF17365D"/>
      <x:name val="Aptos Narrow"/>
    </x:font>
    <x:font>
      <x:b/>
      <x:sz val="18"/>
      <x:color rgb="FFFFFFFF"/>
      <x:name val="Aptos Narrow"/>
    </x:font>
    <x:font>
      <x:i/>
      <x:sz val="10"/>
      <x:color rgb="FF1F2937"/>
      <x:name val="Aptos Narrow"/>
    </x:font>
    <x:font>
      <x:b/>
      <x:sz val="9"/>
      <x:color rgb="FFFFFFFF"/>
      <x:name val="Aptos Narrow"/>
    </x:font>
    <x:font>
      <x:b/>
      <x:sz val="22"/>
      <x:color rgb="FF17365D"/>
      <x:name val="Aptos Narrow"/>
    </x:font>
    <x:font>
      <x:i/>
      <x:sz val="9"/>
      <x:color rgb="FF1F2937"/>
      <x:name val="Aptos Narrow"/>
    </x:font>
    <x:font>
      <x:b/>
      <x:sz val="10"/>
      <x:color rgb="FFFFFFFF"/>
      <x:name val="Aptos Narrow"/>
    </x:font>
    <x:font>
      <x:sz val="9"/>
      <x:color rgb="FF1F2937"/>
      <x:name val="Aptos Narrow"/>
    </x:font>
    <x:font>
      <x:b/>
      <x:sz val="16"/>
      <x:color rgb="FFFFFFFF"/>
      <x:name val="Aptos Narrow"/>
    </x:font>
  </x:fonts>
  <x:fills count="4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2F4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0F5B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6FA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53">
    <x:xf numFmtId="0" fontId="0" fillId="0" borderId="0" xfId="0"/>
    <x:xf numFmtId="0" fontId="16" fillId="0" borderId="0" xfId="0" applyFont="1"/>
    <x:xf numFmtId="0" fontId="0" fillId="0" borderId="10" xfId="0" applyNumberFormat="1" applyFont="1" applyFill="1" applyBorder="1"/>
    <x:xf numFmtId="0" fontId="16" fillId="0" borderId="10" xfId="0" applyNumberFormat="1" applyFont="1" applyFill="1" applyBorder="1"/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8" fillId="33" borderId="0" xfId="0" applyNumberFormat="1" applyFont="1" applyFill="1" applyBorder="1" applyAlignment="1">
      <x:alignment wrapText="1"/>
    </x:xf>
    <x:xf numFmtId="0" fontId="18" fillId="33" borderId="0" xfId="0" applyNumberFormat="1" applyFont="1" applyFill="1" applyBorder="1" applyAlignment="1">
      <x:alignment horizontal="center" wrapText="1"/>
    </x:xf>
    <x:xf numFmtId="0" fontId="18" fillId="33" borderId="0" xfId="0" applyNumberFormat="1" applyFont="1" applyFill="1" applyBorder="1" applyAlignment="1">
      <x:alignment horizontal="center" vertical="center" wrapText="1"/>
    </x:xf>
    <x:xf numFmtId="0" fontId="0" fillId="33" borderId="10" xfId="0" applyNumberFormat="1" applyFont="1" applyFill="1" applyBorder="1"/>
    <x:xf numFmtId="0" fontId="18" fillId="33" borderId="10" xfId="0" applyNumberFormat="1" applyFont="1" applyFill="1" applyBorder="1"/>
    <x:xf numFmtId="0" fontId="18" fillId="33" borderId="10" xfId="0" applyNumberFormat="1" applyFont="1" applyFill="1" applyBorder="1" applyAlignment="1">
      <x:alignment wrapText="1"/>
    </x:xf>
    <x:xf numFmtId="0" fontId="18" fillId="33" borderId="10" xfId="0" applyNumberFormat="1" applyFont="1" applyFill="1" applyBorder="1" applyAlignment="1">
      <x:alignment horizontal="center" wrapText="1"/>
    </x:xf>
    <x:xf numFmtId="0" fontId="18" fillId="33" borderId="1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/>
    <x:xf numFmtId="0" fontId="19" fillId="34" borderId="0" xfId="0" applyNumberFormat="1" applyFont="1" applyFill="1" applyBorder="1"/>
    <x:xf numFmtId="0" fontId="0" fillId="34" borderId="10" xfId="0" applyNumberFormat="1" applyFont="1" applyFill="1" applyBorder="1"/>
    <x:xf numFmtId="0" fontId="19" fillId="34" borderId="10" xfId="0" applyNumberFormat="1" applyFont="1" applyFill="1" applyBorder="1"/>
    <x:xf numFmtId="0" fontId="0" fillId="35" borderId="0" xfId="0" applyNumberFormat="1" applyFont="1" applyFill="1" applyBorder="1"/>
    <x:xf numFmtId="0" fontId="18" fillId="35" borderId="0" xfId="0" applyNumberFormat="1" applyFont="1" applyFill="1" applyBorder="1"/>
    <x:xf numFmtId="0" fontId="18" fillId="35" borderId="0" xfId="0" applyNumberFormat="1" applyFont="1" applyFill="1" applyBorder="1" applyAlignment="1">
      <x:alignment wrapText="1"/>
    </x:xf>
    <x:xf numFmtId="0" fontId="18" fillId="35" borderId="0" xfId="0" applyNumberFormat="1" applyFont="1" applyFill="1" applyBorder="1" applyAlignment="1">
      <x:alignment horizontal="center" wrapText="1"/>
    </x:xf>
    <x:xf numFmtId="0" fontId="18" fillId="35" borderId="0" xfId="0" applyNumberFormat="1" applyFont="1" applyFill="1" applyBorder="1" applyAlignment="1">
      <x:alignment horizontal="center" vertical="center" wrapText="1"/>
    </x:xf>
    <x:xf numFmtId="0" fontId="0" fillId="35" borderId="10" xfId="0" applyNumberFormat="1" applyFont="1" applyFill="1" applyBorder="1"/>
    <x:xf numFmtId="0" fontId="18" fillId="35" borderId="10" xfId="0" applyNumberFormat="1" applyFont="1" applyFill="1" applyBorder="1"/>
    <x:xf numFmtId="0" fontId="18" fillId="35" borderId="10" xfId="0" applyNumberFormat="1" applyFont="1" applyFill="1" applyBorder="1" applyAlignment="1">
      <x:alignment wrapText="1"/>
    </x:xf>
    <x:xf numFmtId="0" fontId="18" fillId="35" borderId="10" xfId="0" applyNumberFormat="1" applyFont="1" applyFill="1" applyBorder="1" applyAlignment="1">
      <x:alignment horizontal="center" wrapText="1"/>
    </x:xf>
    <x:xf numFmtId="0" fontId="18" fillId="35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0" fillId="33" borderId="0" xfId="0" applyNumberFormat="1" applyFont="1" applyFill="1" applyBorder="1"/>
    <x:xf numFmtId="0" fontId="20" fillId="33" borderId="0" xfId="0" applyNumberFormat="1" applyFont="1" applyFill="1" applyBorder="1" applyAlignment="1">
      <x:alignment horizontal="left"/>
    </x:xf>
    <x:xf numFmtId="0" fontId="20" fillId="33" borderId="0" xfId="0" applyNumberFormat="1" applyFont="1" applyFill="1" applyBorder="1" applyAlignment="1">
      <x:alignment horizontal="left" vertical="center"/>
    </x:xf>
    <x:xf numFmtId="0" fontId="20" fillId="33" borderId="10" xfId="0" applyNumberFormat="1" applyFont="1" applyFill="1" applyBorder="1"/>
    <x:xf numFmtId="0" fontId="20" fillId="33" borderId="10" xfId="0" applyNumberFormat="1" applyFont="1" applyFill="1" applyBorder="1" applyAlignment="1">
      <x:alignment horizontal="left"/>
    </x:xf>
    <x:xf numFmtId="0" fontId="20" fillId="33" borderId="10" xfId="0" applyNumberFormat="1" applyFont="1" applyFill="1" applyBorder="1" applyAlignment="1">
      <x:alignment horizontal="left" vertical="center"/>
    </x:xf>
    <x:xf numFmtId="0" fontId="0" fillId="36" borderId="0" xfId="0" applyNumberFormat="1" applyFont="1" applyFill="1" applyBorder="1"/>
    <x:xf numFmtId="0" fontId="21" fillId="36" borderId="0" xfId="0" applyNumberFormat="1" applyFont="1" applyFill="1" applyBorder="1"/>
    <x:xf numFmtId="0" fontId="21" fillId="36" borderId="0" xfId="0" applyNumberFormat="1" applyFont="1" applyFill="1" applyBorder="1" applyAlignment="1">
      <x:alignment horizontal="left"/>
    </x:xf>
    <x:xf numFmtId="0" fontId="21" fillId="36" borderId="0" xfId="0" applyNumberFormat="1" applyFont="1" applyFill="1" applyBorder="1" applyAlignment="1">
      <x:alignment horizontal="left" vertical="center"/>
    </x:xf>
    <x:xf numFmtId="0" fontId="0" fillId="36" borderId="10" xfId="0" applyNumberFormat="1" applyFont="1" applyFill="1" applyBorder="1"/>
    <x:xf numFmtId="0" fontId="21" fillId="36" borderId="10" xfId="0" applyNumberFormat="1" applyFont="1" applyFill="1" applyBorder="1"/>
    <x:xf numFmtId="0" fontId="21" fillId="36" borderId="10" xfId="0" applyNumberFormat="1" applyFont="1" applyFill="1" applyBorder="1" applyAlignment="1">
      <x:alignment horizontal="left"/>
    </x:xf>
    <x:xf numFmtId="0" fontId="21" fillId="36" borderId="10" xfId="0" applyNumberFormat="1" applyFont="1" applyFill="1" applyBorder="1" applyAlignment="1">
      <x:alignment horizontal="left" vertical="center"/>
    </x:xf>
    <x:xf numFmtId="0" fontId="0" fillId="37" borderId="0" xfId="0" applyNumberFormat="1" applyFont="1" applyFill="1" applyBorder="1"/>
    <x:xf numFmtId="0" fontId="22" fillId="37" borderId="0" xfId="0" applyNumberFormat="1" applyFont="1" applyFill="1" applyBorder="1"/>
    <x:xf numFmtId="0" fontId="22" fillId="37" borderId="0" xfId="0" applyNumberFormat="1" applyFont="1" applyFill="1" applyBorder="1" applyAlignment="1">
      <x:alignment horizontal="center"/>
    </x:xf>
    <x:xf numFmtId="0" fontId="22" fillId="37" borderId="0" xfId="0" applyNumberFormat="1" applyFont="1" applyFill="1" applyBorder="1" applyAlignment="1">
      <x:alignment horizontal="center" vertical="center"/>
    </x:xf>
    <x:xf numFmtId="0" fontId="0" fillId="37" borderId="10" xfId="0" applyNumberFormat="1" applyFont="1" applyFill="1" applyBorder="1"/>
    <x:xf numFmtId="0" fontId="22" fillId="37" borderId="10" xfId="0" applyNumberFormat="1" applyFont="1" applyFill="1" applyBorder="1"/>
    <x:xf numFmtId="0" fontId="22" fillId="37" borderId="10" xfId="0" applyNumberFormat="1" applyFont="1" applyFill="1" applyBorder="1" applyAlignment="1">
      <x:alignment horizontal="center"/>
    </x:xf>
    <x:xf numFmtId="0" fontId="22" fillId="37" borderId="10" xfId="0" applyNumberFormat="1" applyFont="1" applyFill="1" applyBorder="1" applyAlignment="1">
      <x:alignment horizontal="center" vertical="center"/>
    </x:xf>
    <x:xf numFmtId="0" fontId="23" fillId="34" borderId="0" xfId="0" applyNumberFormat="1" applyFont="1" applyFill="1" applyBorder="1"/>
    <x:xf numFmtId="0" fontId="23" fillId="34" borderId="0" xfId="0" applyNumberFormat="1" applyFont="1" applyFill="1" applyBorder="1" applyAlignment="1">
      <x:alignment horizontal="center"/>
    </x:xf>
    <x:xf numFmtId="0" fontId="23" fillId="34" borderId="0" xfId="0" applyNumberFormat="1" applyFont="1" applyFill="1" applyBorder="1" applyAlignment="1">
      <x:alignment horizontal="center" vertical="center"/>
    </x:xf>
    <x:xf numFmtId="0" fontId="23" fillId="34" borderId="10" xfId="0" applyNumberFormat="1" applyFont="1" applyFill="1" applyBorder="1"/>
    <x:xf numFmtId="0" fontId="23" fillId="34" borderId="10" xfId="0" applyNumberFormat="1" applyFont="1" applyFill="1" applyBorder="1" applyAlignment="1">
      <x:alignment horizontal="center"/>
    </x:xf>
    <x:xf numFmtId="0" fontId="23" fillId="34" borderId="10" xfId="0" applyNumberFormat="1" applyFont="1" applyFill="1" applyBorder="1" applyAlignment="1">
      <x:alignment horizontal="center" vertical="center"/>
    </x:xf>
    <x:xf numFmtId="0" fontId="24" fillId="36" borderId="0" xfId="0" applyNumberFormat="1" applyFont="1" applyFill="1" applyBorder="1"/>
    <x:xf numFmtId="0" fontId="24" fillId="36" borderId="0" xfId="0" applyNumberFormat="1" applyFont="1" applyFill="1" applyBorder="1" applyAlignment="1">
      <x:alignment wrapText="1"/>
    </x:xf>
    <x:xf numFmtId="0" fontId="24" fillId="36" borderId="0" xfId="0" applyNumberFormat="1" applyFont="1" applyFill="1" applyBorder="1" applyAlignment="1">
      <x:alignment horizontal="center" wrapText="1"/>
    </x:xf>
    <x:xf numFmtId="0" fontId="24" fillId="36" borderId="0" xfId="0" applyNumberFormat="1" applyFont="1" applyFill="1" applyBorder="1" applyAlignment="1">
      <x:alignment horizontal="center" vertical="center" wrapText="1"/>
    </x:xf>
    <x:xf numFmtId="0" fontId="24" fillId="36" borderId="10" xfId="0" applyNumberFormat="1" applyFont="1" applyFill="1" applyBorder="1"/>
    <x:xf numFmtId="0" fontId="24" fillId="36" borderId="10" xfId="0" applyNumberFormat="1" applyFont="1" applyFill="1" applyBorder="1" applyAlignment="1">
      <x:alignment wrapText="1"/>
    </x:xf>
    <x:xf numFmtId="0" fontId="24" fillId="36" borderId="10" xfId="0" applyNumberFormat="1" applyFont="1" applyFill="1" applyBorder="1" applyAlignment="1">
      <x:alignment horizontal="center" wrapText="1"/>
    </x:xf>
    <x:xf numFmtId="0" fontId="24" fillId="36" borderId="10" xfId="0" applyNumberFormat="1" applyFont="1" applyFill="1" applyBorder="1" applyAlignment="1">
      <x:alignment horizontal="center" vertical="center" wrapText="1"/>
    </x:xf>
    <x:xf numFmtId="0" fontId="22" fillId="35" borderId="0" xfId="0" applyNumberFormat="1" applyFont="1" applyFill="1" applyBorder="1"/>
    <x:xf numFmtId="0" fontId="22" fillId="35" borderId="0" xfId="0" applyNumberFormat="1" applyFont="1" applyFill="1" applyBorder="1" applyAlignment="1">
      <x:alignment horizontal="center"/>
    </x:xf>
    <x:xf numFmtId="0" fontId="22" fillId="35" borderId="0" xfId="0" applyNumberFormat="1" applyFont="1" applyFill="1" applyBorder="1" applyAlignment="1">
      <x:alignment horizontal="center" vertical="center"/>
    </x:xf>
    <x:xf numFmtId="0" fontId="22" fillId="35" borderId="10" xfId="0" applyNumberFormat="1" applyFont="1" applyFill="1" applyBorder="1"/>
    <x:xf numFmtId="0" fontId="22" fillId="35" borderId="10" xfId="0" applyNumberFormat="1" applyFont="1" applyFill="1" applyBorder="1" applyAlignment="1">
      <x:alignment horizontal="center"/>
    </x:xf>
    <x:xf numFmtId="0" fontId="22" fillId="35" borderId="10" xfId="0" applyNumberFormat="1" applyFont="1" applyFill="1" applyBorder="1" applyAlignment="1">
      <x:alignment horizontal="center" vertical="center"/>
    </x:xf>
    <x:xf numFmtId="0" fontId="18" fillId="33" borderId="0" xfId="0" applyNumberFormat="1" applyFont="1" applyFill="1" applyBorder="1" applyAlignment="1">
      <x:alignment horizontal="left"/>
    </x:xf>
    <x:xf numFmtId="0" fontId="18" fillId="33" borderId="0" xfId="0" applyNumberFormat="1" applyFont="1" applyFill="1" applyBorder="1" applyAlignment="1">
      <x:alignment horizontal="left" vertical="center"/>
    </x:xf>
    <x:xf numFmtId="0" fontId="18" fillId="33" borderId="10" xfId="0" applyNumberFormat="1" applyFont="1" applyFill="1" applyBorder="1" applyAlignment="1">
      <x:alignment horizontal="left"/>
    </x:xf>
    <x:xf numFmtId="0" fontId="18" fillId="33" borderId="10" xfId="0" applyNumberFormat="1" applyFont="1" applyFill="1" applyBorder="1" applyAlignment="1">
      <x:alignment horizontal="left" vertical="center"/>
    </x:xf>
    <x:xf numFmtId="0" fontId="22" fillId="37" borderId="0" xfId="0" applyNumberFormat="1" applyFont="1" applyFill="1" applyBorder="1" applyAlignment="1">
      <x:alignment wrapText="1"/>
    </x:xf>
    <x:xf numFmtId="0" fontId="22" fillId="37" borderId="0" xfId="0" applyNumberFormat="1" applyFont="1" applyFill="1" applyBorder="1" applyAlignment="1">
      <x:alignment horizontal="center" wrapText="1"/>
    </x:xf>
    <x:xf numFmtId="0" fontId="22" fillId="37" borderId="0" xfId="0" applyNumberFormat="1" applyFont="1" applyFill="1" applyBorder="1" applyAlignment="1">
      <x:alignment horizontal="center" vertical="center" wrapText="1"/>
    </x:xf>
    <x:xf numFmtId="0" fontId="22" fillId="37" borderId="10" xfId="0" applyNumberFormat="1" applyFont="1" applyFill="1" applyBorder="1" applyAlignment="1">
      <x:alignment wrapText="1"/>
    </x:xf>
    <x:xf numFmtId="0" fontId="22" fillId="37" borderId="10" xfId="0" applyNumberFormat="1" applyFont="1" applyFill="1" applyBorder="1" applyAlignment="1">
      <x:alignment horizontal="center" wrapText="1"/>
    </x:xf>
    <x:xf numFmtId="0" fontId="22" fillId="37" borderId="10" xfId="0" applyNumberFormat="1" applyFont="1" applyFill="1" applyBorder="1" applyAlignment="1">
      <x:alignment horizontal="center" vertical="center" wrapText="1"/>
    </x:xf>
    <x:xf numFmtId="0" fontId="19" fillId="34" borderId="0" xfId="0" applyNumberFormat="1" applyFont="1" applyFill="1" applyBorder="1" applyAlignment="1">
      <x:alignment wrapText="1"/>
    </x:xf>
    <x:xf numFmtId="0" fontId="19" fillId="34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9" fillId="34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19" fillId="34" borderId="10" xfId="0" applyNumberFormat="1" applyFont="1" applyFill="1" applyBorder="1" applyAlignment="1">
      <x:alignment vertical="center" wrapText="1"/>
    </x:xf>
    <x:xf numFmtId="0" fontId="25" fillId="33" borderId="0" xfId="0" applyNumberFormat="1" applyFont="1" applyFill="1" applyBorder="1"/>
    <x:xf numFmtId="0" fontId="25" fillId="33" borderId="0" xfId="0" applyNumberFormat="1" applyFont="1" applyFill="1" applyBorder="1" applyAlignment="1">
      <x:alignment horizontal="center"/>
    </x:xf>
    <x:xf numFmtId="0" fontId="25" fillId="33" borderId="0" xfId="0" applyNumberFormat="1" applyFont="1" applyFill="1" applyBorder="1" applyAlignment="1">
      <x:alignment horizontal="center" vertical="center"/>
    </x:xf>
    <x:xf numFmtId="0" fontId="25" fillId="33" borderId="10" xfId="0" applyNumberFormat="1" applyFont="1" applyFill="1" applyBorder="1"/>
    <x:xf numFmtId="0" fontId="25" fillId="33" borderId="10" xfId="0" applyNumberFormat="1" applyFont="1" applyFill="1" applyBorder="1" applyAlignment="1">
      <x:alignment horizontal="center"/>
    </x:xf>
    <x:xf numFmtId="0" fontId="25" fillId="33" borderId="10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26" fillId="38" borderId="0" xfId="0" applyNumberFormat="1" applyFont="1" applyFill="1" applyBorder="1"/>
    <x:xf numFmtId="0" fontId="26" fillId="38" borderId="0" xfId="0" applyNumberFormat="1" applyFont="1" applyFill="1" applyBorder="1" applyAlignment="1">
      <x:alignment wrapText="1"/>
    </x:xf>
    <x:xf numFmtId="0" fontId="26" fillId="38" borderId="0" xfId="0" applyNumberFormat="1" applyFont="1" applyFill="1" applyBorder="1" applyAlignment="1">
      <x:alignment vertical="center" wrapText="1"/>
    </x:xf>
    <x:xf numFmtId="0" fontId="0" fillId="38" borderId="10" xfId="0" applyNumberFormat="1" applyFont="1" applyFill="1" applyBorder="1"/>
    <x:xf numFmtId="0" fontId="26" fillId="38" borderId="10" xfId="0" applyNumberFormat="1" applyFont="1" applyFill="1" applyBorder="1"/>
    <x:xf numFmtId="0" fontId="26" fillId="38" borderId="10" xfId="0" applyNumberFormat="1" applyFont="1" applyFill="1" applyBorder="1" applyAlignment="1">
      <x:alignment wrapText="1"/>
    </x:xf>
    <x:xf numFmtId="0" fontId="26" fillId="38" borderId="10" xfId="0" applyNumberFormat="1" applyFont="1" applyFill="1" applyBorder="1" applyAlignment="1">
      <x:alignment vertical="center" wrapText="1"/>
    </x:xf>
    <x:xf numFmtId="0" fontId="18" fillId="33" borderId="0" xfId="0" applyNumberFormat="1" applyFont="1" applyFill="1" applyBorder="1" applyAlignment="1">
      <x:alignment horizontal="center"/>
    </x:xf>
    <x:xf numFmtId="0" fontId="18" fillId="33" borderId="0" xfId="0" applyNumberFormat="1" applyFont="1" applyFill="1" applyBorder="1" applyAlignment="1">
      <x:alignment horizontal="center" vertical="center"/>
    </x:xf>
    <x:xf numFmtId="0" fontId="18" fillId="33" borderId="10" xfId="0" applyNumberFormat="1" applyFont="1" applyFill="1" applyBorder="1" applyAlignment="1">
      <x:alignment horizontal="center"/>
    </x:xf>
    <x:xf numFmtId="0" fontId="18" fillId="33" borderId="10" xfId="0" applyNumberFormat="1" applyFont="1" applyFill="1" applyBorder="1" applyAlignment="1">
      <x:alignment horizontal="center" vertical="center"/>
    </x:xf>
    <x:xf numFmtId="0" fontId="27" fillId="33" borderId="0" xfId="0" applyNumberFormat="1" applyFont="1" applyFill="1" applyBorder="1"/>
    <x:xf numFmtId="0" fontId="27" fillId="33" borderId="0" xfId="0" applyNumberFormat="1" applyFont="1" applyFill="1" applyBorder="1" applyAlignment="1">
      <x:alignment horizontal="left"/>
    </x:xf>
    <x:xf numFmtId="0" fontId="27" fillId="33" borderId="0" xfId="0" applyNumberFormat="1" applyFont="1" applyFill="1" applyBorder="1" applyAlignment="1">
      <x:alignment horizontal="left" vertical="center"/>
    </x:xf>
    <x:xf numFmtId="0" fontId="27" fillId="33" borderId="10" xfId="0" applyNumberFormat="1" applyFont="1" applyFill="1" applyBorder="1"/>
    <x:xf numFmtId="0" fontId="27" fillId="33" borderId="10" xfId="0" applyNumberFormat="1" applyFont="1" applyFill="1" applyBorder="1" applyAlignment="1">
      <x:alignment horizontal="left"/>
    </x:xf>
    <x:xf numFmtId="0" fontId="27" fillId="33" borderId="10" xfId="0" applyNumberFormat="1" applyFont="1" applyFill="1" applyBorder="1" applyAlignment="1">
      <x:alignment horizontal="left" vertical="center"/>
    </x:xf>
    <x:xf numFmtId="0" fontId="18" fillId="35" borderId="0" xfId="0" applyNumberFormat="1" applyFont="1" applyFill="1" applyBorder="1" applyAlignment="1">
      <x:alignment vertical="center"/>
    </x:xf>
    <x:xf numFmtId="0" fontId="18" fillId="35" borderId="1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/>
    <x:xf numFmtId="0" fontId="19" fillId="0" borderId="10" xfId="0" applyNumberFormat="1" applyFont="1" applyFill="1" applyBorder="1"/>
    <x:xf numFmtId="0" fontId="27" fillId="33" borderId="0" xfId="0" applyNumberFormat="1" applyFont="1" applyFill="1" applyBorder="1" applyAlignment="1">
      <x:alignment horizontal="left" vertical="center" wrapText="1"/>
    </x:xf>
    <x:xf numFmtId="0" fontId="18" fillId="35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wrapText="1"/>
    </x:xf>
    <x:xf numFmtId="0" fontId="27" fillId="33" borderId="10" xfId="0" applyNumberFormat="1" applyFont="1" applyFill="1" applyBorder="1" applyAlignment="1">
      <x:alignment horizontal="left" vertical="center" wrapText="1"/>
    </x:xf>
    <x:xf numFmtId="0" fontId="18" fillId="35" borderId="10" xfId="0" applyNumberFormat="1" applyFont="1" applyFill="1" applyBorder="1" applyAlignment="1">
      <x:alignment vertical="center" wrapText="1"/>
    </x:xf>
    <x:xf numFmtId="0" fontId="19" fillId="0" borderId="1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vertical="center" wrapText="1"/>
    </x:xf>
    <x:xf numFmtId="0" fontId="19" fillId="0" borderId="1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6" fillId="0" borderId="0" xfId="0" applyNumberFormat="1" applyFont="1" applyFill="1" applyBorder="1"/>
    <x:xf numFmtId="0" fontId="0" fillId="39" borderId="0" xfId="0" applyNumberFormat="1" applyFont="1" applyFill="1" applyBorder="1"/>
    <x:xf numFmtId="0" fontId="18" fillId="39" borderId="0" xfId="0" applyNumberFormat="1" applyFont="1" applyFill="1" applyBorder="1"/>
    <x:xf numFmtId="0" fontId="18" fillId="39" borderId="0" xfId="0" applyNumberFormat="1" applyFont="1" applyFill="1" applyBorder="1" applyAlignment="1">
      <x:alignment wrapText="1"/>
    </x:xf>
    <x:xf numFmtId="0" fontId="18" fillId="39" borderId="0" xfId="0" applyNumberFormat="1" applyFont="1" applyFill="1" applyBorder="1" applyAlignment="1">
      <x:alignment horizontal="center" wrapText="1"/>
    </x:xf>
    <x:xf numFmtId="0" fontId="18" fillId="39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18" fillId="40" borderId="0" xfId="0" applyNumberFormat="1" applyFont="1" applyFill="1" applyBorder="1"/>
    <x:xf numFmtId="0" fontId="18" fillId="40" borderId="0" xfId="0" applyNumberFormat="1" applyFont="1" applyFill="1" applyBorder="1" applyAlignment="1">
      <x:alignment horizontal="center"/>
    </x:xf>
    <x:xf numFmtId="0" fontId="18" fillId="40" borderId="0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19" fillId="41" borderId="0" xfId="0" applyNumberFormat="1" applyFont="1" applyFill="1" applyBorder="1"/>
    <x:xf numFmtId="0" fontId="19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19" fillId="42" borderId="0" xfId="0" applyNumberFormat="1" applyFont="1" applyFill="1" applyBorder="1"/>
    <x:xf numFmtId="0" fontId="19" fillId="42" borderId="0" xfId="0" applyNumberFormat="1" applyFont="1" applyFill="1" applyBorder="1" applyAlignment="1">
      <x:alignment horizontal="center"/>
    </x:xf>
    <x:xf numFmtId="0" fontId="18" fillId="39" borderId="0" xfId="0" applyNumberFormat="1" applyFont="1" applyFill="1" applyBorder="1" applyAlignment="1">
      <x:alignment horizontal="center"/>
    </x:xf>
    <x:xf numFmtId="0" fontId="18" fillId="39" borderId="0" xfId="0" applyNumberFormat="1" applyFont="1" applyFill="1" applyBorder="1" applyAlignment="1">
      <x:alignment horizontal="center" vertical="center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  <x:dxfs count="9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2727e0c6f4404" /><Relationship Type="http://schemas.openxmlformats.org/officeDocument/2006/relationships/theme" Target="/xl/theme/theme1.xml" Id="Rb0268fe7c45b4858" /><Relationship Type="http://schemas.openxmlformats.org/officeDocument/2006/relationships/sharedStrings" Target="/xl/sharedStrings.xml" Id="R8ffacae48fb04c78" /><Relationship Type="http://schemas.openxmlformats.org/officeDocument/2006/relationships/worksheet" Target="/xl/worksheets/sheet1.xml" Id="R8c86924473fe4447" /><Relationship Type="http://schemas.openxmlformats.org/officeDocument/2006/relationships/worksheet" Target="/xl/worksheets/sheet2.xml" Id="R67d236366e5f4213" /><Relationship Type="http://schemas.openxmlformats.org/officeDocument/2006/relationships/worksheet" Target="/xl/worksheets/sheet3.xml" Id="Re19b86b313764489" /><Relationship Type="http://schemas.openxmlformats.org/officeDocument/2006/relationships/worksheet" Target="/xl/worksheets/sheet4.xml" Id="R5a3baa914bd949cb" /><Relationship Type="http://schemas.openxmlformats.org/officeDocument/2006/relationships/worksheet" Target="/xl/worksheets/sheet5.xml" Id="Re91b2986d9f24819" /><Relationship Type="http://schemas.openxmlformats.org/officeDocument/2006/relationships/worksheet" Target="/xl/worksheets/sheet6.xml" Id="R81c9c6741372454a" /><Relationship Type="http://schemas.openxmlformats.org/officeDocument/2006/relationships/worksheet" Target="/xl/worksheets/sheet7.xml" Id="Rede6643e1ab94455" /><Relationship Type="http://schemas.openxmlformats.org/officeDocument/2006/relationships/worksheet" Target="/xl/worksheets/sheet8.xml" Id="R8ccb0320a9a1417e" /><Relationship Type="http://schemas.openxmlformats.org/officeDocument/2006/relationships/worksheet" Target="/xl/worksheets/sheet9.xml" Id="R3cab682d2fa047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927d8efb994dbe" /><Relationship Type="http://schemas.openxmlformats.org/officeDocument/2006/relationships/chart" Target="/xl/drawings/charts/chart2.xml" Id="R8aa342f7f77a438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stacked"/>
        <c:varyColors val="0"/>
        <c:ser>
          <c:idx val="0"/>
          <c:order val="0"/>
          <c:tx>
            <c:v>Fully attended</c:v>
          </c:tx>
          <c:cat>
            <c:strRef>
              <c:f>'Country Summary'!$M$2:$M$4</c:f>
              <c:strCache>
                <c:ptCount val="0"/>
              </c:strCache>
            </c:strRef>
          </c:cat>
          <c:val>
            <c:numRef>
              <c:f>'Country Summary'!$N$2:$N$4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Partially attended</c:v>
          </c:tx>
          <c:cat>
            <c:strRef>
              <c:f>'Country Summary'!$M$2:$M$4</c:f>
              <c:strCache>
                <c:ptCount val="0"/>
              </c:strCache>
            </c:strRef>
          </c:cat>
          <c:val>
            <c:numRef>
              <c:f>'Country Summary'!$O$2:$O$4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Did not attend</c:v>
          </c:tx>
          <c:cat>
            <c:strRef>
              <c:f>'Country Summary'!$M$2:$M$4</c:f>
              <c:strCache>
                <c:ptCount val="0"/>
              </c:strCache>
            </c:strRef>
          </c:cat>
          <c:val>
            <c:numRef>
              <c:f>'Country Summary'!$P$2:$P$4</c:f>
              <c:numCache>
                <c:formatCode>General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stacked"/>
        <c:varyColors val="0"/>
        <c:ser>
          <c:idx val="0"/>
          <c:order val="0"/>
          <c:tx>
            <c:v>Fully attended</c:v>
          </c:tx>
          <c:cat>
            <c:strRef>
              <c:f>'Country Summary'!$A$2:$A$8</c:f>
              <c:strCache>
                <c:ptCount val="0"/>
              </c:strCache>
            </c:strRef>
          </c:cat>
          <c:val>
            <c:numRef>
              <c:f>'Country Summary'!$J$2:$J$8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Partially attended</c:v>
          </c:tx>
          <c:cat>
            <c:strRef>
              <c:f>'Country Summary'!$A$2:$A$8</c:f>
              <c:strCache>
                <c:ptCount val="0"/>
              </c:strCache>
            </c:strRef>
          </c:cat>
          <c:val>
            <c:numRef>
              <c:f>'Country Summary'!$K$2:$K$8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Did not attend</c:v>
          </c:tx>
          <c:cat>
            <c:strRef>
              <c:f>'Country Summary'!$A$2:$A$8</c:f>
              <c:strCache>
                <c:ptCount val="0"/>
              </c:strCache>
            </c:strRef>
          </c:cat>
          <c:val>
            <c:numRef>
              <c:f>'Country Summary'!$L$2:$L$8</c:f>
              <c:numCache>
                <c:formatCode>General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927d8efb994dbe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a342f7f77a43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" name="EmployeeAttendanceTable" displayName="EmployeeAttendanceTable" ref="A1:L670" headerRowCount="1" totalsRowCount="0" totalsRowShown="0">
  <x:autoFilter ref="A1:L670"/>
  <x:tableColumns count="12">
    <x:tableColumn id="1" name="Employee Name"/>
    <x:tableColumn id="2" name="Country"/>
    <x:tableColumn id="3" name="Country Code"/>
    <x:tableColumn id="4" name="Normalized Email"/>
    <x:tableColumn id="5" name="Option 1 Duration"/>
    <x:tableColumn id="6" name="Option 1 Status"/>
    <x:tableColumn id="7" name="Option 2 Duration"/>
    <x:tableColumn id="8" name="Option 2 Status"/>
    <x:tableColumn id="9" name="Combined Duration"/>
    <x:tableColumn id="10" name="Combined Status"/>
    <x:tableColumn id="11" name="Option 1 Present?"/>
    <x:tableColumn id="12" name="Option 2 Present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ountryAttendanceSummaryTable" displayName="CountryAttendanceSummaryTable" ref="A1:L8" headerRowCount="1" totalsRowCount="0" totalsRowShown="0">
  <x:tableColumns count="12">
    <x:tableColumn id="1" name="Country"/>
    <x:tableColumn id="2" name="Country Code"/>
    <x:tableColumn id="3" name="Eligible Employees"/>
    <x:tableColumn id="4" name="Option 1 - Fully"/>
    <x:tableColumn id="5" name="Option 1 - Partial"/>
    <x:tableColumn id="6" name="Option 1 - Did Not Attend"/>
    <x:tableColumn id="7" name="Option 2 - Fully"/>
    <x:tableColumn id="8" name="Option 2 - Partial"/>
    <x:tableColumn id="9" name="Option 2 - Did Not Attend"/>
    <x:tableColumn id="10" name="Combined - Fully"/>
    <x:tableColumn id="11" name="Combined - Partial"/>
    <x:tableColumn id="12" name="Combined - Did Not Atte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MeetingTotalsTable" displayName="MeetingTotalsTable" ref="M1:Q4" headerRowCount="1" totalsRowCount="0" totalsRowShown="0">
  <x:tableColumns count="5">
    <x:tableColumn id="1" name="Meeting Type"/>
    <x:tableColumn id="2" name="Fully Attended"/>
    <x:tableColumn id="3" name="Partially Attended"/>
    <x:tableColumn id="4" name="Did Not Attend"/>
    <x:tableColumn id="5" name="Eligible Employe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AttendancePivotDataTable" displayName="AttendancePivotDataTable" ref="A1:I2008" headerRowCount="1" totalsRowCount="0" totalsRowShown="0">
  <x:autoFilter ref="A1:I2008"/>
  <x:tableColumns count="9">
    <x:tableColumn id="1" name="Employee Name"/>
    <x:tableColumn id="2" name="Country"/>
    <x:tableColumn id="3" name="Country Code"/>
    <x:tableColumn id="4" name="Normalized Email"/>
    <x:tableColumn id="5" name="Meeting Type"/>
    <x:tableColumn id="6" name="Duration"/>
    <x:tableColumn id="7" name="Duration Seconds"/>
    <x:tableColumn id="8" name="Attendance Status"/>
    <x:tableColumn id="9" name="Present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QualityTable" displayName="DataQualityTable" ref="A1:C14" headerRowCount="1" totalsRowCount="0" totalsRowShown="0">
  <x:tableColumns count="3">
    <x:tableColumn id="1" name="Check"/>
    <x:tableColumn id="2" name="Result"/>
    <x:tableColumn id="3" name="Mean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UnmatchedParticipantsTable" displayName="UnmatchedParticipantsTable" ref="E1:H2" headerRowCount="1" totalsRowCount="0" totalsRowShown="0">
  <x:autoFilter ref="E1:H2"/>
  <x:tableColumns count="4">
    <x:tableColumn id="1" name="Meeting Report"/>
    <x:tableColumn id="2" name="Participant Name"/>
    <x:tableColumn id="3" name="Participant Email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095ae8079394c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d959367e0c3746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eeecb021d1754e80" /><Relationship Type="http://schemas.openxmlformats.org/officeDocument/2006/relationships/table" Target="/xl/tables/table3.xml" Id="R6038bd5e2f004b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590cfc6133b4e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7d18417e44f94c71" /><Relationship Type="http://schemas.openxmlformats.org/officeDocument/2006/relationships/table" Target="/xl/tables/table6.xml" Id="R43e876a5b4474236" /></Relationships>
</file>

<file path=xl/worksheets/sheet1.xml><?xml version="1.0" encoding="utf-8"?>
<x:worksheet xmlns:x="http://schemas.openxmlformats.org/spreadsheetml/2006/main">
  <x:sheetFormatPr defaultRowHeight="15"/>
  <x:cols>
    <x:col min="1" max="1" width="30.28515625" customWidth="1"/>
    <x:col min="2" max="2" width="55" customWidth="1"/>
    <x:col min="3" max="3" width="19" customWidth="1"/>
    <x:col min="4" max="4" width="18.7109375" customWidth="1"/>
    <x:col min="5" max="6" width="32.42578125" customWidth="1"/>
    <x:col min="7" max="7" width="9.5703125" customWidth="1"/>
    <x:col min="8" max="8" width="30.140625" customWidth="1"/>
    <x:col min="9" max="9" width="27" customWidth="1"/>
    <x:col min="10" max="10" width="25" customWidth="1"/>
    <x:col min="11" max="11" width="25.5703125" customWidth="1"/>
    <x:col min="12" max="12" width="30.28515625" customWidth="1"/>
    <x:col min="13" max="13" width="23" customWidth="1"/>
    <x:col min="14" max="14" width="24.140625" customWidth="1"/>
    <x:col min="15" max="15" width="19.85546875" customWidth="1"/>
    <x:col min="16" max="16" width="34" hidden="0" customWidth="1"/>
    <x:col min="17" max="17" width="18" hidden="0" customWidth="1"/>
    <x:col min="18" max="18" width="18" hidden="0" customWidth="1"/>
  </x:cols>
  <x:sheetData>
    <x:row r="1">
      <x:c r="A1" s="1" t="s">
        <x:v>0</x:v>
      </x:c>
    </x:row>
    <x:row r="2">
      <x:c r="A2" t="s">
        <x:v>1</x:v>
      </x:c>
      <x:c r="B2" t="s">
        <x:v>2</x:v>
      </x:c>
    </x:row>
    <x:row r="3">
      <x:c r="A3" t="s">
        <x:v>3</x:v>
      </x:c>
      <x:c r="B3">
        <x:v>305</x:v>
      </x:c>
    </x:row>
    <x:row r="4">
      <x:c r="A4" t="s">
        <x:v>4</x:v>
      </x:c>
      <x:c r="B4" t="s">
        <x:v>5</x:v>
      </x:c>
    </x:row>
    <x:row r="5">
      <x:c r="A5" t="s">
        <x:v>6</x:v>
      </x:c>
      <x:c r="B5" t="s">
        <x:v>7</x:v>
      </x:c>
    </x:row>
    <x:row r="6">
      <x:c r="A6" t="s">
        <x:v>8</x:v>
      </x:c>
      <x:c r="B6" t="s">
        <x:v>9</x:v>
      </x:c>
    </x:row>
    <x:row r="7">
      <x:c r="A7" t="s">
        <x:v>10</x:v>
      </x:c>
      <x:c r="B7" t="s">
        <x:v>11</x:v>
      </x:c>
    </x:row>
    <x:row r="9">
      <x:c r="A9" s="1" t="s">
        <x:v>12</x:v>
      </x:c>
    </x:row>
    <x:row r="10">
      <x:c r="A10" t="s">
        <x:v>13</x:v>
      </x:c>
      <x:c r="B10" t="s">
        <x:v>14</x:v>
      </x:c>
      <x:c r="C10" t="s">
        <x:v>15</x:v>
      </x:c>
      <x:c r="D10" t="s">
        <x:v>16</x:v>
      </x:c>
      <x:c r="E10" t="s">
        <x:v>17</x:v>
      </x:c>
      <x:c r="F10" t="s">
        <x:v>18</x:v>
      </x:c>
      <x:c r="G10" t="s">
        <x:v>19</x:v>
      </x:c>
      <x:c r="H10" t="s">
        <x:v>20</x:v>
      </x:c>
      <x:c r="I10" t="s">
        <x:v>21</x:v>
      </x:c>
      <x:c r="J10" t="s">
        <x:v>22</x:v>
      </x:c>
      <x:c r="K10" t="s">
        <x:v>23</x:v>
      </x:c>
      <x:c r="L10" t="s">
        <x:v>24</x:v>
      </x:c>
      <x:c r="M10" t="s">
        <x:v>25</x:v>
      </x:c>
      <x:c r="N10" t="s">
        <x:v>26</x:v>
      </x:c>
      <x:c r="O10" t="s">
        <x:v>27</x:v>
      </x:c>
      <x:c r="P10" s="140" t="str">
        <x:v>Clean Email</x:v>
      </x:c>
      <x:c r="Q10" s="140" t="str">
        <x:v>Duration Seconds</x:v>
      </x:c>
      <x:c r="R10" s="140" t="str">
        <x:v>Roster Match?</x:v>
      </x:c>
    </x:row>
    <x:row r="11">
      <x:c r="A11" t="s">
        <x:v>28</x:v>
      </x:c>
      <x:c r="B11" t="s">
        <x:v>29</x:v>
      </x:c>
      <x:c r="C11" t="s">
        <x:v>30</x:v>
      </x:c>
      <x:c r="D11" t="s">
        <x:v>31</x:v>
      </x:c>
      <x:c r="E11" t="s">
        <x:v>32</x:v>
      </x:c>
      <x:c r="F11" t="s">
        <x:v>32</x:v>
      </x:c>
      <x:c r="G11" t="s">
        <x:v>33</x:v>
      </x:c>
      <x:c r="M11">
        <x:v>5</x:v>
      </x:c>
      <x:c r="O11">
        <x:v>2</x:v>
      </x:c>
      <x:c r="P11" t="str">
        <x:f>LOWER(TRIM(SUBSTITUTE(E11,CHAR(160)," ")))</x:f>
        <x:v>michael.mugasa@pwc.com</x:v>
      </x:c>
      <x:c r="Q11" t="n">
        <x:f>IFERROR(VALUE(LEFT(D11,SEARCH("h",D11)-1)),0)*3600+IFERROR(VALUE(MID(D11,IFERROR(SEARCH("h ",D11)+2,1),SEARCH("m",D11)-IFERROR(SEARCH("h ",D11)+2,1))),0)*60+IFERROR(VALUE(MID(D11,IFERROR(SEARCH("m ",D11)+2,IFERROR(SEARCH("h ",D11)+2,1)),SEARCH("s",D11)-IFERROR(SEARCH("m ",D11)+2,IFERROR(SEARCH("h ",D11)+2,1)))),0)</x:f>
        <x:v>7335</x:v>
      </x:c>
      <x:c r="R11" t="str">
        <x:f>IF(P11="","No",IF(COUNTIF('Employee Attendance'!$D$2:$D$670,P11)&gt;0,"Yes","No"))</x:f>
        <x:v>Yes</x:v>
      </x:c>
    </x:row>
    <x:row r="12">
      <x:c r="A12" t="s">
        <x:v>34</x:v>
      </x:c>
      <x:c r="B12" t="s">
        <x:v>35</x:v>
      </x:c>
      <x:c r="C12" t="s">
        <x:v>36</x:v>
      </x:c>
      <x:c r="D12" t="s">
        <x:v>37</x:v>
      </x:c>
      <x:c r="E12" t="s">
        <x:v>38</x:v>
      </x:c>
      <x:c r="F12" t="s">
        <x:v>38</x:v>
      </x:c>
      <x:c r="G12" t="s">
        <x:v>33</x:v>
      </x:c>
      <x:c r="O12">
        <x:v>2</x:v>
      </x:c>
      <x:c r="P12" t="str">
        <x:f>LOWER(TRIM(SUBSTITUTE(E12,CHAR(160)," ")))</x:f>
        <x:v>roselyne.ogutu@pwc.com</x:v>
      </x:c>
      <x:c r="Q12" t="n">
        <x:f>IFERROR(VALUE(LEFT(D12,SEARCH("h",D12)-1)),0)*3600+IFERROR(VALUE(MID(D12,IFERROR(SEARCH("h ",D12)+2,1),SEARCH("m",D12)-IFERROR(SEARCH("h ",D12)+2,1))),0)*60+IFERROR(VALUE(MID(D12,IFERROR(SEARCH("m ",D12)+2,IFERROR(SEARCH("h ",D12)+2,1)),SEARCH("s",D12)-IFERROR(SEARCH("m ",D12)+2,IFERROR(SEARCH("h ",D12)+2,1)))),0)</x:f>
        <x:v>7446</x:v>
      </x:c>
      <x:c r="R12" t="str">
        <x:f>IF(P12="","No",IF(COUNTIF('Employee Attendance'!$D$2:$D$670,P12)&gt;0,"Yes","No"))</x:f>
        <x:v>Yes</x:v>
      </x:c>
    </x:row>
    <x:row r="13">
      <x:c r="A13" t="s">
        <x:v>39</x:v>
      </x:c>
      <x:c r="B13" t="s">
        <x:v>40</x:v>
      </x:c>
      <x:c r="C13" t="s">
        <x:v>41</x:v>
      </x:c>
      <x:c r="D13" t="s">
        <x:v>42</x:v>
      </x:c>
      <x:c r="E13" t="s">
        <x:v>43</x:v>
      </x:c>
      <x:c r="F13" t="s">
        <x:v>43</x:v>
      </x:c>
      <x:c r="G13" t="s">
        <x:v>33</x:v>
      </x:c>
      <x:c r="M13">
        <x:v>1</x:v>
      </x:c>
      <x:c r="O13">
        <x:v>3</x:v>
      </x:c>
      <x:c r="P13" t="str">
        <x:f>LOWER(TRIM(SUBSTITUTE(E13,CHAR(160)," ")))</x:f>
        <x:v>martin.x.bamukunde@pwc.com</x:v>
      </x:c>
      <x:c r="Q13" t="n">
        <x:f>IFERROR(VALUE(LEFT(D13,SEARCH("h",D13)-1)),0)*3600+IFERROR(VALUE(MID(D13,IFERROR(SEARCH("h ",D13)+2,1),SEARCH("m",D13)-IFERROR(SEARCH("h ",D13)+2,1))),0)*60+IFERROR(VALUE(MID(D13,IFERROR(SEARCH("m ",D13)+2,IFERROR(SEARCH("h ",D13)+2,1)),SEARCH("s",D13)-IFERROR(SEARCH("m ",D13)+2,IFERROR(SEARCH("h ",D13)+2,1)))),0)</x:f>
        <x:v>8432</x:v>
      </x:c>
      <x:c r="R13" t="str">
        <x:f>IF(P13="","No",IF(COUNTIF('Employee Attendance'!$D$2:$D$670,P13)&gt;0,"Yes","No"))</x:f>
        <x:v>Yes</x:v>
      </x:c>
    </x:row>
    <x:row r="14">
      <x:c r="A14" t="s">
        <x:v>44</x:v>
      </x:c>
      <x:c r="B14" t="s">
        <x:v>45</x:v>
      </x:c>
      <x:c r="C14" t="s">
        <x:v>46</x:v>
      </x:c>
      <x:c r="D14" t="s">
        <x:v>47</x:v>
      </x:c>
      <x:c r="E14" t="s">
        <x:v>48</x:v>
      </x:c>
      <x:c r="F14" t="s">
        <x:v>48</x:v>
      </x:c>
      <x:c r="G14" t="s">
        <x:v>33</x:v>
      </x:c>
      <x:c r="J14">
        <x:v>2</x:v>
      </x:c>
      <x:c r="M14">
        <x:v>1</x:v>
      </x:c>
      <x:c r="O14">
        <x:v>1</x:v>
      </x:c>
      <x:c r="P14" t="str">
        <x:f>LOWER(TRIM(SUBSTITUTE(E14,CHAR(160)," ")))</x:f>
        <x:v>anel.eksteen@pwc.com</x:v>
      </x:c>
      <x:c r="Q14" t="n">
        <x:f>IFERROR(VALUE(LEFT(D14,SEARCH("h",D14)-1)),0)*3600+IFERROR(VALUE(MID(D14,IFERROR(SEARCH("h ",D14)+2,1),SEARCH("m",D14)-IFERROR(SEARCH("h ",D14)+2,1))),0)*60+IFERROR(VALUE(MID(D14,IFERROR(SEARCH("m ",D14)+2,IFERROR(SEARCH("h ",D14)+2,1)),SEARCH("s",D14)-IFERROR(SEARCH("m ",D14)+2,IFERROR(SEARCH("h ",D14)+2,1)))),0)</x:f>
        <x:v>6881</x:v>
      </x:c>
      <x:c r="R14" t="str">
        <x:f>IF(P14="","No",IF(COUNTIF('Employee Attendance'!$D$2:$D$670,P14)&gt;0,"Yes","No"))</x:f>
        <x:v>Yes</x:v>
      </x:c>
    </x:row>
    <x:row r="15">
      <x:c r="A15" t="s">
        <x:v>49</x:v>
      </x:c>
      <x:c r="B15" t="s">
        <x:v>50</x:v>
      </x:c>
      <x:c r="C15" t="s">
        <x:v>51</x:v>
      </x:c>
      <x:c r="D15" t="s">
        <x:v>52</x:v>
      </x:c>
      <x:c r="E15" t="s">
        <x:v>53</x:v>
      </x:c>
      <x:c r="F15" t="s">
        <x:v>53</x:v>
      </x:c>
      <x:c r="G15" t="s">
        <x:v>33</x:v>
      </x:c>
      <x:c r="M15">
        <x:v>2</x:v>
      </x:c>
      <x:c r="O15">
        <x:v>2</x:v>
      </x:c>
      <x:c r="P15" t="str">
        <x:f>LOWER(TRIM(SUBSTITUTE(E15,CHAR(160)," ")))</x:f>
        <x:v>bernice.kimacia@pwc.com</x:v>
      </x:c>
      <x:c r="Q15" t="n">
        <x:f>IFERROR(VALUE(LEFT(D15,SEARCH("h",D15)-1)),0)*3600+IFERROR(VALUE(MID(D15,IFERROR(SEARCH("h ",D15)+2,1),SEARCH("m",D15)-IFERROR(SEARCH("h ",D15)+2,1))),0)*60+IFERROR(VALUE(MID(D15,IFERROR(SEARCH("m ",D15)+2,IFERROR(SEARCH("h ",D15)+2,1)),SEARCH("s",D15)-IFERROR(SEARCH("m ",D15)+2,IFERROR(SEARCH("h ",D15)+2,1)))),0)</x:f>
        <x:v>6915</x:v>
      </x:c>
      <x:c r="R15" t="str">
        <x:f>IF(P15="","No",IF(COUNTIF('Employee Attendance'!$D$2:$D$670,P15)&gt;0,"Yes","No"))</x:f>
        <x:v>Yes</x:v>
      </x:c>
    </x:row>
    <x:row r="16">
      <x:c r="A16" t="s">
        <x:v>54</x:v>
      </x:c>
      <x:c r="B16" t="s">
        <x:v>55</x:v>
      </x:c>
      <x:c r="C16" t="s">
        <x:v>56</x:v>
      </x:c>
      <x:c r="D16" t="s">
        <x:v>57</x:v>
      </x:c>
      <x:c r="E16" t="s">
        <x:v>58</x:v>
      </x:c>
      <x:c r="F16" t="s">
        <x:v>58</x:v>
      </x:c>
      <x:c r="G16" t="s">
        <x:v>59</x:v>
      </x:c>
      <x:c r="O16">
        <x:v>2</x:v>
      </x:c>
      <x:c r="P16" t="str">
        <x:f>LOWER(TRIM(SUBSTITUTE(E16,CHAR(160)," ")))</x:f>
        <x:v>sharon.w.wilfredkabubi@pwc.com</x:v>
      </x:c>
      <x:c r="Q16" t="n">
        <x:f>IFERROR(VALUE(LEFT(D16,SEARCH("h",D16)-1)),0)*3600+IFERROR(VALUE(MID(D16,IFERROR(SEARCH("h ",D16)+2,1),SEARCH("m",D16)-IFERROR(SEARCH("h ",D16)+2,1))),0)*60+IFERROR(VALUE(MID(D16,IFERROR(SEARCH("m ",D16)+2,IFERROR(SEARCH("h ",D16)+2,1)),SEARCH("s",D16)-IFERROR(SEARCH("m ",D16)+2,IFERROR(SEARCH("h ",D16)+2,1)))),0)</x:f>
        <x:v>7472</x:v>
      </x:c>
      <x:c r="R16" t="str">
        <x:f>IF(P16="","No",IF(COUNTIF('Employee Attendance'!$D$2:$D$670,P16)&gt;0,"Yes","No"))</x:f>
        <x:v>Yes</x:v>
      </x:c>
    </x:row>
    <x:row r="17">
      <x:c r="A17" t="s">
        <x:v>60</x:v>
      </x:c>
      <x:c r="B17" t="s">
        <x:v>61</x:v>
      </x:c>
      <x:c r="C17" t="s">
        <x:v>62</x:v>
      </x:c>
      <x:c r="D17" t="s">
        <x:v>63</x:v>
      </x:c>
      <x:c r="E17" t="s">
        <x:v>64</x:v>
      </x:c>
      <x:c r="F17" t="s">
        <x:v>64</x:v>
      </x:c>
      <x:c r="G17" t="s">
        <x:v>59</x:v>
      </x:c>
      <x:c r="P17" t="str">
        <x:f>LOWER(TRIM(SUBSTITUTE(E17,CHAR(160)," ")))</x:f>
        <x:v>deborah.lukwesa@pwc.com</x:v>
      </x:c>
      <x:c r="Q17" t="n">
        <x:f>IFERROR(VALUE(LEFT(D17,SEARCH("h",D17)-1)),0)*3600+IFERROR(VALUE(MID(D17,IFERROR(SEARCH("h ",D17)+2,1),SEARCH("m",D17)-IFERROR(SEARCH("h ",D17)+2,1))),0)*60+IFERROR(VALUE(MID(D17,IFERROR(SEARCH("m ",D17)+2,IFERROR(SEARCH("h ",D17)+2,1)),SEARCH("s",D17)-IFERROR(SEARCH("m ",D17)+2,IFERROR(SEARCH("h ",D17)+2,1)))),0)</x:f>
        <x:v>7644</x:v>
      </x:c>
      <x:c r="R17" t="str">
        <x:f>IF(P17="","No",IF(COUNTIF('Employee Attendance'!$D$2:$D$670,P17)&gt;0,"Yes","No"))</x:f>
        <x:v>Yes</x:v>
      </x:c>
    </x:row>
    <x:row r="18">
      <x:c r="A18" t="s">
        <x:v>65</x:v>
      </x:c>
      <x:c r="B18" t="s">
        <x:v>66</x:v>
      </x:c>
      <x:c r="C18" t="s">
        <x:v>67</x:v>
      </x:c>
      <x:c r="D18" t="s">
        <x:v>68</x:v>
      </x:c>
      <x:c r="E18" t="s">
        <x:v>69</x:v>
      </x:c>
      <x:c r="F18" t="s">
        <x:v>69</x:v>
      </x:c>
      <x:c r="G18" t="s">
        <x:v>59</x:v>
      </x:c>
      <x:c r="O18">
        <x:v>1</x:v>
      </x:c>
      <x:c r="P18" t="str">
        <x:f>LOWER(TRIM(SUBSTITUTE(E18,CHAR(160)," ")))</x:f>
        <x:v>edna.kimenju@pwc.com</x:v>
      </x:c>
      <x:c r="Q18" t="n">
        <x:f>IFERROR(VALUE(LEFT(D18,SEARCH("h",D18)-1)),0)*3600+IFERROR(VALUE(MID(D18,IFERROR(SEARCH("h ",D18)+2,1),SEARCH("m",D18)-IFERROR(SEARCH("h ",D18)+2,1))),0)*60+IFERROR(VALUE(MID(D18,IFERROR(SEARCH("m ",D18)+2,IFERROR(SEARCH("h ",D18)+2,1)),SEARCH("s",D18)-IFERROR(SEARCH("m ",D18)+2,IFERROR(SEARCH("h ",D18)+2,1)))),0)</x:f>
        <x:v>7030</x:v>
      </x:c>
      <x:c r="R18" t="str">
        <x:f>IF(P18="","No",IF(COUNTIF('Employee Attendance'!$D$2:$D$670,P18)&gt;0,"Yes","No"))</x:f>
        <x:v>Yes</x:v>
      </x:c>
    </x:row>
    <x:row r="19">
      <x:c r="A19" t="s">
        <x:v>70</x:v>
      </x:c>
      <x:c r="B19" t="s">
        <x:v>66</x:v>
      </x:c>
      <x:c r="C19" t="s">
        <x:v>71</x:v>
      </x:c>
      <x:c r="D19" t="s">
        <x:v>72</x:v>
      </x:c>
      <x:c r="E19" t="s">
        <x:v>73</x:v>
      </x:c>
      <x:c r="F19" t="s">
        <x:v>73</x:v>
      </x:c>
      <x:c r="G19" t="s">
        <x:v>59</x:v>
      </x:c>
      <x:c r="P19" t="str">
        <x:f>LOWER(TRIM(SUBSTITUTE(E19,CHAR(160)," ")))</x:f>
        <x:v>stacey.l.labuschagne@pwc.com</x:v>
      </x:c>
      <x:c r="Q19" t="n">
        <x:f>IFERROR(VALUE(LEFT(D19,SEARCH("h",D19)-1)),0)*3600+IFERROR(VALUE(MID(D19,IFERROR(SEARCH("h ",D19)+2,1),SEARCH("m",D19)-IFERROR(SEARCH("h ",D19)+2,1))),0)*60+IFERROR(VALUE(MID(D19,IFERROR(SEARCH("m ",D19)+2,IFERROR(SEARCH("h ",D19)+2,1)),SEARCH("s",D19)-IFERROR(SEARCH("m ",D19)+2,IFERROR(SEARCH("h ",D19)+2,1)))),0)</x:f>
        <x:v>6057</x:v>
      </x:c>
      <x:c r="R19" t="str">
        <x:f>IF(P19="","No",IF(COUNTIF('Employee Attendance'!$D$2:$D$670,P19)&gt;0,"Yes","No"))</x:f>
        <x:v>Yes</x:v>
      </x:c>
    </x:row>
    <x:row r="20">
      <x:c r="A20" t="s">
        <x:v>74</x:v>
      </x:c>
      <x:c r="B20" t="s">
        <x:v>75</x:v>
      </x:c>
      <x:c r="C20" t="s">
        <x:v>76</x:v>
      </x:c>
      <x:c r="D20" t="s">
        <x:v>77</x:v>
      </x:c>
      <x:c r="E20" t="s">
        <x:v>78</x:v>
      </x:c>
      <x:c r="F20" t="s">
        <x:v>78</x:v>
      </x:c>
      <x:c r="G20" t="s">
        <x:v>59</x:v>
      </x:c>
      <x:c r="P20" t="str">
        <x:f>LOWER(TRIM(SUBSTITUTE(E20,CHAR(160)," ")))</x:f>
        <x:v>emmanuel.kamizhi@pwc.com</x:v>
      </x:c>
      <x:c r="Q20" t="n">
        <x:f>IFERROR(VALUE(LEFT(D20,SEARCH("h",D20)-1)),0)*3600+IFERROR(VALUE(MID(D20,IFERROR(SEARCH("h ",D20)+2,1),SEARCH("m",D20)-IFERROR(SEARCH("h ",D20)+2,1))),0)*60+IFERROR(VALUE(MID(D20,IFERROR(SEARCH("m ",D20)+2,IFERROR(SEARCH("h ",D20)+2,1)),SEARCH("s",D20)-IFERROR(SEARCH("m ",D20)+2,IFERROR(SEARCH("h ",D20)+2,1)))),0)</x:f>
        <x:v>7772</x:v>
      </x:c>
      <x:c r="R20" t="str">
        <x:f>IF(P20="","No",IF(COUNTIF('Employee Attendance'!$D$2:$D$670,P20)&gt;0,"Yes","No"))</x:f>
        <x:v>Yes</x:v>
      </x:c>
    </x:row>
    <x:row r="21">
      <x:c r="A21" t="s">
        <x:v>79</x:v>
      </x:c>
      <x:c r="B21" t="s">
        <x:v>80</x:v>
      </x:c>
      <x:c r="C21" t="s">
        <x:v>81</x:v>
      </x:c>
      <x:c r="D21" t="s">
        <x:v>82</x:v>
      </x:c>
      <x:c r="E21" t="s">
        <x:v>83</x:v>
      </x:c>
      <x:c r="F21" t="s">
        <x:v>83</x:v>
      </x:c>
      <x:c r="G21" t="s">
        <x:v>59</x:v>
      </x:c>
      <x:c r="O21">
        <x:v>1</x:v>
      </x:c>
      <x:c r="P21" t="str">
        <x:f>LOWER(TRIM(SUBSTITUTE(E21,CHAR(160)," ")))</x:f>
        <x:v>elvan.vythilingum@pwc.com</x:v>
      </x:c>
      <x:c r="Q21" t="n">
        <x:f>IFERROR(VALUE(LEFT(D21,SEARCH("h",D21)-1)),0)*3600+IFERROR(VALUE(MID(D21,IFERROR(SEARCH("h ",D21)+2,1),SEARCH("m",D21)-IFERROR(SEARCH("h ",D21)+2,1))),0)*60+IFERROR(VALUE(MID(D21,IFERROR(SEARCH("m ",D21)+2,IFERROR(SEARCH("h ",D21)+2,1)),SEARCH("s",D21)-IFERROR(SEARCH("m ",D21)+2,IFERROR(SEARCH("h ",D21)+2,1)))),0)</x:f>
        <x:v>7475</x:v>
      </x:c>
      <x:c r="R21" t="str">
        <x:f>IF(P21="","No",IF(COUNTIF('Employee Attendance'!$D$2:$D$670,P21)&gt;0,"Yes","No"))</x:f>
        <x:v>Yes</x:v>
      </x:c>
    </x:row>
    <x:row r="22">
      <x:c r="A22" t="s">
        <x:v>84</x:v>
      </x:c>
      <x:c r="B22" t="s">
        <x:v>80</x:v>
      </x:c>
      <x:c r="C22" t="s">
        <x:v>85</x:v>
      </x:c>
      <x:c r="D22" t="s">
        <x:v>86</x:v>
      </x:c>
      <x:c r="E22" t="s">
        <x:v>87</x:v>
      </x:c>
      <x:c r="F22" t="s">
        <x:v>87</x:v>
      </x:c>
      <x:c r="G22" t="s">
        <x:v>59</x:v>
      </x:c>
      <x:c r="P22" t="str">
        <x:f>LOWER(TRIM(SUBSTITUTE(E22,CHAR(160)," ")))</x:f>
        <x:v>damien.hong.lin@pwc.com</x:v>
      </x:c>
      <x:c r="Q22" t="n">
        <x:f>IFERROR(VALUE(LEFT(D22,SEARCH("h",D22)-1)),0)*3600+IFERROR(VALUE(MID(D22,IFERROR(SEARCH("h ",D22)+2,1),SEARCH("m",D22)-IFERROR(SEARCH("h ",D22)+2,1))),0)*60+IFERROR(VALUE(MID(D22,IFERROR(SEARCH("m ",D22)+2,IFERROR(SEARCH("h ",D22)+2,1)),SEARCH("s",D22)-IFERROR(SEARCH("m ",D22)+2,IFERROR(SEARCH("h ",D22)+2,1)))),0)</x:f>
        <x:v>10</x:v>
      </x:c>
      <x:c r="R22" t="str">
        <x:f>IF(P22="","No",IF(COUNTIF('Employee Attendance'!$D$2:$D$670,P22)&gt;0,"Yes","No"))</x:f>
        <x:v>Yes</x:v>
      </x:c>
    </x:row>
    <x:row r="23">
      <x:c r="A23" t="s">
        <x:v>88</x:v>
      </x:c>
      <x:c r="B23" t="s">
        <x:v>89</x:v>
      </x:c>
      <x:c r="C23" t="s">
        <x:v>90</x:v>
      </x:c>
      <x:c r="D23" t="s">
        <x:v>91</x:v>
      </x:c>
      <x:c r="E23" t="s">
        <x:v>92</x:v>
      </x:c>
      <x:c r="F23" t="s">
        <x:v>92</x:v>
      </x:c>
      <x:c r="G23" t="s">
        <x:v>59</x:v>
      </x:c>
      <x:c r="P23" t="str">
        <x:f>LOWER(TRIM(SUBSTITUTE(E23,CHAR(160)," ")))</x:f>
        <x:v>drishtee.gopee@pwc.com</x:v>
      </x:c>
      <x:c r="Q23" t="n">
        <x:f>IFERROR(VALUE(LEFT(D23,SEARCH("h",D23)-1)),0)*3600+IFERROR(VALUE(MID(D23,IFERROR(SEARCH("h ",D23)+2,1),SEARCH("m",D23)-IFERROR(SEARCH("h ",D23)+2,1))),0)*60+IFERROR(VALUE(MID(D23,IFERROR(SEARCH("m ",D23)+2,IFERROR(SEARCH("h ",D23)+2,1)),SEARCH("s",D23)-IFERROR(SEARCH("m ",D23)+2,IFERROR(SEARCH("h ",D23)+2,1)))),0)</x:f>
        <x:v>3044</x:v>
      </x:c>
      <x:c r="R23" t="str">
        <x:f>IF(P23="","No",IF(COUNTIF('Employee Attendance'!$D$2:$D$670,P23)&gt;0,"Yes","No"))</x:f>
        <x:v>Yes</x:v>
      </x:c>
    </x:row>
    <x:row r="24">
      <x:c r="A24" t="s">
        <x:v>93</x:v>
      </x:c>
      <x:c r="B24" t="s">
        <x:v>89</x:v>
      </x:c>
      <x:c r="C24" t="s">
        <x:v>94</x:v>
      </x:c>
      <x:c r="D24" t="s">
        <x:v>95</x:v>
      </x:c>
      <x:c r="E24" t="s">
        <x:v>96</x:v>
      </x:c>
      <x:c r="F24" t="s">
        <x:v>96</x:v>
      </x:c>
      <x:c r="G24" t="s">
        <x:v>59</x:v>
      </x:c>
      <x:c r="P24" t="str">
        <x:f>LOWER(TRIM(SUBSTITUTE(E24,CHAR(160)," ")))</x:f>
        <x:v>aisha.kilonda@pwc.com</x:v>
      </x:c>
      <x:c r="Q24" t="n">
        <x:f>IFERROR(VALUE(LEFT(D24,SEARCH("h",D24)-1)),0)*3600+IFERROR(VALUE(MID(D24,IFERROR(SEARCH("h ",D24)+2,1),SEARCH("m",D24)-IFERROR(SEARCH("h ",D24)+2,1))),0)*60+IFERROR(VALUE(MID(D24,IFERROR(SEARCH("m ",D24)+2,IFERROR(SEARCH("h ",D24)+2,1)),SEARCH("s",D24)-IFERROR(SEARCH("m ",D24)+2,IFERROR(SEARCH("h ",D24)+2,1)))),0)</x:f>
        <x:v>9274</x:v>
      </x:c>
      <x:c r="R24" t="str">
        <x:f>IF(P24="","No",IF(COUNTIF('Employee Attendance'!$D$2:$D$670,P24)&gt;0,"Yes","No"))</x:f>
        <x:v>Yes</x:v>
      </x:c>
    </x:row>
    <x:row r="25">
      <x:c r="A25" t="s">
        <x:v>97</x:v>
      </x:c>
      <x:c r="B25" t="s">
        <x:v>89</x:v>
      </x:c>
      <x:c r="C25" t="s">
        <x:v>98</x:v>
      </x:c>
      <x:c r="D25" t="s">
        <x:v>99</x:v>
      </x:c>
      <x:c r="E25" t="s">
        <x:v>100</x:v>
      </x:c>
      <x:c r="F25" t="s">
        <x:v>100</x:v>
      </x:c>
      <x:c r="G25" t="s">
        <x:v>59</x:v>
      </x:c>
      <x:c r="P25" t="str">
        <x:f>LOWER(TRIM(SUBSTITUTE(E25,CHAR(160)," ")))</x:f>
        <x:v>trivedi.dabypersad@pwc.com</x:v>
      </x:c>
      <x:c r="Q25" t="n">
        <x:f>IFERROR(VALUE(LEFT(D25,SEARCH("h",D25)-1)),0)*3600+IFERROR(VALUE(MID(D25,IFERROR(SEARCH("h ",D25)+2,1),SEARCH("m",D25)-IFERROR(SEARCH("h ",D25)+2,1))),0)*60+IFERROR(VALUE(MID(D25,IFERROR(SEARCH("m ",D25)+2,IFERROR(SEARCH("h ",D25)+2,1)),SEARCH("s",D25)-IFERROR(SEARCH("m ",D25)+2,IFERROR(SEARCH("h ",D25)+2,1)))),0)</x:f>
        <x:v>6268</x:v>
      </x:c>
      <x:c r="R25" t="str">
        <x:f>IF(P25="","No",IF(COUNTIF('Employee Attendance'!$D$2:$D$670,P25)&gt;0,"Yes","No"))</x:f>
        <x:v>Yes</x:v>
      </x:c>
    </x:row>
    <x:row r="26">
      <x:c r="A26" t="s">
        <x:v>101</x:v>
      </x:c>
      <x:c r="B26" t="s">
        <x:v>102</x:v>
      </x:c>
      <x:c r="C26" t="s">
        <x:v>103</x:v>
      </x:c>
      <x:c r="D26" t="s">
        <x:v>104</x:v>
      </x:c>
      <x:c r="E26" t="s">
        <x:v>105</x:v>
      </x:c>
      <x:c r="F26" t="s">
        <x:v>105</x:v>
      </x:c>
      <x:c r="G26" t="s">
        <x:v>59</x:v>
      </x:c>
      <x:c r="P26" t="str">
        <x:f>LOWER(TRIM(SUBSTITUTE(E26,CHAR(160)," ")))</x:f>
        <x:v>chiranjeev.l.luchoomun@pwc.com</x:v>
      </x:c>
      <x:c r="Q26" t="n">
        <x:f>IFERROR(VALUE(LEFT(D26,SEARCH("h",D26)-1)),0)*3600+IFERROR(VALUE(MID(D26,IFERROR(SEARCH("h ",D26)+2,1),SEARCH("m",D26)-IFERROR(SEARCH("h ",D26)+2,1))),0)*60+IFERROR(VALUE(MID(D26,IFERROR(SEARCH("m ",D26)+2,IFERROR(SEARCH("h ",D26)+2,1)),SEARCH("s",D26)-IFERROR(SEARCH("m ",D26)+2,IFERROR(SEARCH("h ",D26)+2,1)))),0)</x:f>
        <x:v>24</x:v>
      </x:c>
      <x:c r="R26" t="str">
        <x:f>IF(P26="","No",IF(COUNTIF('Employee Attendance'!$D$2:$D$670,P26)&gt;0,"Yes","No"))</x:f>
        <x:v>Yes</x:v>
      </x:c>
    </x:row>
    <x:row r="27">
      <x:c r="A27" t="s">
        <x:v>106</x:v>
      </x:c>
      <x:c r="B27" t="s">
        <x:v>102</x:v>
      </x:c>
      <x:c r="C27" t="s">
        <x:v>107</x:v>
      </x:c>
      <x:c r="D27" t="s">
        <x:v>108</x:v>
      </x:c>
      <x:c r="E27" t="s">
        <x:v>109</x:v>
      </x:c>
      <x:c r="F27" t="s">
        <x:v>109</x:v>
      </x:c>
      <x:c r="G27" t="s">
        <x:v>59</x:v>
      </x:c>
      <x:c r="P27" t="str">
        <x:f>LOWER(TRIM(SUBSTITUTE(E27,CHAR(160)," ")))</x:f>
        <x:v>careen.mndolwa@pwc.com</x:v>
      </x:c>
      <x:c r="Q27" t="n">
        <x:f>IFERROR(VALUE(LEFT(D27,SEARCH("h",D27)-1)),0)*3600+IFERROR(VALUE(MID(D27,IFERROR(SEARCH("h ",D27)+2,1),SEARCH("m",D27)-IFERROR(SEARCH("h ",D27)+2,1))),0)*60+IFERROR(VALUE(MID(D27,IFERROR(SEARCH("m ",D27)+2,IFERROR(SEARCH("h ",D27)+2,1)),SEARCH("s",D27)-IFERROR(SEARCH("m ",D27)+2,IFERROR(SEARCH("h ",D27)+2,1)))),0)</x:f>
        <x:v>985</x:v>
      </x:c>
      <x:c r="R27" t="str">
        <x:f>IF(P27="","No",IF(COUNTIF('Employee Attendance'!$D$2:$D$670,P27)&gt;0,"Yes","No"))</x:f>
        <x:v>Yes</x:v>
      </x:c>
    </x:row>
    <x:row r="28">
      <x:c r="A28" t="s">
        <x:v>110</x:v>
      </x:c>
      <x:c r="B28" t="s">
        <x:v>102</x:v>
      </x:c>
      <x:c r="C28" t="s">
        <x:v>111</x:v>
      </x:c>
      <x:c r="D28" t="s">
        <x:v>112</x:v>
      </x:c>
      <x:c r="E28" t="s">
        <x:v>113</x:v>
      </x:c>
      <x:c r="F28" t="s">
        <x:v>113</x:v>
      </x:c>
      <x:c r="G28" t="s">
        <x:v>59</x:v>
      </x:c>
      <x:c r="P28" t="str">
        <x:f>LOWER(TRIM(SUBSTITUTE(E28,CHAR(160)," ")))</x:f>
        <x:v>massooto.maurice@pwc.com</x:v>
      </x:c>
      <x:c r="Q28" t="n">
        <x:f>IFERROR(VALUE(LEFT(D28,SEARCH("h",D28)-1)),0)*3600+IFERROR(VALUE(MID(D28,IFERROR(SEARCH("h ",D28)+2,1),SEARCH("m",D28)-IFERROR(SEARCH("h ",D28)+2,1))),0)*60+IFERROR(VALUE(MID(D28,IFERROR(SEARCH("m ",D28)+2,IFERROR(SEARCH("h ",D28)+2,1)),SEARCH("s",D28)-IFERROR(SEARCH("m ",D28)+2,IFERROR(SEARCH("h ",D28)+2,1)))),0)</x:f>
        <x:v>7769</x:v>
      </x:c>
      <x:c r="R28" t="str">
        <x:f>IF(P28="","No",IF(COUNTIF('Employee Attendance'!$D$2:$D$670,P28)&gt;0,"Yes","No"))</x:f>
        <x:v>Yes</x:v>
      </x:c>
    </x:row>
    <x:row r="29">
      <x:c r="A29" t="s">
        <x:v>114</x:v>
      </x:c>
      <x:c r="B29" t="s">
        <x:v>115</x:v>
      </x:c>
      <x:c r="C29" t="s">
        <x:v>116</x:v>
      </x:c>
      <x:c r="D29" t="s">
        <x:v>117</x:v>
      </x:c>
      <x:c r="E29" t="s">
        <x:v>118</x:v>
      </x:c>
      <x:c r="F29" t="s">
        <x:v>118</x:v>
      </x:c>
      <x:c r="G29" t="s">
        <x:v>59</x:v>
      </x:c>
      <x:c r="P29" t="str">
        <x:f>LOWER(TRIM(SUBSTITUTE(E29,CHAR(160)," ")))</x:f>
        <x:v>abel.maiga@pwc.com</x:v>
      </x:c>
      <x:c r="Q29" t="n">
        <x:f>IFERROR(VALUE(LEFT(D29,SEARCH("h",D29)-1)),0)*3600+IFERROR(VALUE(MID(D29,IFERROR(SEARCH("h ",D29)+2,1),SEARCH("m",D29)-IFERROR(SEARCH("h ",D29)+2,1))),0)*60+IFERROR(VALUE(MID(D29,IFERROR(SEARCH("m ",D29)+2,IFERROR(SEARCH("h ",D29)+2,1)),SEARCH("s",D29)-IFERROR(SEARCH("m ",D29)+2,IFERROR(SEARCH("h ",D29)+2,1)))),0)</x:f>
        <x:v>4572</x:v>
      </x:c>
      <x:c r="R29" t="str">
        <x:f>IF(P29="","No",IF(COUNTIF('Employee Attendance'!$D$2:$D$670,P29)&gt;0,"Yes","No"))</x:f>
        <x:v>Yes</x:v>
      </x:c>
    </x:row>
    <x:row r="30">
      <x:c r="A30" t="s">
        <x:v>119</x:v>
      </x:c>
      <x:c r="B30" t="s">
        <x:v>115</x:v>
      </x:c>
      <x:c r="C30" t="s">
        <x:v>120</x:v>
      </x:c>
      <x:c r="D30" t="s">
        <x:v>121</x:v>
      </x:c>
      <x:c r="E30" t="s">
        <x:v>122</x:v>
      </x:c>
      <x:c r="F30" t="s">
        <x:v>122</x:v>
      </x:c>
      <x:c r="G30" t="s">
        <x:v>59</x:v>
      </x:c>
      <x:c r="P30" t="str">
        <x:f>LOWER(TRIM(SUBSTITUTE(E30,CHAR(160)," ")))</x:f>
        <x:v>tecla.kibor@pwc.com</x:v>
      </x:c>
      <x:c r="Q30" t="n">
        <x:f>IFERROR(VALUE(LEFT(D30,SEARCH("h",D30)-1)),0)*3600+IFERROR(VALUE(MID(D30,IFERROR(SEARCH("h ",D30)+2,1),SEARCH("m",D30)-IFERROR(SEARCH("h ",D30)+2,1))),0)*60+IFERROR(VALUE(MID(D30,IFERROR(SEARCH("m ",D30)+2,IFERROR(SEARCH("h ",D30)+2,1)),SEARCH("s",D30)-IFERROR(SEARCH("m ",D30)+2,IFERROR(SEARCH("h ",D30)+2,1)))),0)</x:f>
        <x:v>7516</x:v>
      </x:c>
      <x:c r="R30" t="str">
        <x:f>IF(P30="","No",IF(COUNTIF('Employee Attendance'!$D$2:$D$670,P30)&gt;0,"Yes","No"))</x:f>
        <x:v>Yes</x:v>
      </x:c>
    </x:row>
    <x:row r="31">
      <x:c r="A31" t="s">
        <x:v>123</x:v>
      </x:c>
      <x:c r="B31" t="s">
        <x:v>115</x:v>
      </x:c>
      <x:c r="C31" t="s">
        <x:v>124</x:v>
      </x:c>
      <x:c r="D31" t="s">
        <x:v>125</x:v>
      </x:c>
      <x:c r="E31" t="s">
        <x:v>126</x:v>
      </x:c>
      <x:c r="F31" t="s">
        <x:v>126</x:v>
      </x:c>
      <x:c r="G31" t="s">
        <x:v>59</x:v>
      </x:c>
      <x:c r="P31" t="str">
        <x:f>LOWER(TRIM(SUBSTITUTE(E31,CHAR(160)," ")))</x:f>
        <x:v>dolesha.gokhul@pwc.com</x:v>
      </x:c>
      <x:c r="Q31" t="n">
        <x:f>IFERROR(VALUE(LEFT(D31,SEARCH("h",D31)-1)),0)*3600+IFERROR(VALUE(MID(D31,IFERROR(SEARCH("h ",D31)+2,1),SEARCH("m",D31)-IFERROR(SEARCH("h ",D31)+2,1))),0)*60+IFERROR(VALUE(MID(D31,IFERROR(SEARCH("m ",D31)+2,IFERROR(SEARCH("h ",D31)+2,1)),SEARCH("s",D31)-IFERROR(SEARCH("m ",D31)+2,IFERROR(SEARCH("h ",D31)+2,1)))),0)</x:f>
        <x:v>59</x:v>
      </x:c>
      <x:c r="R31" t="str">
        <x:f>IF(P31="","No",IF(COUNTIF('Employee Attendance'!$D$2:$D$670,P31)&gt;0,"Yes","No"))</x:f>
        <x:v>Yes</x:v>
      </x:c>
    </x:row>
    <x:row r="32">
      <x:c r="A32" t="s">
        <x:v>127</x:v>
      </x:c>
      <x:c r="B32" t="s">
        <x:v>128</x:v>
      </x:c>
      <x:c r="C32" t="s">
        <x:v>129</x:v>
      </x:c>
      <x:c r="D32" t="s">
        <x:v>130</x:v>
      </x:c>
      <x:c r="E32" t="s">
        <x:v>131</x:v>
      </x:c>
      <x:c r="F32" t="s">
        <x:v>131</x:v>
      </x:c>
      <x:c r="G32" t="s">
        <x:v>59</x:v>
      </x:c>
      <x:c r="P32" t="str">
        <x:f>LOWER(TRIM(SUBSTITUTE(E32,CHAR(160)," ")))</x:f>
        <x:v>eseri.khabuya@pwc.com</x:v>
      </x:c>
      <x:c r="Q32" t="n">
        <x:f>IFERROR(VALUE(LEFT(D32,SEARCH("h",D32)-1)),0)*3600+IFERROR(VALUE(MID(D32,IFERROR(SEARCH("h ",D32)+2,1),SEARCH("m",D32)-IFERROR(SEARCH("h ",D32)+2,1))),0)*60+IFERROR(VALUE(MID(D32,IFERROR(SEARCH("m ",D32)+2,IFERROR(SEARCH("h ",D32)+2,1)),SEARCH("s",D32)-IFERROR(SEARCH("m ",D32)+2,IFERROR(SEARCH("h ",D32)+2,1)))),0)</x:f>
        <x:v>60</x:v>
      </x:c>
      <x:c r="R32" t="str">
        <x:f>IF(P32="","No",IF(COUNTIF('Employee Attendance'!$D$2:$D$670,P32)&gt;0,"Yes","No"))</x:f>
        <x:v>Yes</x:v>
      </x:c>
    </x:row>
    <x:row r="33">
      <x:c r="A33" t="s">
        <x:v>132</x:v>
      </x:c>
      <x:c r="B33" t="s">
        <x:v>133</x:v>
      </x:c>
      <x:c r="C33" t="s">
        <x:v>98</x:v>
      </x:c>
      <x:c r="D33" t="s">
        <x:v>134</x:v>
      </x:c>
      <x:c r="E33" t="s">
        <x:v>135</x:v>
      </x:c>
      <x:c r="F33" t="s">
        <x:v>135</x:v>
      </x:c>
      <x:c r="G33" t="s">
        <x:v>59</x:v>
      </x:c>
      <x:c r="P33" t="str">
        <x:f>LOWER(TRIM(SUBSTITUTE(E33,CHAR(160)," ")))</x:f>
        <x:v>fabrice.irabizi@pwc.com</x:v>
      </x:c>
      <x:c r="Q33" t="n">
        <x:f>IFERROR(VALUE(LEFT(D33,SEARCH("h",D33)-1)),0)*3600+IFERROR(VALUE(MID(D33,IFERROR(SEARCH("h ",D33)+2,1),SEARCH("m",D33)-IFERROR(SEARCH("h ",D33)+2,1))),0)*60+IFERROR(VALUE(MID(D33,IFERROR(SEARCH("m ",D33)+2,IFERROR(SEARCH("h ",D33)+2,1)),SEARCH("s",D33)-IFERROR(SEARCH("m ",D33)+2,IFERROR(SEARCH("h ",D33)+2,1)))),0)</x:f>
        <x:v>7462</x:v>
      </x:c>
      <x:c r="R33" t="str">
        <x:f>IF(P33="","No",IF(COUNTIF('Employee Attendance'!$D$2:$D$670,P33)&gt;0,"Yes","No"))</x:f>
        <x:v>Yes</x:v>
      </x:c>
    </x:row>
    <x:row r="34">
      <x:c r="A34" t="s">
        <x:v>136</x:v>
      </x:c>
      <x:c r="B34" t="s">
        <x:v>137</x:v>
      </x:c>
      <x:c r="C34" t="s">
        <x:v>138</x:v>
      </x:c>
      <x:c r="D34" t="s">
        <x:v>139</x:v>
      </x:c>
      <x:c r="E34" t="s">
        <x:v>140</x:v>
      </x:c>
      <x:c r="F34" t="s">
        <x:v>140</x:v>
      </x:c>
      <x:c r="G34" t="s">
        <x:v>59</x:v>
      </x:c>
      <x:c r="P34" t="str">
        <x:f>LOWER(TRIM(SUBSTITUTE(E34,CHAR(160)," ")))</x:f>
        <x:v>theresa.k.namakula@pwc.com</x:v>
      </x:c>
      <x:c r="Q34" t="n">
        <x:f>IFERROR(VALUE(LEFT(D34,SEARCH("h",D34)-1)),0)*3600+IFERROR(VALUE(MID(D34,IFERROR(SEARCH("h ",D34)+2,1),SEARCH("m",D34)-IFERROR(SEARCH("h ",D34)+2,1))),0)*60+IFERROR(VALUE(MID(D34,IFERROR(SEARCH("m ",D34)+2,IFERROR(SEARCH("h ",D34)+2,1)),SEARCH("s",D34)-IFERROR(SEARCH("m ",D34)+2,IFERROR(SEARCH("h ",D34)+2,1)))),0)</x:f>
        <x:v>7456</x:v>
      </x:c>
      <x:c r="R34" t="str">
        <x:f>IF(P34="","No",IF(COUNTIF('Employee Attendance'!$D$2:$D$670,P34)&gt;0,"Yes","No"))</x:f>
        <x:v>Yes</x:v>
      </x:c>
    </x:row>
    <x:row r="35">
      <x:c r="A35" t="s">
        <x:v>141</x:v>
      </x:c>
      <x:c r="B35" t="s">
        <x:v>137</x:v>
      </x:c>
      <x:c r="C35" t="s">
        <x:v>142</x:v>
      </x:c>
      <x:c r="D35" t="s">
        <x:v>143</x:v>
      </x:c>
      <x:c r="E35" t="s">
        <x:v>144</x:v>
      </x:c>
      <x:c r="F35" t="s">
        <x:v>144</x:v>
      </x:c>
      <x:c r="G35" t="s">
        <x:v>59</x:v>
      </x:c>
      <x:c r="P35" t="str">
        <x:f>LOWER(TRIM(SUBSTITUTE(E35,CHAR(160)," ")))</x:f>
        <x:v>yusto.mwaigwisya@pwc.com</x:v>
      </x:c>
      <x:c r="Q35" t="n">
        <x:f>IFERROR(VALUE(LEFT(D35,SEARCH("h",D35)-1)),0)*3600+IFERROR(VALUE(MID(D35,IFERROR(SEARCH("h ",D35)+2,1),SEARCH("m",D35)-IFERROR(SEARCH("h ",D35)+2,1))),0)*60+IFERROR(VALUE(MID(D35,IFERROR(SEARCH("m ",D35)+2,IFERROR(SEARCH("h ",D35)+2,1)),SEARCH("s",D35)-IFERROR(SEARCH("m ",D35)+2,IFERROR(SEARCH("h ",D35)+2,1)))),0)</x:f>
        <x:v>7508</x:v>
      </x:c>
      <x:c r="R35" t="str">
        <x:f>IF(P35="","No",IF(COUNTIF('Employee Attendance'!$D$2:$D$670,P35)&gt;0,"Yes","No"))</x:f>
        <x:v>Yes</x:v>
      </x:c>
    </x:row>
    <x:row r="36">
      <x:c r="A36" t="s">
        <x:v>145</x:v>
      </x:c>
      <x:c r="B36" t="s">
        <x:v>137</x:v>
      </x:c>
      <x:c r="C36" t="s">
        <x:v>146</x:v>
      </x:c>
      <x:c r="D36" t="s">
        <x:v>147</x:v>
      </x:c>
      <x:c r="E36" t="s">
        <x:v>148</x:v>
      </x:c>
      <x:c r="F36" t="s">
        <x:v>148</x:v>
      </x:c>
      <x:c r="G36" t="s">
        <x:v>59</x:v>
      </x:c>
      <x:c r="P36" t="str">
        <x:f>LOWER(TRIM(SUBSTITUTE(E36,CHAR(160)," ")))</x:f>
        <x:v>mercy.koskei@pwc.com</x:v>
      </x:c>
      <x:c r="Q36" t="n">
        <x:f>IFERROR(VALUE(LEFT(D36,SEARCH("h",D36)-1)),0)*3600+IFERROR(VALUE(MID(D36,IFERROR(SEARCH("h ",D36)+2,1),SEARCH("m",D36)-IFERROR(SEARCH("h ",D36)+2,1))),0)*60+IFERROR(VALUE(MID(D36,IFERROR(SEARCH("m ",D36)+2,IFERROR(SEARCH("h ",D36)+2,1)),SEARCH("s",D36)-IFERROR(SEARCH("m ",D36)+2,IFERROR(SEARCH("h ",D36)+2,1)))),0)</x:f>
        <x:v>7449</x:v>
      </x:c>
      <x:c r="R36" t="str">
        <x:f>IF(P36="","No",IF(COUNTIF('Employee Attendance'!$D$2:$D$670,P36)&gt;0,"Yes","No"))</x:f>
        <x:v>Yes</x:v>
      </x:c>
    </x:row>
    <x:row r="37">
      <x:c r="A37" t="s">
        <x:v>149</x:v>
      </x:c>
      <x:c r="B37" t="s">
        <x:v>137</x:v>
      </x:c>
      <x:c r="C37" t="s">
        <x:v>150</x:v>
      </x:c>
      <x:c r="D37" t="s">
        <x:v>151</x:v>
      </x:c>
      <x:c r="E37" t="s">
        <x:v>152</x:v>
      </x:c>
      <x:c r="F37" t="s">
        <x:v>152</x:v>
      </x:c>
      <x:c r="G37" t="s">
        <x:v>59</x:v>
      </x:c>
      <x:c r="P37" t="str">
        <x:f>LOWER(TRIM(SUBSTITUTE(E37,CHAR(160)," ")))</x:f>
        <x:v>maureen.benedict@pwc.com</x:v>
      </x:c>
      <x:c r="Q37" t="n">
        <x:f>IFERROR(VALUE(LEFT(D37,SEARCH("h",D37)-1)),0)*3600+IFERROR(VALUE(MID(D37,IFERROR(SEARCH("h ",D37)+2,1),SEARCH("m",D37)-IFERROR(SEARCH("h ",D37)+2,1))),0)*60+IFERROR(VALUE(MID(D37,IFERROR(SEARCH("m ",D37)+2,IFERROR(SEARCH("h ",D37)+2,1)),SEARCH("s",D37)-IFERROR(SEARCH("m ",D37)+2,IFERROR(SEARCH("h ",D37)+2,1)))),0)</x:f>
        <x:v>7242</x:v>
      </x:c>
      <x:c r="R37" t="str">
        <x:f>IF(P37="","No",IF(COUNTIF('Employee Attendance'!$D$2:$D$670,P37)&gt;0,"Yes","No"))</x:f>
        <x:v>Yes</x:v>
      </x:c>
    </x:row>
    <x:row r="38">
      <x:c r="A38" t="s">
        <x:v>153</x:v>
      </x:c>
      <x:c r="B38" t="s">
        <x:v>154</x:v>
      </x:c>
      <x:c r="C38" t="s">
        <x:v>155</x:v>
      </x:c>
      <x:c r="D38" t="s">
        <x:v>156</x:v>
      </x:c>
      <x:c r="E38" t="s">
        <x:v>157</x:v>
      </x:c>
      <x:c r="F38" t="s">
        <x:v>157</x:v>
      </x:c>
      <x:c r="G38" t="s">
        <x:v>59</x:v>
      </x:c>
      <x:c r="P38" t="str">
        <x:f>LOWER(TRIM(SUBSTITUTE(E38,CHAR(160)," ")))</x:f>
        <x:v>christella.anny.baho@pwc.com</x:v>
      </x:c>
      <x:c r="Q38" t="n">
        <x:f>IFERROR(VALUE(LEFT(D38,SEARCH("h",D38)-1)),0)*3600+IFERROR(VALUE(MID(D38,IFERROR(SEARCH("h ",D38)+2,1),SEARCH("m",D38)-IFERROR(SEARCH("h ",D38)+2,1))),0)*60+IFERROR(VALUE(MID(D38,IFERROR(SEARCH("m ",D38)+2,IFERROR(SEARCH("h ",D38)+2,1)),SEARCH("s",D38)-IFERROR(SEARCH("m ",D38)+2,IFERROR(SEARCH("h ",D38)+2,1)))),0)</x:f>
        <x:v>7855</x:v>
      </x:c>
      <x:c r="R38" t="str">
        <x:f>IF(P38="","No",IF(COUNTIF('Employee Attendance'!$D$2:$D$670,P38)&gt;0,"Yes","No"))</x:f>
        <x:v>Yes</x:v>
      </x:c>
    </x:row>
    <x:row r="39">
      <x:c r="A39" t="s">
        <x:v>158</x:v>
      </x:c>
      <x:c r="B39" t="s">
        <x:v>159</x:v>
      </x:c>
      <x:c r="C39" t="s">
        <x:v>160</x:v>
      </x:c>
      <x:c r="D39" t="s">
        <x:v>161</x:v>
      </x:c>
      <x:c r="E39" t="s">
        <x:v>162</x:v>
      </x:c>
      <x:c r="F39" t="s">
        <x:v>162</x:v>
      </x:c>
      <x:c r="G39" t="s">
        <x:v>59</x:v>
      </x:c>
      <x:c r="O39">
        <x:v>1</x:v>
      </x:c>
      <x:c r="P39" t="str">
        <x:f>LOWER(TRIM(SUBSTITUTE(E39,CHAR(160)," ")))</x:f>
        <x:v>georgina.mkuchu@pwc.com</x:v>
      </x:c>
      <x:c r="Q39" t="n">
        <x:f>IFERROR(VALUE(LEFT(D39,SEARCH("h",D39)-1)),0)*3600+IFERROR(VALUE(MID(D39,IFERROR(SEARCH("h ",D39)+2,1),SEARCH("m",D39)-IFERROR(SEARCH("h ",D39)+2,1))),0)*60+IFERROR(VALUE(MID(D39,IFERROR(SEARCH("m ",D39)+2,IFERROR(SEARCH("h ",D39)+2,1)),SEARCH("s",D39)-IFERROR(SEARCH("m ",D39)+2,IFERROR(SEARCH("h ",D39)+2,1)))),0)</x:f>
        <x:v>7531</x:v>
      </x:c>
      <x:c r="R39" t="str">
        <x:f>IF(P39="","No",IF(COUNTIF('Employee Attendance'!$D$2:$D$670,P39)&gt;0,"Yes","No"))</x:f>
        <x:v>Yes</x:v>
      </x:c>
    </x:row>
    <x:row r="40">
      <x:c r="A40" t="s">
        <x:v>163</x:v>
      </x:c>
      <x:c r="B40" t="s">
        <x:v>164</x:v>
      </x:c>
      <x:c r="C40" t="s">
        <x:v>165</x:v>
      </x:c>
      <x:c r="D40" t="s">
        <x:v>166</x:v>
      </x:c>
      <x:c r="E40" t="s">
        <x:v>167</x:v>
      </x:c>
      <x:c r="F40" t="s">
        <x:v>167</x:v>
      </x:c>
      <x:c r="G40" t="s">
        <x:v>59</x:v>
      </x:c>
      <x:c r="P40" t="str">
        <x:f>LOWER(TRIM(SUBSTITUTE(E40,CHAR(160)," ")))</x:f>
        <x:v>najim.mwanga@pwc.com</x:v>
      </x:c>
      <x:c r="Q40" t="n">
        <x:f>IFERROR(VALUE(LEFT(D40,SEARCH("h",D40)-1)),0)*3600+IFERROR(VALUE(MID(D40,IFERROR(SEARCH("h ",D40)+2,1),SEARCH("m",D40)-IFERROR(SEARCH("h ",D40)+2,1))),0)*60+IFERROR(VALUE(MID(D40,IFERROR(SEARCH("m ",D40)+2,IFERROR(SEARCH("h ",D40)+2,1)),SEARCH("s",D40)-IFERROR(SEARCH("m ",D40)+2,IFERROR(SEARCH("h ",D40)+2,1)))),0)</x:f>
        <x:v>7493</x:v>
      </x:c>
      <x:c r="R40" t="str">
        <x:f>IF(P40="","No",IF(COUNTIF('Employee Attendance'!$D$2:$D$670,P40)&gt;0,"Yes","No"))</x:f>
        <x:v>Yes</x:v>
      </x:c>
    </x:row>
    <x:row r="41">
      <x:c r="A41" t="s">
        <x:v>168</x:v>
      </x:c>
      <x:c r="B41" t="s">
        <x:v>169</x:v>
      </x:c>
      <x:c r="C41" t="s">
        <x:v>170</x:v>
      </x:c>
      <x:c r="D41" t="s">
        <x:v>171</x:v>
      </x:c>
      <x:c r="E41" t="s">
        <x:v>172</x:v>
      </x:c>
      <x:c r="F41" t="s">
        <x:v>172</x:v>
      </x:c>
      <x:c r="G41" t="s">
        <x:v>59</x:v>
      </x:c>
      <x:c r="P41" t="str">
        <x:f>LOWER(TRIM(SUBSTITUTE(E41,CHAR(160)," ")))</x:f>
        <x:v>stella.chege@pwc.com</x:v>
      </x:c>
      <x:c r="Q41" t="n">
        <x:f>IFERROR(VALUE(LEFT(D41,SEARCH("h",D41)-1)),0)*3600+IFERROR(VALUE(MID(D41,IFERROR(SEARCH("h ",D41)+2,1),SEARCH("m",D41)-IFERROR(SEARCH("h ",D41)+2,1))),0)*60+IFERROR(VALUE(MID(D41,IFERROR(SEARCH("m ",D41)+2,IFERROR(SEARCH("h ",D41)+2,1)),SEARCH("s",D41)-IFERROR(SEARCH("m ",D41)+2,IFERROR(SEARCH("h ",D41)+2,1)))),0)</x:f>
        <x:v>7450</x:v>
      </x:c>
      <x:c r="R41" t="str">
        <x:f>IF(P41="","No",IF(COUNTIF('Employee Attendance'!$D$2:$D$670,P41)&gt;0,"Yes","No"))</x:f>
        <x:v>Yes</x:v>
      </x:c>
    </x:row>
    <x:row r="42">
      <x:c r="A42" t="s">
        <x:v>173</x:v>
      </x:c>
      <x:c r="B42" t="s">
        <x:v>169</x:v>
      </x:c>
      <x:c r="C42" t="s">
        <x:v>174</x:v>
      </x:c>
      <x:c r="D42" t="s">
        <x:v>125</x:v>
      </x:c>
      <x:c r="E42" t="s">
        <x:v>175</x:v>
      </x:c>
      <x:c r="F42" t="s">
        <x:v>175</x:v>
      </x:c>
      <x:c r="G42" t="s">
        <x:v>59</x:v>
      </x:c>
      <x:c r="P42" t="str">
        <x:f>LOWER(TRIM(SUBSTITUTE(E42,CHAR(160)," ")))</x:f>
        <x:v>leenam.munogee@pwc.com</x:v>
      </x:c>
      <x:c r="Q42" t="n">
        <x:f>IFERROR(VALUE(LEFT(D42,SEARCH("h",D42)-1)),0)*3600+IFERROR(VALUE(MID(D42,IFERROR(SEARCH("h ",D42)+2,1),SEARCH("m",D42)-IFERROR(SEARCH("h ",D42)+2,1))),0)*60+IFERROR(VALUE(MID(D42,IFERROR(SEARCH("m ",D42)+2,IFERROR(SEARCH("h ",D42)+2,1)),SEARCH("s",D42)-IFERROR(SEARCH("m ",D42)+2,IFERROR(SEARCH("h ",D42)+2,1)))),0)</x:f>
        <x:v>59</x:v>
      </x:c>
      <x:c r="R42" t="str">
        <x:f>IF(P42="","No",IF(COUNTIF('Employee Attendance'!$D$2:$D$670,P42)&gt;0,"Yes","No"))</x:f>
        <x:v>Yes</x:v>
      </x:c>
    </x:row>
    <x:row r="43">
      <x:c r="A43" t="s">
        <x:v>176</x:v>
      </x:c>
      <x:c r="B43" t="s">
        <x:v>169</x:v>
      </x:c>
      <x:c r="C43" t="s">
        <x:v>177</x:v>
      </x:c>
      <x:c r="D43" t="s">
        <x:v>178</x:v>
      </x:c>
      <x:c r="E43" t="s">
        <x:v>179</x:v>
      </x:c>
      <x:c r="F43" t="s">
        <x:v>179</x:v>
      </x:c>
      <x:c r="G43" t="s">
        <x:v>59</x:v>
      </x:c>
      <x:c r="O43">
        <x:v>3</x:v>
      </x:c>
      <x:c r="P43" t="str">
        <x:f>LOWER(TRIM(SUBSTITUTE(E43,CHAR(160)," ")))</x:f>
        <x:v>griffin.erasmus@pwc.com</x:v>
      </x:c>
      <x:c r="Q43" t="n">
        <x:f>IFERROR(VALUE(LEFT(D43,SEARCH("h",D43)-1)),0)*3600+IFERROR(VALUE(MID(D43,IFERROR(SEARCH("h ",D43)+2,1),SEARCH("m",D43)-IFERROR(SEARCH("h ",D43)+2,1))),0)*60+IFERROR(VALUE(MID(D43,IFERROR(SEARCH("m ",D43)+2,IFERROR(SEARCH("h ",D43)+2,1)),SEARCH("s",D43)-IFERROR(SEARCH("m ",D43)+2,IFERROR(SEARCH("h ",D43)+2,1)))),0)</x:f>
        <x:v>10150</x:v>
      </x:c>
      <x:c r="R43" t="str">
        <x:f>IF(P43="","No",IF(COUNTIF('Employee Attendance'!$D$2:$D$670,P43)&gt;0,"Yes","No"))</x:f>
        <x:v>Yes</x:v>
      </x:c>
    </x:row>
    <x:row r="44">
      <x:c r="A44" t="s">
        <x:v>180</x:v>
      </x:c>
      <x:c r="B44" t="s">
        <x:v>169</x:v>
      </x:c>
      <x:c r="C44" t="s">
        <x:v>181</x:v>
      </x:c>
      <x:c r="D44" t="s">
        <x:v>182</x:v>
      </x:c>
      <x:c r="E44" t="s">
        <x:v>183</x:v>
      </x:c>
      <x:c r="F44" t="s">
        <x:v>183</x:v>
      </x:c>
      <x:c r="G44" t="s">
        <x:v>59</x:v>
      </x:c>
      <x:c r="P44" t="str">
        <x:f>LOWER(TRIM(SUBSTITUTE(E44,CHAR(160)," ")))</x:f>
        <x:v>teddy.mbore@pwc.com</x:v>
      </x:c>
      <x:c r="Q44" t="n">
        <x:f>IFERROR(VALUE(LEFT(D44,SEARCH("h",D44)-1)),0)*3600+IFERROR(VALUE(MID(D44,IFERROR(SEARCH("h ",D44)+2,1),SEARCH("m",D44)-IFERROR(SEARCH("h ",D44)+2,1))),0)*60+IFERROR(VALUE(MID(D44,IFERROR(SEARCH("m ",D44)+2,IFERROR(SEARCH("h ",D44)+2,1)),SEARCH("s",D44)-IFERROR(SEARCH("m ",D44)+2,IFERROR(SEARCH("h ",D44)+2,1)))),0)</x:f>
        <x:v>5403</x:v>
      </x:c>
      <x:c r="R44" t="str">
        <x:f>IF(P44="","No",IF(COUNTIF('Employee Attendance'!$D$2:$D$670,P44)&gt;0,"Yes","No"))</x:f>
        <x:v>Yes</x:v>
      </x:c>
    </x:row>
    <x:row r="45">
      <x:c r="A45" t="s">
        <x:v>184</x:v>
      </x:c>
      <x:c r="B45" t="s">
        <x:v>85</x:v>
      </x:c>
      <x:c r="C45" t="s">
        <x:v>185</x:v>
      </x:c>
      <x:c r="D45" t="s">
        <x:v>186</x:v>
      </x:c>
      <x:c r="E45" t="s">
        <x:v>187</x:v>
      </x:c>
      <x:c r="F45" t="s">
        <x:v>187</x:v>
      </x:c>
      <x:c r="G45" t="s">
        <x:v>59</x:v>
      </x:c>
      <x:c r="P45" t="str">
        <x:f>LOWER(TRIM(SUBSTITUTE(E45,CHAR(160)," ")))</x:f>
        <x:v>neetisha.cheekhooree@pwc.com</x:v>
      </x:c>
      <x:c r="Q45" t="n">
        <x:f>IFERROR(VALUE(LEFT(D45,SEARCH("h",D45)-1)),0)*3600+IFERROR(VALUE(MID(D45,IFERROR(SEARCH("h ",D45)+2,1),SEARCH("m",D45)-IFERROR(SEARCH("h ",D45)+2,1))),0)*60+IFERROR(VALUE(MID(D45,IFERROR(SEARCH("m ",D45)+2,IFERROR(SEARCH("h ",D45)+2,1)),SEARCH("s",D45)-IFERROR(SEARCH("m ",D45)+2,IFERROR(SEARCH("h ",D45)+2,1)))),0)</x:f>
        <x:v>73</x:v>
      </x:c>
      <x:c r="R45" t="str">
        <x:f>IF(P45="","No",IF(COUNTIF('Employee Attendance'!$D$2:$D$670,P45)&gt;0,"Yes","No"))</x:f>
        <x:v>Yes</x:v>
      </x:c>
    </x:row>
    <x:row r="46">
      <x:c r="A46" t="s">
        <x:v>188</x:v>
      </x:c>
      <x:c r="B46" t="s">
        <x:v>85</x:v>
      </x:c>
      <x:c r="C46" t="s">
        <x:v>189</x:v>
      </x:c>
      <x:c r="D46" t="s">
        <x:v>190</x:v>
      </x:c>
      <x:c r="E46" t="s">
        <x:v>191</x:v>
      </x:c>
      <x:c r="F46" t="s">
        <x:v>191</x:v>
      </x:c>
      <x:c r="G46" t="s">
        <x:v>59</x:v>
      </x:c>
      <x:c r="P46" t="str">
        <x:f>LOWER(TRIM(SUBSTITUTE(E46,CHAR(160)," ")))</x:f>
        <x:v>karan.raggoo@pwc.com</x:v>
      </x:c>
      <x:c r="Q46" t="n">
        <x:f>IFERROR(VALUE(LEFT(D46,SEARCH("h",D46)-1)),0)*3600+IFERROR(VALUE(MID(D46,IFERROR(SEARCH("h ",D46)+2,1),SEARCH("m",D46)-IFERROR(SEARCH("h ",D46)+2,1))),0)*60+IFERROR(VALUE(MID(D46,IFERROR(SEARCH("m ",D46)+2,IFERROR(SEARCH("h ",D46)+2,1)),SEARCH("s",D46)-IFERROR(SEARCH("m ",D46)+2,IFERROR(SEARCH("h ",D46)+2,1)))),0)</x:f>
        <x:v>165</x:v>
      </x:c>
      <x:c r="R46" t="str">
        <x:f>IF(P46="","No",IF(COUNTIF('Employee Attendance'!$D$2:$D$670,P46)&gt;0,"Yes","No"))</x:f>
        <x:v>Yes</x:v>
      </x:c>
    </x:row>
    <x:row r="47">
      <x:c r="A47" t="s">
        <x:v>192</x:v>
      </x:c>
      <x:c r="B47" t="s">
        <x:v>85</x:v>
      </x:c>
      <x:c r="C47" t="s">
        <x:v>170</x:v>
      </x:c>
      <x:c r="D47" t="s">
        <x:v>147</x:v>
      </x:c>
      <x:c r="E47" t="s">
        <x:v>193</x:v>
      </x:c>
      <x:c r="F47" t="s">
        <x:v>193</x:v>
      </x:c>
      <x:c r="G47" t="s">
        <x:v>59</x:v>
      </x:c>
      <x:c r="P47" t="str">
        <x:f>LOWER(TRIM(SUBSTITUTE(E47,CHAR(160)," ")))</x:f>
        <x:v>catherine.mlay@pwc.com</x:v>
      </x:c>
      <x:c r="Q47" t="n">
        <x:f>IFERROR(VALUE(LEFT(D47,SEARCH("h",D47)-1)),0)*3600+IFERROR(VALUE(MID(D47,IFERROR(SEARCH("h ",D47)+2,1),SEARCH("m",D47)-IFERROR(SEARCH("h ",D47)+2,1))),0)*60+IFERROR(VALUE(MID(D47,IFERROR(SEARCH("m ",D47)+2,IFERROR(SEARCH("h ",D47)+2,1)),SEARCH("s",D47)-IFERROR(SEARCH("m ",D47)+2,IFERROR(SEARCH("h ",D47)+2,1)))),0)</x:f>
        <x:v>7449</x:v>
      </x:c>
      <x:c r="R47" t="str">
        <x:f>IF(P47="","No",IF(COUNTIF('Employee Attendance'!$D$2:$D$670,P47)&gt;0,"Yes","No"))</x:f>
        <x:v>Yes</x:v>
      </x:c>
    </x:row>
    <x:row r="48">
      <x:c r="A48" t="s">
        <x:v>194</x:v>
      </x:c>
      <x:c r="B48" t="s">
        <x:v>195</x:v>
      </x:c>
      <x:c r="C48" t="s">
        <x:v>196</x:v>
      </x:c>
      <x:c r="D48" t="s">
        <x:v>197</x:v>
      </x:c>
      <x:c r="E48" t="s">
        <x:v>198</x:v>
      </x:c>
      <x:c r="F48" t="s">
        <x:v>198</x:v>
      </x:c>
      <x:c r="G48" t="s">
        <x:v>59</x:v>
      </x:c>
      <x:c r="O48">
        <x:v>1</x:v>
      </x:c>
      <x:c r="P48" t="str">
        <x:f>LOWER(TRIM(SUBSTITUTE(E48,CHAR(160)," ")))</x:f>
        <x:v>racheal.nakimuli@pwc.com</x:v>
      </x:c>
      <x:c r="Q48" t="n">
        <x:f>IFERROR(VALUE(LEFT(D48,SEARCH("h",D48)-1)),0)*3600+IFERROR(VALUE(MID(D48,IFERROR(SEARCH("h ",D48)+2,1),SEARCH("m",D48)-IFERROR(SEARCH("h ",D48)+2,1))),0)*60+IFERROR(VALUE(MID(D48,IFERROR(SEARCH("m ",D48)+2,IFERROR(SEARCH("h ",D48)+2,1)),SEARCH("s",D48)-IFERROR(SEARCH("m ",D48)+2,IFERROR(SEARCH("h ",D48)+2,1)))),0)</x:f>
        <x:v>6009</x:v>
      </x:c>
      <x:c r="R48" t="str">
        <x:f>IF(P48="","No",IF(COUNTIF('Employee Attendance'!$D$2:$D$670,P48)&gt;0,"Yes","No"))</x:f>
        <x:v>Yes</x:v>
      </x:c>
    </x:row>
    <x:row r="49">
      <x:c r="A49" t="s">
        <x:v>199</x:v>
      </x:c>
      <x:c r="B49" t="s">
        <x:v>195</x:v>
      </x:c>
      <x:c r="C49" t="s">
        <x:v>200</x:v>
      </x:c>
      <x:c r="D49" t="s">
        <x:v>201</x:v>
      </x:c>
      <x:c r="E49" t="s">
        <x:v>202</x:v>
      </x:c>
      <x:c r="F49" t="s">
        <x:v>202</x:v>
      </x:c>
      <x:c r="G49" t="s">
        <x:v>59</x:v>
      </x:c>
      <x:c r="J49">
        <x:v>1</x:v>
      </x:c>
      <x:c r="O49">
        <x:v>1</x:v>
      </x:c>
      <x:c r="P49" t="str">
        <x:f>LOWER(TRIM(SUBSTITUTE(E49,CHAR(160)," ")))</x:f>
        <x:v>colins.muteti@pwc.com</x:v>
      </x:c>
      <x:c r="Q49" t="n">
        <x:f>IFERROR(VALUE(LEFT(D49,SEARCH("h",D49)-1)),0)*3600+IFERROR(VALUE(MID(D49,IFERROR(SEARCH("h ",D49)+2,1),SEARCH("m",D49)-IFERROR(SEARCH("h ",D49)+2,1))),0)*60+IFERROR(VALUE(MID(D49,IFERROR(SEARCH("m ",D49)+2,IFERROR(SEARCH("h ",D49)+2,1)),SEARCH("s",D49)-IFERROR(SEARCH("m ",D49)+2,IFERROR(SEARCH("h ",D49)+2,1)))),0)</x:f>
        <x:v>7049</x:v>
      </x:c>
      <x:c r="R49" t="str">
        <x:f>IF(P49="","No",IF(COUNTIF('Employee Attendance'!$D$2:$D$670,P49)&gt;0,"Yes","No"))</x:f>
        <x:v>Yes</x:v>
      </x:c>
    </x:row>
    <x:row r="50">
      <x:c r="A50" t="s">
        <x:v>203</x:v>
      </x:c>
      <x:c r="B50" t="s">
        <x:v>204</x:v>
      </x:c>
      <x:c r="C50" t="s">
        <x:v>205</x:v>
      </x:c>
      <x:c r="D50" t="s">
        <x:v>206</x:v>
      </x:c>
      <x:c r="E50" t="s">
        <x:v>207</x:v>
      </x:c>
      <x:c r="F50" t="s">
        <x:v>207</x:v>
      </x:c>
      <x:c r="G50" t="s">
        <x:v>59</x:v>
      </x:c>
      <x:c r="P50" t="str">
        <x:f>LOWER(TRIM(SUBSTITUTE(E50,CHAR(160)," ")))</x:f>
        <x:v>richard.john@pwc.com</x:v>
      </x:c>
      <x:c r="Q50" t="n">
        <x:f>IFERROR(VALUE(LEFT(D50,SEARCH("h",D50)-1)),0)*3600+IFERROR(VALUE(MID(D50,IFERROR(SEARCH("h ",D50)+2,1),SEARCH("m",D50)-IFERROR(SEARCH("h ",D50)+2,1))),0)*60+IFERROR(VALUE(MID(D50,IFERROR(SEARCH("m ",D50)+2,IFERROR(SEARCH("h ",D50)+2,1)),SEARCH("s",D50)-IFERROR(SEARCH("m ",D50)+2,IFERROR(SEARCH("h ",D50)+2,1)))),0)</x:f>
        <x:v>7573</x:v>
      </x:c>
      <x:c r="R50" t="str">
        <x:f>IF(P50="","No",IF(COUNTIF('Employee Attendance'!$D$2:$D$670,P50)&gt;0,"Yes","No"))</x:f>
        <x:v>Yes</x:v>
      </x:c>
    </x:row>
    <x:row r="51">
      <x:c r="A51" t="s">
        <x:v>208</x:v>
      </x:c>
      <x:c r="B51" t="s">
        <x:v>204</x:v>
      </x:c>
      <x:c r="C51" t="s">
        <x:v>30</x:v>
      </x:c>
      <x:c r="D51" t="s">
        <x:v>209</x:v>
      </x:c>
      <x:c r="E51" t="s">
        <x:v>210</x:v>
      </x:c>
      <x:c r="F51" t="s">
        <x:v>210</x:v>
      </x:c>
      <x:c r="G51" t="s">
        <x:v>59</x:v>
      </x:c>
      <x:c r="O51">
        <x:v>2</x:v>
      </x:c>
      <x:c r="P51" t="str">
        <x:f>LOWER(TRIM(SUBSTITUTE(E51,CHAR(160)," ")))</x:f>
        <x:v>gisele.ngoga@pwc.com</x:v>
      </x:c>
      <x:c r="Q51" t="n">
        <x:f>IFERROR(VALUE(LEFT(D51,SEARCH("h",D51)-1)),0)*3600+IFERROR(VALUE(MID(D51,IFERROR(SEARCH("h ",D51)+2,1),SEARCH("m",D51)-IFERROR(SEARCH("h ",D51)+2,1))),0)*60+IFERROR(VALUE(MID(D51,IFERROR(SEARCH("m ",D51)+2,IFERROR(SEARCH("h ",D51)+2,1)),SEARCH("s",D51)-IFERROR(SEARCH("m ",D51)+2,IFERROR(SEARCH("h ",D51)+2,1)))),0)</x:f>
        <x:v>7439</x:v>
      </x:c>
      <x:c r="R51" t="str">
        <x:f>IF(P51="","No",IF(COUNTIF('Employee Attendance'!$D$2:$D$670,P51)&gt;0,"Yes","No"))</x:f>
        <x:v>Yes</x:v>
      </x:c>
    </x:row>
    <x:row r="52">
      <x:c r="A52" t="s">
        <x:v>211</x:v>
      </x:c>
      <x:c r="B52" t="s">
        <x:v>212</x:v>
      </x:c>
      <x:c r="C52" t="s">
        <x:v>213</x:v>
      </x:c>
      <x:c r="D52" t="s">
        <x:v>214</x:v>
      </x:c>
      <x:c r="E52" t="s">
        <x:v>215</x:v>
      </x:c>
      <x:c r="F52" t="s">
        <x:v>215</x:v>
      </x:c>
      <x:c r="G52" t="s">
        <x:v>59</x:v>
      </x:c>
      <x:c r="H52">
        <x:v>1</x:v>
      </x:c>
      <x:c r="P52" t="str">
        <x:f>LOWER(TRIM(SUBSTITUTE(E52,CHAR(160)," ")))</x:f>
        <x:v>serah.kiprono@pwc.com</x:v>
      </x:c>
      <x:c r="Q52" t="n">
        <x:f>IFERROR(VALUE(LEFT(D52,SEARCH("h",D52)-1)),0)*3600+IFERROR(VALUE(MID(D52,IFERROR(SEARCH("h ",D52)+2,1),SEARCH("m",D52)-IFERROR(SEARCH("h ",D52)+2,1))),0)*60+IFERROR(VALUE(MID(D52,IFERROR(SEARCH("m ",D52)+2,IFERROR(SEARCH("h ",D52)+2,1)),SEARCH("s",D52)-IFERROR(SEARCH("m ",D52)+2,IFERROR(SEARCH("h ",D52)+2,1)))),0)</x:f>
        <x:v>7458</x:v>
      </x:c>
      <x:c r="R52" t="str">
        <x:f>IF(P52="","No",IF(COUNTIF('Employee Attendance'!$D$2:$D$670,P52)&gt;0,"Yes","No"))</x:f>
        <x:v>Yes</x:v>
      </x:c>
    </x:row>
    <x:row r="53">
      <x:c r="A53" t="s">
        <x:v>216</x:v>
      </x:c>
      <x:c r="B53" t="s">
        <x:v>217</x:v>
      </x:c>
      <x:c r="C53" t="s">
        <x:v>218</x:v>
      </x:c>
      <x:c r="D53" t="s">
        <x:v>219</x:v>
      </x:c>
      <x:c r="E53" t="s">
        <x:v>220</x:v>
      </x:c>
      <x:c r="F53" t="s">
        <x:v>220</x:v>
      </x:c>
      <x:c r="G53" t="s">
        <x:v>59</x:v>
      </x:c>
      <x:c r="P53" t="str">
        <x:f>LOWER(TRIM(SUBSTITUTE(E53,CHAR(160)," ")))</x:f>
        <x:v>godfrey.kizza@pwc.com</x:v>
      </x:c>
      <x:c r="Q53" t="n">
        <x:f>IFERROR(VALUE(LEFT(D53,SEARCH("h",D53)-1)),0)*3600+IFERROR(VALUE(MID(D53,IFERROR(SEARCH("h ",D53)+2,1),SEARCH("m",D53)-IFERROR(SEARCH("h ",D53)+2,1))),0)*60+IFERROR(VALUE(MID(D53,IFERROR(SEARCH("m ",D53)+2,IFERROR(SEARCH("h ",D53)+2,1)),SEARCH("s",D53)-IFERROR(SEARCH("m ",D53)+2,IFERROR(SEARCH("h ",D53)+2,1)))),0)</x:f>
        <x:v>5285</x:v>
      </x:c>
      <x:c r="R53" t="str">
        <x:f>IF(P53="","No",IF(COUNTIF('Employee Attendance'!$D$2:$D$670,P53)&gt;0,"Yes","No"))</x:f>
        <x:v>Yes</x:v>
      </x:c>
    </x:row>
    <x:row r="54">
      <x:c r="A54" t="s">
        <x:v>221</x:v>
      </x:c>
      <x:c r="B54" t="s">
        <x:v>217</x:v>
      </x:c>
      <x:c r="C54" t="s">
        <x:v>222</x:v>
      </x:c>
      <x:c r="D54" t="s">
        <x:v>223</x:v>
      </x:c>
      <x:c r="E54" t="s">
        <x:v>224</x:v>
      </x:c>
      <x:c r="F54" t="s">
        <x:v>224</x:v>
      </x:c>
      <x:c r="G54" t="s">
        <x:v>59</x:v>
      </x:c>
      <x:c r="P54" t="str">
        <x:f>LOWER(TRIM(SUBSTITUTE(E54,CHAR(160)," ")))</x:f>
        <x:v>dean.young@pwc.com</x:v>
      </x:c>
      <x:c r="Q54" t="n">
        <x:f>IFERROR(VALUE(LEFT(D54,SEARCH("h",D54)-1)),0)*3600+IFERROR(VALUE(MID(D54,IFERROR(SEARCH("h ",D54)+2,1),SEARCH("m",D54)-IFERROR(SEARCH("h ",D54)+2,1))),0)*60+IFERROR(VALUE(MID(D54,IFERROR(SEARCH("m ",D54)+2,IFERROR(SEARCH("h ",D54)+2,1)),SEARCH("s",D54)-IFERROR(SEARCH("m ",D54)+2,IFERROR(SEARCH("h ",D54)+2,1)))),0)</x:f>
        <x:v>7454</x:v>
      </x:c>
      <x:c r="R54" t="str">
        <x:f>IF(P54="","No",IF(COUNTIF('Employee Attendance'!$D$2:$D$670,P54)&gt;0,"Yes","No"))</x:f>
        <x:v>Yes</x:v>
      </x:c>
    </x:row>
    <x:row r="55">
      <x:c r="A55" t="s">
        <x:v>225</x:v>
      </x:c>
      <x:c r="B55" t="s">
        <x:v>217</x:v>
      </x:c>
      <x:c r="C55" t="s">
        <x:v>226</x:v>
      </x:c>
      <x:c r="D55" t="s">
        <x:v>227</x:v>
      </x:c>
      <x:c r="E55" t="s">
        <x:v>228</x:v>
      </x:c>
      <x:c r="F55" t="s">
        <x:v>228</x:v>
      </x:c>
      <x:c r="G55" t="s">
        <x:v>59</x:v>
      </x:c>
      <x:c r="P55" t="str">
        <x:f>LOWER(TRIM(SUBSTITUTE(E55,CHAR(160)," ")))</x:f>
        <x:v>revatee.huril@pwc.com</x:v>
      </x:c>
      <x:c r="Q55" t="n">
        <x:f>IFERROR(VALUE(LEFT(D55,SEARCH("h",D55)-1)),0)*3600+IFERROR(VALUE(MID(D55,IFERROR(SEARCH("h ",D55)+2,1),SEARCH("m",D55)-IFERROR(SEARCH("h ",D55)+2,1))),0)*60+IFERROR(VALUE(MID(D55,IFERROR(SEARCH("m ",D55)+2,IFERROR(SEARCH("h ",D55)+2,1)),SEARCH("s",D55)-IFERROR(SEARCH("m ",D55)+2,IFERROR(SEARCH("h ",D55)+2,1)))),0)</x:f>
        <x:v>15</x:v>
      </x:c>
      <x:c r="R55" t="str">
        <x:f>IF(P55="","No",IF(COUNTIF('Employee Attendance'!$D$2:$D$670,P55)&gt;0,"Yes","No"))</x:f>
        <x:v>Yes</x:v>
      </x:c>
    </x:row>
    <x:row r="56">
      <x:c r="A56" t="s">
        <x:v>229</x:v>
      </x:c>
      <x:c r="B56" t="s">
        <x:v>230</x:v>
      </x:c>
      <x:c r="C56" t="s">
        <x:v>231</x:v>
      </x:c>
      <x:c r="D56" t="s">
        <x:v>232</x:v>
      </x:c>
      <x:c r="E56" t="s">
        <x:v>233</x:v>
      </x:c>
      <x:c r="F56" t="s">
        <x:v>233</x:v>
      </x:c>
      <x:c r="G56" t="s">
        <x:v>59</x:v>
      </x:c>
      <x:c r="P56" t="str">
        <x:f>LOWER(TRIM(SUBSTITUTE(E56,CHAR(160)," ")))</x:f>
        <x:v>chisala.mukonde@pwc.com</x:v>
      </x:c>
      <x:c r="Q56" t="n">
        <x:f>IFERROR(VALUE(LEFT(D56,SEARCH("h",D56)-1)),0)*3600+IFERROR(VALUE(MID(D56,IFERROR(SEARCH("h ",D56)+2,1),SEARCH("m",D56)-IFERROR(SEARCH("h ",D56)+2,1))),0)*60+IFERROR(VALUE(MID(D56,IFERROR(SEARCH("m ",D56)+2,IFERROR(SEARCH("h ",D56)+2,1)),SEARCH("s",D56)-IFERROR(SEARCH("m ",D56)+2,IFERROR(SEARCH("h ",D56)+2,1)))),0)</x:f>
        <x:v>7442</x:v>
      </x:c>
      <x:c r="R56" t="str">
        <x:f>IF(P56="","No",IF(COUNTIF('Employee Attendance'!$D$2:$D$670,P56)&gt;0,"Yes","No"))</x:f>
        <x:v>Yes</x:v>
      </x:c>
    </x:row>
    <x:row r="57">
      <x:c r="A57" t="s">
        <x:v>234</x:v>
      </x:c>
      <x:c r="B57" t="s">
        <x:v>230</x:v>
      </x:c>
      <x:c r="C57" t="s">
        <x:v>235</x:v>
      </x:c>
      <x:c r="D57" t="s">
        <x:v>236</x:v>
      </x:c>
      <x:c r="E57" t="s">
        <x:v>237</x:v>
      </x:c>
      <x:c r="F57" t="s">
        <x:v>237</x:v>
      </x:c>
      <x:c r="G57" t="s">
        <x:v>59</x:v>
      </x:c>
      <x:c r="P57" t="str">
        <x:f>LOWER(TRIM(SUBSTITUTE(E57,CHAR(160)," ")))</x:f>
        <x:v>shakil.torabally@pwc.com</x:v>
      </x:c>
      <x:c r="Q57" t="n">
        <x:f>IFERROR(VALUE(LEFT(D57,SEARCH("h",D57)-1)),0)*3600+IFERROR(VALUE(MID(D57,IFERROR(SEARCH("h ",D57)+2,1),SEARCH("m",D57)-IFERROR(SEARCH("h ",D57)+2,1))),0)*60+IFERROR(VALUE(MID(D57,IFERROR(SEARCH("m ",D57)+2,IFERROR(SEARCH("h ",D57)+2,1)),SEARCH("s",D57)-IFERROR(SEARCH("m ",D57)+2,IFERROR(SEARCH("h ",D57)+2,1)))),0)</x:f>
        <x:v>7482</x:v>
      </x:c>
      <x:c r="R57" t="str">
        <x:f>IF(P57="","No",IF(COUNTIF('Employee Attendance'!$D$2:$D$670,P57)&gt;0,"Yes","No"))</x:f>
        <x:v>Yes</x:v>
      </x:c>
    </x:row>
    <x:row r="58">
      <x:c r="A58" t="s">
        <x:v>238</x:v>
      </x:c>
      <x:c r="B58" t="s">
        <x:v>239</x:v>
      </x:c>
      <x:c r="C58" t="s">
        <x:v>174</x:v>
      </x:c>
      <x:c r="D58" t="s">
        <x:v>240</x:v>
      </x:c>
      <x:c r="E58" t="s">
        <x:v>241</x:v>
      </x:c>
      <x:c r="F58" t="s">
        <x:v>241</x:v>
      </x:c>
      <x:c r="G58" t="s">
        <x:v>59</x:v>
      </x:c>
      <x:c r="P58" t="str">
        <x:f>LOWER(TRIM(SUBSTITUTE(E58,CHAR(160)," ")))</x:f>
        <x:v>nancy.mwangi@pwc.com</x:v>
      </x:c>
      <x:c r="Q58" t="n">
        <x:f>IFERROR(VALUE(LEFT(D58,SEARCH("h",D58)-1)),0)*3600+IFERROR(VALUE(MID(D58,IFERROR(SEARCH("h ",D58)+2,1),SEARCH("m",D58)-IFERROR(SEARCH("h ",D58)+2,1))),0)*60+IFERROR(VALUE(MID(D58,IFERROR(SEARCH("m ",D58)+2,IFERROR(SEARCH("h ",D58)+2,1)),SEARCH("s",D58)-IFERROR(SEARCH("m ",D58)+2,IFERROR(SEARCH("h ",D58)+2,1)))),0)</x:f>
        <x:v>50</x:v>
      </x:c>
      <x:c r="R58" t="str">
        <x:f>IF(P58="","No",IF(COUNTIF('Employee Attendance'!$D$2:$D$670,P58)&gt;0,"Yes","No"))</x:f>
        <x:v>Yes</x:v>
      </x:c>
    </x:row>
    <x:row r="59">
      <x:c r="A59" t="s">
        <x:v>242</x:v>
      </x:c>
      <x:c r="B59" t="s">
        <x:v>239</x:v>
      </x:c>
      <x:c r="C59" t="s">
        <x:v>243</x:v>
      </x:c>
      <x:c r="D59" t="s">
        <x:v>244</x:v>
      </x:c>
      <x:c r="E59" t="s">
        <x:v>245</x:v>
      </x:c>
      <x:c r="F59" t="s">
        <x:v>245</x:v>
      </x:c>
      <x:c r="G59" t="s">
        <x:v>59</x:v>
      </x:c>
      <x:c r="P59" t="str">
        <x:f>LOWER(TRIM(SUBSTITUTE(E59,CHAR(160)," ")))</x:f>
        <x:v>barry.muindi@pwc.com</x:v>
      </x:c>
      <x:c r="Q59" t="n">
        <x:f>IFERROR(VALUE(LEFT(D59,SEARCH("h",D59)-1)),0)*3600+IFERROR(VALUE(MID(D59,IFERROR(SEARCH("h ",D59)+2,1),SEARCH("m",D59)-IFERROR(SEARCH("h ",D59)+2,1))),0)*60+IFERROR(VALUE(MID(D59,IFERROR(SEARCH("m ",D59)+2,IFERROR(SEARCH("h ",D59)+2,1)),SEARCH("s",D59)-IFERROR(SEARCH("m ",D59)+2,IFERROR(SEARCH("h ",D59)+2,1)))),0)</x:f>
        <x:v>9558</x:v>
      </x:c>
      <x:c r="R59" t="str">
        <x:f>IF(P59="","No",IF(COUNTIF('Employee Attendance'!$D$2:$D$670,P59)&gt;0,"Yes","No"))</x:f>
        <x:v>Yes</x:v>
      </x:c>
    </x:row>
    <x:row r="60">
      <x:c r="A60" t="s">
        <x:v>246</x:v>
      </x:c>
      <x:c r="B60" t="s">
        <x:v>247</x:v>
      </x:c>
      <x:c r="C60" t="s">
        <x:v>248</x:v>
      </x:c>
      <x:c r="D60" t="s">
        <x:v>249</x:v>
      </x:c>
      <x:c r="E60" t="s">
        <x:v>250</x:v>
      </x:c>
      <x:c r="F60" t="s">
        <x:v>250</x:v>
      </x:c>
      <x:c r="G60" t="s">
        <x:v>59</x:v>
      </x:c>
      <x:c r="P60" t="str">
        <x:f>LOWER(TRIM(SUBSTITUTE(E60,CHAR(160)," ")))</x:f>
        <x:v>kovanam.moodelly@pwc.com</x:v>
      </x:c>
      <x:c r="Q60" t="n">
        <x:f>IFERROR(VALUE(LEFT(D60,SEARCH("h",D60)-1)),0)*3600+IFERROR(VALUE(MID(D60,IFERROR(SEARCH("h ",D60)+2,1),SEARCH("m",D60)-IFERROR(SEARCH("h ",D60)+2,1))),0)*60+IFERROR(VALUE(MID(D60,IFERROR(SEARCH("m ",D60)+2,IFERROR(SEARCH("h ",D60)+2,1)),SEARCH("s",D60)-IFERROR(SEARCH("m ",D60)+2,IFERROR(SEARCH("h ",D60)+2,1)))),0)</x:f>
        <x:v>861</x:v>
      </x:c>
      <x:c r="R60" t="str">
        <x:f>IF(P60="","No",IF(COUNTIF('Employee Attendance'!$D$2:$D$670,P60)&gt;0,"Yes","No"))</x:f>
        <x:v>Yes</x:v>
      </x:c>
    </x:row>
    <x:row r="61">
      <x:c r="A61" t="s">
        <x:v>251</x:v>
      </x:c>
      <x:c r="B61" t="s">
        <x:v>252</x:v>
      </x:c>
      <x:c r="C61" t="s">
        <x:v>170</x:v>
      </x:c>
      <x:c r="D61" t="s">
        <x:v>253</x:v>
      </x:c>
      <x:c r="E61" t="s">
        <x:v>254</x:v>
      </x:c>
      <x:c r="F61" t="s">
        <x:v>254</x:v>
      </x:c>
      <x:c r="G61" t="s">
        <x:v>59</x:v>
      </x:c>
      <x:c r="H61">
        <x:v>1</x:v>
      </x:c>
      <x:c r="P61" t="str">
        <x:f>LOWER(TRIM(SUBSTITUTE(E61,CHAR(160)," ")))</x:f>
        <x:v>victoria.makori@pwc.com</x:v>
      </x:c>
      <x:c r="Q61" t="n">
        <x:f>IFERROR(VALUE(LEFT(D61,SEARCH("h",D61)-1)),0)*3600+IFERROR(VALUE(MID(D61,IFERROR(SEARCH("h ",D61)+2,1),SEARCH("m",D61)-IFERROR(SEARCH("h ",D61)+2,1))),0)*60+IFERROR(VALUE(MID(D61,IFERROR(SEARCH("m ",D61)+2,IFERROR(SEARCH("h ",D61)+2,1)),SEARCH("s",D61)-IFERROR(SEARCH("m ",D61)+2,IFERROR(SEARCH("h ",D61)+2,1)))),0)</x:f>
        <x:v>7436</x:v>
      </x:c>
      <x:c r="R61" t="str">
        <x:f>IF(P61="","No",IF(COUNTIF('Employee Attendance'!$D$2:$D$670,P61)&gt;0,"Yes","No"))</x:f>
        <x:v>Yes</x:v>
      </x:c>
    </x:row>
    <x:row r="62">
      <x:c r="A62" t="s">
        <x:v>255</x:v>
      </x:c>
      <x:c r="B62" t="s">
        <x:v>256</x:v>
      </x:c>
      <x:c r="C62" t="s">
        <x:v>257</x:v>
      </x:c>
      <x:c r="D62" t="s">
        <x:v>258</x:v>
      </x:c>
      <x:c r="E62" t="s">
        <x:v>259</x:v>
      </x:c>
      <x:c r="F62" t="s">
        <x:v>259</x:v>
      </x:c>
      <x:c r="G62" t="s">
        <x:v>59</x:v>
      </x:c>
      <x:c r="P62" t="str">
        <x:f>LOWER(TRIM(SUBSTITUTE(E62,CHAR(160)," ")))</x:f>
        <x:v>victor.rotich@pwc.com</x:v>
      </x:c>
      <x:c r="Q62" t="n">
        <x:f>IFERROR(VALUE(LEFT(D62,SEARCH("h",D62)-1)),0)*3600+IFERROR(VALUE(MID(D62,IFERROR(SEARCH("h ",D62)+2,1),SEARCH("m",D62)-IFERROR(SEARCH("h ",D62)+2,1))),0)*60+IFERROR(VALUE(MID(D62,IFERROR(SEARCH("m ",D62)+2,IFERROR(SEARCH("h ",D62)+2,1)),SEARCH("s",D62)-IFERROR(SEARCH("m ",D62)+2,IFERROR(SEARCH("h ",D62)+2,1)))),0)</x:f>
        <x:v>9691</x:v>
      </x:c>
      <x:c r="R62" t="str">
        <x:f>IF(P62="","No",IF(COUNTIF('Employee Attendance'!$D$2:$D$670,P62)&gt;0,"Yes","No"))</x:f>
        <x:v>Yes</x:v>
      </x:c>
    </x:row>
    <x:row r="63">
      <x:c r="A63" t="s">
        <x:v>260</x:v>
      </x:c>
      <x:c r="B63" t="s">
        <x:v>261</x:v>
      </x:c>
      <x:c r="C63" t="s">
        <x:v>262</x:v>
      </x:c>
      <x:c r="D63" t="s">
        <x:v>263</x:v>
      </x:c>
      <x:c r="E63" t="s">
        <x:v>264</x:v>
      </x:c>
      <x:c r="F63" t="s">
        <x:v>264</x:v>
      </x:c>
      <x:c r="G63" t="s">
        <x:v>59</x:v>
      </x:c>
      <x:c r="P63" t="str">
        <x:f>LOWER(TRIM(SUBSTITUTE(E63,CHAR(160)," ")))</x:f>
        <x:v>asmamaw.tamiru@pwc.com</x:v>
      </x:c>
      <x:c r="Q63" t="n">
        <x:f>IFERROR(VALUE(LEFT(D63,SEARCH("h",D63)-1)),0)*3600+IFERROR(VALUE(MID(D63,IFERROR(SEARCH("h ",D63)+2,1),SEARCH("m",D63)-IFERROR(SEARCH("h ",D63)+2,1))),0)*60+IFERROR(VALUE(MID(D63,IFERROR(SEARCH("m ",D63)+2,IFERROR(SEARCH("h ",D63)+2,1)),SEARCH("s",D63)-IFERROR(SEARCH("m ",D63)+2,IFERROR(SEARCH("h ",D63)+2,1)))),0)</x:f>
        <x:v>8035</x:v>
      </x:c>
      <x:c r="R63" t="str">
        <x:f>IF(P63="","No",IF(COUNTIF('Employee Attendance'!$D$2:$D$670,P63)&gt;0,"Yes","No"))</x:f>
        <x:v>Yes</x:v>
      </x:c>
    </x:row>
    <x:row r="64">
      <x:c r="A64" t="s">
        <x:v>265</x:v>
      </x:c>
      <x:c r="B64" t="s">
        <x:v>266</x:v>
      </x:c>
      <x:c r="C64" t="s">
        <x:v>267</x:v>
      </x:c>
      <x:c r="D64" t="s">
        <x:v>268</x:v>
      </x:c>
      <x:c r="E64" t="s">
        <x:v>269</x:v>
      </x:c>
      <x:c r="F64" t="s">
        <x:v>269</x:v>
      </x:c>
      <x:c r="G64" t="s">
        <x:v>59</x:v>
      </x:c>
      <x:c r="P64" t="str">
        <x:f>LOWER(TRIM(SUBSTITUTE(E64,CHAR(160)," ")))</x:f>
        <x:v>vanshika.akkooloo@pwc.com</x:v>
      </x:c>
      <x:c r="Q64" t="n">
        <x:f>IFERROR(VALUE(LEFT(D64,SEARCH("h",D64)-1)),0)*3600+IFERROR(VALUE(MID(D64,IFERROR(SEARCH("h ",D64)+2,1),SEARCH("m",D64)-IFERROR(SEARCH("h ",D64)+2,1))),0)*60+IFERROR(VALUE(MID(D64,IFERROR(SEARCH("m ",D64)+2,IFERROR(SEARCH("h ",D64)+2,1)),SEARCH("s",D64)-IFERROR(SEARCH("m ",D64)+2,IFERROR(SEARCH("h ",D64)+2,1)))),0)</x:f>
        <x:v>7274</x:v>
      </x:c>
      <x:c r="R64" t="str">
        <x:f>IF(P64="","No",IF(COUNTIF('Employee Attendance'!$D$2:$D$670,P64)&gt;0,"Yes","No"))</x:f>
        <x:v>Yes</x:v>
      </x:c>
    </x:row>
    <x:row r="65">
      <x:c r="A65" t="s">
        <x:v>270</x:v>
      </x:c>
      <x:c r="B65" t="s">
        <x:v>266</x:v>
      </x:c>
      <x:c r="C65" t="s">
        <x:v>271</x:v>
      </x:c>
      <x:c r="D65" t="s">
        <x:v>272</x:v>
      </x:c>
      <x:c r="E65" t="s">
        <x:v>273</x:v>
      </x:c>
      <x:c r="F65" t="s">
        <x:v>273</x:v>
      </x:c>
      <x:c r="G65" t="s">
        <x:v>59</x:v>
      </x:c>
      <x:c r="P65" t="str">
        <x:f>LOWER(TRIM(SUBSTITUTE(E65,CHAR(160)," ")))</x:f>
        <x:v>ezra.kemboi@pwc.com</x:v>
      </x:c>
      <x:c r="Q65" t="n">
        <x:f>IFERROR(VALUE(LEFT(D65,SEARCH("h",D65)-1)),0)*3600+IFERROR(VALUE(MID(D65,IFERROR(SEARCH("h ",D65)+2,1),SEARCH("m",D65)-IFERROR(SEARCH("h ",D65)+2,1))),0)*60+IFERROR(VALUE(MID(D65,IFERROR(SEARCH("m ",D65)+2,IFERROR(SEARCH("h ",D65)+2,1)),SEARCH("s",D65)-IFERROR(SEARCH("m ",D65)+2,IFERROR(SEARCH("h ",D65)+2,1)))),0)</x:f>
        <x:v>1999</x:v>
      </x:c>
      <x:c r="R65" t="str">
        <x:f>IF(P65="","No",IF(COUNTIF('Employee Attendance'!$D$2:$D$670,P65)&gt;0,"Yes","No"))</x:f>
        <x:v>Yes</x:v>
      </x:c>
    </x:row>
    <x:row r="66">
      <x:c r="A66" t="s">
        <x:v>274</x:v>
      </x:c>
      <x:c r="B66" t="s">
        <x:v>275</x:v>
      </x:c>
      <x:c r="C66" t="s">
        <x:v>160</x:v>
      </x:c>
      <x:c r="D66" t="s">
        <x:v>276</x:v>
      </x:c>
      <x:c r="E66" t="s">
        <x:v>277</x:v>
      </x:c>
      <x:c r="F66" t="s">
        <x:v>277</x:v>
      </x:c>
      <x:c r="G66" t="s">
        <x:v>59</x:v>
      </x:c>
      <x:c r="P66" t="str">
        <x:f>LOWER(TRIM(SUBSTITUTE(E66,CHAR(160)," ")))</x:f>
        <x:v>david.pamba@pwc.com</x:v>
      </x:c>
      <x:c r="Q66" t="n">
        <x:f>IFERROR(VALUE(LEFT(D66,SEARCH("h",D66)-1)),0)*3600+IFERROR(VALUE(MID(D66,IFERROR(SEARCH("h ",D66)+2,1),SEARCH("m",D66)-IFERROR(SEARCH("h ",D66)+2,1))),0)*60+IFERROR(VALUE(MID(D66,IFERROR(SEARCH("m ",D66)+2,IFERROR(SEARCH("h ",D66)+2,1)),SEARCH("s",D66)-IFERROR(SEARCH("m ",D66)+2,IFERROR(SEARCH("h ",D66)+2,1)))),0)</x:f>
        <x:v>7505</x:v>
      </x:c>
      <x:c r="R66" t="str">
        <x:f>IF(P66="","No",IF(COUNTIF('Employee Attendance'!$D$2:$D$670,P66)&gt;0,"Yes","No"))</x:f>
        <x:v>Yes</x:v>
      </x:c>
    </x:row>
    <x:row r="67">
      <x:c r="A67" t="s">
        <x:v>278</x:v>
      </x:c>
      <x:c r="B67" t="s">
        <x:v>279</x:v>
      </x:c>
      <x:c r="C67" t="s">
        <x:v>280</x:v>
      </x:c>
      <x:c r="D67" t="s">
        <x:v>281</x:v>
      </x:c>
      <x:c r="E67" t="s">
        <x:v>282</x:v>
      </x:c>
      <x:c r="F67" t="s">
        <x:v>282</x:v>
      </x:c>
      <x:c r="G67" t="s">
        <x:v>59</x:v>
      </x:c>
      <x:c r="O67">
        <x:v>1</x:v>
      </x:c>
      <x:c r="P67" t="str">
        <x:f>LOWER(TRIM(SUBSTITUTE(E67,CHAR(160)," ")))</x:f>
        <x:v>emmanuel.lema@pwc.com</x:v>
      </x:c>
      <x:c r="Q67" t="n">
        <x:f>IFERROR(VALUE(LEFT(D67,SEARCH("h",D67)-1)),0)*3600+IFERROR(VALUE(MID(D67,IFERROR(SEARCH("h ",D67)+2,1),SEARCH("m",D67)-IFERROR(SEARCH("h ",D67)+2,1))),0)*60+IFERROR(VALUE(MID(D67,IFERROR(SEARCH("m ",D67)+2,IFERROR(SEARCH("h ",D67)+2,1)),SEARCH("s",D67)-IFERROR(SEARCH("m ",D67)+2,IFERROR(SEARCH("h ",D67)+2,1)))),0)</x:f>
        <x:v>5767</x:v>
      </x:c>
      <x:c r="R67" t="str">
        <x:f>IF(P67="","No",IF(COUNTIF('Employee Attendance'!$D$2:$D$670,P67)&gt;0,"Yes","No"))</x:f>
        <x:v>Yes</x:v>
      </x:c>
    </x:row>
    <x:row r="68">
      <x:c r="A68" t="s">
        <x:v>283</x:v>
      </x:c>
      <x:c r="B68" t="s">
        <x:v>284</x:v>
      </x:c>
      <x:c r="C68" t="s">
        <x:v>285</x:v>
      </x:c>
      <x:c r="D68" t="s">
        <x:v>286</x:v>
      </x:c>
      <x:c r="E68" t="s">
        <x:v>287</x:v>
      </x:c>
      <x:c r="F68" t="s">
        <x:v>287</x:v>
      </x:c>
      <x:c r="G68" t="s">
        <x:v>59</x:v>
      </x:c>
      <x:c r="O68">
        <x:v>1</x:v>
      </x:c>
      <x:c r="P68" t="str">
        <x:f>LOWER(TRIM(SUBSTITUTE(E68,CHAR(160)," ")))</x:f>
        <x:v>joel.julian@pwc.com</x:v>
      </x:c>
      <x:c r="Q68" t="n">
        <x:f>IFERROR(VALUE(LEFT(D68,SEARCH("h",D68)-1)),0)*3600+IFERROR(VALUE(MID(D68,IFERROR(SEARCH("h ",D68)+2,1),SEARCH("m",D68)-IFERROR(SEARCH("h ",D68)+2,1))),0)*60+IFERROR(VALUE(MID(D68,IFERROR(SEARCH("m ",D68)+2,IFERROR(SEARCH("h ",D68)+2,1)),SEARCH("s",D68)-IFERROR(SEARCH("m ",D68)+2,IFERROR(SEARCH("h ",D68)+2,1)))),0)</x:f>
        <x:v>4284</x:v>
      </x:c>
      <x:c r="R68" t="str">
        <x:f>IF(P68="","No",IF(COUNTIF('Employee Attendance'!$D$2:$D$670,P68)&gt;0,"Yes","No"))</x:f>
        <x:v>Yes</x:v>
      </x:c>
    </x:row>
    <x:row r="69">
      <x:c r="A69" t="s">
        <x:v>288</x:v>
      </x:c>
      <x:c r="B69" t="s">
        <x:v>289</x:v>
      </x:c>
      <x:c r="C69" t="s">
        <x:v>290</x:v>
      </x:c>
      <x:c r="D69" t="s">
        <x:v>291</x:v>
      </x:c>
      <x:c r="E69" t="s">
        <x:v>292</x:v>
      </x:c>
      <x:c r="F69" t="s">
        <x:v>292</x:v>
      </x:c>
      <x:c r="G69" t="s">
        <x:v>59</x:v>
      </x:c>
      <x:c r="O69">
        <x:v>2</x:v>
      </x:c>
      <x:c r="P69" t="str">
        <x:f>LOWER(TRIM(SUBSTITUTE(E69,CHAR(160)," ")))</x:f>
        <x:v>jeremiah.musembi@pwc.com</x:v>
      </x:c>
      <x:c r="Q69" t="n">
        <x:f>IFERROR(VALUE(LEFT(D69,SEARCH("h",D69)-1)),0)*3600+IFERROR(VALUE(MID(D69,IFERROR(SEARCH("h ",D69)+2,1),SEARCH("m",D69)-IFERROR(SEARCH("h ",D69)+2,1))),0)*60+IFERROR(VALUE(MID(D69,IFERROR(SEARCH("m ",D69)+2,IFERROR(SEARCH("h ",D69)+2,1)),SEARCH("s",D69)-IFERROR(SEARCH("m ",D69)+2,IFERROR(SEARCH("h ",D69)+2,1)))),0)</x:f>
        <x:v>1994</x:v>
      </x:c>
      <x:c r="R69" t="str">
        <x:f>IF(P69="","No",IF(COUNTIF('Employee Attendance'!$D$2:$D$670,P69)&gt;0,"Yes","No"))</x:f>
        <x:v>Yes</x:v>
      </x:c>
    </x:row>
    <x:row r="70">
      <x:c r="A70" t="s">
        <x:v>293</x:v>
      </x:c>
      <x:c r="B70" t="s">
        <x:v>294</x:v>
      </x:c>
      <x:c r="C70" t="s">
        <x:v>146</x:v>
      </x:c>
      <x:c r="D70" t="s">
        <x:v>295</x:v>
      </x:c>
      <x:c r="E70" t="s">
        <x:v>296</x:v>
      </x:c>
      <x:c r="F70" t="s">
        <x:v>296</x:v>
      </x:c>
      <x:c r="G70" t="s">
        <x:v>59</x:v>
      </x:c>
      <x:c r="P70" t="str">
        <x:f>LOWER(TRIM(SUBSTITUTE(E70,CHAR(160)," ")))</x:f>
        <x:v>nanita.nalule@pwc.com</x:v>
      </x:c>
      <x:c r="Q70" t="n">
        <x:f>IFERROR(VALUE(LEFT(D70,SEARCH("h",D70)-1)),0)*3600+IFERROR(VALUE(MID(D70,IFERROR(SEARCH("h ",D70)+2,1),SEARCH("m",D70)-IFERROR(SEARCH("h ",D70)+2,1))),0)*60+IFERROR(VALUE(MID(D70,IFERROR(SEARCH("m ",D70)+2,IFERROR(SEARCH("h ",D70)+2,1)),SEARCH("s",D70)-IFERROR(SEARCH("m ",D70)+2,IFERROR(SEARCH("h ",D70)+2,1)))),0)</x:f>
        <x:v>7416</x:v>
      </x:c>
      <x:c r="R70" t="str">
        <x:f>IF(P70="","No",IF(COUNTIF('Employee Attendance'!$D$2:$D$670,P70)&gt;0,"Yes","No"))</x:f>
        <x:v>Yes</x:v>
      </x:c>
    </x:row>
    <x:row r="71">
      <x:c r="A71" t="s">
        <x:v>297</x:v>
      </x:c>
      <x:c r="B71" t="s">
        <x:v>298</x:v>
      </x:c>
      <x:c r="C71" t="s">
        <x:v>299</x:v>
      </x:c>
      <x:c r="D71" t="s">
        <x:v>300</x:v>
      </x:c>
      <x:c r="E71" t="s">
        <x:v>301</x:v>
      </x:c>
      <x:c r="F71" t="s">
        <x:v>301</x:v>
      </x:c>
      <x:c r="G71" t="s">
        <x:v>59</x:v>
      </x:c>
      <x:c r="P71" t="str">
        <x:f>LOWER(TRIM(SUBSTITUTE(E71,CHAR(160)," ")))</x:f>
        <x:v>nuhu.mandy@pwc.com</x:v>
      </x:c>
      <x:c r="Q71" t="n">
        <x:f>IFERROR(VALUE(LEFT(D71,SEARCH("h",D71)-1)),0)*3600+IFERROR(VALUE(MID(D71,IFERROR(SEARCH("h ",D71)+2,1),SEARCH("m",D71)-IFERROR(SEARCH("h ",D71)+2,1))),0)*60+IFERROR(VALUE(MID(D71,IFERROR(SEARCH("m ",D71)+2,IFERROR(SEARCH("h ",D71)+2,1)),SEARCH("s",D71)-IFERROR(SEARCH("m ",D71)+2,IFERROR(SEARCH("h ",D71)+2,1)))),0)</x:f>
        <x:v>7424</x:v>
      </x:c>
      <x:c r="R71" t="str">
        <x:f>IF(P71="","No",IF(COUNTIF('Employee Attendance'!$D$2:$D$670,P71)&gt;0,"Yes","No"))</x:f>
        <x:v>Yes</x:v>
      </x:c>
    </x:row>
    <x:row r="72">
      <x:c r="A72" t="s">
        <x:v>302</x:v>
      </x:c>
      <x:c r="B72" t="s">
        <x:v>303</x:v>
      </x:c>
      <x:c r="C72" t="s">
        <x:v>304</x:v>
      </x:c>
      <x:c r="D72" t="s">
        <x:v>305</x:v>
      </x:c>
      <x:c r="E72" t="s">
        <x:v>306</x:v>
      </x:c>
      <x:c r="F72" t="s">
        <x:v>306</x:v>
      </x:c>
      <x:c r="G72" t="s">
        <x:v>59</x:v>
      </x:c>
      <x:c r="P72" t="str">
        <x:f>LOWER(TRIM(SUBSTITUTE(E72,CHAR(160)," ")))</x:f>
        <x:v>rohan.peter@pwc.com</x:v>
      </x:c>
      <x:c r="Q72" t="n">
        <x:f>IFERROR(VALUE(LEFT(D72,SEARCH("h",D72)-1)),0)*3600+IFERROR(VALUE(MID(D72,IFERROR(SEARCH("h ",D72)+2,1),SEARCH("m",D72)-IFERROR(SEARCH("h ",D72)+2,1))),0)*60+IFERROR(VALUE(MID(D72,IFERROR(SEARCH("m ",D72)+2,IFERROR(SEARCH("h ",D72)+2,1)),SEARCH("s",D72)-IFERROR(SEARCH("m ",D72)+2,IFERROR(SEARCH("h ",D72)+2,1)))),0)</x:f>
        <x:v>4345</x:v>
      </x:c>
      <x:c r="R72" t="str">
        <x:f>IF(P72="","No",IF(COUNTIF('Employee Attendance'!$D$2:$D$670,P72)&gt;0,"Yes","No"))</x:f>
        <x:v>Yes</x:v>
      </x:c>
    </x:row>
    <x:row r="73">
      <x:c r="A73" t="s">
        <x:v>307</x:v>
      </x:c>
      <x:c r="B73" t="s">
        <x:v>308</x:v>
      </x:c>
      <x:c r="C73" t="s">
        <x:v>309</x:v>
      </x:c>
      <x:c r="D73" t="s">
        <x:v>310</x:v>
      </x:c>
      <x:c r="E73" t="s">
        <x:v>311</x:v>
      </x:c>
      <x:c r="F73" t="s">
        <x:v>311</x:v>
      </x:c>
      <x:c r="G73" t="s">
        <x:v>59</x:v>
      </x:c>
      <x:c r="P73" t="str">
        <x:f>LOWER(TRIM(SUBSTITUTE(E73,CHAR(160)," ")))</x:f>
        <x:v>ronah.nuwagaba@pwc.com</x:v>
      </x:c>
      <x:c r="Q73" t="n">
        <x:f>IFERROR(VALUE(LEFT(D73,SEARCH("h",D73)-1)),0)*3600+IFERROR(VALUE(MID(D73,IFERROR(SEARCH("h ",D73)+2,1),SEARCH("m",D73)-IFERROR(SEARCH("h ",D73)+2,1))),0)*60+IFERROR(VALUE(MID(D73,IFERROR(SEARCH("m ",D73)+2,IFERROR(SEARCH("h ",D73)+2,1)),SEARCH("s",D73)-IFERROR(SEARCH("m ",D73)+2,IFERROR(SEARCH("h ",D73)+2,1)))),0)</x:f>
        <x:v>8061</x:v>
      </x:c>
      <x:c r="R73" t="str">
        <x:f>IF(P73="","No",IF(COUNTIF('Employee Attendance'!$D$2:$D$670,P73)&gt;0,"Yes","No"))</x:f>
        <x:v>Yes</x:v>
      </x:c>
    </x:row>
    <x:row r="74">
      <x:c r="A74" t="s">
        <x:v>312</x:v>
      </x:c>
      <x:c r="B74" t="s">
        <x:v>313</x:v>
      </x:c>
      <x:c r="C74" t="s">
        <x:v>314</x:v>
      </x:c>
      <x:c r="D74" t="s">
        <x:v>315</x:v>
      </x:c>
      <x:c r="E74" t="s">
        <x:v>316</x:v>
      </x:c>
      <x:c r="F74" t="s">
        <x:v>316</x:v>
      </x:c>
      <x:c r="G74" t="s">
        <x:v>59</x:v>
      </x:c>
      <x:c r="P74" t="str">
        <x:f>LOWER(TRIM(SUBSTITUTE(E74,CHAR(160)," ")))</x:f>
        <x:v>katai.nakazwe@pwc.com</x:v>
      </x:c>
      <x:c r="Q74" t="n">
        <x:f>IFERROR(VALUE(LEFT(D74,SEARCH("h",D74)-1)),0)*3600+IFERROR(VALUE(MID(D74,IFERROR(SEARCH("h ",D74)+2,1),SEARCH("m",D74)-IFERROR(SEARCH("h ",D74)+2,1))),0)*60+IFERROR(VALUE(MID(D74,IFERROR(SEARCH("m ",D74)+2,IFERROR(SEARCH("h ",D74)+2,1)),SEARCH("s",D74)-IFERROR(SEARCH("m ",D74)+2,IFERROR(SEARCH("h ",D74)+2,1)))),0)</x:f>
        <x:v>8149</x:v>
      </x:c>
      <x:c r="R74" t="str">
        <x:f>IF(P74="","No",IF(COUNTIF('Employee Attendance'!$D$2:$D$670,P74)&gt;0,"Yes","No"))</x:f>
        <x:v>Yes</x:v>
      </x:c>
    </x:row>
    <x:row r="75">
      <x:c r="A75" t="s">
        <x:v>317</x:v>
      </x:c>
      <x:c r="B75" t="s">
        <x:v>318</x:v>
      </x:c>
      <x:c r="C75" t="s">
        <x:v>319</x:v>
      </x:c>
      <x:c r="D75" t="s">
        <x:v>320</x:v>
      </x:c>
      <x:c r="E75" t="s">
        <x:v>321</x:v>
      </x:c>
      <x:c r="F75" t="s">
        <x:v>321</x:v>
      </x:c>
      <x:c r="G75" t="s">
        <x:v>59</x:v>
      </x:c>
      <x:c r="P75" t="str">
        <x:f>LOWER(TRIM(SUBSTITUTE(E75,CHAR(160)," ")))</x:f>
        <x:v>girish.balchurn@pwc.com</x:v>
      </x:c>
      <x:c r="Q75" t="n">
        <x:f>IFERROR(VALUE(LEFT(D75,SEARCH("h",D75)-1)),0)*3600+IFERROR(VALUE(MID(D75,IFERROR(SEARCH("h ",D75)+2,1),SEARCH("m",D75)-IFERROR(SEARCH("h ",D75)+2,1))),0)*60+IFERROR(VALUE(MID(D75,IFERROR(SEARCH("m ",D75)+2,IFERROR(SEARCH("h ",D75)+2,1)),SEARCH("s",D75)-IFERROR(SEARCH("m ",D75)+2,IFERROR(SEARCH("h ",D75)+2,1)))),0)</x:f>
        <x:v>4368</x:v>
      </x:c>
      <x:c r="R75" t="str">
        <x:f>IF(P75="","No",IF(COUNTIF('Employee Attendance'!$D$2:$D$670,P75)&gt;0,"Yes","No"))</x:f>
        <x:v>Yes</x:v>
      </x:c>
    </x:row>
    <x:row r="76">
      <x:c r="A76" t="s">
        <x:v>322</x:v>
      </x:c>
      <x:c r="B76" t="s">
        <x:v>323</x:v>
      </x:c>
      <x:c r="C76" t="s">
        <x:v>324</x:v>
      </x:c>
      <x:c r="D76" t="s">
        <x:v>325</x:v>
      </x:c>
      <x:c r="E76" t="s">
        <x:v>326</x:v>
      </x:c>
      <x:c r="F76" t="s">
        <x:v>326</x:v>
      </x:c>
      <x:c r="G76" t="s">
        <x:v>59</x:v>
      </x:c>
      <x:c r="O76">
        <x:v>1</x:v>
      </x:c>
      <x:c r="P76" t="str">
        <x:f>LOWER(TRIM(SUBSTITUTE(E76,CHAR(160)," ")))</x:f>
        <x:v>rose.muasya@pwc.com</x:v>
      </x:c>
      <x:c r="Q76" t="n">
        <x:f>IFERROR(VALUE(LEFT(D76,SEARCH("h",D76)-1)),0)*3600+IFERROR(VALUE(MID(D76,IFERROR(SEARCH("h ",D76)+2,1),SEARCH("m",D76)-IFERROR(SEARCH("h ",D76)+2,1))),0)*60+IFERROR(VALUE(MID(D76,IFERROR(SEARCH("m ",D76)+2,IFERROR(SEARCH("h ",D76)+2,1)),SEARCH("s",D76)-IFERROR(SEARCH("m ",D76)+2,IFERROR(SEARCH("h ",D76)+2,1)))),0)</x:f>
        <x:v>2147</x:v>
      </x:c>
      <x:c r="R76" t="str">
        <x:f>IF(P76="","No",IF(COUNTIF('Employee Attendance'!$D$2:$D$670,P76)&gt;0,"Yes","No"))</x:f>
        <x:v>Yes</x:v>
      </x:c>
    </x:row>
    <x:row r="77">
      <x:c r="A77" t="s">
        <x:v>327</x:v>
      </x:c>
      <x:c r="B77" t="s">
        <x:v>328</x:v>
      </x:c>
      <x:c r="C77" t="s">
        <x:v>329</x:v>
      </x:c>
      <x:c r="D77" t="s">
        <x:v>330</x:v>
      </x:c>
      <x:c r="E77" t="s">
        <x:v>331</x:v>
      </x:c>
      <x:c r="F77" t="s">
        <x:v>331</x:v>
      </x:c>
      <x:c r="G77" t="s">
        <x:v>59</x:v>
      </x:c>
      <x:c r="P77" t="str">
        <x:f>LOWER(TRIM(SUBSTITUTE(E77,CHAR(160)," ")))</x:f>
        <x:v>esmeralda.kavishe@pwc.com</x:v>
      </x:c>
      <x:c r="Q77" t="n">
        <x:f>IFERROR(VALUE(LEFT(D77,SEARCH("h",D77)-1)),0)*3600+IFERROR(VALUE(MID(D77,IFERROR(SEARCH("h ",D77)+2,1),SEARCH("m",D77)-IFERROR(SEARCH("h ",D77)+2,1))),0)*60+IFERROR(VALUE(MID(D77,IFERROR(SEARCH("m ",D77)+2,IFERROR(SEARCH("h ",D77)+2,1)),SEARCH("s",D77)-IFERROR(SEARCH("m ",D77)+2,IFERROR(SEARCH("h ",D77)+2,1)))),0)</x:f>
        <x:v>7502</x:v>
      </x:c>
      <x:c r="R77" t="str">
        <x:f>IF(P77="","No",IF(COUNTIF('Employee Attendance'!$D$2:$D$670,P77)&gt;0,"Yes","No"))</x:f>
        <x:v>Yes</x:v>
      </x:c>
    </x:row>
    <x:row r="78">
      <x:c r="A78" t="s">
        <x:v>332</x:v>
      </x:c>
      <x:c r="B78" t="s">
        <x:v>333</x:v>
      </x:c>
      <x:c r="C78" t="s">
        <x:v>334</x:v>
      </x:c>
      <x:c r="D78" t="s">
        <x:v>335</x:v>
      </x:c>
      <x:c r="E78" t="s">
        <x:v>336</x:v>
      </x:c>
      <x:c r="F78" t="s">
        <x:v>336</x:v>
      </x:c>
      <x:c r="G78" t="s">
        <x:v>59</x:v>
      </x:c>
      <x:c r="P78" t="str">
        <x:f>LOWER(TRIM(SUBSTITUTE(E78,CHAR(160)," ")))</x:f>
        <x:v>rendani.r.ramulongo@pwc.com</x:v>
      </x:c>
      <x:c r="Q78" t="n">
        <x:f>IFERROR(VALUE(LEFT(D78,SEARCH("h",D78)-1)),0)*3600+IFERROR(VALUE(MID(D78,IFERROR(SEARCH("h ",D78)+2,1),SEARCH("m",D78)-IFERROR(SEARCH("h ",D78)+2,1))),0)*60+IFERROR(VALUE(MID(D78,IFERROR(SEARCH("m ",D78)+2,IFERROR(SEARCH("h ",D78)+2,1)),SEARCH("s",D78)-IFERROR(SEARCH("m ",D78)+2,IFERROR(SEARCH("h ",D78)+2,1)))),0)</x:f>
        <x:v>7373</x:v>
      </x:c>
      <x:c r="R78" t="str">
        <x:f>IF(P78="","No",IF(COUNTIF('Employee Attendance'!$D$2:$D$670,P78)&gt;0,"Yes","No"))</x:f>
        <x:v>Yes</x:v>
      </x:c>
    </x:row>
    <x:row r="79">
      <x:c r="A79" t="s">
        <x:v>337</x:v>
      </x:c>
      <x:c r="B79" t="s">
        <x:v>338</x:v>
      </x:c>
      <x:c r="C79" t="s">
        <x:v>339</x:v>
      </x:c>
      <x:c r="D79" t="s">
        <x:v>340</x:v>
      </x:c>
      <x:c r="E79" t="s">
        <x:v>341</x:v>
      </x:c>
      <x:c r="F79" t="s">
        <x:v>341</x:v>
      </x:c>
      <x:c r="G79" t="s">
        <x:v>59</x:v>
      </x:c>
      <x:c r="P79" t="str">
        <x:f>LOWER(TRIM(SUBSTITUTE(E79,CHAR(160)," ")))</x:f>
        <x:v>jacob.ndemirio@pwc.com</x:v>
      </x:c>
      <x:c r="Q79" t="n">
        <x:f>IFERROR(VALUE(LEFT(D79,SEARCH("h",D79)-1)),0)*3600+IFERROR(VALUE(MID(D79,IFERROR(SEARCH("h ",D79)+2,1),SEARCH("m",D79)-IFERROR(SEARCH("h ",D79)+2,1))),0)*60+IFERROR(VALUE(MID(D79,IFERROR(SEARCH("m ",D79)+2,IFERROR(SEARCH("h ",D79)+2,1)),SEARCH("s",D79)-IFERROR(SEARCH("m ",D79)+2,IFERROR(SEARCH("h ",D79)+2,1)))),0)</x:f>
        <x:v>7382</x:v>
      </x:c>
      <x:c r="R79" t="str">
        <x:f>IF(P79="","No",IF(COUNTIF('Employee Attendance'!$D$2:$D$670,P79)&gt;0,"Yes","No"))</x:f>
        <x:v>Yes</x:v>
      </x:c>
    </x:row>
    <x:row r="80">
      <x:c r="A80" t="s">
        <x:v>342</x:v>
      </x:c>
      <x:c r="B80" t="s">
        <x:v>343</x:v>
      </x:c>
      <x:c r="C80" t="s">
        <x:v>344</x:v>
      </x:c>
      <x:c r="D80" t="s">
        <x:v>345</x:v>
      </x:c>
      <x:c r="E80" t="s">
        <x:v>346</x:v>
      </x:c>
      <x:c r="F80" t="s">
        <x:v>346</x:v>
      </x:c>
      <x:c r="G80" t="s">
        <x:v>59</x:v>
      </x:c>
      <x:c r="P80" t="str">
        <x:f>LOWER(TRIM(SUBSTITUTE(E80,CHAR(160)," ")))</x:f>
        <x:v>brayan.laizer@pwc.com</x:v>
      </x:c>
      <x:c r="Q80" t="n">
        <x:f>IFERROR(VALUE(LEFT(D80,SEARCH("h",D80)-1)),0)*3600+IFERROR(VALUE(MID(D80,IFERROR(SEARCH("h ",D80)+2,1),SEARCH("m",D80)-IFERROR(SEARCH("h ",D80)+2,1))),0)*60+IFERROR(VALUE(MID(D80,IFERROR(SEARCH("m ",D80)+2,IFERROR(SEARCH("h ",D80)+2,1)),SEARCH("s",D80)-IFERROR(SEARCH("m ",D80)+2,IFERROR(SEARCH("h ",D80)+2,1)))),0)</x:f>
        <x:v>7367</x:v>
      </x:c>
      <x:c r="R80" t="str">
        <x:f>IF(P80="","No",IF(COUNTIF('Employee Attendance'!$D$2:$D$670,P80)&gt;0,"Yes","No"))</x:f>
        <x:v>Yes</x:v>
      </x:c>
    </x:row>
    <x:row r="81">
      <x:c r="A81" t="s">
        <x:v>347</x:v>
      </x:c>
      <x:c r="B81" t="s">
        <x:v>29</x:v>
      </x:c>
      <x:c r="C81" t="s">
        <x:v>348</x:v>
      </x:c>
      <x:c r="D81" t="s">
        <x:v>166</x:v>
      </x:c>
      <x:c r="E81" t="s">
        <x:v>349</x:v>
      </x:c>
      <x:c r="F81" t="s">
        <x:v>349</x:v>
      </x:c>
      <x:c r="G81" t="s">
        <x:v>59</x:v>
      </x:c>
      <x:c r="P81" t="str">
        <x:f>LOWER(TRIM(SUBSTITUTE(E81,CHAR(160)," ")))</x:f>
        <x:v>phanastone.yongo@pwc.com</x:v>
      </x:c>
      <x:c r="Q81" t="n">
        <x:f>IFERROR(VALUE(LEFT(D81,SEARCH("h",D81)-1)),0)*3600+IFERROR(VALUE(MID(D81,IFERROR(SEARCH("h ",D81)+2,1),SEARCH("m",D81)-IFERROR(SEARCH("h ",D81)+2,1))),0)*60+IFERROR(VALUE(MID(D81,IFERROR(SEARCH("m ",D81)+2,IFERROR(SEARCH("h ",D81)+2,1)),SEARCH("s",D81)-IFERROR(SEARCH("m ",D81)+2,IFERROR(SEARCH("h ",D81)+2,1)))),0)</x:f>
        <x:v>7493</x:v>
      </x:c>
      <x:c r="R81" t="str">
        <x:f>IF(P81="","No",IF(COUNTIF('Employee Attendance'!$D$2:$D$670,P81)&gt;0,"Yes","No"))</x:f>
        <x:v>Yes</x:v>
      </x:c>
    </x:row>
    <x:row r="82">
      <x:c r="A82" t="s">
        <x:v>350</x:v>
      </x:c>
      <x:c r="B82" t="s">
        <x:v>351</x:v>
      </x:c>
      <x:c r="C82" t="s">
        <x:v>352</x:v>
      </x:c>
      <x:c r="D82" t="s">
        <x:v>353</x:v>
      </x:c>
      <x:c r="E82" t="s">
        <x:v>354</x:v>
      </x:c>
      <x:c r="F82" t="s">
        <x:v>354</x:v>
      </x:c>
      <x:c r="G82" t="s">
        <x:v>59</x:v>
      </x:c>
      <x:c r="P82" t="str">
        <x:f>LOWER(TRIM(SUBSTITUTE(E82,CHAR(160)," ")))</x:f>
        <x:v>lightness.katunzi@pwc.com</x:v>
      </x:c>
      <x:c r="Q82" t="n">
        <x:f>IFERROR(VALUE(LEFT(D82,SEARCH("h",D82)-1)),0)*3600+IFERROR(VALUE(MID(D82,IFERROR(SEARCH("h ",D82)+2,1),SEARCH("m",D82)-IFERROR(SEARCH("h ",D82)+2,1))),0)*60+IFERROR(VALUE(MID(D82,IFERROR(SEARCH("m ",D82)+2,IFERROR(SEARCH("h ",D82)+2,1)),SEARCH("s",D82)-IFERROR(SEARCH("m ",D82)+2,IFERROR(SEARCH("h ",D82)+2,1)))),0)</x:f>
        <x:v>7350</x:v>
      </x:c>
      <x:c r="R82" t="str">
        <x:f>IF(P82="","No",IF(COUNTIF('Employee Attendance'!$D$2:$D$670,P82)&gt;0,"Yes","No"))</x:f>
        <x:v>Yes</x:v>
      </x:c>
    </x:row>
    <x:row r="83">
      <x:c r="A83" t="s">
        <x:v>355</x:v>
      </x:c>
      <x:c r="B83" t="s">
        <x:v>356</x:v>
      </x:c>
      <x:c r="C83" t="s">
        <x:v>170</x:v>
      </x:c>
      <x:c r="D83" t="s">
        <x:v>357</x:v>
      </x:c>
      <x:c r="E83" t="s">
        <x:v>358</x:v>
      </x:c>
      <x:c r="F83" t="s">
        <x:v>358</x:v>
      </x:c>
      <x:c r="G83" t="s">
        <x:v>59</x:v>
      </x:c>
      <x:c r="P83" t="str">
        <x:f>LOWER(TRIM(SUBSTITUTE(E83,CHAR(160)," ")))</x:f>
        <x:v>linda.batuka@pwc.com</x:v>
      </x:c>
      <x:c r="Q83" t="n">
        <x:f>IFERROR(VALUE(LEFT(D83,SEARCH("h",D83)-1)),0)*3600+IFERROR(VALUE(MID(D83,IFERROR(SEARCH("h ",D83)+2,1),SEARCH("m",D83)-IFERROR(SEARCH("h ",D83)+2,1))),0)*60+IFERROR(VALUE(MID(D83,IFERROR(SEARCH("m ",D83)+2,IFERROR(SEARCH("h ",D83)+2,1)),SEARCH("s",D83)-IFERROR(SEARCH("m ",D83)+2,IFERROR(SEARCH("h ",D83)+2,1)))),0)</x:f>
        <x:v>7202</x:v>
      </x:c>
      <x:c r="R83" t="str">
        <x:f>IF(P83="","No",IF(COUNTIF('Employee Attendance'!$D$2:$D$670,P83)&gt;0,"Yes","No"))</x:f>
        <x:v>Yes</x:v>
      </x:c>
    </x:row>
    <x:row r="84">
      <x:c r="A84" t="s">
        <x:v>359</x:v>
      </x:c>
      <x:c r="B84" t="s">
        <x:v>360</x:v>
      </x:c>
      <x:c r="C84" t="s">
        <x:v>361</x:v>
      </x:c>
      <x:c r="D84" t="s">
        <x:v>362</x:v>
      </x:c>
      <x:c r="E84" t="s">
        <x:v>363</x:v>
      </x:c>
      <x:c r="F84" t="s">
        <x:v>363</x:v>
      </x:c>
      <x:c r="G84" t="s">
        <x:v>59</x:v>
      </x:c>
      <x:c r="P84" t="str">
        <x:f>LOWER(TRIM(SUBSTITUTE(E84,CHAR(160)," ")))</x:f>
        <x:v>chimwemwe.mtonga@pwc.com</x:v>
      </x:c>
      <x:c r="Q84" t="n">
        <x:f>IFERROR(VALUE(LEFT(D84,SEARCH("h",D84)-1)),0)*3600+IFERROR(VALUE(MID(D84,IFERROR(SEARCH("h ",D84)+2,1),SEARCH("m",D84)-IFERROR(SEARCH("h ",D84)+2,1))),0)*60+IFERROR(VALUE(MID(D84,IFERROR(SEARCH("m ",D84)+2,IFERROR(SEARCH("h ",D84)+2,1)),SEARCH("s",D84)-IFERROR(SEARCH("m ",D84)+2,IFERROR(SEARCH("h ",D84)+2,1)))),0)</x:f>
        <x:v>7929</x:v>
      </x:c>
      <x:c r="R84" t="str">
        <x:f>IF(P84="","No",IF(COUNTIF('Employee Attendance'!$D$2:$D$670,P84)&gt;0,"Yes","No"))</x:f>
        <x:v>Yes</x:v>
      </x:c>
    </x:row>
    <x:row r="85">
      <x:c r="A85" t="s">
        <x:v>364</x:v>
      </x:c>
      <x:c r="B85" t="s">
        <x:v>365</x:v>
      </x:c>
      <x:c r="C85" t="s">
        <x:v>67</x:v>
      </x:c>
      <x:c r="D85" t="s">
        <x:v>366</x:v>
      </x:c>
      <x:c r="E85" t="s">
        <x:v>367</x:v>
      </x:c>
      <x:c r="F85" t="s">
        <x:v>367</x:v>
      </x:c>
      <x:c r="G85" t="s">
        <x:v>59</x:v>
      </x:c>
      <x:c r="O85">
        <x:v>2</x:v>
      </x:c>
      <x:c r="P85" t="str">
        <x:f>LOWER(TRIM(SUBSTITUTE(E85,CHAR(160)," ")))</x:f>
        <x:v>david.mugo@pwc.com</x:v>
      </x:c>
      <x:c r="Q85" t="n">
        <x:f>IFERROR(VALUE(LEFT(D85,SEARCH("h",D85)-1)),0)*3600+IFERROR(VALUE(MID(D85,IFERROR(SEARCH("h ",D85)+2,1),SEARCH("m",D85)-IFERROR(SEARCH("h ",D85)+2,1))),0)*60+IFERROR(VALUE(MID(D85,IFERROR(SEARCH("m ",D85)+2,IFERROR(SEARCH("h ",D85)+2,1)),SEARCH("s",D85)-IFERROR(SEARCH("m ",D85)+2,IFERROR(SEARCH("h ",D85)+2,1)))),0)</x:f>
        <x:v>7284</x:v>
      </x:c>
      <x:c r="R85" t="str">
        <x:f>IF(P85="","No",IF(COUNTIF('Employee Attendance'!$D$2:$D$670,P85)&gt;0,"Yes","No"))</x:f>
        <x:v>Yes</x:v>
      </x:c>
    </x:row>
    <x:row r="86">
      <x:c r="A86" t="s">
        <x:v>368</x:v>
      </x:c>
      <x:c r="B86" t="s">
        <x:v>369</x:v>
      </x:c>
      <x:c r="C86" t="s">
        <x:v>51</x:v>
      </x:c>
      <x:c r="D86" t="s">
        <x:v>370</x:v>
      </x:c>
      <x:c r="E86" t="s">
        <x:v>371</x:v>
      </x:c>
      <x:c r="F86" t="s">
        <x:v>371</x:v>
      </x:c>
      <x:c r="G86" t="s">
        <x:v>59</x:v>
      </x:c>
      <x:c r="H86">
        <x:v>1</x:v>
      </x:c>
      <x:c r="J86">
        <x:v>3</x:v>
      </x:c>
      <x:c r="O86">
        <x:v>1</x:v>
      </x:c>
      <x:c r="P86" t="str">
        <x:f>LOWER(TRIM(SUBSTITUTE(E86,CHAR(160)," ")))</x:f>
        <x:v>jackie.nampala@pwc.com</x:v>
      </x:c>
      <x:c r="Q86" t="n">
        <x:f>IFERROR(VALUE(LEFT(D86,SEARCH("h",D86)-1)),0)*3600+IFERROR(VALUE(MID(D86,IFERROR(SEARCH("h ",D86)+2,1),SEARCH("m",D86)-IFERROR(SEARCH("h ",D86)+2,1))),0)*60+IFERROR(VALUE(MID(D86,IFERROR(SEARCH("m ",D86)+2,IFERROR(SEARCH("h ",D86)+2,1)),SEARCH("s",D86)-IFERROR(SEARCH("m ",D86)+2,IFERROR(SEARCH("h ",D86)+2,1)))),0)</x:f>
        <x:v>7277</x:v>
      </x:c>
      <x:c r="R86" t="str">
        <x:f>IF(P86="","No",IF(COUNTIF('Employee Attendance'!$D$2:$D$670,P86)&gt;0,"Yes","No"))</x:f>
        <x:v>Yes</x:v>
      </x:c>
    </x:row>
    <x:row r="87">
      <x:c r="A87" t="s">
        <x:v>372</x:v>
      </x:c>
      <x:c r="B87" t="s">
        <x:v>373</x:v>
      </x:c>
      <x:c r="C87" t="s">
        <x:v>339</x:v>
      </x:c>
      <x:c r="D87" t="s">
        <x:v>374</x:v>
      </x:c>
      <x:c r="E87" t="s">
        <x:v>375</x:v>
      </x:c>
      <x:c r="F87" t="s">
        <x:v>375</x:v>
      </x:c>
      <x:c r="G87" t="s">
        <x:v>59</x:v>
      </x:c>
      <x:c r="P87" t="str">
        <x:f>LOWER(TRIM(SUBSTITUTE(E87,CHAR(160)," ")))</x:f>
        <x:v>twaambo.m.milimo@pwc.com</x:v>
      </x:c>
      <x:c r="Q87" t="n">
        <x:f>IFERROR(VALUE(LEFT(D87,SEARCH("h",D87)-1)),0)*3600+IFERROR(VALUE(MID(D87,IFERROR(SEARCH("h ",D87)+2,1),SEARCH("m",D87)-IFERROR(SEARCH("h ",D87)+2,1))),0)*60+IFERROR(VALUE(MID(D87,IFERROR(SEARCH("m ",D87)+2,IFERROR(SEARCH("h ",D87)+2,1)),SEARCH("s",D87)-IFERROR(SEARCH("m ",D87)+2,IFERROR(SEARCH("h ",D87)+2,1)))),0)</x:f>
        <x:v>7266</x:v>
      </x:c>
      <x:c r="R87" t="str">
        <x:f>IF(P87="","No",IF(COUNTIF('Employee Attendance'!$D$2:$D$670,P87)&gt;0,"Yes","No"))</x:f>
        <x:v>Yes</x:v>
      </x:c>
    </x:row>
    <x:row r="88">
      <x:c r="A88" t="s">
        <x:v>376</x:v>
      </x:c>
      <x:c r="B88" t="s">
        <x:v>377</x:v>
      </x:c>
      <x:c r="C88" t="s">
        <x:v>196</x:v>
      </x:c>
      <x:c r="D88" t="s">
        <x:v>378</x:v>
      </x:c>
      <x:c r="E88" t="s">
        <x:v>379</x:v>
      </x:c>
      <x:c r="F88" t="s">
        <x:v>379</x:v>
      </x:c>
      <x:c r="G88" t="s">
        <x:v>59</x:v>
      </x:c>
      <x:c r="H88">
        <x:v>1</x:v>
      </x:c>
      <x:c r="P88" t="str">
        <x:f>LOWER(TRIM(SUBSTITUTE(E88,CHAR(160)," ")))</x:f>
        <x:v>byron.carter@pwc.com</x:v>
      </x:c>
      <x:c r="Q88" t="n">
        <x:f>IFERROR(VALUE(LEFT(D88,SEARCH("h",D88)-1)),0)*3600+IFERROR(VALUE(MID(D88,IFERROR(SEARCH("h ",D88)+2,1),SEARCH("m",D88)-IFERROR(SEARCH("h ",D88)+2,1))),0)*60+IFERROR(VALUE(MID(D88,IFERROR(SEARCH("m ",D88)+2,IFERROR(SEARCH("h ",D88)+2,1)),SEARCH("s",D88)-IFERROR(SEARCH("m ",D88)+2,IFERROR(SEARCH("h ",D88)+2,1)))),0)</x:f>
        <x:v>7260</x:v>
      </x:c>
      <x:c r="R88" t="str">
        <x:f>IF(P88="","No",IF(COUNTIF('Employee Attendance'!$D$2:$D$670,P88)&gt;0,"Yes","No"))</x:f>
        <x:v>Yes</x:v>
      </x:c>
    </x:row>
    <x:row r="89">
      <x:c r="A89" t="s">
        <x:v>380</x:v>
      </x:c>
      <x:c r="B89" t="s">
        <x:v>381</x:v>
      </x:c>
      <x:c r="C89" t="s">
        <x:v>382</x:v>
      </x:c>
      <x:c r="D89" t="s">
        <x:v>383</x:v>
      </x:c>
      <x:c r="E89" t="s">
        <x:v>384</x:v>
      </x:c>
      <x:c r="F89" t="s">
        <x:v>384</x:v>
      </x:c>
      <x:c r="G89" t="s">
        <x:v>59</x:v>
      </x:c>
      <x:c r="P89" t="str">
        <x:f>LOWER(TRIM(SUBSTITUTE(E89,CHAR(160)," ")))</x:f>
        <x:v>milbert.kakyama@pwc.com</x:v>
      </x:c>
      <x:c r="Q89" t="n">
        <x:f>IFERROR(VALUE(LEFT(D89,SEARCH("h",D89)-1)),0)*3600+IFERROR(VALUE(MID(D89,IFERROR(SEARCH("h ",D89)+2,1),SEARCH("m",D89)-IFERROR(SEARCH("h ",D89)+2,1))),0)*60+IFERROR(VALUE(MID(D89,IFERROR(SEARCH("m ",D89)+2,IFERROR(SEARCH("h ",D89)+2,1)),SEARCH("s",D89)-IFERROR(SEARCH("m ",D89)+2,IFERROR(SEARCH("h ",D89)+2,1)))),0)</x:f>
        <x:v>7316</x:v>
      </x:c>
      <x:c r="R89" t="str">
        <x:f>IF(P89="","No",IF(COUNTIF('Employee Attendance'!$D$2:$D$670,P89)&gt;0,"Yes","No"))</x:f>
        <x:v>Yes</x:v>
      </x:c>
    </x:row>
    <x:row r="90">
      <x:c r="A90" t="s">
        <x:v>385</x:v>
      </x:c>
      <x:c r="B90" t="s">
        <x:v>386</x:v>
      </x:c>
      <x:c r="C90" t="s">
        <x:v>387</x:v>
      </x:c>
      <x:c r="D90" t="s">
        <x:v>388</x:v>
      </x:c>
      <x:c r="E90" t="s">
        <x:v>389</x:v>
      </x:c>
      <x:c r="F90" t="s">
        <x:v>389</x:v>
      </x:c>
      <x:c r="G90" t="s">
        <x:v>59</x:v>
      </x:c>
      <x:c r="P90" t="str">
        <x:f>LOWER(TRIM(SUBSTITUTE(E90,CHAR(160)," ")))</x:f>
        <x:v>davish.budhai@pwc.com</x:v>
      </x:c>
      <x:c r="Q90" t="n">
        <x:f>IFERROR(VALUE(LEFT(D90,SEARCH("h",D90)-1)),0)*3600+IFERROR(VALUE(MID(D90,IFERROR(SEARCH("h ",D90)+2,1),SEARCH("m",D90)-IFERROR(SEARCH("h ",D90)+2,1))),0)*60+IFERROR(VALUE(MID(D90,IFERROR(SEARCH("m ",D90)+2,IFERROR(SEARCH("h ",D90)+2,1)),SEARCH("s",D90)-IFERROR(SEARCH("m ",D90)+2,IFERROR(SEARCH("h ",D90)+2,1)))),0)</x:f>
        <x:v>7313</x:v>
      </x:c>
      <x:c r="R90" t="str">
        <x:f>IF(P90="","No",IF(COUNTIF('Employee Attendance'!$D$2:$D$670,P90)&gt;0,"Yes","No"))</x:f>
        <x:v>Yes</x:v>
      </x:c>
    </x:row>
    <x:row r="91">
      <x:c r="A91" t="s">
        <x:v>390</x:v>
      </x:c>
      <x:c r="B91" t="s">
        <x:v>391</x:v>
      </x:c>
      <x:c r="C91" t="s">
        <x:v>392</x:v>
      </x:c>
      <x:c r="D91" t="s">
        <x:v>393</x:v>
      </x:c>
      <x:c r="E91" t="s">
        <x:v>394</x:v>
      </x:c>
      <x:c r="F91" t="s">
        <x:v>394</x:v>
      </x:c>
      <x:c r="G91" t="s">
        <x:v>59</x:v>
      </x:c>
      <x:c r="P91" t="str">
        <x:f>LOWER(TRIM(SUBSTITUTE(E91,CHAR(160)," ")))</x:f>
        <x:v>warren.atugonza@pwc.com</x:v>
      </x:c>
      <x:c r="Q91" t="n">
        <x:f>IFERROR(VALUE(LEFT(D91,SEARCH("h",D91)-1)),0)*3600+IFERROR(VALUE(MID(D91,IFERROR(SEARCH("h ",D91)+2,1),SEARCH("m",D91)-IFERROR(SEARCH("h ",D91)+2,1))),0)*60+IFERROR(VALUE(MID(D91,IFERROR(SEARCH("m ",D91)+2,IFERROR(SEARCH("h ",D91)+2,1)),SEARCH("s",D91)-IFERROR(SEARCH("m ",D91)+2,IFERROR(SEARCH("h ",D91)+2,1)))),0)</x:f>
        <x:v>7429</x:v>
      </x:c>
      <x:c r="R91" t="str">
        <x:f>IF(P91="","No",IF(COUNTIF('Employee Attendance'!$D$2:$D$670,P91)&gt;0,"Yes","No"))</x:f>
        <x:v>Yes</x:v>
      </x:c>
    </x:row>
    <x:row r="92">
      <x:c r="A92" t="s">
        <x:v>395</x:v>
      </x:c>
      <x:c r="B92" t="s">
        <x:v>396</x:v>
      </x:c>
      <x:c r="C92" t="s">
        <x:v>98</x:v>
      </x:c>
      <x:c r="D92" t="s">
        <x:v>151</x:v>
      </x:c>
      <x:c r="E92" t="s">
        <x:v>397</x:v>
      </x:c>
      <x:c r="F92" t="s">
        <x:v>397</x:v>
      </x:c>
      <x:c r="G92" t="s">
        <x:v>59</x:v>
      </x:c>
      <x:c r="P92" t="str">
        <x:f>LOWER(TRIM(SUBSTITUTE(E92,CHAR(160)," ")))</x:f>
        <x:v>tasneem.butonkee@pwc.com</x:v>
      </x:c>
      <x:c r="Q92" t="n">
        <x:f>IFERROR(VALUE(LEFT(D92,SEARCH("h",D92)-1)),0)*3600+IFERROR(VALUE(MID(D92,IFERROR(SEARCH("h ",D92)+2,1),SEARCH("m",D92)-IFERROR(SEARCH("h ",D92)+2,1))),0)*60+IFERROR(VALUE(MID(D92,IFERROR(SEARCH("m ",D92)+2,IFERROR(SEARCH("h ",D92)+2,1)),SEARCH("s",D92)-IFERROR(SEARCH("m ",D92)+2,IFERROR(SEARCH("h ",D92)+2,1)))),0)</x:f>
        <x:v>7242</x:v>
      </x:c>
      <x:c r="R92" t="str">
        <x:f>IF(P92="","No",IF(COUNTIF('Employee Attendance'!$D$2:$D$670,P92)&gt;0,"Yes","No"))</x:f>
        <x:v>Yes</x:v>
      </x:c>
    </x:row>
    <x:row r="93">
      <x:c r="A93" t="s">
        <x:v>398</x:v>
      </x:c>
      <x:c r="B93" t="s">
        <x:v>399</x:v>
      </x:c>
      <x:c r="C93" t="s">
        <x:v>400</x:v>
      </x:c>
      <x:c r="D93" t="s">
        <x:v>401</x:v>
      </x:c>
      <x:c r="E93" t="s">
        <x:v>402</x:v>
      </x:c>
      <x:c r="F93" t="s">
        <x:v>402</x:v>
      </x:c>
      <x:c r="G93" t="s">
        <x:v>59</x:v>
      </x:c>
      <x:c r="O93">
        <x:v>1</x:v>
      </x:c>
      <x:c r="P93" t="str">
        <x:f>LOWER(TRIM(SUBSTITUTE(E93,CHAR(160)," ")))</x:f>
        <x:v>naomi.mwamba@pwc.com</x:v>
      </x:c>
      <x:c r="Q93" t="n">
        <x:f>IFERROR(VALUE(LEFT(D93,SEARCH("h",D93)-1)),0)*3600+IFERROR(VALUE(MID(D93,IFERROR(SEARCH("h ",D93)+2,1),SEARCH("m",D93)-IFERROR(SEARCH("h ",D93)+2,1))),0)*60+IFERROR(VALUE(MID(D93,IFERROR(SEARCH("m ",D93)+2,IFERROR(SEARCH("h ",D93)+2,1)),SEARCH("s",D93)-IFERROR(SEARCH("m ",D93)+2,IFERROR(SEARCH("h ",D93)+2,1)))),0)</x:f>
        <x:v>4508</x:v>
      </x:c>
      <x:c r="R93" t="str">
        <x:f>IF(P93="","No",IF(COUNTIF('Employee Attendance'!$D$2:$D$670,P93)&gt;0,"Yes","No"))</x:f>
        <x:v>Yes</x:v>
      </x:c>
    </x:row>
    <x:row r="94">
      <x:c r="A94" t="s">
        <x:v>403</x:v>
      </x:c>
      <x:c r="B94" t="s">
        <x:v>404</x:v>
      </x:c>
      <x:c r="C94" t="s">
        <x:v>67</x:v>
      </x:c>
      <x:c r="D94" t="s">
        <x:v>405</x:v>
      </x:c>
      <x:c r="E94" t="s">
        <x:v>406</x:v>
      </x:c>
      <x:c r="F94" t="s">
        <x:v>406</x:v>
      </x:c>
      <x:c r="G94" t="s">
        <x:v>59</x:v>
      </x:c>
      <x:c r="P94" t="str">
        <x:f>LOWER(TRIM(SUBSTITUTE(E94,CHAR(160)," ")))</x:f>
        <x:v>dowson.kalemba@pwc.com</x:v>
      </x:c>
      <x:c r="Q94" t="n">
        <x:f>IFERROR(VALUE(LEFT(D94,SEARCH("h",D94)-1)),0)*3600+IFERROR(VALUE(MID(D94,IFERROR(SEARCH("h ",D94)+2,1),SEARCH("m",D94)-IFERROR(SEARCH("h ",D94)+2,1))),0)*60+IFERROR(VALUE(MID(D94,IFERROR(SEARCH("m ",D94)+2,IFERROR(SEARCH("h ",D94)+2,1)),SEARCH("s",D94)-IFERROR(SEARCH("m ",D94)+2,IFERROR(SEARCH("h ",D94)+2,1)))),0)</x:f>
        <x:v>7229</x:v>
      </x:c>
      <x:c r="R94" t="str">
        <x:f>IF(P94="","No",IF(COUNTIF('Employee Attendance'!$D$2:$D$670,P94)&gt;0,"Yes","No"))</x:f>
        <x:v>Yes</x:v>
      </x:c>
    </x:row>
    <x:row r="95">
      <x:c r="A95" t="s">
        <x:v>407</x:v>
      </x:c>
      <x:c r="B95" t="s">
        <x:v>408</x:v>
      </x:c>
      <x:c r="C95" t="s">
        <x:v>409</x:v>
      </x:c>
      <x:c r="D95" t="s">
        <x:v>410</x:v>
      </x:c>
      <x:c r="E95" t="s">
        <x:v>411</x:v>
      </x:c>
      <x:c r="F95" t="s">
        <x:v>411</x:v>
      </x:c>
      <x:c r="G95" t="s">
        <x:v>59</x:v>
      </x:c>
      <x:c r="P95" t="str">
        <x:f>LOWER(TRIM(SUBSTITUTE(E95,CHAR(160)," ")))</x:f>
        <x:v>tirzah.atwiine@pwc.com</x:v>
      </x:c>
      <x:c r="Q95" t="n">
        <x:f>IFERROR(VALUE(LEFT(D95,SEARCH("h",D95)-1)),0)*3600+IFERROR(VALUE(MID(D95,IFERROR(SEARCH("h ",D95)+2,1),SEARCH("m",D95)-IFERROR(SEARCH("h ",D95)+2,1))),0)*60+IFERROR(VALUE(MID(D95,IFERROR(SEARCH("m ",D95)+2,IFERROR(SEARCH("h ",D95)+2,1)),SEARCH("s",D95)-IFERROR(SEARCH("m ",D95)+2,IFERROR(SEARCH("h ",D95)+2,1)))),0)</x:f>
        <x:v>7300</x:v>
      </x:c>
      <x:c r="R95" t="str">
        <x:f>IF(P95="","No",IF(COUNTIF('Employee Attendance'!$D$2:$D$670,P95)&gt;0,"Yes","No"))</x:f>
        <x:v>Yes</x:v>
      </x:c>
    </x:row>
    <x:row r="96">
      <x:c r="A96" t="s">
        <x:v>412</x:v>
      </x:c>
      <x:c r="B96" t="s">
        <x:v>413</x:v>
      </x:c>
      <x:c r="C96" t="s">
        <x:v>196</x:v>
      </x:c>
      <x:c r="D96" t="s">
        <x:v>414</x:v>
      </x:c>
      <x:c r="E96" t="s">
        <x:v>415</x:v>
      </x:c>
      <x:c r="F96" t="s">
        <x:v>415</x:v>
      </x:c>
      <x:c r="G96" t="s">
        <x:v>59</x:v>
      </x:c>
      <x:c r="P96" t="str">
        <x:f>LOWER(TRIM(SUBSTITUTE(E96,CHAR(160)," ")))</x:f>
        <x:v>bhavesh.naggea@pwc.com</x:v>
      </x:c>
      <x:c r="Q96" t="n">
        <x:f>IFERROR(VALUE(LEFT(D96,SEARCH("h",D96)-1)),0)*3600+IFERROR(VALUE(MID(D96,IFERROR(SEARCH("h ",D96)+2,1),SEARCH("m",D96)-IFERROR(SEARCH("h ",D96)+2,1))),0)*60+IFERROR(VALUE(MID(D96,IFERROR(SEARCH("m ",D96)+2,IFERROR(SEARCH("h ",D96)+2,1)),SEARCH("s",D96)-IFERROR(SEARCH("m ",D96)+2,IFERROR(SEARCH("h ",D96)+2,1)))),0)</x:f>
        <x:v>7222</x:v>
      </x:c>
      <x:c r="R96" t="str">
        <x:f>IF(P96="","No",IF(COUNTIF('Employee Attendance'!$D$2:$D$670,P96)&gt;0,"Yes","No"))</x:f>
        <x:v>Yes</x:v>
      </x:c>
    </x:row>
    <x:row r="97">
      <x:c r="A97" t="s">
        <x:v>416</x:v>
      </x:c>
      <x:c r="B97" t="s">
        <x:v>417</x:v>
      </x:c>
      <x:c r="C97" t="s">
        <x:v>418</x:v>
      </x:c>
      <x:c r="D97" t="s">
        <x:v>419</x:v>
      </x:c>
      <x:c r="E97" t="s">
        <x:v>420</x:v>
      </x:c>
      <x:c r="F97" t="s">
        <x:v>420</x:v>
      </x:c>
      <x:c r="G97" t="s">
        <x:v>59</x:v>
      </x:c>
      <x:c r="P97" t="str">
        <x:f>LOWER(TRIM(SUBSTITUTE(E97,CHAR(160)," ")))</x:f>
        <x:v>sabryya.moos@pwc.com</x:v>
      </x:c>
      <x:c r="Q97" t="n">
        <x:f>IFERROR(VALUE(LEFT(D97,SEARCH("h",D97)-1)),0)*3600+IFERROR(VALUE(MID(D97,IFERROR(SEARCH("h ",D97)+2,1),SEARCH("m",D97)-IFERROR(SEARCH("h ",D97)+2,1))),0)*60+IFERROR(VALUE(MID(D97,IFERROR(SEARCH("m ",D97)+2,IFERROR(SEARCH("h ",D97)+2,1)),SEARCH("s",D97)-IFERROR(SEARCH("m ",D97)+2,IFERROR(SEARCH("h ",D97)+2,1)))),0)</x:f>
        <x:v>6199</x:v>
      </x:c>
      <x:c r="R97" t="str">
        <x:f>IF(P97="","No",IF(COUNTIF('Employee Attendance'!$D$2:$D$670,P97)&gt;0,"Yes","No"))</x:f>
        <x:v>Yes</x:v>
      </x:c>
    </x:row>
    <x:row r="98">
      <x:c r="A98" t="s">
        <x:v>421</x:v>
      </x:c>
      <x:c r="B98" t="s">
        <x:v>422</x:v>
      </x:c>
      <x:c r="C98" t="s">
        <x:v>231</x:v>
      </x:c>
      <x:c r="D98" t="s">
        <x:v>357</x:v>
      </x:c>
      <x:c r="E98" t="s">
        <x:v>423</x:v>
      </x:c>
      <x:c r="F98" t="s">
        <x:v>423</x:v>
      </x:c>
      <x:c r="G98" t="s">
        <x:v>59</x:v>
      </x:c>
      <x:c r="H98">
        <x:v>1</x:v>
      </x:c>
      <x:c r="P98" t="str">
        <x:f>LOWER(TRIM(SUBSTITUTE(E98,CHAR(160)," ")))</x:f>
        <x:v>fredrick.k.ogolla@pwc.com</x:v>
      </x:c>
      <x:c r="Q98" t="n">
        <x:f>IFERROR(VALUE(LEFT(D98,SEARCH("h",D98)-1)),0)*3600+IFERROR(VALUE(MID(D98,IFERROR(SEARCH("h ",D98)+2,1),SEARCH("m",D98)-IFERROR(SEARCH("h ",D98)+2,1))),0)*60+IFERROR(VALUE(MID(D98,IFERROR(SEARCH("m ",D98)+2,IFERROR(SEARCH("h ",D98)+2,1)),SEARCH("s",D98)-IFERROR(SEARCH("m ",D98)+2,IFERROR(SEARCH("h ",D98)+2,1)))),0)</x:f>
        <x:v>7202</x:v>
      </x:c>
      <x:c r="R98" t="str">
        <x:f>IF(P98="","No",IF(COUNTIF('Employee Attendance'!$D$2:$D$670,P98)&gt;0,"Yes","No"))</x:f>
        <x:v>Yes</x:v>
      </x:c>
    </x:row>
    <x:row r="99">
      <x:c r="A99" t="s">
        <x:v>424</x:v>
      </x:c>
      <x:c r="B99" t="s">
        <x:v>425</x:v>
      </x:c>
      <x:c r="C99" t="s">
        <x:v>426</x:v>
      </x:c>
      <x:c r="D99" t="s">
        <x:v>427</x:v>
      </x:c>
      <x:c r="E99" t="s">
        <x:v>428</x:v>
      </x:c>
      <x:c r="F99" t="s">
        <x:v>428</x:v>
      </x:c>
      <x:c r="G99" t="s">
        <x:v>59</x:v>
      </x:c>
      <x:c r="P99" t="str">
        <x:f>LOWER(TRIM(SUBSTITUTE(E99,CHAR(160)," ")))</x:f>
        <x:v>candy.kida@pwc.com</x:v>
      </x:c>
      <x:c r="Q99" t="n">
        <x:f>IFERROR(VALUE(LEFT(D99,SEARCH("h",D99)-1)),0)*3600+IFERROR(VALUE(MID(D99,IFERROR(SEARCH("h ",D99)+2,1),SEARCH("m",D99)-IFERROR(SEARCH("h ",D99)+2,1))),0)*60+IFERROR(VALUE(MID(D99,IFERROR(SEARCH("m ",D99)+2,IFERROR(SEARCH("h ",D99)+2,1)),SEARCH("s",D99)-IFERROR(SEARCH("m ",D99)+2,IFERROR(SEARCH("h ",D99)+2,1)))),0)</x:f>
        <x:v>7451</x:v>
      </x:c>
      <x:c r="R99" t="str">
        <x:f>IF(P99="","No",IF(COUNTIF('Employee Attendance'!$D$2:$D$670,P99)&gt;0,"Yes","No"))</x:f>
        <x:v>Yes</x:v>
      </x:c>
    </x:row>
    <x:row r="100">
      <x:c r="A100" t="s">
        <x:v>429</x:v>
      </x:c>
      <x:c r="B100" t="s">
        <x:v>430</x:v>
      </x:c>
      <x:c r="C100" t="s">
        <x:v>231</x:v>
      </x:c>
      <x:c r="D100" t="s">
        <x:v>431</x:v>
      </x:c>
      <x:c r="E100" t="s">
        <x:v>432</x:v>
      </x:c>
      <x:c r="F100" t="s">
        <x:v>432</x:v>
      </x:c>
      <x:c r="G100" t="s">
        <x:v>59</x:v>
      </x:c>
      <x:c r="O100">
        <x:v>1</x:v>
      </x:c>
      <x:c r="P100" t="str">
        <x:f>LOWER(TRIM(SUBSTITUTE(E100,CHAR(160)," ")))</x:f>
        <x:v>chitundu.mbewe@pwc.com</x:v>
      </x:c>
      <x:c r="Q100" t="n">
        <x:f>IFERROR(VALUE(LEFT(D100,SEARCH("h",D100)-1)),0)*3600+IFERROR(VALUE(MID(D100,IFERROR(SEARCH("h ",D100)+2,1),SEARCH("m",D100)-IFERROR(SEARCH("h ",D100)+2,1))),0)*60+IFERROR(VALUE(MID(D100,IFERROR(SEARCH("m ",D100)+2,IFERROR(SEARCH("h ",D100)+2,1)),SEARCH("s",D100)-IFERROR(SEARCH("m ",D100)+2,IFERROR(SEARCH("h ",D100)+2,1)))),0)</x:f>
        <x:v>7174</x:v>
      </x:c>
      <x:c r="R100" t="str">
        <x:f>IF(P100="","No",IF(COUNTIF('Employee Attendance'!$D$2:$D$670,P100)&gt;0,"Yes","No"))</x:f>
        <x:v>Yes</x:v>
      </x:c>
    </x:row>
    <x:row r="101">
      <x:c r="A101" t="s">
        <x:v>433</x:v>
      </x:c>
      <x:c r="B101" t="s">
        <x:v>434</x:v>
      </x:c>
      <x:c r="C101" t="s">
        <x:v>435</x:v>
      </x:c>
      <x:c r="D101" t="s">
        <x:v>436</x:v>
      </x:c>
      <x:c r="E101" t="s">
        <x:v>437</x:v>
      </x:c>
      <x:c r="F101" t="s">
        <x:v>437</x:v>
      </x:c>
      <x:c r="G101" t="s">
        <x:v>59</x:v>
      </x:c>
      <x:c r="P101" t="str">
        <x:f>LOWER(TRIM(SUBSTITUTE(E101,CHAR(160)," ")))</x:f>
        <x:v>ebenezer.mujungu@pwc.com</x:v>
      </x:c>
      <x:c r="Q101" t="n">
        <x:f>IFERROR(VALUE(LEFT(D101,SEARCH("h",D101)-1)),0)*3600+IFERROR(VALUE(MID(D101,IFERROR(SEARCH("h ",D101)+2,1),SEARCH("m",D101)-IFERROR(SEARCH("h ",D101)+2,1))),0)*60+IFERROR(VALUE(MID(D101,IFERROR(SEARCH("m ",D101)+2,IFERROR(SEARCH("h ",D101)+2,1)),SEARCH("s",D101)-IFERROR(SEARCH("m ",D101)+2,IFERROR(SEARCH("h ",D101)+2,1)))),0)</x:f>
        <x:v>5782</x:v>
      </x:c>
      <x:c r="R101" t="str">
        <x:f>IF(P101="","No",IF(COUNTIF('Employee Attendance'!$D$2:$D$670,P101)&gt;0,"Yes","No"))</x:f>
        <x:v>Yes</x:v>
      </x:c>
    </x:row>
    <x:row r="102">
      <x:c r="A102" t="s">
        <x:v>438</x:v>
      </x:c>
      <x:c r="B102" t="s">
        <x:v>439</x:v>
      </x:c>
      <x:c r="C102" t="s">
        <x:v>440</x:v>
      </x:c>
      <x:c r="D102" t="s">
        <x:v>441</x:v>
      </x:c>
      <x:c r="E102" t="s">
        <x:v>442</x:v>
      </x:c>
      <x:c r="F102" t="s">
        <x:v>442</x:v>
      </x:c>
      <x:c r="G102" t="s">
        <x:v>59</x:v>
      </x:c>
      <x:c r="P102" t="str">
        <x:f>LOWER(TRIM(SUBSTITUTE(E102,CHAR(160)," ")))</x:f>
        <x:v>ann.muchoki@pwc.com</x:v>
      </x:c>
      <x:c r="Q102" t="n">
        <x:f>IFERROR(VALUE(LEFT(D102,SEARCH("h",D102)-1)),0)*3600+IFERROR(VALUE(MID(D102,IFERROR(SEARCH("h ",D102)+2,1),SEARCH("m",D102)-IFERROR(SEARCH("h ",D102)+2,1))),0)*60+IFERROR(VALUE(MID(D102,IFERROR(SEARCH("m ",D102)+2,IFERROR(SEARCH("h ",D102)+2,1)),SEARCH("s",D102)-IFERROR(SEARCH("m ",D102)+2,IFERROR(SEARCH("h ",D102)+2,1)))),0)</x:f>
        <x:v>65</x:v>
      </x:c>
      <x:c r="R102" t="str">
        <x:f>IF(P102="","No",IF(COUNTIF('Employee Attendance'!$D$2:$D$670,P102)&gt;0,"Yes","No"))</x:f>
        <x:v>Yes</x:v>
      </x:c>
    </x:row>
    <x:row r="103">
      <x:c r="A103" t="s">
        <x:v>443</x:v>
      </x:c>
      <x:c r="B103" t="s">
        <x:v>444</x:v>
      </x:c>
      <x:c r="C103" t="s">
        <x:v>231</x:v>
      </x:c>
      <x:c r="D103" t="s">
        <x:v>445</x:v>
      </x:c>
      <x:c r="E103" t="s">
        <x:v>446</x:v>
      </x:c>
      <x:c r="F103" t="s">
        <x:v>446</x:v>
      </x:c>
      <x:c r="G103" t="s">
        <x:v>59</x:v>
      </x:c>
      <x:c r="O103">
        <x:v>2</x:v>
      </x:c>
      <x:c r="P103" t="str">
        <x:f>LOWER(TRIM(SUBSTITUTE(E103,CHAR(160)," ")))</x:f>
        <x:v>andrew.chibuye@pwc.com</x:v>
      </x:c>
      <x:c r="Q103" t="n">
        <x:f>IFERROR(VALUE(LEFT(D103,SEARCH("h",D103)-1)),0)*3600+IFERROR(VALUE(MID(D103,IFERROR(SEARCH("h ",D103)+2,1),SEARCH("m",D103)-IFERROR(SEARCH("h ",D103)+2,1))),0)*60+IFERROR(VALUE(MID(D103,IFERROR(SEARCH("m ",D103)+2,IFERROR(SEARCH("h ",D103)+2,1)),SEARCH("s",D103)-IFERROR(SEARCH("m ",D103)+2,IFERROR(SEARCH("h ",D103)+2,1)))),0)</x:f>
        <x:v>7144</x:v>
      </x:c>
      <x:c r="R103" t="str">
        <x:f>IF(P103="","No",IF(COUNTIF('Employee Attendance'!$D$2:$D$670,P103)&gt;0,"Yes","No"))</x:f>
        <x:v>Yes</x:v>
      </x:c>
    </x:row>
    <x:row r="104">
      <x:c r="A104" t="s">
        <x:v>447</x:v>
      </x:c>
      <x:c r="B104" t="s">
        <x:v>448</x:v>
      </x:c>
      <x:c r="C104" t="s">
        <x:v>449</x:v>
      </x:c>
      <x:c r="D104" t="s">
        <x:v>450</x:v>
      </x:c>
      <x:c r="E104" t="s">
        <x:v>451</x:v>
      </x:c>
      <x:c r="F104" t="s">
        <x:v>451</x:v>
      </x:c>
      <x:c r="G104" t="s">
        <x:v>59</x:v>
      </x:c>
      <x:c r="P104" t="str">
        <x:f>LOWER(TRIM(SUBSTITUTE(E104,CHAR(160)," ")))</x:f>
        <x:v>joshua.mololo@pwc.com</x:v>
      </x:c>
      <x:c r="Q104" t="n">
        <x:f>IFERROR(VALUE(LEFT(D104,SEARCH("h",D104)-1)),0)*3600+IFERROR(VALUE(MID(D104,IFERROR(SEARCH("h ",D104)+2,1),SEARCH("m",D104)-IFERROR(SEARCH("h ",D104)+2,1))),0)*60+IFERROR(VALUE(MID(D104,IFERROR(SEARCH("m ",D104)+2,IFERROR(SEARCH("h ",D104)+2,1)),SEARCH("s",D104)-IFERROR(SEARCH("m ",D104)+2,IFERROR(SEARCH("h ",D104)+2,1)))),0)</x:f>
        <x:v>7262</x:v>
      </x:c>
      <x:c r="R104" t="str">
        <x:f>IF(P104="","No",IF(COUNTIF('Employee Attendance'!$D$2:$D$670,P104)&gt;0,"Yes","No"))</x:f>
        <x:v>Yes</x:v>
      </x:c>
    </x:row>
    <x:row r="105">
      <x:c r="A105" t="s">
        <x:v>452</x:v>
      </x:c>
      <x:c r="B105" t="s">
        <x:v>453</x:v>
      </x:c>
      <x:c r="C105" t="s">
        <x:v>454</x:v>
      </x:c>
      <x:c r="D105" t="s">
        <x:v>455</x:v>
      </x:c>
      <x:c r="E105" t="s">
        <x:v>456</x:v>
      </x:c>
      <x:c r="F105" t="s">
        <x:v>456</x:v>
      </x:c>
      <x:c r="G105" t="s">
        <x:v>59</x:v>
      </x:c>
      <x:c r="P105" t="str">
        <x:f>LOWER(TRIM(SUBSTITUTE(E105,CHAR(160)," ")))</x:f>
        <x:v>naeku.edith@pwc.com</x:v>
      </x:c>
      <x:c r="Q105" t="n">
        <x:f>IFERROR(VALUE(LEFT(D105,SEARCH("h",D105)-1)),0)*3600+IFERROR(VALUE(MID(D105,IFERROR(SEARCH("h ",D105)+2,1),SEARCH("m",D105)-IFERROR(SEARCH("h ",D105)+2,1))),0)*60+IFERROR(VALUE(MID(D105,IFERROR(SEARCH("m ",D105)+2,IFERROR(SEARCH("h ",D105)+2,1)),SEARCH("s",D105)-IFERROR(SEARCH("m ",D105)+2,IFERROR(SEARCH("h ",D105)+2,1)))),0)</x:f>
        <x:v>7190</x:v>
      </x:c>
      <x:c r="R105" t="str">
        <x:f>IF(P105="","No",IF(COUNTIF('Employee Attendance'!$D$2:$D$670,P105)&gt;0,"Yes","No"))</x:f>
        <x:v>Yes</x:v>
      </x:c>
    </x:row>
    <x:row r="106">
      <x:c r="A106" t="s">
        <x:v>457</x:v>
      </x:c>
      <x:c r="B106" t="s">
        <x:v>458</x:v>
      </x:c>
      <x:c r="C106" t="s">
        <x:v>51</x:v>
      </x:c>
      <x:c r="D106" t="s">
        <x:v>459</x:v>
      </x:c>
      <x:c r="E106" t="s">
        <x:v>460</x:v>
      </x:c>
      <x:c r="F106" t="s">
        <x:v>460</x:v>
      </x:c>
      <x:c r="G106" t="s">
        <x:v>59</x:v>
      </x:c>
      <x:c r="O106">
        <x:v>2</x:v>
      </x:c>
      <x:c r="P106" t="str">
        <x:f>LOWER(TRIM(SUBSTITUTE(E106,CHAR(160)," ")))</x:f>
        <x:v>neelen.veerapen@pwc.com</x:v>
      </x:c>
      <x:c r="Q106" t="n">
        <x:f>IFERROR(VALUE(LEFT(D106,SEARCH("h",D106)-1)),0)*3600+IFERROR(VALUE(MID(D106,IFERROR(SEARCH("h ",D106)+2,1),SEARCH("m",D106)-IFERROR(SEARCH("h ",D106)+2,1))),0)*60+IFERROR(VALUE(MID(D106,IFERROR(SEARCH("m ",D106)+2,IFERROR(SEARCH("h ",D106)+2,1)),SEARCH("s",D106)-IFERROR(SEARCH("m ",D106)+2,IFERROR(SEARCH("h ",D106)+2,1)))),0)</x:f>
        <x:v>7094</x:v>
      </x:c>
      <x:c r="R106" t="str">
        <x:f>IF(P106="","No",IF(COUNTIF('Employee Attendance'!$D$2:$D$670,P106)&gt;0,"Yes","No"))</x:f>
        <x:v>Yes</x:v>
      </x:c>
    </x:row>
    <x:row r="107">
      <x:c r="A107" t="s">
        <x:v>461</x:v>
      </x:c>
      <x:c r="B107" t="s">
        <x:v>462</x:v>
      </x:c>
      <x:c r="C107" t="s">
        <x:v>463</x:v>
      </x:c>
      <x:c r="D107" t="s">
        <x:v>464</x:v>
      </x:c>
      <x:c r="E107" t="s">
        <x:v>465</x:v>
      </x:c>
      <x:c r="F107" t="s">
        <x:v>465</x:v>
      </x:c>
      <x:c r="G107" t="s">
        <x:v>59</x:v>
      </x:c>
      <x:c r="P107" t="str">
        <x:f>LOWER(TRIM(SUBSTITUTE(E107,CHAR(160)," ")))</x:f>
        <x:v>diksha.neerbun@pwc.com</x:v>
      </x:c>
      <x:c r="Q107" t="n">
        <x:f>IFERROR(VALUE(LEFT(D107,SEARCH("h",D107)-1)),0)*3600+IFERROR(VALUE(MID(D107,IFERROR(SEARCH("h ",D107)+2,1),SEARCH("m",D107)-IFERROR(SEARCH("h ",D107)+2,1))),0)*60+IFERROR(VALUE(MID(D107,IFERROR(SEARCH("m ",D107)+2,IFERROR(SEARCH("h ",D107)+2,1)),SEARCH("s",D107)-IFERROR(SEARCH("m ",D107)+2,IFERROR(SEARCH("h ",D107)+2,1)))),0)</x:f>
        <x:v>7121</x:v>
      </x:c>
      <x:c r="R107" t="str">
        <x:f>IF(P107="","No",IF(COUNTIF('Employee Attendance'!$D$2:$D$670,P107)&gt;0,"Yes","No"))</x:f>
        <x:v>Yes</x:v>
      </x:c>
    </x:row>
    <x:row r="108">
      <x:c r="A108" t="s">
        <x:v>466</x:v>
      </x:c>
      <x:c r="B108" t="s">
        <x:v>467</x:v>
      </x:c>
      <x:c r="C108" t="s">
        <x:v>231</x:v>
      </x:c>
      <x:c r="D108" t="s">
        <x:v>468</x:v>
      </x:c>
      <x:c r="E108" t="s">
        <x:v>469</x:v>
      </x:c>
      <x:c r="F108" t="s">
        <x:v>469</x:v>
      </x:c>
      <x:c r="G108" t="s">
        <x:v>59</x:v>
      </x:c>
      <x:c r="H108">
        <x:v>1</x:v>
      </x:c>
      <x:c r="P108" t="str">
        <x:f>LOWER(TRIM(SUBSTITUTE(E108,CHAR(160)," ")))</x:f>
        <x:v>domenic.elasu@pwc.com</x:v>
      </x:c>
      <x:c r="Q108" t="n">
        <x:f>IFERROR(VALUE(LEFT(D108,SEARCH("h",D108)-1)),0)*3600+IFERROR(VALUE(MID(D108,IFERROR(SEARCH("h ",D108)+2,1),SEARCH("m",D108)-IFERROR(SEARCH("h ",D108)+2,1))),0)*60+IFERROR(VALUE(MID(D108,IFERROR(SEARCH("m ",D108)+2,IFERROR(SEARCH("h ",D108)+2,1)),SEARCH("s",D108)-IFERROR(SEARCH("m ",D108)+2,IFERROR(SEARCH("h ",D108)+2,1)))),0)</x:f>
        <x:v>7097</x:v>
      </x:c>
      <x:c r="R108" t="str">
        <x:f>IF(P108="","No",IF(COUNTIF('Employee Attendance'!$D$2:$D$670,P108)&gt;0,"Yes","No"))</x:f>
        <x:v>Yes</x:v>
      </x:c>
    </x:row>
    <x:row r="109">
      <x:c r="A109" t="s">
        <x:v>470</x:v>
      </x:c>
      <x:c r="B109" t="s">
        <x:v>471</x:v>
      </x:c>
      <x:c r="C109" t="s">
        <x:v>472</x:v>
      </x:c>
      <x:c r="D109" t="s">
        <x:v>473</x:v>
      </x:c>
      <x:c r="E109" t="s">
        <x:v>474</x:v>
      </x:c>
      <x:c r="F109" t="s">
        <x:v>474</x:v>
      </x:c>
      <x:c r="G109" t="s">
        <x:v>59</x:v>
      </x:c>
      <x:c r="P109" t="str">
        <x:f>LOWER(TRIM(SUBSTITUTE(E109,CHAR(160)," ")))</x:f>
        <x:v>kelvin.mlagala@pwc.com</x:v>
      </x:c>
      <x:c r="Q109" t="n">
        <x:f>IFERROR(VALUE(LEFT(D109,SEARCH("h",D109)-1)),0)*3600+IFERROR(VALUE(MID(D109,IFERROR(SEARCH("h ",D109)+2,1),SEARCH("m",D109)-IFERROR(SEARCH("h ",D109)+2,1))),0)*60+IFERROR(VALUE(MID(D109,IFERROR(SEARCH("m ",D109)+2,IFERROR(SEARCH("h ",D109)+2,1)),SEARCH("s",D109)-IFERROR(SEARCH("m ",D109)+2,IFERROR(SEARCH("h ",D109)+2,1)))),0)</x:f>
        <x:v>3351</x:v>
      </x:c>
      <x:c r="R109" t="str">
        <x:f>IF(P109="","No",IF(COUNTIF('Employee Attendance'!$D$2:$D$670,P109)&gt;0,"Yes","No"))</x:f>
        <x:v>Yes</x:v>
      </x:c>
    </x:row>
    <x:row r="110">
      <x:c r="A110" t="s">
        <x:v>475</x:v>
      </x:c>
      <x:c r="B110" t="s">
        <x:v>440</x:v>
      </x:c>
      <x:c r="C110" t="s">
        <x:v>231</x:v>
      </x:c>
      <x:c r="D110" t="s">
        <x:v>476</x:v>
      </x:c>
      <x:c r="E110" t="s">
        <x:v>477</x:v>
      </x:c>
      <x:c r="F110" t="s">
        <x:v>477</x:v>
      </x:c>
      <x:c r="G110" t="s">
        <x:v>59</x:v>
      </x:c>
      <x:c r="O110">
        <x:v>1</x:v>
      </x:c>
      <x:c r="P110" t="str">
        <x:f>LOWER(TRIM(SUBSTITUTE(E110,CHAR(160)," ")))</x:f>
        <x:v>jeannie.daka@pwc.com</x:v>
      </x:c>
      <x:c r="Q110" t="n">
        <x:f>IFERROR(VALUE(LEFT(D110,SEARCH("h",D110)-1)),0)*3600+IFERROR(VALUE(MID(D110,IFERROR(SEARCH("h ",D110)+2,1),SEARCH("m",D110)-IFERROR(SEARCH("h ",D110)+2,1))),0)*60+IFERROR(VALUE(MID(D110,IFERROR(SEARCH("m ",D110)+2,IFERROR(SEARCH("h ",D110)+2,1)),SEARCH("s",D110)-IFERROR(SEARCH("m ",D110)+2,IFERROR(SEARCH("h ",D110)+2,1)))),0)</x:f>
        <x:v>7084</x:v>
      </x:c>
      <x:c r="R110" t="str">
        <x:f>IF(P110="","No",IF(COUNTIF('Employee Attendance'!$D$2:$D$670,P110)&gt;0,"Yes","No"))</x:f>
        <x:v>Yes</x:v>
      </x:c>
    </x:row>
    <x:row r="111">
      <x:c r="A111" t="s">
        <x:v>478</x:v>
      </x:c>
      <x:c r="B111" t="s">
        <x:v>440</x:v>
      </x:c>
      <x:c r="C111" t="s">
        <x:v>46</x:v>
      </x:c>
      <x:c r="D111" t="s">
        <x:v>479</x:v>
      </x:c>
      <x:c r="E111" t="s">
        <x:v>480</x:v>
      </x:c>
      <x:c r="F111" t="s">
        <x:v>480</x:v>
      </x:c>
      <x:c r="G111" t="s">
        <x:v>59</x:v>
      </x:c>
      <x:c r="M111">
        <x:v>1</x:v>
      </x:c>
      <x:c r="P111" t="str">
        <x:f>LOWER(TRIM(SUBSTITUTE(E111,CHAR(160)," ")))</x:f>
        <x:v>nyongesa.odhiambo@pwc.com</x:v>
      </x:c>
      <x:c r="Q111" t="n">
        <x:f>IFERROR(VALUE(LEFT(D111,SEARCH("h",D111)-1)),0)*3600+IFERROR(VALUE(MID(D111,IFERROR(SEARCH("h ",D111)+2,1),SEARCH("m",D111)-IFERROR(SEARCH("h ",D111)+2,1))),0)*60+IFERROR(VALUE(MID(D111,IFERROR(SEARCH("m ",D111)+2,IFERROR(SEARCH("h ",D111)+2,1)),SEARCH("s",D111)-IFERROR(SEARCH("m ",D111)+2,IFERROR(SEARCH("h ",D111)+2,1)))),0)</x:f>
        <x:v>7082</x:v>
      </x:c>
      <x:c r="R111" t="str">
        <x:f>IF(P111="","No",IF(COUNTIF('Employee Attendance'!$D$2:$D$670,P111)&gt;0,"Yes","No"))</x:f>
        <x:v>Yes</x:v>
      </x:c>
    </x:row>
    <x:row r="112">
      <x:c r="A112" t="s">
        <x:v>481</x:v>
      </x:c>
      <x:c r="B112" t="s">
        <x:v>482</x:v>
      </x:c>
      <x:c r="C112" t="s">
        <x:v>483</x:v>
      </x:c>
      <x:c r="D112" t="s">
        <x:v>484</x:v>
      </x:c>
      <x:c r="E112" t="s">
        <x:v>485</x:v>
      </x:c>
      <x:c r="F112" t="s">
        <x:v>485</x:v>
      </x:c>
      <x:c r="G112" t="s">
        <x:v>59</x:v>
      </x:c>
      <x:c r="P112" t="str">
        <x:f>LOWER(TRIM(SUBSTITUTE(E112,CHAR(160)," ")))</x:f>
        <x:v>ashvi.p.puholoo@pwc.com</x:v>
      </x:c>
      <x:c r="Q112" t="n">
        <x:f>IFERROR(VALUE(LEFT(D112,SEARCH("h",D112)-1)),0)*3600+IFERROR(VALUE(MID(D112,IFERROR(SEARCH("h ",D112)+2,1),SEARCH("m",D112)-IFERROR(SEARCH("h ",D112)+2,1))),0)*60+IFERROR(VALUE(MID(D112,IFERROR(SEARCH("m ",D112)+2,IFERROR(SEARCH("h ",D112)+2,1)),SEARCH("s",D112)-IFERROR(SEARCH("m ",D112)+2,IFERROR(SEARCH("h ",D112)+2,1)))),0)</x:f>
        <x:v>7131</x:v>
      </x:c>
      <x:c r="R112" t="str">
        <x:f>IF(P112="","No",IF(COUNTIF('Employee Attendance'!$D$2:$D$670,P112)&gt;0,"Yes","No"))</x:f>
        <x:v>Yes</x:v>
      </x:c>
    </x:row>
    <x:row r="113">
      <x:c r="A113" t="s">
        <x:v>486</x:v>
      </x:c>
      <x:c r="B113" t="s">
        <x:v>487</x:v>
      </x:c>
      <x:c r="C113" t="s">
        <x:v>488</x:v>
      </x:c>
      <x:c r="D113" t="s">
        <x:v>489</x:v>
      </x:c>
      <x:c r="E113" t="s">
        <x:v>490</x:v>
      </x:c>
      <x:c r="F113" t="s">
        <x:v>490</x:v>
      </x:c>
      <x:c r="G113" t="s">
        <x:v>59</x:v>
      </x:c>
      <x:c r="P113" t="str">
        <x:f>LOWER(TRIM(SUBSTITUTE(E113,CHAR(160)," ")))</x:f>
        <x:v>mary.kariithi@pwc.com</x:v>
      </x:c>
      <x:c r="Q113" t="n">
        <x:f>IFERROR(VALUE(LEFT(D113,SEARCH("h",D113)-1)),0)*3600+IFERROR(VALUE(MID(D113,IFERROR(SEARCH("h ",D113)+2,1),SEARCH("m",D113)-IFERROR(SEARCH("h ",D113)+2,1))),0)*60+IFERROR(VALUE(MID(D113,IFERROR(SEARCH("m ",D113)+2,IFERROR(SEARCH("h ",D113)+2,1)),SEARCH("s",D113)-IFERROR(SEARCH("m ",D113)+2,IFERROR(SEARCH("h ",D113)+2,1)))),0)</x:f>
        <x:v>6725</x:v>
      </x:c>
      <x:c r="R113" t="str">
        <x:f>IF(P113="","No",IF(COUNTIF('Employee Attendance'!$D$2:$D$670,P113)&gt;0,"Yes","No"))</x:f>
        <x:v>Yes</x:v>
      </x:c>
    </x:row>
    <x:row r="114">
      <x:c r="A114" t="s">
        <x:v>491</x:v>
      </x:c>
      <x:c r="B114" t="s">
        <x:v>492</x:v>
      </x:c>
      <x:c r="C114" t="s">
        <x:v>493</x:v>
      </x:c>
      <x:c r="D114" t="s">
        <x:v>494</x:v>
      </x:c>
      <x:c r="E114" t="s">
        <x:v>495</x:v>
      </x:c>
      <x:c r="F114" t="s">
        <x:v>495</x:v>
      </x:c>
      <x:c r="G114" t="s">
        <x:v>59</x:v>
      </x:c>
      <x:c r="P114" t="str">
        <x:f>LOWER(TRIM(SUBSTITUTE(E114,CHAR(160)," ")))</x:f>
        <x:v>sharon.nanyonga@pwc.com</x:v>
      </x:c>
      <x:c r="Q114" t="n">
        <x:f>IFERROR(VALUE(LEFT(D114,SEARCH("h",D114)-1)),0)*3600+IFERROR(VALUE(MID(D114,IFERROR(SEARCH("h ",D114)+2,1),SEARCH("m",D114)-IFERROR(SEARCH("h ",D114)+2,1))),0)*60+IFERROR(VALUE(MID(D114,IFERROR(SEARCH("m ",D114)+2,IFERROR(SEARCH("h ",D114)+2,1)),SEARCH("s",D114)-IFERROR(SEARCH("m ",D114)+2,IFERROR(SEARCH("h ",D114)+2,1)))),0)</x:f>
        <x:v>7108</x:v>
      </x:c>
      <x:c r="R114" t="str">
        <x:f>IF(P114="","No",IF(COUNTIF('Employee Attendance'!$D$2:$D$670,P114)&gt;0,"Yes","No"))</x:f>
        <x:v>Yes</x:v>
      </x:c>
    </x:row>
    <x:row r="115">
      <x:c r="A115" t="s">
        <x:v>496</x:v>
      </x:c>
      <x:c r="B115" t="s">
        <x:v>497</x:v>
      </x:c>
      <x:c r="C115" t="s">
        <x:v>382</x:v>
      </x:c>
      <x:c r="D115" t="s">
        <x:v>498</x:v>
      </x:c>
      <x:c r="E115" t="s">
        <x:v>499</x:v>
      </x:c>
      <x:c r="F115" t="s">
        <x:v>499</x:v>
      </x:c>
      <x:c r="G115" t="s">
        <x:v>59</x:v>
      </x:c>
      <x:c r="P115" t="str">
        <x:f>LOWER(TRIM(SUBSTITUTE(E115,CHAR(160)," ")))</x:f>
        <x:v>bhuvana.mulliah@pwc.com</x:v>
      </x:c>
      <x:c r="Q115" t="n">
        <x:f>IFERROR(VALUE(LEFT(D115,SEARCH("h",D115)-1)),0)*3600+IFERROR(VALUE(MID(D115,IFERROR(SEARCH("h ",D115)+2,1),SEARCH("m",D115)-IFERROR(SEARCH("h ",D115)+2,1))),0)*60+IFERROR(VALUE(MID(D115,IFERROR(SEARCH("m ",D115)+2,IFERROR(SEARCH("h ",D115)+2,1)),SEARCH("s",D115)-IFERROR(SEARCH("m ",D115)+2,IFERROR(SEARCH("h ",D115)+2,1)))),0)</x:f>
        <x:v>7130</x:v>
      </x:c>
      <x:c r="R115" t="str">
        <x:f>IF(P115="","No",IF(COUNTIF('Employee Attendance'!$D$2:$D$670,P115)&gt;0,"Yes","No"))</x:f>
        <x:v>Yes</x:v>
      </x:c>
    </x:row>
    <x:row r="116">
      <x:c r="A116" t="s">
        <x:v>500</x:v>
      </x:c>
      <x:c r="B116" t="s">
        <x:v>501</x:v>
      </x:c>
      <x:c r="C116" t="s">
        <x:v>502</x:v>
      </x:c>
      <x:c r="D116" t="s">
        <x:v>503</x:v>
      </x:c>
      <x:c r="E116" t="s">
        <x:v>504</x:v>
      </x:c>
      <x:c r="F116" t="s">
        <x:v>504</x:v>
      </x:c>
      <x:c r="G116" t="s">
        <x:v>59</x:v>
      </x:c>
      <x:c r="H116">
        <x:v>1</x:v>
      </x:c>
      <x:c r="P116" t="str">
        <x:f>LOWER(TRIM(SUBSTITUTE(E116,CHAR(160)," ")))</x:f>
        <x:v>willie.w.kimaro@pwc.com</x:v>
      </x:c>
      <x:c r="Q116" t="n">
        <x:f>IFERROR(VALUE(LEFT(D116,SEARCH("h",D116)-1)),0)*3600+IFERROR(VALUE(MID(D116,IFERROR(SEARCH("h ",D116)+2,1),SEARCH("m",D116)-IFERROR(SEARCH("h ",D116)+2,1))),0)*60+IFERROR(VALUE(MID(D116,IFERROR(SEARCH("m ",D116)+2,IFERROR(SEARCH("h ",D116)+2,1)),SEARCH("s",D116)-IFERROR(SEARCH("m ",D116)+2,IFERROR(SEARCH("h ",D116)+2,1)))),0)</x:f>
        <x:v>7062</x:v>
      </x:c>
      <x:c r="R116" t="str">
        <x:f>IF(P116="","No",IF(COUNTIF('Employee Attendance'!$D$2:$D$670,P116)&gt;0,"Yes","No"))</x:f>
        <x:v>Yes</x:v>
      </x:c>
    </x:row>
    <x:row r="117">
      <x:c r="A117" t="s">
        <x:v>505</x:v>
      </x:c>
      <x:c r="B117" t="s">
        <x:v>506</x:v>
      </x:c>
      <x:c r="C117" t="s">
        <x:v>507</x:v>
      </x:c>
      <x:c r="D117" t="s">
        <x:v>508</x:v>
      </x:c>
      <x:c r="E117" t="s">
        <x:v>509</x:v>
      </x:c>
      <x:c r="F117" t="s">
        <x:v>509</x:v>
      </x:c>
      <x:c r="G117" t="s">
        <x:v>59</x:v>
      </x:c>
      <x:c r="P117" t="str">
        <x:f>LOWER(TRIM(SUBSTITUTE(E117,CHAR(160)," ")))</x:f>
        <x:v>louise.umutesi@pwc.com</x:v>
      </x:c>
      <x:c r="Q117" t="n">
        <x:f>IFERROR(VALUE(LEFT(D117,SEARCH("h",D117)-1)),0)*3600+IFERROR(VALUE(MID(D117,IFERROR(SEARCH("h ",D117)+2,1),SEARCH("m",D117)-IFERROR(SEARCH("h ",D117)+2,1))),0)*60+IFERROR(VALUE(MID(D117,IFERROR(SEARCH("m ",D117)+2,IFERROR(SEARCH("h ",D117)+2,1)),SEARCH("s",D117)-IFERROR(SEARCH("m ",D117)+2,IFERROR(SEARCH("h ",D117)+2,1)))),0)</x:f>
        <x:v>7070</x:v>
      </x:c>
      <x:c r="R117" t="str">
        <x:f>IF(P117="","No",IF(COUNTIF('Employee Attendance'!$D$2:$D$670,P117)&gt;0,"Yes","No"))</x:f>
        <x:v>Yes</x:v>
      </x:c>
    </x:row>
    <x:row r="118">
      <x:c r="A118" t="s">
        <x:v>510</x:v>
      </x:c>
      <x:c r="B118" t="s">
        <x:v>511</x:v>
      </x:c>
      <x:c r="C118" t="s">
        <x:v>196</x:v>
      </x:c>
      <x:c r="D118" t="s">
        <x:v>512</x:v>
      </x:c>
      <x:c r="E118" t="s">
        <x:v>513</x:v>
      </x:c>
      <x:c r="F118" t="s">
        <x:v>513</x:v>
      </x:c>
      <x:c r="G118" t="s">
        <x:v>59</x:v>
      </x:c>
      <x:c r="P118" t="str">
        <x:f>LOWER(TRIM(SUBSTITUTE(E118,CHAR(160)," ")))</x:f>
        <x:v>manisha.dookhy@pwc.com</x:v>
      </x:c>
      <x:c r="Q118" t="n">
        <x:f>IFERROR(VALUE(LEFT(D118,SEARCH("h",D118)-1)),0)*3600+IFERROR(VALUE(MID(D118,IFERROR(SEARCH("h ",D118)+2,1),SEARCH("m",D118)-IFERROR(SEARCH("h ",D118)+2,1))),0)*60+IFERROR(VALUE(MID(D118,IFERROR(SEARCH("m ",D118)+2,IFERROR(SEARCH("h ",D118)+2,1)),SEARCH("s",D118)-IFERROR(SEARCH("m ",D118)+2,IFERROR(SEARCH("h ",D118)+2,1)))),0)</x:f>
        <x:v>7060</x:v>
      </x:c>
      <x:c r="R118" t="str">
        <x:f>IF(P118="","No",IF(COUNTIF('Employee Attendance'!$D$2:$D$670,P118)&gt;0,"Yes","No"))</x:f>
        <x:v>Yes</x:v>
      </x:c>
    </x:row>
    <x:row r="119">
      <x:c r="A119" t="s">
        <x:v>514</x:v>
      </x:c>
      <x:c r="B119" t="s">
        <x:v>515</x:v>
      </x:c>
      <x:c r="C119" t="s">
        <x:v>516</x:v>
      </x:c>
      <x:c r="D119" t="s">
        <x:v>517</x:v>
      </x:c>
      <x:c r="E119" t="s">
        <x:v>518</x:v>
      </x:c>
      <x:c r="F119" t="s">
        <x:v>518</x:v>
      </x:c>
      <x:c r="G119" t="s">
        <x:v>59</x:v>
      </x:c>
      <x:c r="J119">
        <x:v>1</x:v>
      </x:c>
      <x:c r="M119">
        <x:v>1</x:v>
      </x:c>
      <x:c r="P119" t="str">
        <x:f>LOWER(TRIM(SUBSTITUTE(E119,CHAR(160)," ")))</x:f>
        <x:v>akinyemi.awodumila@pwc.com</x:v>
      </x:c>
      <x:c r="Q119" t="n">
        <x:f>IFERROR(VALUE(LEFT(D119,SEARCH("h",D119)-1)),0)*3600+IFERROR(VALUE(MID(D119,IFERROR(SEARCH("h ",D119)+2,1),SEARCH("m",D119)-IFERROR(SEARCH("h ",D119)+2,1))),0)*60+IFERROR(VALUE(MID(D119,IFERROR(SEARCH("m ",D119)+2,IFERROR(SEARCH("h ",D119)+2,1)),SEARCH("s",D119)-IFERROR(SEARCH("m ",D119)+2,IFERROR(SEARCH("h ",D119)+2,1)))),0)</x:f>
        <x:v>7041</x:v>
      </x:c>
      <x:c r="R119" t="str">
        <x:f>IF(P119="","No",IF(COUNTIF('Employee Attendance'!$D$2:$D$670,P119)&gt;0,"Yes","No"))</x:f>
        <x:v>Yes</x:v>
      </x:c>
    </x:row>
    <x:row r="120">
      <x:c r="A120" t="s">
        <x:v>519</x:v>
      </x:c>
      <x:c r="B120" t="s">
        <x:v>520</x:v>
      </x:c>
      <x:c r="C120" t="s">
        <x:v>235</x:v>
      </x:c>
      <x:c r="D120" t="s">
        <x:v>521</x:v>
      </x:c>
      <x:c r="E120" t="s">
        <x:v>522</x:v>
      </x:c>
      <x:c r="F120" t="s">
        <x:v>522</x:v>
      </x:c>
      <x:c r="G120" t="s">
        <x:v>59</x:v>
      </x:c>
      <x:c r="P120" t="str">
        <x:f>LOWER(TRIM(SUBSTITUTE(E120,CHAR(160)," ")))</x:f>
        <x:v>fraciah.maina@pwc.com</x:v>
      </x:c>
      <x:c r="Q120" t="n">
        <x:f>IFERROR(VALUE(LEFT(D120,SEARCH("h",D120)-1)),0)*3600+IFERROR(VALUE(MID(D120,IFERROR(SEARCH("h ",D120)+2,1),SEARCH("m",D120)-IFERROR(SEARCH("h ",D120)+2,1))),0)*60+IFERROR(VALUE(MID(D120,IFERROR(SEARCH("m ",D120)+2,IFERROR(SEARCH("h ",D120)+2,1)),SEARCH("s",D120)-IFERROR(SEARCH("m ",D120)+2,IFERROR(SEARCH("h ",D120)+2,1)))),0)</x:f>
        <x:v>7090</x:v>
      </x:c>
      <x:c r="R120" t="str">
        <x:f>IF(P120="","No",IF(COUNTIF('Employee Attendance'!$D$2:$D$670,P120)&gt;0,"Yes","No"))</x:f>
        <x:v>Yes</x:v>
      </x:c>
    </x:row>
    <x:row r="121">
      <x:c r="A121" t="s">
        <x:v>523</x:v>
      </x:c>
      <x:c r="B121" t="s">
        <x:v>524</x:v>
      </x:c>
      <x:c r="C121" t="s">
        <x:v>170</x:v>
      </x:c>
      <x:c r="D121" t="s">
        <x:v>525</x:v>
      </x:c>
      <x:c r="E121" t="s">
        <x:v>526</x:v>
      </x:c>
      <x:c r="F121" t="s">
        <x:v>526</x:v>
      </x:c>
      <x:c r="G121" t="s">
        <x:v>59</x:v>
      </x:c>
      <x:c r="P121" t="str">
        <x:f>LOWER(TRIM(SUBSTITUTE(E121,CHAR(160)," ")))</x:f>
        <x:v>elvis.thusiike@pwc.com</x:v>
      </x:c>
      <x:c r="Q121" t="n">
        <x:f>IFERROR(VALUE(LEFT(D121,SEARCH("h",D121)-1)),0)*3600+IFERROR(VALUE(MID(D121,IFERROR(SEARCH("h ",D121)+2,1),SEARCH("m",D121)-IFERROR(SEARCH("h ",D121)+2,1))),0)*60+IFERROR(VALUE(MID(D121,IFERROR(SEARCH("m ",D121)+2,IFERROR(SEARCH("h ",D121)+2,1)),SEARCH("s",D121)-IFERROR(SEARCH("m ",D121)+2,IFERROR(SEARCH("h ",D121)+2,1)))),0)</x:f>
        <x:v>7048</x:v>
      </x:c>
      <x:c r="R121" t="str">
        <x:f>IF(P121="","No",IF(COUNTIF('Employee Attendance'!$D$2:$D$670,P121)&gt;0,"Yes","No"))</x:f>
        <x:v>Yes</x:v>
      </x:c>
    </x:row>
    <x:row r="122">
      <x:c r="A122" t="s">
        <x:v>527</x:v>
      </x:c>
      <x:c r="B122" t="s">
        <x:v>528</x:v>
      </x:c>
      <x:c r="C122" t="s">
        <x:v>529</x:v>
      </x:c>
      <x:c r="D122" t="s">
        <x:v>530</x:v>
      </x:c>
      <x:c r="E122" t="s">
        <x:v>531</x:v>
      </x:c>
      <x:c r="F122" t="s">
        <x:v>531</x:v>
      </x:c>
      <x:c r="G122" t="s">
        <x:v>59</x:v>
      </x:c>
      <x:c r="O122">
        <x:v>1</x:v>
      </x:c>
      <x:c r="P122" t="str">
        <x:f>LOWER(TRIM(SUBSTITUTE(E122,CHAR(160)," ")))</x:f>
        <x:v>joe.manyalla@pwc.com</x:v>
      </x:c>
      <x:c r="Q122" t="n">
        <x:f>IFERROR(VALUE(LEFT(D122,SEARCH("h",D122)-1)),0)*3600+IFERROR(VALUE(MID(D122,IFERROR(SEARCH("h ",D122)+2,1),SEARCH("m",D122)-IFERROR(SEARCH("h ",D122)+2,1))),0)*60+IFERROR(VALUE(MID(D122,IFERROR(SEARCH("m ",D122)+2,IFERROR(SEARCH("h ",D122)+2,1)),SEARCH("s",D122)-IFERROR(SEARCH("m ",D122)+2,IFERROR(SEARCH("h ",D122)+2,1)))),0)</x:f>
        <x:v>7161</x:v>
      </x:c>
      <x:c r="R122" t="str">
        <x:f>IF(P122="","No",IF(COUNTIF('Employee Attendance'!$D$2:$D$670,P122)&gt;0,"Yes","No"))</x:f>
        <x:v>Yes</x:v>
      </x:c>
    </x:row>
    <x:row r="123">
      <x:c r="A123" t="s">
        <x:v>532</x:v>
      </x:c>
      <x:c r="B123" t="s">
        <x:v>533</x:v>
      </x:c>
      <x:c r="C123" t="s">
        <x:v>30</x:v>
      </x:c>
      <x:c r="D123" t="s">
        <x:v>534</x:v>
      </x:c>
      <x:c r="E123" t="s">
        <x:v>535</x:v>
      </x:c>
      <x:c r="F123" t="s">
        <x:v>535</x:v>
      </x:c>
      <x:c r="G123" t="s">
        <x:v>59</x:v>
      </x:c>
      <x:c r="P123" t="str">
        <x:f>LOWER(TRIM(SUBSTITUTE(E123,CHAR(160)," ")))</x:f>
        <x:v>jacqueline.kamau@pwc.com</x:v>
      </x:c>
      <x:c r="Q123" t="n">
        <x:f>IFERROR(VALUE(LEFT(D123,SEARCH("h",D123)-1)),0)*3600+IFERROR(VALUE(MID(D123,IFERROR(SEARCH("h ",D123)+2,1),SEARCH("m",D123)-IFERROR(SEARCH("h ",D123)+2,1))),0)*60+IFERROR(VALUE(MID(D123,IFERROR(SEARCH("m ",D123)+2,IFERROR(SEARCH("h ",D123)+2,1)),SEARCH("s",D123)-IFERROR(SEARCH("m ",D123)+2,IFERROR(SEARCH("h ",D123)+2,1)))),0)</x:f>
        <x:v>7038</x:v>
      </x:c>
      <x:c r="R123" t="str">
        <x:f>IF(P123="","No",IF(COUNTIF('Employee Attendance'!$D$2:$D$670,P123)&gt;0,"Yes","No"))</x:f>
        <x:v>Yes</x:v>
      </x:c>
    </x:row>
    <x:row r="124">
      <x:c r="A124" t="s">
        <x:v>536</x:v>
      </x:c>
      <x:c r="B124" t="s">
        <x:v>537</x:v>
      </x:c>
      <x:c r="C124" t="s">
        <x:v>352</x:v>
      </x:c>
      <x:c r="D124" t="s">
        <x:v>538</x:v>
      </x:c>
      <x:c r="E124" t="s">
        <x:v>539</x:v>
      </x:c>
      <x:c r="F124" t="s">
        <x:v>539</x:v>
      </x:c>
      <x:c r="G124" t="s">
        <x:v>59</x:v>
      </x:c>
      <x:c r="H124">
        <x:v>1</x:v>
      </x:c>
      <x:c r="N124">
        <x:v>1</x:v>
      </x:c>
      <x:c r="O124">
        <x:v>1</x:v>
      </x:c>
      <x:c r="P124" t="str">
        <x:f>LOWER(TRIM(SUBSTITUTE(E124,CHAR(160)," ")))</x:f>
        <x:v>rashida.x.phiri@pwc.com</x:v>
      </x:c>
      <x:c r="Q124" t="n">
        <x:f>IFERROR(VALUE(LEFT(D124,SEARCH("h",D124)-1)),0)*3600+IFERROR(VALUE(MID(D124,IFERROR(SEARCH("h ",D124)+2,1),SEARCH("m",D124)-IFERROR(SEARCH("h ",D124)+2,1))),0)*60+IFERROR(VALUE(MID(D124,IFERROR(SEARCH("m ",D124)+2,IFERROR(SEARCH("h ",D124)+2,1)),SEARCH("s",D124)-IFERROR(SEARCH("m ",D124)+2,IFERROR(SEARCH("h ",D124)+2,1)))),0)</x:f>
        <x:v>7056</x:v>
      </x:c>
      <x:c r="R124" t="str">
        <x:f>IF(P124="","No",IF(COUNTIF('Employee Attendance'!$D$2:$D$670,P124)&gt;0,"Yes","No"))</x:f>
        <x:v>Yes</x:v>
      </x:c>
    </x:row>
    <x:row r="125">
      <x:c r="A125" t="s">
        <x:v>540</x:v>
      </x:c>
      <x:c r="B125" t="s">
        <x:v>541</x:v>
      </x:c>
      <x:c r="C125" t="s">
        <x:v>339</x:v>
      </x:c>
      <x:c r="D125" t="s">
        <x:v>525</x:v>
      </x:c>
      <x:c r="E125" t="s">
        <x:v>542</x:v>
      </x:c>
      <x:c r="F125" t="s">
        <x:v>542</x:v>
      </x:c>
      <x:c r="G125" t="s">
        <x:v>59</x:v>
      </x:c>
      <x:c r="O125">
        <x:v>2</x:v>
      </x:c>
      <x:c r="P125" t="str">
        <x:f>LOWER(TRIM(SUBSTITUTE(E125,CHAR(160)," ")))</x:f>
        <x:v>wandia.gitonga@pwc.com</x:v>
      </x:c>
      <x:c r="Q125" t="n">
        <x:f>IFERROR(VALUE(LEFT(D125,SEARCH("h",D125)-1)),0)*3600+IFERROR(VALUE(MID(D125,IFERROR(SEARCH("h ",D125)+2,1),SEARCH("m",D125)-IFERROR(SEARCH("h ",D125)+2,1))),0)*60+IFERROR(VALUE(MID(D125,IFERROR(SEARCH("m ",D125)+2,IFERROR(SEARCH("h ",D125)+2,1)),SEARCH("s",D125)-IFERROR(SEARCH("m ",D125)+2,IFERROR(SEARCH("h ",D125)+2,1)))),0)</x:f>
        <x:v>7048</x:v>
      </x:c>
      <x:c r="R125" t="str">
        <x:f>IF(P125="","No",IF(COUNTIF('Employee Attendance'!$D$2:$D$670,P125)&gt;0,"Yes","No"))</x:f>
        <x:v>Yes</x:v>
      </x:c>
    </x:row>
    <x:row r="126">
      <x:c r="A126" t="s">
        <x:v>543</x:v>
      </x:c>
      <x:c r="B126" t="s">
        <x:v>40</x:v>
      </x:c>
      <x:c r="C126" t="s">
        <x:v>170</x:v>
      </x:c>
      <x:c r="D126" t="s">
        <x:v>544</x:v>
      </x:c>
      <x:c r="E126" t="s">
        <x:v>545</x:v>
      </x:c>
      <x:c r="F126" t="s">
        <x:v>545</x:v>
      </x:c>
      <x:c r="G126" t="s">
        <x:v>59</x:v>
      </x:c>
      <x:c r="M126">
        <x:v>2</x:v>
      </x:c>
      <x:c r="O126">
        <x:v>2</x:v>
      </x:c>
      <x:c r="P126" t="str">
        <x:f>LOWER(TRIM(SUBSTITUTE(E126,CHAR(160)," ")))</x:f>
        <x:v>pieter.hough@pwc.com</x:v>
      </x:c>
      <x:c r="Q126" t="n">
        <x:f>IFERROR(VALUE(LEFT(D126,SEARCH("h",D126)-1)),0)*3600+IFERROR(VALUE(MID(D126,IFERROR(SEARCH("h ",D126)+2,1),SEARCH("m",D126)-IFERROR(SEARCH("h ",D126)+2,1))),0)*60+IFERROR(VALUE(MID(D126,IFERROR(SEARCH("m ",D126)+2,IFERROR(SEARCH("h ",D126)+2,1)),SEARCH("s",D126)-IFERROR(SEARCH("m ",D126)+2,IFERROR(SEARCH("h ",D126)+2,1)))),0)</x:f>
        <x:v>7043</x:v>
      </x:c>
      <x:c r="R126" t="str">
        <x:f>IF(P126="","No",IF(COUNTIF('Employee Attendance'!$D$2:$D$670,P126)&gt;0,"Yes","No"))</x:f>
        <x:v>Yes</x:v>
      </x:c>
    </x:row>
    <x:row r="127">
      <x:c r="A127" t="s">
        <x:v>546</x:v>
      </x:c>
      <x:c r="B127" t="s">
        <x:v>547</x:v>
      </x:c>
      <x:c r="C127" t="s">
        <x:v>548</x:v>
      </x:c>
      <x:c r="D127" t="s">
        <x:v>549</x:v>
      </x:c>
      <x:c r="E127" t="s">
        <x:v>550</x:v>
      </x:c>
      <x:c r="F127" t="s">
        <x:v>550</x:v>
      </x:c>
      <x:c r="G127" t="s">
        <x:v>59</x:v>
      </x:c>
      <x:c r="P127" t="str">
        <x:f>LOWER(TRIM(SUBSTITUTE(E127,CHAR(160)," ")))</x:f>
        <x:v>frida.umuhire@pwc.com</x:v>
      </x:c>
      <x:c r="Q127" t="n">
        <x:f>IFERROR(VALUE(LEFT(D127,SEARCH("h",D127)-1)),0)*3600+IFERROR(VALUE(MID(D127,IFERROR(SEARCH("h ",D127)+2,1),SEARCH("m",D127)-IFERROR(SEARCH("h ",D127)+2,1))),0)*60+IFERROR(VALUE(MID(D127,IFERROR(SEARCH("m ",D127)+2,IFERROR(SEARCH("h ",D127)+2,1)),SEARCH("s",D127)-IFERROR(SEARCH("m ",D127)+2,IFERROR(SEARCH("h ",D127)+2,1)))),0)</x:f>
        <x:v>7457</x:v>
      </x:c>
      <x:c r="R127" t="str">
        <x:f>IF(P127="","No",IF(COUNTIF('Employee Attendance'!$D$2:$D$670,P127)&gt;0,"Yes","No"))</x:f>
        <x:v>Yes</x:v>
      </x:c>
    </x:row>
    <x:row r="128">
      <x:c r="A128" t="s">
        <x:v>551</x:v>
      </x:c>
      <x:c r="B128" t="s">
        <x:v>552</x:v>
      </x:c>
      <x:c r="C128" t="s">
        <x:v>553</x:v>
      </x:c>
      <x:c r="D128" t="s">
        <x:v>554</x:v>
      </x:c>
      <x:c r="E128" t="s">
        <x:v>555</x:v>
      </x:c>
      <x:c r="F128" t="s">
        <x:v>555</x:v>
      </x:c>
      <x:c r="G128" t="s">
        <x:v>59</x:v>
      </x:c>
      <x:c r="J128">
        <x:v>1</x:v>
      </x:c>
      <x:c r="P128" t="str">
        <x:f>LOWER(TRIM(SUBSTITUTE(E128,CHAR(160)," ")))</x:f>
        <x:v>purav.patel@pwc.com</x:v>
      </x:c>
      <x:c r="Q128" t="n">
        <x:f>IFERROR(VALUE(LEFT(D128,SEARCH("h",D128)-1)),0)*3600+IFERROR(VALUE(MID(D128,IFERROR(SEARCH("h ",D128)+2,1),SEARCH("m",D128)-IFERROR(SEARCH("h ",D128)+2,1))),0)*60+IFERROR(VALUE(MID(D128,IFERROR(SEARCH("m ",D128)+2,IFERROR(SEARCH("h ",D128)+2,1)),SEARCH("s",D128)-IFERROR(SEARCH("m ",D128)+2,IFERROR(SEARCH("h ",D128)+2,1)))),0)</x:f>
        <x:v>7107</x:v>
      </x:c>
      <x:c r="R128" t="str">
        <x:f>IF(P128="","No",IF(COUNTIF('Employee Attendance'!$D$2:$D$670,P128)&gt;0,"Yes","No"))</x:f>
        <x:v>Yes</x:v>
      </x:c>
    </x:row>
    <x:row r="129">
      <x:c r="A129" t="s">
        <x:v>556</x:v>
      </x:c>
      <x:c r="B129" t="s">
        <x:v>557</x:v>
      </x:c>
      <x:c r="C129" t="s">
        <x:v>558</x:v>
      </x:c>
      <x:c r="D129" t="s">
        <x:v>559</x:v>
      </x:c>
      <x:c r="E129" t="s">
        <x:v>560</x:v>
      </x:c>
      <x:c r="F129" t="s">
        <x:v>560</x:v>
      </x:c>
      <x:c r="G129" t="s">
        <x:v>59</x:v>
      </x:c>
      <x:c r="P129" t="str">
        <x:f>LOWER(TRIM(SUBSTITUTE(E129,CHAR(160)," ")))</x:f>
        <x:v>mary.mutuku@pwc.com</x:v>
      </x:c>
      <x:c r="Q129" t="n">
        <x:f>IFERROR(VALUE(LEFT(D129,SEARCH("h",D129)-1)),0)*3600+IFERROR(VALUE(MID(D129,IFERROR(SEARCH("h ",D129)+2,1),SEARCH("m",D129)-IFERROR(SEARCH("h ",D129)+2,1))),0)*60+IFERROR(VALUE(MID(D129,IFERROR(SEARCH("m ",D129)+2,IFERROR(SEARCH("h ",D129)+2,1)),SEARCH("s",D129)-IFERROR(SEARCH("m ",D129)+2,IFERROR(SEARCH("h ",D129)+2,1)))),0)</x:f>
        <x:v>7632</x:v>
      </x:c>
      <x:c r="R129" t="str">
        <x:f>IF(P129="","No",IF(COUNTIF('Employee Attendance'!$D$2:$D$670,P129)&gt;0,"Yes","No"))</x:f>
        <x:v>Yes</x:v>
      </x:c>
    </x:row>
    <x:row r="130">
      <x:c r="A130" t="s">
        <x:v>561</x:v>
      </x:c>
      <x:c r="B130" t="s">
        <x:v>562</x:v>
      </x:c>
      <x:c r="C130" t="s">
        <x:v>563</x:v>
      </x:c>
      <x:c r="D130" t="s">
        <x:v>564</x:v>
      </x:c>
      <x:c r="E130" t="s">
        <x:v>565</x:v>
      </x:c>
      <x:c r="F130" t="s">
        <x:v>565</x:v>
      </x:c>
      <x:c r="G130" t="s">
        <x:v>59</x:v>
      </x:c>
      <x:c r="P130" t="str">
        <x:f>LOWER(TRIM(SUBSTITUTE(E130,CHAR(160)," ")))</x:f>
        <x:v>benedict.odero@pwc.com</x:v>
      </x:c>
      <x:c r="Q130" t="n">
        <x:f>IFERROR(VALUE(LEFT(D130,SEARCH("h",D130)-1)),0)*3600+IFERROR(VALUE(MID(D130,IFERROR(SEARCH("h ",D130)+2,1),SEARCH("m",D130)-IFERROR(SEARCH("h ",D130)+2,1))),0)*60+IFERROR(VALUE(MID(D130,IFERROR(SEARCH("m ",D130)+2,IFERROR(SEARCH("h ",D130)+2,1)),SEARCH("s",D130)-IFERROR(SEARCH("m ",D130)+2,IFERROR(SEARCH("h ",D130)+2,1)))),0)</x:f>
        <x:v>6593</x:v>
      </x:c>
      <x:c r="R130" t="str">
        <x:f>IF(P130="","No",IF(COUNTIF('Employee Attendance'!$D$2:$D$670,P130)&gt;0,"Yes","No"))</x:f>
        <x:v>Yes</x:v>
      </x:c>
    </x:row>
    <x:row r="131">
      <x:c r="A131" t="s">
        <x:v>566</x:v>
      </x:c>
      <x:c r="B131" t="s">
        <x:v>567</x:v>
      </x:c>
      <x:c r="C131" t="s">
        <x:v>334</x:v>
      </x:c>
      <x:c r="D131" t="s">
        <x:v>568</x:v>
      </x:c>
      <x:c r="E131" t="s">
        <x:v>569</x:v>
      </x:c>
      <x:c r="F131" t="s">
        <x:v>569</x:v>
      </x:c>
      <x:c r="G131" t="s">
        <x:v>59</x:v>
      </x:c>
      <x:c r="O131">
        <x:v>1</x:v>
      </x:c>
      <x:c r="P131" t="str">
        <x:f>LOWER(TRIM(SUBSTITUTE(E131,CHAR(160)," ")))</x:f>
        <x:v>charity.mulenga@pwc.com</x:v>
      </x:c>
      <x:c r="Q131" t="n">
        <x:f>IFERROR(VALUE(LEFT(D131,SEARCH("h",D131)-1)),0)*3600+IFERROR(VALUE(MID(D131,IFERROR(SEARCH("h ",D131)+2,1),SEARCH("m",D131)-IFERROR(SEARCH("h ",D131)+2,1))),0)*60+IFERROR(VALUE(MID(D131,IFERROR(SEARCH("m ",D131)+2,IFERROR(SEARCH("h ",D131)+2,1)),SEARCH("s",D131)-IFERROR(SEARCH("m ",D131)+2,IFERROR(SEARCH("h ",D131)+2,1)))),0)</x:f>
        <x:v>7016</x:v>
      </x:c>
      <x:c r="R131" t="str">
        <x:f>IF(P131="","No",IF(COUNTIF('Employee Attendance'!$D$2:$D$670,P131)&gt;0,"Yes","No"))</x:f>
        <x:v>Yes</x:v>
      </x:c>
    </x:row>
    <x:row r="132">
      <x:c r="A132" t="s">
        <x:v>570</x:v>
      </x:c>
      <x:c r="B132" t="s">
        <x:v>571</x:v>
      </x:c>
      <x:c r="C132" t="s">
        <x:v>572</x:v>
      </x:c>
      <x:c r="D132" t="s">
        <x:v>573</x:v>
      </x:c>
      <x:c r="E132" t="s">
        <x:v>574</x:v>
      </x:c>
      <x:c r="F132" t="s">
        <x:v>574</x:v>
      </x:c>
      <x:c r="G132" t="s">
        <x:v>59</x:v>
      </x:c>
      <x:c r="P132" t="str">
        <x:f>LOWER(TRIM(SUBSTITUTE(E132,CHAR(160)," ")))</x:f>
        <x:v>alvine.oyonga@pwc.com</x:v>
      </x:c>
      <x:c r="Q132" t="n">
        <x:f>IFERROR(VALUE(LEFT(D132,SEARCH("h",D132)-1)),0)*3600+IFERROR(VALUE(MID(D132,IFERROR(SEARCH("h ",D132)+2,1),SEARCH("m",D132)-IFERROR(SEARCH("h ",D132)+2,1))),0)*60+IFERROR(VALUE(MID(D132,IFERROR(SEARCH("m ",D132)+2,IFERROR(SEARCH("h ",D132)+2,1)),SEARCH("s",D132)-IFERROR(SEARCH("m ",D132)+2,IFERROR(SEARCH("h ",D132)+2,1)))),0)</x:f>
        <x:v>7029</x:v>
      </x:c>
      <x:c r="R132" t="str">
        <x:f>IF(P132="","No",IF(COUNTIF('Employee Attendance'!$D$2:$D$670,P132)&gt;0,"Yes","No"))</x:f>
        <x:v>Yes</x:v>
      </x:c>
    </x:row>
    <x:row r="133">
      <x:c r="A133" t="s">
        <x:v>575</x:v>
      </x:c>
      <x:c r="B133" t="s">
        <x:v>571</x:v>
      </x:c>
      <x:c r="C133" t="s">
        <x:v>418</x:v>
      </x:c>
      <x:c r="D133" t="s">
        <x:v>576</x:v>
      </x:c>
      <x:c r="E133" t="s">
        <x:v>577</x:v>
      </x:c>
      <x:c r="F133" t="s">
        <x:v>577</x:v>
      </x:c>
      <x:c r="G133" t="s">
        <x:v>59</x:v>
      </x:c>
      <x:c r="J133">
        <x:v>2</x:v>
      </x:c>
      <x:c r="P133" t="str">
        <x:f>LOWER(TRIM(SUBSTITUTE(E133,CHAR(160)," ")))</x:f>
        <x:v>alice.muchemi@pwc.com</x:v>
      </x:c>
      <x:c r="Q133" t="n">
        <x:f>IFERROR(VALUE(LEFT(D133,SEARCH("h",D133)-1)),0)*3600+IFERROR(VALUE(MID(D133,IFERROR(SEARCH("h ",D133)+2,1),SEARCH("m",D133)-IFERROR(SEARCH("h ",D133)+2,1))),0)*60+IFERROR(VALUE(MID(D133,IFERROR(SEARCH("m ",D133)+2,IFERROR(SEARCH("h ",D133)+2,1)),SEARCH("s",D133)-IFERROR(SEARCH("m ",D133)+2,IFERROR(SEARCH("h ",D133)+2,1)))),0)</x:f>
        <x:v>7040</x:v>
      </x:c>
      <x:c r="R133" t="str">
        <x:f>IF(P133="","No",IF(COUNTIF('Employee Attendance'!$D$2:$D$670,P133)&gt;0,"Yes","No"))</x:f>
        <x:v>Yes</x:v>
      </x:c>
    </x:row>
    <x:row r="134">
      <x:c r="A134" t="s">
        <x:v>578</x:v>
      </x:c>
      <x:c r="B134" t="s">
        <x:v>579</x:v>
      </x:c>
      <x:c r="C134" t="s">
        <x:v>67</x:v>
      </x:c>
      <x:c r="D134" t="s">
        <x:v>580</x:v>
      </x:c>
      <x:c r="E134" t="s">
        <x:v>581</x:v>
      </x:c>
      <x:c r="F134" t="s">
        <x:v>581</x:v>
      </x:c>
      <x:c r="G134" t="s">
        <x:v>59</x:v>
      </x:c>
      <x:c r="P134" t="str">
        <x:f>LOWER(TRIM(SUBSTITUTE(E134,CHAR(160)," ")))</x:f>
        <x:v>jackson.kakae@pwc.com</x:v>
      </x:c>
      <x:c r="Q134" t="n">
        <x:f>IFERROR(VALUE(LEFT(D134,SEARCH("h",D134)-1)),0)*3600+IFERROR(VALUE(MID(D134,IFERROR(SEARCH("h ",D134)+2,1),SEARCH("m",D134)-IFERROR(SEARCH("h ",D134)+2,1))),0)*60+IFERROR(VALUE(MID(D134,IFERROR(SEARCH("m ",D134)+2,IFERROR(SEARCH("h ",D134)+2,1)),SEARCH("s",D134)-IFERROR(SEARCH("m ",D134)+2,IFERROR(SEARCH("h ",D134)+2,1)))),0)</x:f>
        <x:v>7001</x:v>
      </x:c>
      <x:c r="R134" t="str">
        <x:f>IF(P134="","No",IF(COUNTIF('Employee Attendance'!$D$2:$D$670,P134)&gt;0,"Yes","No"))</x:f>
        <x:v>Yes</x:v>
      </x:c>
    </x:row>
    <x:row r="135">
      <x:c r="A135" t="s">
        <x:v>582</x:v>
      </x:c>
      <x:c r="B135" t="s">
        <x:v>583</x:v>
      </x:c>
      <x:c r="C135" t="s">
        <x:v>584</x:v>
      </x:c>
      <x:c r="D135" t="s">
        <x:v>585</x:v>
      </x:c>
      <x:c r="E135" t="s">
        <x:v>586</x:v>
      </x:c>
      <x:c r="F135" t="s">
        <x:v>586</x:v>
      </x:c>
      <x:c r="G135" t="s">
        <x:v>59</x:v>
      </x:c>
      <x:c r="P135" t="str">
        <x:f>LOWER(TRIM(SUBSTITUTE(E135,CHAR(160)," ")))</x:f>
        <x:v>grace.kinyanjui@pwc.com</x:v>
      </x:c>
      <x:c r="Q135" t="n">
        <x:f>IFERROR(VALUE(LEFT(D135,SEARCH("h",D135)-1)),0)*3600+IFERROR(VALUE(MID(D135,IFERROR(SEARCH("h ",D135)+2,1),SEARCH("m",D135)-IFERROR(SEARCH("h ",D135)+2,1))),0)*60+IFERROR(VALUE(MID(D135,IFERROR(SEARCH("m ",D135)+2,IFERROR(SEARCH("h ",D135)+2,1)),SEARCH("s",D135)-IFERROR(SEARCH("m ",D135)+2,IFERROR(SEARCH("h ",D135)+2,1)))),0)</x:f>
        <x:v>6994</x:v>
      </x:c>
      <x:c r="R135" t="str">
        <x:f>IF(P135="","No",IF(COUNTIF('Employee Attendance'!$D$2:$D$670,P135)&gt;0,"Yes","No"))</x:f>
        <x:v>Yes</x:v>
      </x:c>
    </x:row>
    <x:row r="136">
      <x:c r="A136" t="s">
        <x:v>587</x:v>
      </x:c>
      <x:c r="B136" t="s">
        <x:v>588</x:v>
      </x:c>
      <x:c r="C136" t="s">
        <x:v>589</x:v>
      </x:c>
      <x:c r="D136" t="s">
        <x:v>232</x:v>
      </x:c>
      <x:c r="E136" t="s">
        <x:v>590</x:v>
      </x:c>
      <x:c r="F136" t="s">
        <x:v>590</x:v>
      </x:c>
      <x:c r="G136" t="s">
        <x:v>59</x:v>
      </x:c>
      <x:c r="P136" t="str">
        <x:f>LOWER(TRIM(SUBSTITUTE(E136,CHAR(160)," ")))</x:f>
        <x:v>martin.karumba@pwc.com</x:v>
      </x:c>
      <x:c r="Q136" t="n">
        <x:f>IFERROR(VALUE(LEFT(D136,SEARCH("h",D136)-1)),0)*3600+IFERROR(VALUE(MID(D136,IFERROR(SEARCH("h ",D136)+2,1),SEARCH("m",D136)-IFERROR(SEARCH("h ",D136)+2,1))),0)*60+IFERROR(VALUE(MID(D136,IFERROR(SEARCH("m ",D136)+2,IFERROR(SEARCH("h ",D136)+2,1)),SEARCH("s",D136)-IFERROR(SEARCH("m ",D136)+2,IFERROR(SEARCH("h ",D136)+2,1)))),0)</x:f>
        <x:v>7442</x:v>
      </x:c>
      <x:c r="R136" t="str">
        <x:f>IF(P136="","No",IF(COUNTIF('Employee Attendance'!$D$2:$D$670,P136)&gt;0,"Yes","No"))</x:f>
        <x:v>Yes</x:v>
      </x:c>
    </x:row>
    <x:row r="137">
      <x:c r="A137" t="s">
        <x:v>591</x:v>
      </x:c>
      <x:c r="B137" t="s">
        <x:v>592</x:v>
      </x:c>
      <x:c r="C137" t="s">
        <x:v>584</x:v>
      </x:c>
      <x:c r="D137" t="s">
        <x:v>593</x:v>
      </x:c>
      <x:c r="E137" t="s">
        <x:v>594</x:v>
      </x:c>
      <x:c r="F137" t="s">
        <x:v>594</x:v>
      </x:c>
      <x:c r="G137" t="s">
        <x:v>59</x:v>
      </x:c>
      <x:c r="P137" t="str">
        <x:f>LOWER(TRIM(SUBSTITUTE(E137,CHAR(160)," ")))</x:f>
        <x:v>fayson.x.munkombwe@pwc.com</x:v>
      </x:c>
      <x:c r="Q137" t="n">
        <x:f>IFERROR(VALUE(LEFT(D137,SEARCH("h",D137)-1)),0)*3600+IFERROR(VALUE(MID(D137,IFERROR(SEARCH("h ",D137)+2,1),SEARCH("m",D137)-IFERROR(SEARCH("h ",D137)+2,1))),0)*60+IFERROR(VALUE(MID(D137,IFERROR(SEARCH("m ",D137)+2,IFERROR(SEARCH("h ",D137)+2,1)),SEARCH("s",D137)-IFERROR(SEARCH("m ",D137)+2,IFERROR(SEARCH("h ",D137)+2,1)))),0)</x:f>
        <x:v>6984</x:v>
      </x:c>
      <x:c r="R137" t="str">
        <x:f>IF(P137="","No",IF(COUNTIF('Employee Attendance'!$D$2:$D$670,P137)&gt;0,"Yes","No"))</x:f>
        <x:v>Yes</x:v>
      </x:c>
    </x:row>
    <x:row r="138">
      <x:c r="A138" t="s">
        <x:v>595</x:v>
      </x:c>
      <x:c r="B138" t="s">
        <x:v>592</x:v>
      </x:c>
      <x:c r="C138" t="s">
        <x:v>596</x:v>
      </x:c>
      <x:c r="D138" t="s">
        <x:v>597</x:v>
      </x:c>
      <x:c r="E138" t="s">
        <x:v>598</x:v>
      </x:c>
      <x:c r="F138" t="s">
        <x:v>598</x:v>
      </x:c>
      <x:c r="G138" t="s">
        <x:v>59</x:v>
      </x:c>
      <x:c r="P138" t="str">
        <x:f>LOWER(TRIM(SUBSTITUTE(E138,CHAR(160)," ")))</x:f>
        <x:v>michael.male@pwc.com</x:v>
      </x:c>
      <x:c r="Q138" t="n">
        <x:f>IFERROR(VALUE(LEFT(D138,SEARCH("h",D138)-1)),0)*3600+IFERROR(VALUE(MID(D138,IFERROR(SEARCH("h ",D138)+2,1),SEARCH("m",D138)-IFERROR(SEARCH("h ",D138)+2,1))),0)*60+IFERROR(VALUE(MID(D138,IFERROR(SEARCH("m ",D138)+2,IFERROR(SEARCH("h ",D138)+2,1)),SEARCH("s",D138)-IFERROR(SEARCH("m ",D138)+2,IFERROR(SEARCH("h ",D138)+2,1)))),0)</x:f>
        <x:v>3987</x:v>
      </x:c>
      <x:c r="R138" t="str">
        <x:f>IF(P138="","No",IF(COUNTIF('Employee Attendance'!$D$2:$D$670,P138)&gt;0,"Yes","No"))</x:f>
        <x:v>Yes</x:v>
      </x:c>
    </x:row>
    <x:row r="139">
      <x:c r="A139" t="s">
        <x:v>599</x:v>
      </x:c>
      <x:c r="B139" t="s">
        <x:v>600</x:v>
      </x:c>
      <x:c r="C139" t="s">
        <x:v>516</x:v>
      </x:c>
      <x:c r="D139" t="s">
        <x:v>601</x:v>
      </x:c>
      <x:c r="E139" t="s">
        <x:v>602</x:v>
      </x:c>
      <x:c r="F139" t="s">
        <x:v>602</x:v>
      </x:c>
      <x:c r="G139" t="s">
        <x:v>59</x:v>
      </x:c>
      <x:c r="O139">
        <x:v>1</x:v>
      </x:c>
      <x:c r="P139" t="str">
        <x:f>LOWER(TRIM(SUBSTITUTE(E139,CHAR(160)," ")))</x:f>
        <x:v>alice.nderitu@pwc.com</x:v>
      </x:c>
      <x:c r="Q139" t="n">
        <x:f>IFERROR(VALUE(LEFT(D139,SEARCH("h",D139)-1)),0)*3600+IFERROR(VALUE(MID(D139,IFERROR(SEARCH("h ",D139)+2,1),SEARCH("m",D139)-IFERROR(SEARCH("h ",D139)+2,1))),0)*60+IFERROR(VALUE(MID(D139,IFERROR(SEARCH("m ",D139)+2,IFERROR(SEARCH("h ",D139)+2,1)),SEARCH("s",D139)-IFERROR(SEARCH("m ",D139)+2,IFERROR(SEARCH("h ",D139)+2,1)))),0)</x:f>
        <x:v>6976</x:v>
      </x:c>
      <x:c r="R139" t="str">
        <x:f>IF(P139="","No",IF(COUNTIF('Employee Attendance'!$D$2:$D$670,P139)&gt;0,"Yes","No"))</x:f>
        <x:v>Yes</x:v>
      </x:c>
    </x:row>
    <x:row r="140">
      <x:c r="A140" t="s">
        <x:v>603</x:v>
      </x:c>
      <x:c r="B140" t="s">
        <x:v>600</x:v>
      </x:c>
      <x:c r="C140" t="s">
        <x:v>604</x:v>
      </x:c>
      <x:c r="D140" t="s">
        <x:v>605</x:v>
      </x:c>
      <x:c r="E140" t="s">
        <x:v>606</x:v>
      </x:c>
      <x:c r="F140" t="s">
        <x:v>606</x:v>
      </x:c>
      <x:c r="G140" t="s">
        <x:v>59</x:v>
      </x:c>
      <x:c r="O140">
        <x:v>2</x:v>
      </x:c>
      <x:c r="P140" t="str">
        <x:f>LOWER(TRIM(SUBSTITUTE(E140,CHAR(160)," ")))</x:f>
        <x:v>florencia.kituku@pwc.com</x:v>
      </x:c>
      <x:c r="Q140" t="n">
        <x:f>IFERROR(VALUE(LEFT(D140,SEARCH("h",D140)-1)),0)*3600+IFERROR(VALUE(MID(D140,IFERROR(SEARCH("h ",D140)+2,1),SEARCH("m",D140)-IFERROR(SEARCH("h ",D140)+2,1))),0)*60+IFERROR(VALUE(MID(D140,IFERROR(SEARCH("m ",D140)+2,IFERROR(SEARCH("h ",D140)+2,1)),SEARCH("s",D140)-IFERROR(SEARCH("m ",D140)+2,IFERROR(SEARCH("h ",D140)+2,1)))),0)</x:f>
        <x:v>6844</x:v>
      </x:c>
      <x:c r="R140" t="str">
        <x:f>IF(P140="","No",IF(COUNTIF('Employee Attendance'!$D$2:$D$670,P140)&gt;0,"Yes","No"))</x:f>
        <x:v>Yes</x:v>
      </x:c>
    </x:row>
    <x:row r="141">
      <x:c r="A141" t="s">
        <x:v>607</x:v>
      </x:c>
      <x:c r="B141" t="s">
        <x:v>608</x:v>
      </x:c>
      <x:c r="C141" t="s">
        <x:v>51</x:v>
      </x:c>
      <x:c r="D141" t="s">
        <x:v>609</x:v>
      </x:c>
      <x:c r="E141" t="s">
        <x:v>610</x:v>
      </x:c>
      <x:c r="F141" t="s">
        <x:v>610</x:v>
      </x:c>
      <x:c r="G141" t="s">
        <x:v>59</x:v>
      </x:c>
      <x:c r="P141" t="str">
        <x:f>LOWER(TRIM(SUBSTITUTE(E141,CHAR(160)," ")))</x:f>
        <x:v>hope.msoffe@pwc.com</x:v>
      </x:c>
      <x:c r="Q141" t="n">
        <x:f>IFERROR(VALUE(LEFT(D141,SEARCH("h",D141)-1)),0)*3600+IFERROR(VALUE(MID(D141,IFERROR(SEARCH("h ",D141)+2,1),SEARCH("m",D141)-IFERROR(SEARCH("h ",D141)+2,1))),0)*60+IFERROR(VALUE(MID(D141,IFERROR(SEARCH("m ",D141)+2,IFERROR(SEARCH("h ",D141)+2,1)),SEARCH("s",D141)-IFERROR(SEARCH("m ",D141)+2,IFERROR(SEARCH("h ",D141)+2,1)))),0)</x:f>
        <x:v>6975</x:v>
      </x:c>
      <x:c r="R141" t="str">
        <x:f>IF(P141="","No",IF(COUNTIF('Employee Attendance'!$D$2:$D$670,P141)&gt;0,"Yes","No"))</x:f>
        <x:v>Yes</x:v>
      </x:c>
    </x:row>
    <x:row r="142">
      <x:c r="A142" t="s">
        <x:v>611</x:v>
      </x:c>
      <x:c r="B142" t="s">
        <x:v>612</x:v>
      </x:c>
      <x:c r="C142" t="s">
        <x:v>46</x:v>
      </x:c>
      <x:c r="D142" t="s">
        <x:v>601</x:v>
      </x:c>
      <x:c r="E142" t="s">
        <x:v>613</x:v>
      </x:c>
      <x:c r="F142" t="s">
        <x:v>613</x:v>
      </x:c>
      <x:c r="G142" t="s">
        <x:v>59</x:v>
      </x:c>
      <x:c r="H142">
        <x:v>1</x:v>
      </x:c>
      <x:c r="J142">
        <x:v>1</x:v>
      </x:c>
      <x:c r="O142">
        <x:v>2</x:v>
      </x:c>
      <x:c r="P142" t="str">
        <x:f>LOWER(TRIM(SUBSTITUTE(E142,CHAR(160)," ")))</x:f>
        <x:v>job.ngunu@pwc.com</x:v>
      </x:c>
      <x:c r="Q142" t="n">
        <x:f>IFERROR(VALUE(LEFT(D142,SEARCH("h",D142)-1)),0)*3600+IFERROR(VALUE(MID(D142,IFERROR(SEARCH("h ",D142)+2,1),SEARCH("m",D142)-IFERROR(SEARCH("h ",D142)+2,1))),0)*60+IFERROR(VALUE(MID(D142,IFERROR(SEARCH("m ",D142)+2,IFERROR(SEARCH("h ",D142)+2,1)),SEARCH("s",D142)-IFERROR(SEARCH("m ",D142)+2,IFERROR(SEARCH("h ",D142)+2,1)))),0)</x:f>
        <x:v>6976</x:v>
      </x:c>
      <x:c r="R142" t="str">
        <x:f>IF(P142="","No",IF(COUNTIF('Employee Attendance'!$D$2:$D$670,P142)&gt;0,"Yes","No"))</x:f>
        <x:v>Yes</x:v>
      </x:c>
    </x:row>
    <x:row r="143">
      <x:c r="A143" t="s">
        <x:v>614</x:v>
      </x:c>
      <x:c r="B143" t="s">
        <x:v>615</x:v>
      </x:c>
      <x:c r="C143" t="s">
        <x:v>616</x:v>
      </x:c>
      <x:c r="D143" t="s">
        <x:v>617</x:v>
      </x:c>
      <x:c r="E143" t="s">
        <x:v>618</x:v>
      </x:c>
      <x:c r="F143" t="s">
        <x:v>618</x:v>
      </x:c>
      <x:c r="G143" t="s">
        <x:v>59</x:v>
      </x:c>
      <x:c r="P143" t="str">
        <x:f>LOWER(TRIM(SUBSTITUTE(E143,CHAR(160)," ")))</x:f>
        <x:v>jackson.omondi@pwc.com</x:v>
      </x:c>
      <x:c r="Q143" t="n">
        <x:f>IFERROR(VALUE(LEFT(D143,SEARCH("h",D143)-1)),0)*3600+IFERROR(VALUE(MID(D143,IFERROR(SEARCH("h ",D143)+2,1),SEARCH("m",D143)-IFERROR(SEARCH("h ",D143)+2,1))),0)*60+IFERROR(VALUE(MID(D143,IFERROR(SEARCH("m ",D143)+2,IFERROR(SEARCH("h ",D143)+2,1)),SEARCH("s",D143)-IFERROR(SEARCH("m ",D143)+2,IFERROR(SEARCH("h ",D143)+2,1)))),0)</x:f>
        <x:v>7008</x:v>
      </x:c>
      <x:c r="R143" t="str">
        <x:f>IF(P143="","No",IF(COUNTIF('Employee Attendance'!$D$2:$D$670,P143)&gt;0,"Yes","No"))</x:f>
        <x:v>Yes</x:v>
      </x:c>
    </x:row>
    <x:row r="144">
      <x:c r="A144" t="s">
        <x:v>619</x:v>
      </x:c>
      <x:c r="B144" t="s">
        <x:v>620</x:v>
      </x:c>
      <x:c r="C144" t="s">
        <x:v>621</x:v>
      </x:c>
      <x:c r="D144" t="s">
        <x:v>622</x:v>
      </x:c>
      <x:c r="E144" t="s">
        <x:v>623</x:v>
      </x:c>
      <x:c r="F144" t="s">
        <x:v>623</x:v>
      </x:c>
      <x:c r="G144" t="s">
        <x:v>59</x:v>
      </x:c>
      <x:c r="P144" t="str">
        <x:f>LOWER(TRIM(SUBSTITUTE(E144,CHAR(160)," ")))</x:f>
        <x:v>suhashinee.kawal@pwc.com</x:v>
      </x:c>
      <x:c r="Q144" t="n">
        <x:f>IFERROR(VALUE(LEFT(D144,SEARCH("h",D144)-1)),0)*3600+IFERROR(VALUE(MID(D144,IFERROR(SEARCH("h ",D144)+2,1),SEARCH("m",D144)-IFERROR(SEARCH("h ",D144)+2,1))),0)*60+IFERROR(VALUE(MID(D144,IFERROR(SEARCH("m ",D144)+2,IFERROR(SEARCH("h ",D144)+2,1)),SEARCH("s",D144)-IFERROR(SEARCH("m ",D144)+2,IFERROR(SEARCH("h ",D144)+2,1)))),0)</x:f>
        <x:v>57</x:v>
      </x:c>
      <x:c r="R144" t="str">
        <x:f>IF(P144="","No",IF(COUNTIF('Employee Attendance'!$D$2:$D$670,P144)&gt;0,"Yes","No"))</x:f>
        <x:v>Yes</x:v>
      </x:c>
    </x:row>
    <x:row r="145">
      <x:c r="A145" t="s">
        <x:v>624</x:v>
      </x:c>
      <x:c r="B145" t="s">
        <x:v>45</x:v>
      </x:c>
      <x:c r="C145" t="s">
        <x:v>170</x:v>
      </x:c>
      <x:c r="D145" t="s">
        <x:v>625</x:v>
      </x:c>
      <x:c r="E145" t="s">
        <x:v>626</x:v>
      </x:c>
      <x:c r="F145" t="s">
        <x:v>626</x:v>
      </x:c>
      <x:c r="G145" t="s">
        <x:v>59</x:v>
      </x:c>
      <x:c r="O145">
        <x:v>2</x:v>
      </x:c>
      <x:c r="P145" t="str">
        <x:f>LOWER(TRIM(SUBSTITUTE(E145,CHAR(160)," ")))</x:f>
        <x:v>james.mwaniki@pwc.com</x:v>
      </x:c>
      <x:c r="Q145" t="n">
        <x:f>IFERROR(VALUE(LEFT(D145,SEARCH("h",D145)-1)),0)*3600+IFERROR(VALUE(MID(D145,IFERROR(SEARCH("h ",D145)+2,1),SEARCH("m",D145)-IFERROR(SEARCH("h ",D145)+2,1))),0)*60+IFERROR(VALUE(MID(D145,IFERROR(SEARCH("m ",D145)+2,IFERROR(SEARCH("h ",D145)+2,1)),SEARCH("s",D145)-IFERROR(SEARCH("m ",D145)+2,IFERROR(SEARCH("h ",D145)+2,1)))),0)</x:f>
        <x:v>6503</x:v>
      </x:c>
      <x:c r="R145" t="str">
        <x:f>IF(P145="","No",IF(COUNTIF('Employee Attendance'!$D$2:$D$670,P145)&gt;0,"Yes","No"))</x:f>
        <x:v>Yes</x:v>
      </x:c>
    </x:row>
    <x:row r="146">
      <x:c r="A146" t="s">
        <x:v>627</x:v>
      </x:c>
      <x:c r="B146" t="s">
        <x:v>628</x:v>
      </x:c>
      <x:c r="C146" t="s">
        <x:v>629</x:v>
      </x:c>
      <x:c r="D146" t="s">
        <x:v>630</x:v>
      </x:c>
      <x:c r="E146" t="s">
        <x:v>631</x:v>
      </x:c>
      <x:c r="F146" t="s">
        <x:v>631</x:v>
      </x:c>
      <x:c r="G146" t="s">
        <x:v>59</x:v>
      </x:c>
      <x:c r="O146">
        <x:v>1</x:v>
      </x:c>
      <x:c r="P146" t="str">
        <x:f>LOWER(TRIM(SUBSTITUTE(E146,CHAR(160)," ")))</x:f>
        <x:v>dauson.kaijunga@pwc.com</x:v>
      </x:c>
      <x:c r="Q146" t="n">
        <x:f>IFERROR(VALUE(LEFT(D146,SEARCH("h",D146)-1)),0)*3600+IFERROR(VALUE(MID(D146,IFERROR(SEARCH("h ",D146)+2,1),SEARCH("m",D146)-IFERROR(SEARCH("h ",D146)+2,1))),0)*60+IFERROR(VALUE(MID(D146,IFERROR(SEARCH("m ",D146)+2,IFERROR(SEARCH("h ",D146)+2,1)),SEARCH("s",D146)-IFERROR(SEARCH("m ",D146)+2,IFERROR(SEARCH("h ",D146)+2,1)))),0)</x:f>
        <x:v>7170</x:v>
      </x:c>
      <x:c r="R146" t="str">
        <x:f>IF(P146="","No",IF(COUNTIF('Employee Attendance'!$D$2:$D$670,P146)&gt;0,"Yes","No"))</x:f>
        <x:v>Yes</x:v>
      </x:c>
    </x:row>
    <x:row r="147">
      <x:c r="A147" t="s">
        <x:v>632</x:v>
      </x:c>
      <x:c r="B147" t="s">
        <x:v>628</x:v>
      </x:c>
      <x:c r="C147" t="s">
        <x:v>67</x:v>
      </x:c>
      <x:c r="D147" t="s">
        <x:v>633</x:v>
      </x:c>
      <x:c r="E147" t="s">
        <x:v>634</x:v>
      </x:c>
      <x:c r="F147" t="s">
        <x:v>634</x:v>
      </x:c>
      <x:c r="G147" t="s">
        <x:v>59</x:v>
      </x:c>
      <x:c r="H147">
        <x:v>1</x:v>
      </x:c>
      <x:c r="O147">
        <x:v>1</x:v>
      </x:c>
      <x:c r="P147" t="str">
        <x:f>LOWER(TRIM(SUBSTITUTE(E147,CHAR(160)," ")))</x:f>
        <x:v>chanele.m.machimane@pwc.com</x:v>
      </x:c>
      <x:c r="Q147" t="n">
        <x:f>IFERROR(VALUE(LEFT(D147,SEARCH("h",D147)-1)),0)*3600+IFERROR(VALUE(MID(D147,IFERROR(SEARCH("h ",D147)+2,1),SEARCH("m",D147)-IFERROR(SEARCH("h ",D147)+2,1))),0)*60+IFERROR(VALUE(MID(D147,IFERROR(SEARCH("m ",D147)+2,IFERROR(SEARCH("h ",D147)+2,1)),SEARCH("s",D147)-IFERROR(SEARCH("m ",D147)+2,IFERROR(SEARCH("h ",D147)+2,1)))),0)</x:f>
        <x:v>6476</x:v>
      </x:c>
      <x:c r="R147" t="str">
        <x:f>IF(P147="","No",IF(COUNTIF('Employee Attendance'!$D$2:$D$670,P147)&gt;0,"Yes","No"))</x:f>
        <x:v>Yes</x:v>
      </x:c>
    </x:row>
    <x:row r="148">
      <x:c r="A148" t="s">
        <x:v>635</x:v>
      </x:c>
      <x:c r="B148" t="s">
        <x:v>636</x:v>
      </x:c>
      <x:c r="C148" t="s">
        <x:v>231</x:v>
      </x:c>
      <x:c r="D148" t="s">
        <x:v>637</x:v>
      </x:c>
      <x:c r="E148" t="s">
        <x:v>638</x:v>
      </x:c>
      <x:c r="F148" t="s">
        <x:v>638</x:v>
      </x:c>
      <x:c r="G148" t="s">
        <x:v>59</x:v>
      </x:c>
      <x:c r="P148" t="str">
        <x:f>LOWER(TRIM(SUBSTITUTE(E148,CHAR(160)," ")))</x:f>
        <x:v>samuel.wanjau@pwc.com</x:v>
      </x:c>
      <x:c r="Q148" t="n">
        <x:f>IFERROR(VALUE(LEFT(D148,SEARCH("h",D148)-1)),0)*3600+IFERROR(VALUE(MID(D148,IFERROR(SEARCH("h ",D148)+2,1),SEARCH("m",D148)-IFERROR(SEARCH("h ",D148)+2,1))),0)*60+IFERROR(VALUE(MID(D148,IFERROR(SEARCH("m ",D148)+2,IFERROR(SEARCH("h ",D148)+2,1)),SEARCH("s",D148)-IFERROR(SEARCH("m ",D148)+2,IFERROR(SEARCH("h ",D148)+2,1)))),0)</x:f>
        <x:v>3882</x:v>
      </x:c>
      <x:c r="R148" t="str">
        <x:f>IF(P148="","No",IF(COUNTIF('Employee Attendance'!$D$2:$D$670,P148)&gt;0,"Yes","No"))</x:f>
        <x:v>Yes</x:v>
      </x:c>
    </x:row>
    <x:row r="149">
      <x:c r="A149" t="s">
        <x:v>639</x:v>
      </x:c>
      <x:c r="B149" t="s">
        <x:v>636</x:v>
      </x:c>
      <x:c r="C149" t="s">
        <x:v>640</x:v>
      </x:c>
      <x:c r="D149" t="s">
        <x:v>641</x:v>
      </x:c>
      <x:c r="E149" t="s">
        <x:v>642</x:v>
      </x:c>
      <x:c r="F149" t="s">
        <x:v>642</x:v>
      </x:c>
      <x:c r="G149" t="s">
        <x:v>59</x:v>
      </x:c>
      <x:c r="P149" t="str">
        <x:f>LOWER(TRIM(SUBSTITUTE(E149,CHAR(160)," ")))</x:f>
        <x:v>victor.kibet@pwc.com</x:v>
      </x:c>
      <x:c r="Q149" t="n">
        <x:f>IFERROR(VALUE(LEFT(D149,SEARCH("h",D149)-1)),0)*3600+IFERROR(VALUE(MID(D149,IFERROR(SEARCH("h ",D149)+2,1),SEARCH("m",D149)-IFERROR(SEARCH("h ",D149)+2,1))),0)*60+IFERROR(VALUE(MID(D149,IFERROR(SEARCH("m ",D149)+2,IFERROR(SEARCH("h ",D149)+2,1)),SEARCH("s",D149)-IFERROR(SEARCH("m ",D149)+2,IFERROR(SEARCH("h ",D149)+2,1)))),0)</x:f>
        <x:v>3124</x:v>
      </x:c>
      <x:c r="R149" t="str">
        <x:f>IF(P149="","No",IF(COUNTIF('Employee Attendance'!$D$2:$D$670,P149)&gt;0,"Yes","No"))</x:f>
        <x:v>Yes</x:v>
      </x:c>
    </x:row>
    <x:row r="150">
      <x:c r="A150" t="s">
        <x:v>643</x:v>
      </x:c>
      <x:c r="B150" t="s">
        <x:v>636</x:v>
      </x:c>
      <x:c r="C150" t="s">
        <x:v>334</x:v>
      </x:c>
      <x:c r="D150" t="s">
        <x:v>644</x:v>
      </x:c>
      <x:c r="E150" t="s">
        <x:v>645</x:v>
      </x:c>
      <x:c r="F150" t="s">
        <x:v>645</x:v>
      </x:c>
      <x:c r="G150" t="s">
        <x:v>59</x:v>
      </x:c>
      <x:c r="P150" t="str">
        <x:f>LOWER(TRIM(SUBSTITUTE(E150,CHAR(160)," ")))</x:f>
        <x:v>alice.ngetich@pwc.com</x:v>
      </x:c>
      <x:c r="Q150" t="n">
        <x:f>IFERROR(VALUE(LEFT(D150,SEARCH("h",D150)-1)),0)*3600+IFERROR(VALUE(MID(D150,IFERROR(SEARCH("h ",D150)+2,1),SEARCH("m",D150)-IFERROR(SEARCH("h ",D150)+2,1))),0)*60+IFERROR(VALUE(MID(D150,IFERROR(SEARCH("m ",D150)+2,IFERROR(SEARCH("h ",D150)+2,1)),SEARCH("s",D150)-IFERROR(SEARCH("m ",D150)+2,IFERROR(SEARCH("h ",D150)+2,1)))),0)</x:f>
        <x:v>6957</x:v>
      </x:c>
      <x:c r="R150" t="str">
        <x:f>IF(P150="","No",IF(COUNTIF('Employee Attendance'!$D$2:$D$670,P150)&gt;0,"Yes","No"))</x:f>
        <x:v>Yes</x:v>
      </x:c>
    </x:row>
    <x:row r="151">
      <x:c r="A151" t="s">
        <x:v>646</x:v>
      </x:c>
      <x:c r="B151" t="s">
        <x:v>647</x:v>
      </x:c>
      <x:c r="C151" t="s">
        <x:v>648</x:v>
      </x:c>
      <x:c r="D151" t="s">
        <x:v>649</x:v>
      </x:c>
      <x:c r="E151" t="s">
        <x:v>650</x:v>
      </x:c>
      <x:c r="F151" t="s">
        <x:v>650</x:v>
      </x:c>
      <x:c r="G151" t="s">
        <x:v>59</x:v>
      </x:c>
      <x:c r="O151">
        <x:v>1</x:v>
      </x:c>
      <x:c r="P151" t="str">
        <x:f>LOWER(TRIM(SUBSTITUTE(E151,CHAR(160)," ")))</x:f>
        <x:v>stacey.nduku@pwc.com</x:v>
      </x:c>
      <x:c r="Q151" t="n">
        <x:f>IFERROR(VALUE(LEFT(D151,SEARCH("h",D151)-1)),0)*3600+IFERROR(VALUE(MID(D151,IFERROR(SEARCH("h ",D151)+2,1),SEARCH("m",D151)-IFERROR(SEARCH("h ",D151)+2,1))),0)*60+IFERROR(VALUE(MID(D151,IFERROR(SEARCH("m ",D151)+2,IFERROR(SEARCH("h ",D151)+2,1)),SEARCH("s",D151)-IFERROR(SEARCH("m ",D151)+2,IFERROR(SEARCH("h ",D151)+2,1)))),0)</x:f>
        <x:v>7160</x:v>
      </x:c>
      <x:c r="R151" t="str">
        <x:f>IF(P151="","No",IF(COUNTIF('Employee Attendance'!$D$2:$D$670,P151)&gt;0,"Yes","No"))</x:f>
        <x:v>Yes</x:v>
      </x:c>
    </x:row>
    <x:row r="152">
      <x:c r="A152" t="s">
        <x:v>651</x:v>
      </x:c>
      <x:c r="B152" t="s">
        <x:v>652</x:v>
      </x:c>
      <x:c r="C152" t="s">
        <x:v>653</x:v>
      </x:c>
      <x:c r="D152" t="s">
        <x:v>654</x:v>
      </x:c>
      <x:c r="E152" t="s">
        <x:v>655</x:v>
      </x:c>
      <x:c r="F152" t="s">
        <x:v>655</x:v>
      </x:c>
      <x:c r="G152" t="s">
        <x:v>59</x:v>
      </x:c>
      <x:c r="P152" t="str">
        <x:f>LOWER(TRIM(SUBSTITUTE(E152,CHAR(160)," ")))</x:f>
        <x:v>peter.s.ojekunle@pwc.com</x:v>
      </x:c>
      <x:c r="Q152" t="n">
        <x:f>IFERROR(VALUE(LEFT(D152,SEARCH("h",D152)-1)),0)*3600+IFERROR(VALUE(MID(D152,IFERROR(SEARCH("h ",D152)+2,1),SEARCH("m",D152)-IFERROR(SEARCH("h ",D152)+2,1))),0)*60+IFERROR(VALUE(MID(D152,IFERROR(SEARCH("m ",D152)+2,IFERROR(SEARCH("h ",D152)+2,1)),SEARCH("s",D152)-IFERROR(SEARCH("m ",D152)+2,IFERROR(SEARCH("h ",D152)+2,1)))),0)</x:f>
        <x:v>349</x:v>
      </x:c>
      <x:c r="R152" t="str">
        <x:f>IF(P152="","No",IF(COUNTIF('Employee Attendance'!$D$2:$D$670,P152)&gt;0,"Yes","No"))</x:f>
        <x:v>Yes</x:v>
      </x:c>
    </x:row>
    <x:row r="153">
      <x:c r="A153" t="s">
        <x:v>656</x:v>
      </x:c>
      <x:c r="B153" t="s">
        <x:v>657</x:v>
      </x:c>
      <x:c r="C153" t="s">
        <x:v>231</x:v>
      </x:c>
      <x:c r="D153" t="s">
        <x:v>658</x:v>
      </x:c>
      <x:c r="E153" t="s">
        <x:v>659</x:v>
      </x:c>
      <x:c r="F153" t="s">
        <x:v>659</x:v>
      </x:c>
      <x:c r="G153" t="s">
        <x:v>59</x:v>
      </x:c>
      <x:c r="P153" t="str">
        <x:f>LOWER(TRIM(SUBSTITUTE(E153,CHAR(160)," ")))</x:f>
        <x:v>karen.cha.sow.k.king@pwc.com</x:v>
      </x:c>
      <x:c r="Q153" t="n">
        <x:f>IFERROR(VALUE(LEFT(D153,SEARCH("h",D153)-1)),0)*3600+IFERROR(VALUE(MID(D153,IFERROR(SEARCH("h ",D153)+2,1),SEARCH("m",D153)-IFERROR(SEARCH("h ",D153)+2,1))),0)*60+IFERROR(VALUE(MID(D153,IFERROR(SEARCH("m ",D153)+2,IFERROR(SEARCH("h ",D153)+2,1)),SEARCH("s",D153)-IFERROR(SEARCH("m ",D153)+2,IFERROR(SEARCH("h ",D153)+2,1)))),0)</x:f>
        <x:v>6954</x:v>
      </x:c>
      <x:c r="R153" t="str">
        <x:f>IF(P153="","No",IF(COUNTIF('Employee Attendance'!$D$2:$D$670,P153)&gt;0,"Yes","No"))</x:f>
        <x:v>Yes</x:v>
      </x:c>
    </x:row>
    <x:row r="154">
      <x:c r="A154" t="s">
        <x:v>660</x:v>
      </x:c>
      <x:c r="B154" t="s">
        <x:v>661</x:v>
      </x:c>
      <x:c r="C154" t="s">
        <x:v>516</x:v>
      </x:c>
      <x:c r="D154" t="s">
        <x:v>662</x:v>
      </x:c>
      <x:c r="E154" t="s">
        <x:v>663</x:v>
      </x:c>
      <x:c r="F154" t="s">
        <x:v>663</x:v>
      </x:c>
      <x:c r="G154" t="s">
        <x:v>59</x:v>
      </x:c>
      <x:c r="P154" t="str">
        <x:f>LOWER(TRIM(SUBSTITUTE(E154,CHAR(160)," ")))</x:f>
        <x:v>dominicah.mbawa@pwc.com</x:v>
      </x:c>
      <x:c r="Q154" t="n">
        <x:f>IFERROR(VALUE(LEFT(D154,SEARCH("h",D154)-1)),0)*3600+IFERROR(VALUE(MID(D154,IFERROR(SEARCH("h ",D154)+2,1),SEARCH("m",D154)-IFERROR(SEARCH("h ",D154)+2,1))),0)*60+IFERROR(VALUE(MID(D154,IFERROR(SEARCH("m ",D154)+2,IFERROR(SEARCH("h ",D154)+2,1)),SEARCH("s",D154)-IFERROR(SEARCH("m ",D154)+2,IFERROR(SEARCH("h ",D154)+2,1)))),0)</x:f>
        <x:v>6933</x:v>
      </x:c>
      <x:c r="R154" t="str">
        <x:f>IF(P154="","No",IF(COUNTIF('Employee Attendance'!$D$2:$D$670,P154)&gt;0,"Yes","No"))</x:f>
        <x:v>Yes</x:v>
      </x:c>
    </x:row>
    <x:row r="155">
      <x:c r="A155" t="s">
        <x:v>664</x:v>
      </x:c>
      <x:c r="B155" t="s">
        <x:v>665</x:v>
      </x:c>
      <x:c r="C155" t="s">
        <x:v>56</x:v>
      </x:c>
      <x:c r="D155" t="s">
        <x:v>666</x:v>
      </x:c>
      <x:c r="E155" t="s">
        <x:v>667</x:v>
      </x:c>
      <x:c r="F155" t="s">
        <x:v>667</x:v>
      </x:c>
      <x:c r="G155" t="s">
        <x:v>59</x:v>
      </x:c>
      <x:c r="P155" t="str">
        <x:f>LOWER(TRIM(SUBSTITUTE(E155,CHAR(160)," ")))</x:f>
        <x:v>joseph.ndegwa@pwc.com</x:v>
      </x:c>
      <x:c r="Q155" t="n">
        <x:f>IFERROR(VALUE(LEFT(D155,SEARCH("h",D155)-1)),0)*3600+IFERROR(VALUE(MID(D155,IFERROR(SEARCH("h ",D155)+2,1),SEARCH("m",D155)-IFERROR(SEARCH("h ",D155)+2,1))),0)*60+IFERROR(VALUE(MID(D155,IFERROR(SEARCH("m ",D155)+2,IFERROR(SEARCH("h ",D155)+2,1)),SEARCH("s",D155)-IFERROR(SEARCH("m ",D155)+2,IFERROR(SEARCH("h ",D155)+2,1)))),0)</x:f>
        <x:v>6936</x:v>
      </x:c>
      <x:c r="R155" t="str">
        <x:f>IF(P155="","No",IF(COUNTIF('Employee Attendance'!$D$2:$D$670,P155)&gt;0,"Yes","No"))</x:f>
        <x:v>Yes</x:v>
      </x:c>
    </x:row>
    <x:row r="156">
      <x:c r="A156" t="s">
        <x:v>668</x:v>
      </x:c>
      <x:c r="B156" t="s">
        <x:v>669</x:v>
      </x:c>
      <x:c r="C156" t="s">
        <x:v>670</x:v>
      </x:c>
      <x:c r="D156" t="s">
        <x:v>671</x:v>
      </x:c>
      <x:c r="E156" t="s">
        <x:v>672</x:v>
      </x:c>
      <x:c r="F156" t="s">
        <x:v>672</x:v>
      </x:c>
      <x:c r="G156" t="s">
        <x:v>59</x:v>
      </x:c>
      <x:c r="P156" t="str">
        <x:f>LOWER(TRIM(SUBSTITUTE(E156,CHAR(160)," ")))</x:f>
        <x:v>mordagun.koothan@pwc.com</x:v>
      </x:c>
      <x:c r="Q156" t="n">
        <x:f>IFERROR(VALUE(LEFT(D156,SEARCH("h",D156)-1)),0)*3600+IFERROR(VALUE(MID(D156,IFERROR(SEARCH("h ",D156)+2,1),SEARCH("m",D156)-IFERROR(SEARCH("h ",D156)+2,1))),0)*60+IFERROR(VALUE(MID(D156,IFERROR(SEARCH("m ",D156)+2,IFERROR(SEARCH("h ",D156)+2,1)),SEARCH("s",D156)-IFERROR(SEARCH("m ",D156)+2,IFERROR(SEARCH("h ",D156)+2,1)))),0)</x:f>
        <x:v>6972</x:v>
      </x:c>
      <x:c r="R156" t="str">
        <x:f>IF(P156="","No",IF(COUNTIF('Employee Attendance'!$D$2:$D$670,P156)&gt;0,"Yes","No"))</x:f>
        <x:v>Yes</x:v>
      </x:c>
    </x:row>
    <x:row r="157">
      <x:c r="A157" t="s">
        <x:v>673</x:v>
      </x:c>
      <x:c r="B157" t="s">
        <x:v>674</x:v>
      </x:c>
      <x:c r="C157" t="s">
        <x:v>138</x:v>
      </x:c>
      <x:c r="D157" t="s">
        <x:v>675</x:v>
      </x:c>
      <x:c r="E157" t="s">
        <x:v>676</x:v>
      </x:c>
      <x:c r="F157" t="s">
        <x:v>676</x:v>
      </x:c>
      <x:c r="G157" t="s">
        <x:v>59</x:v>
      </x:c>
      <x:c r="P157" t="str">
        <x:f>LOWER(TRIM(SUBSTITUTE(E157,CHAR(160)," ")))</x:f>
        <x:v>vasty.nkhoma@pwc.com</x:v>
      </x:c>
      <x:c r="Q157" t="n">
        <x:f>IFERROR(VALUE(LEFT(D157,SEARCH("h",D157)-1)),0)*3600+IFERROR(VALUE(MID(D157,IFERROR(SEARCH("h ",D157)+2,1),SEARCH("m",D157)-IFERROR(SEARCH("h ",D157)+2,1))),0)*60+IFERROR(VALUE(MID(D157,IFERROR(SEARCH("m ",D157)+2,IFERROR(SEARCH("h ",D157)+2,1)),SEARCH("s",D157)-IFERROR(SEARCH("m ",D157)+2,IFERROR(SEARCH("h ",D157)+2,1)))),0)</x:f>
        <x:v>6913</x:v>
      </x:c>
      <x:c r="R157" t="str">
        <x:f>IF(P157="","No",IF(COUNTIF('Employee Attendance'!$D$2:$D$670,P157)&gt;0,"Yes","No"))</x:f>
        <x:v>Yes</x:v>
      </x:c>
    </x:row>
    <x:row r="158">
      <x:c r="A158" t="s">
        <x:v>677</x:v>
      </x:c>
      <x:c r="B158" t="s">
        <x:v>678</x:v>
      </x:c>
      <x:c r="C158" t="s">
        <x:v>679</x:v>
      </x:c>
      <x:c r="D158" t="s">
        <x:v>680</x:v>
      </x:c>
      <x:c r="E158" t="s">
        <x:v>681</x:v>
      </x:c>
      <x:c r="F158" t="s">
        <x:v>681</x:v>
      </x:c>
      <x:c r="G158" t="s">
        <x:v>59</x:v>
      </x:c>
      <x:c r="P158" t="str">
        <x:f>LOWER(TRIM(SUBSTITUTE(E158,CHAR(160)," ")))</x:f>
        <x:v>christopher.ngangala@pwc.com</x:v>
      </x:c>
      <x:c r="Q158" t="n">
        <x:f>IFERROR(VALUE(LEFT(D158,SEARCH("h",D158)-1)),0)*3600+IFERROR(VALUE(MID(D158,IFERROR(SEARCH("h ",D158)+2,1),SEARCH("m",D158)-IFERROR(SEARCH("h ",D158)+2,1))),0)*60+IFERROR(VALUE(MID(D158,IFERROR(SEARCH("m ",D158)+2,IFERROR(SEARCH("h ",D158)+2,1)),SEARCH("s",D158)-IFERROR(SEARCH("m ",D158)+2,IFERROR(SEARCH("h ",D158)+2,1)))),0)</x:f>
        <x:v>6964</x:v>
      </x:c>
      <x:c r="R158" t="str">
        <x:f>IF(P158="","No",IF(COUNTIF('Employee Attendance'!$D$2:$D$670,P158)&gt;0,"Yes","No"))</x:f>
        <x:v>Yes</x:v>
      </x:c>
    </x:row>
    <x:row r="159">
      <x:c r="A159" t="s">
        <x:v>682</x:v>
      </x:c>
      <x:c r="B159" t="s">
        <x:v>683</x:v>
      </x:c>
      <x:c r="C159" t="s">
        <x:v>684</x:v>
      </x:c>
      <x:c r="D159" t="s">
        <x:v>685</x:v>
      </x:c>
      <x:c r="E159" t="s">
        <x:v>686</x:v>
      </x:c>
      <x:c r="F159" t="s">
        <x:v>686</x:v>
      </x:c>
      <x:c r="G159" t="s">
        <x:v>59</x:v>
      </x:c>
      <x:c r="P159" t="str">
        <x:f>LOWER(TRIM(SUBSTITUTE(E159,CHAR(160)," ")))</x:f>
        <x:v>anne.okwera@pwc.com</x:v>
      </x:c>
      <x:c r="Q159" t="n">
        <x:f>IFERROR(VALUE(LEFT(D159,SEARCH("h",D159)-1)),0)*3600+IFERROR(VALUE(MID(D159,IFERROR(SEARCH("h ",D159)+2,1),SEARCH("m",D159)-IFERROR(SEARCH("h ",D159)+2,1))),0)*60+IFERROR(VALUE(MID(D159,IFERROR(SEARCH("m ",D159)+2,IFERROR(SEARCH("h ",D159)+2,1)),SEARCH("s",D159)-IFERROR(SEARCH("m ",D159)+2,IFERROR(SEARCH("h ",D159)+2,1)))),0)</x:f>
        <x:v>6931</x:v>
      </x:c>
      <x:c r="R159" t="str">
        <x:f>IF(P159="","No",IF(COUNTIF('Employee Attendance'!$D$2:$D$670,P159)&gt;0,"Yes","No"))</x:f>
        <x:v>Yes</x:v>
      </x:c>
    </x:row>
    <x:row r="160">
      <x:c r="A160" t="s">
        <x:v>687</x:v>
      </x:c>
      <x:c r="B160" t="s">
        <x:v>683</x:v>
      </x:c>
      <x:c r="C160" t="s">
        <x:v>572</x:v>
      </x:c>
      <x:c r="D160" t="s">
        <x:v>688</x:v>
      </x:c>
      <x:c r="E160" t="s">
        <x:v>689</x:v>
      </x:c>
      <x:c r="F160" t="s">
        <x:v>689</x:v>
      </x:c>
      <x:c r="G160" t="s">
        <x:v>59</x:v>
      </x:c>
      <x:c r="P160" t="str">
        <x:f>LOWER(TRIM(SUBSTITUTE(E160,CHAR(160)," ")))</x:f>
        <x:v>said.h.said@pwc.com</x:v>
      </x:c>
      <x:c r="Q160" t="n">
        <x:f>IFERROR(VALUE(LEFT(D160,SEARCH("h",D160)-1)),0)*3600+IFERROR(VALUE(MID(D160,IFERROR(SEARCH("h ",D160)+2,1),SEARCH("m",D160)-IFERROR(SEARCH("h ",D160)+2,1))),0)*60+IFERROR(VALUE(MID(D160,IFERROR(SEARCH("m ",D160)+2,IFERROR(SEARCH("h ",D160)+2,1)),SEARCH("s",D160)-IFERROR(SEARCH("m ",D160)+2,IFERROR(SEARCH("h ",D160)+2,1)))),0)</x:f>
        <x:v>6923</x:v>
      </x:c>
      <x:c r="R160" t="str">
        <x:f>IF(P160="","No",IF(COUNTIF('Employee Attendance'!$D$2:$D$670,P160)&gt;0,"Yes","No"))</x:f>
        <x:v>Yes</x:v>
      </x:c>
    </x:row>
    <x:row r="161">
      <x:c r="A161" t="s">
        <x:v>690</x:v>
      </x:c>
      <x:c r="B161" t="s">
        <x:v>691</x:v>
      </x:c>
      <x:c r="C161" t="s">
        <x:v>692</x:v>
      </x:c>
      <x:c r="D161" t="s">
        <x:v>693</x:v>
      </x:c>
      <x:c r="E161" t="s">
        <x:v>694</x:v>
      </x:c>
      <x:c r="F161" t="s">
        <x:v>694</x:v>
      </x:c>
      <x:c r="G161" t="s">
        <x:v>59</x:v>
      </x:c>
      <x:c r="P161" t="str">
        <x:f>LOWER(TRIM(SUBSTITUTE(E161,CHAR(160)," ")))</x:f>
        <x:v>belinda.ngowo@pwc.com</x:v>
      </x:c>
      <x:c r="Q161" t="n">
        <x:f>IFERROR(VALUE(LEFT(D161,SEARCH("h",D161)-1)),0)*3600+IFERROR(VALUE(MID(D161,IFERROR(SEARCH("h ",D161)+2,1),SEARCH("m",D161)-IFERROR(SEARCH("h ",D161)+2,1))),0)*60+IFERROR(VALUE(MID(D161,IFERROR(SEARCH("m ",D161)+2,IFERROR(SEARCH("h ",D161)+2,1)),SEARCH("s",D161)-IFERROR(SEARCH("m ",D161)+2,IFERROR(SEARCH("h ",D161)+2,1)))),0)</x:f>
        <x:v>6993</x:v>
      </x:c>
      <x:c r="R161" t="str">
        <x:f>IF(P161="","No",IF(COUNTIF('Employee Attendance'!$D$2:$D$670,P161)&gt;0,"Yes","No"))</x:f>
        <x:v>Yes</x:v>
      </x:c>
    </x:row>
    <x:row r="162">
      <x:c r="A162" t="s">
        <x:v>695</x:v>
      </x:c>
      <x:c r="B162" t="s">
        <x:v>696</x:v>
      </x:c>
      <x:c r="C162" t="s">
        <x:v>67</x:v>
      </x:c>
      <x:c r="D162" t="s">
        <x:v>697</x:v>
      </x:c>
      <x:c r="E162" t="s">
        <x:v>698</x:v>
      </x:c>
      <x:c r="F162" t="s">
        <x:v>698</x:v>
      </x:c>
      <x:c r="G162" t="s">
        <x:v>59</x:v>
      </x:c>
      <x:c r="J162">
        <x:v>1</x:v>
      </x:c>
      <x:c r="P162" t="str">
        <x:f>LOWER(TRIM(SUBSTITUTE(E162,CHAR(160)," ")))</x:f>
        <x:v>freda.k.kithinji@pwc.com</x:v>
      </x:c>
      <x:c r="Q162" t="n">
        <x:f>IFERROR(VALUE(LEFT(D162,SEARCH("h",D162)-1)),0)*3600+IFERROR(VALUE(MID(D162,IFERROR(SEARCH("h ",D162)+2,1),SEARCH("m",D162)-IFERROR(SEARCH("h ",D162)+2,1))),0)*60+IFERROR(VALUE(MID(D162,IFERROR(SEARCH("m ",D162)+2,IFERROR(SEARCH("h ",D162)+2,1)),SEARCH("s",D162)-IFERROR(SEARCH("m ",D162)+2,IFERROR(SEARCH("h ",D162)+2,1)))),0)</x:f>
        <x:v>6902</x:v>
      </x:c>
      <x:c r="R162" t="str">
        <x:f>IF(P162="","No",IF(COUNTIF('Employee Attendance'!$D$2:$D$670,P162)&gt;0,"Yes","No"))</x:f>
        <x:v>Yes</x:v>
      </x:c>
    </x:row>
    <x:row r="163">
      <x:c r="A163" t="s">
        <x:v>699</x:v>
      </x:c>
      <x:c r="B163" t="s">
        <x:v>700</x:v>
      </x:c>
      <x:c r="C163" t="s">
        <x:v>170</x:v>
      </x:c>
      <x:c r="D163" t="s">
        <x:v>701</x:v>
      </x:c>
      <x:c r="E163" t="s">
        <x:v>702</x:v>
      </x:c>
      <x:c r="F163" t="s">
        <x:v>702</x:v>
      </x:c>
      <x:c r="G163" t="s">
        <x:v>59</x:v>
      </x:c>
      <x:c r="P163" t="str">
        <x:f>LOWER(TRIM(SUBSTITUTE(E163,CHAR(160)," ")))</x:f>
        <x:v>veronica.biswalo@pwc.com</x:v>
      </x:c>
      <x:c r="Q163" t="n">
        <x:f>IFERROR(VALUE(LEFT(D163,SEARCH("h",D163)-1)),0)*3600+IFERROR(VALUE(MID(D163,IFERROR(SEARCH("h ",D163)+2,1),SEARCH("m",D163)-IFERROR(SEARCH("h ",D163)+2,1))),0)*60+IFERROR(VALUE(MID(D163,IFERROR(SEARCH("m ",D163)+2,IFERROR(SEARCH("h ",D163)+2,1)),SEARCH("s",D163)-IFERROR(SEARCH("m ",D163)+2,IFERROR(SEARCH("h ",D163)+2,1)))),0)</x:f>
        <x:v>6901</x:v>
      </x:c>
      <x:c r="R163" t="str">
        <x:f>IF(P163="","No",IF(COUNTIF('Employee Attendance'!$D$2:$D$670,P163)&gt;0,"Yes","No"))</x:f>
        <x:v>Yes</x:v>
      </x:c>
    </x:row>
    <x:row r="164">
      <x:c r="A164" t="s">
        <x:v>703</x:v>
      </x:c>
      <x:c r="B164" t="s">
        <x:v>704</x:v>
      </x:c>
      <x:c r="C164" t="s">
        <x:v>67</x:v>
      </x:c>
      <x:c r="D164" t="s">
        <x:v>705</x:v>
      </x:c>
      <x:c r="E164" t="s">
        <x:v>706</x:v>
      </x:c>
      <x:c r="F164" t="s">
        <x:v>706</x:v>
      </x:c>
      <x:c r="G164" t="s">
        <x:v>59</x:v>
      </x:c>
      <x:c r="O164">
        <x:v>3</x:v>
      </x:c>
      <x:c r="P164" t="str">
        <x:f>LOWER(TRIM(SUBSTITUTE(E164,CHAR(160)," ")))</x:f>
        <x:v>seline.achieng@pwc.com</x:v>
      </x:c>
      <x:c r="Q164" t="n">
        <x:f>IFERROR(VALUE(LEFT(D164,SEARCH("h",D164)-1)),0)*3600+IFERROR(VALUE(MID(D164,IFERROR(SEARCH("h ",D164)+2,1),SEARCH("m",D164)-IFERROR(SEARCH("h ",D164)+2,1))),0)*60+IFERROR(VALUE(MID(D164,IFERROR(SEARCH("m ",D164)+2,IFERROR(SEARCH("h ",D164)+2,1)),SEARCH("s",D164)-IFERROR(SEARCH("m ",D164)+2,IFERROR(SEARCH("h ",D164)+2,1)))),0)</x:f>
        <x:v>5937</x:v>
      </x:c>
      <x:c r="R164" t="str">
        <x:f>IF(P164="","No",IF(COUNTIF('Employee Attendance'!$D$2:$D$670,P164)&gt;0,"Yes","No"))</x:f>
        <x:v>Yes</x:v>
      </x:c>
    </x:row>
    <x:row r="165">
      <x:c r="A165" t="s">
        <x:v>707</x:v>
      </x:c>
      <x:c r="B165" t="s">
        <x:v>704</x:v>
      </x:c>
      <x:c r="C165" t="s">
        <x:v>146</x:v>
      </x:c>
      <x:c r="D165" t="s">
        <x:v>708</x:v>
      </x:c>
      <x:c r="E165" t="s">
        <x:v>709</x:v>
      </x:c>
      <x:c r="F165" t="s">
        <x:v>709</x:v>
      </x:c>
      <x:c r="G165" t="s">
        <x:v>59</x:v>
      </x:c>
      <x:c r="P165" t="str">
        <x:f>LOWER(TRIM(SUBSTITUTE(E165,CHAR(160)," ")))</x:f>
        <x:v>manish.joorawon@pwc.com</x:v>
      </x:c>
      <x:c r="Q165" t="n">
        <x:f>IFERROR(VALUE(LEFT(D165,SEARCH("h",D165)-1)),0)*3600+IFERROR(VALUE(MID(D165,IFERROR(SEARCH("h ",D165)+2,1),SEARCH("m",D165)-IFERROR(SEARCH("h ",D165)+2,1))),0)*60+IFERROR(VALUE(MID(D165,IFERROR(SEARCH("m ",D165)+2,IFERROR(SEARCH("h ",D165)+2,1)),SEARCH("s",D165)-IFERROR(SEARCH("m ",D165)+2,IFERROR(SEARCH("h ",D165)+2,1)))),0)</x:f>
        <x:v>6892</x:v>
      </x:c>
      <x:c r="R165" t="str">
        <x:f>IF(P165="","No",IF(COUNTIF('Employee Attendance'!$D$2:$D$670,P165)&gt;0,"Yes","No"))</x:f>
        <x:v>Yes</x:v>
      </x:c>
    </x:row>
    <x:row r="166">
      <x:c r="A166" t="s">
        <x:v>710</x:v>
      </x:c>
      <x:c r="B166" t="s">
        <x:v>711</x:v>
      </x:c>
      <x:c r="C166" t="s">
        <x:v>712</x:v>
      </x:c>
      <x:c r="D166" t="s">
        <x:v>713</x:v>
      </x:c>
      <x:c r="E166" t="s">
        <x:v>714</x:v>
      </x:c>
      <x:c r="F166" t="s">
        <x:v>714</x:v>
      </x:c>
      <x:c r="G166" t="s">
        <x:v>59</x:v>
      </x:c>
      <x:c r="P166" t="str">
        <x:f>LOWER(TRIM(SUBSTITUTE(E166,CHAR(160)," ")))</x:f>
        <x:v>fikraddis.cheru@pwc.com</x:v>
      </x:c>
      <x:c r="Q166" t="n">
        <x:f>IFERROR(VALUE(LEFT(D166,SEARCH("h",D166)-1)),0)*3600+IFERROR(VALUE(MID(D166,IFERROR(SEARCH("h ",D166)+2,1),SEARCH("m",D166)-IFERROR(SEARCH("h ",D166)+2,1))),0)*60+IFERROR(VALUE(MID(D166,IFERROR(SEARCH("m ",D166)+2,IFERROR(SEARCH("h ",D166)+2,1)),SEARCH("s",D166)-IFERROR(SEARCH("m ",D166)+2,IFERROR(SEARCH("h ",D166)+2,1)))),0)</x:f>
        <x:v>2816</x:v>
      </x:c>
      <x:c r="R166" t="str">
        <x:f>IF(P166="","No",IF(COUNTIF('Employee Attendance'!$D$2:$D$670,P166)&gt;0,"Yes","No"))</x:f>
        <x:v>Yes</x:v>
      </x:c>
    </x:row>
    <x:row r="167">
      <x:c r="A167" t="s">
        <x:v>715</x:v>
      </x:c>
      <x:c r="B167" t="s">
        <x:v>711</x:v>
      </x:c>
      <x:c r="C167" t="s">
        <x:v>716</x:v>
      </x:c>
      <x:c r="D167" t="s">
        <x:v>717</x:v>
      </x:c>
      <x:c r="E167" t="s">
        <x:v>718</x:v>
      </x:c>
      <x:c r="F167" t="s">
        <x:v>718</x:v>
      </x:c>
      <x:c r="G167" t="s">
        <x:v>59</x:v>
      </x:c>
      <x:c r="P167" t="str">
        <x:f>LOWER(TRIM(SUBSTITUTE(E167,CHAR(160)," ")))</x:f>
        <x:v>kelvin.kailikia@pwc.com</x:v>
      </x:c>
      <x:c r="Q167" t="n">
        <x:f>IFERROR(VALUE(LEFT(D167,SEARCH("h",D167)-1)),0)*3600+IFERROR(VALUE(MID(D167,IFERROR(SEARCH("h ",D167)+2,1),SEARCH("m",D167)-IFERROR(SEARCH("h ",D167)+2,1))),0)*60+IFERROR(VALUE(MID(D167,IFERROR(SEARCH("m ",D167)+2,IFERROR(SEARCH("h ",D167)+2,1)),SEARCH("s",D167)-IFERROR(SEARCH("m ",D167)+2,IFERROR(SEARCH("h ",D167)+2,1)))),0)</x:f>
        <x:v>5136</x:v>
      </x:c>
      <x:c r="R167" t="str">
        <x:f>IF(P167="","No",IF(COUNTIF('Employee Attendance'!$D$2:$D$670,P167)&gt;0,"Yes","No"))</x:f>
        <x:v>Yes</x:v>
      </x:c>
    </x:row>
    <x:row r="168">
      <x:c r="A168" t="s">
        <x:v>719</x:v>
      </x:c>
      <x:c r="B168" t="s">
        <x:v>720</x:v>
      </x:c>
      <x:c r="C168" t="s">
        <x:v>721</x:v>
      </x:c>
      <x:c r="D168" t="s">
        <x:v>722</x:v>
      </x:c>
      <x:c r="E168" t="s">
        <x:v>723</x:v>
      </x:c>
      <x:c r="F168" t="s">
        <x:v>723</x:v>
      </x:c>
      <x:c r="G168" t="s">
        <x:v>59</x:v>
      </x:c>
      <x:c r="P168" t="str">
        <x:f>LOWER(TRIM(SUBSTITUTE(E168,CHAR(160)," ")))</x:f>
        <x:v>keshini.sahadew@pwc.com</x:v>
      </x:c>
      <x:c r="Q168" t="n">
        <x:f>IFERROR(VALUE(LEFT(D168,SEARCH("h",D168)-1)),0)*3600+IFERROR(VALUE(MID(D168,IFERROR(SEARCH("h ",D168)+2,1),SEARCH("m",D168)-IFERROR(SEARCH("h ",D168)+2,1))),0)*60+IFERROR(VALUE(MID(D168,IFERROR(SEARCH("m ",D168)+2,IFERROR(SEARCH("h ",D168)+2,1)),SEARCH("s",D168)-IFERROR(SEARCH("m ",D168)+2,IFERROR(SEARCH("h ",D168)+2,1)))),0)</x:f>
        <x:v>28</x:v>
      </x:c>
      <x:c r="R168" t="str">
        <x:f>IF(P168="","No",IF(COUNTIF('Employee Attendance'!$D$2:$D$670,P168)&gt;0,"Yes","No"))</x:f>
        <x:v>Yes</x:v>
      </x:c>
    </x:row>
    <x:row r="169">
      <x:c r="A169" t="s">
        <x:v>724</x:v>
      </x:c>
      <x:c r="B169" t="s">
        <x:v>725</x:v>
      </x:c>
      <x:c r="C169" t="s">
        <x:v>726</x:v>
      </x:c>
      <x:c r="D169" t="s">
        <x:v>727</x:v>
      </x:c>
      <x:c r="E169" t="s">
        <x:v>728</x:v>
      </x:c>
      <x:c r="F169" t="s">
        <x:v>728</x:v>
      </x:c>
      <x:c r="G169" t="s">
        <x:v>59</x:v>
      </x:c>
      <x:c r="O169">
        <x:v>1</x:v>
      </x:c>
      <x:c r="P169" t="str">
        <x:f>LOWER(TRIM(SUBSTITUTE(E169,CHAR(160)," ")))</x:f>
        <x:v>nancy.woisso@pwc.com</x:v>
      </x:c>
      <x:c r="Q169" t="n">
        <x:f>IFERROR(VALUE(LEFT(D169,SEARCH("h",D169)-1)),0)*3600+IFERROR(VALUE(MID(D169,IFERROR(SEARCH("h ",D169)+2,1),SEARCH("m",D169)-IFERROR(SEARCH("h ",D169)+2,1))),0)*60+IFERROR(VALUE(MID(D169,IFERROR(SEARCH("m ",D169)+2,IFERROR(SEARCH("h ",D169)+2,1)),SEARCH("s",D169)-IFERROR(SEARCH("m ",D169)+2,IFERROR(SEARCH("h ",D169)+2,1)))),0)</x:f>
        <x:v>6909</x:v>
      </x:c>
      <x:c r="R169" t="str">
        <x:f>IF(P169="","No",IF(COUNTIF('Employee Attendance'!$D$2:$D$670,P169)&gt;0,"Yes","No"))</x:f>
        <x:v>Yes</x:v>
      </x:c>
    </x:row>
    <x:row r="170">
      <x:c r="A170" t="s">
        <x:v>729</x:v>
      </x:c>
      <x:c r="B170" t="s">
        <x:v>730</x:v>
      </x:c>
      <x:c r="C170" t="s">
        <x:v>170</x:v>
      </x:c>
      <x:c r="D170" t="s">
        <x:v>731</x:v>
      </x:c>
      <x:c r="E170" t="s">
        <x:v>732</x:v>
      </x:c>
      <x:c r="F170" t="s">
        <x:v>732</x:v>
      </x:c>
      <x:c r="G170" t="s">
        <x:v>59</x:v>
      </x:c>
      <x:c r="P170" t="str">
        <x:f>LOWER(TRIM(SUBSTITUTE(E170,CHAR(160)," ")))</x:f>
        <x:v>chanda.chileshe@pwc.com</x:v>
      </x:c>
      <x:c r="Q170" t="n">
        <x:f>IFERROR(VALUE(LEFT(D170,SEARCH("h",D170)-1)),0)*3600+IFERROR(VALUE(MID(D170,IFERROR(SEARCH("h ",D170)+2,1),SEARCH("m",D170)-IFERROR(SEARCH("h ",D170)+2,1))),0)*60+IFERROR(VALUE(MID(D170,IFERROR(SEARCH("m ",D170)+2,IFERROR(SEARCH("h ",D170)+2,1)),SEARCH("s",D170)-IFERROR(SEARCH("m ",D170)+2,IFERROR(SEARCH("h ",D170)+2,1)))),0)</x:f>
        <x:v>6873</x:v>
      </x:c>
      <x:c r="R170" t="str">
        <x:f>IF(P170="","No",IF(COUNTIF('Employee Attendance'!$D$2:$D$670,P170)&gt;0,"Yes","No"))</x:f>
        <x:v>Yes</x:v>
      </x:c>
    </x:row>
    <x:row r="171">
      <x:c r="A171" t="s">
        <x:v>733</x:v>
      </x:c>
      <x:c r="B171" t="s">
        <x:v>734</x:v>
      </x:c>
      <x:c r="C171" t="s">
        <x:v>231</x:v>
      </x:c>
      <x:c r="D171" t="s">
        <x:v>735</x:v>
      </x:c>
      <x:c r="E171" t="s">
        <x:v>736</x:v>
      </x:c>
      <x:c r="F171" t="s">
        <x:v>736</x:v>
      </x:c>
      <x:c r="G171" t="s">
        <x:v>59</x:v>
      </x:c>
      <x:c r="P171" t="str">
        <x:f>LOWER(TRIM(SUBSTITUTE(E171,CHAR(160)," ")))</x:f>
        <x:v>harshini.suroopjeet@pwc.com</x:v>
      </x:c>
      <x:c r="Q171" t="n">
        <x:f>IFERROR(VALUE(LEFT(D171,SEARCH("h",D171)-1)),0)*3600+IFERROR(VALUE(MID(D171,IFERROR(SEARCH("h ",D171)+2,1),SEARCH("m",D171)-IFERROR(SEARCH("h ",D171)+2,1))),0)*60+IFERROR(VALUE(MID(D171,IFERROR(SEARCH("m ",D171)+2,IFERROR(SEARCH("h ",D171)+2,1)),SEARCH("s",D171)-IFERROR(SEARCH("m ",D171)+2,IFERROR(SEARCH("h ",D171)+2,1)))),0)</x:f>
        <x:v>6863</x:v>
      </x:c>
      <x:c r="R171" t="str">
        <x:f>IF(P171="","No",IF(COUNTIF('Employee Attendance'!$D$2:$D$670,P171)&gt;0,"Yes","No"))</x:f>
        <x:v>Yes</x:v>
      </x:c>
    </x:row>
    <x:row r="172">
      <x:c r="A172" t="s">
        <x:v>737</x:v>
      </x:c>
      <x:c r="B172" t="s">
        <x:v>738</x:v>
      </x:c>
      <x:c r="C172" t="s">
        <x:v>46</x:v>
      </x:c>
      <x:c r="D172" t="s">
        <x:v>739</x:v>
      </x:c>
      <x:c r="E172" t="s">
        <x:v>740</x:v>
      </x:c>
      <x:c r="F172" t="s">
        <x:v>740</x:v>
      </x:c>
      <x:c r="G172" t="s">
        <x:v>59</x:v>
      </x:c>
      <x:c r="P172" t="str">
        <x:f>LOWER(TRIM(SUBSTITUTE(E172,CHAR(160)," ")))</x:f>
        <x:v>narsis.m.makori@pwc.com</x:v>
      </x:c>
      <x:c r="Q172" t="n">
        <x:f>IFERROR(VALUE(LEFT(D172,SEARCH("h",D172)-1)),0)*3600+IFERROR(VALUE(MID(D172,IFERROR(SEARCH("h ",D172)+2,1),SEARCH("m",D172)-IFERROR(SEARCH("h ",D172)+2,1))),0)*60+IFERROR(VALUE(MID(D172,IFERROR(SEARCH("m ",D172)+2,IFERROR(SEARCH("h ",D172)+2,1)),SEARCH("s",D172)-IFERROR(SEARCH("m ",D172)+2,IFERROR(SEARCH("h ",D172)+2,1)))),0)</x:f>
        <x:v>6375</x:v>
      </x:c>
      <x:c r="R172" t="str">
        <x:f>IF(P172="","No",IF(COUNTIF('Employee Attendance'!$D$2:$D$670,P172)&gt;0,"Yes","No"))</x:f>
        <x:v>Yes</x:v>
      </x:c>
    </x:row>
    <x:row r="173">
      <x:c r="A173" t="s">
        <x:v>741</x:v>
      </x:c>
      <x:c r="B173" t="s">
        <x:v>742</x:v>
      </x:c>
      <x:c r="C173" t="s">
        <x:v>67</x:v>
      </x:c>
      <x:c r="D173" t="s">
        <x:v>743</x:v>
      </x:c>
      <x:c r="E173" t="s">
        <x:v>744</x:v>
      </x:c>
      <x:c r="F173" t="s">
        <x:v>744</x:v>
      </x:c>
      <x:c r="G173" t="s">
        <x:v>59</x:v>
      </x:c>
      <x:c r="P173" t="str">
        <x:f>LOWER(TRIM(SUBSTITUTE(E173,CHAR(160)," ")))</x:f>
        <x:v>alpha.mukazi@pwc.com</x:v>
      </x:c>
      <x:c r="Q173" t="n">
        <x:f>IFERROR(VALUE(LEFT(D173,SEARCH("h",D173)-1)),0)*3600+IFERROR(VALUE(MID(D173,IFERROR(SEARCH("h ",D173)+2,1),SEARCH("m",D173)-IFERROR(SEARCH("h ",D173)+2,1))),0)*60+IFERROR(VALUE(MID(D173,IFERROR(SEARCH("m ",D173)+2,IFERROR(SEARCH("h ",D173)+2,1)),SEARCH("s",D173)-IFERROR(SEARCH("m ",D173)+2,IFERROR(SEARCH("h ",D173)+2,1)))),0)</x:f>
        <x:v>6852</x:v>
      </x:c>
      <x:c r="R173" t="str">
        <x:f>IF(P173="","No",IF(COUNTIF('Employee Attendance'!$D$2:$D$670,P173)&gt;0,"Yes","No"))</x:f>
        <x:v>Yes</x:v>
      </x:c>
    </x:row>
    <x:row r="174">
      <x:c r="A174" t="s">
        <x:v>745</x:v>
      </x:c>
      <x:c r="B174" t="s">
        <x:v>746</x:v>
      </x:c>
      <x:c r="C174" t="s">
        <x:v>98</x:v>
      </x:c>
      <x:c r="D174" t="s">
        <x:v>747</x:v>
      </x:c>
      <x:c r="E174" t="s">
        <x:v>748</x:v>
      </x:c>
      <x:c r="F174" t="s">
        <x:v>748</x:v>
      </x:c>
      <x:c r="G174" t="s">
        <x:v>59</x:v>
      </x:c>
      <x:c r="O174">
        <x:v>1</x:v>
      </x:c>
      <x:c r="P174" t="str">
        <x:f>LOWER(TRIM(SUBSTITUTE(E174,CHAR(160)," ")))</x:f>
        <x:v>shriya.seesurrun@pwc.com</x:v>
      </x:c>
      <x:c r="Q174" t="n">
        <x:f>IFERROR(VALUE(LEFT(D174,SEARCH("h",D174)-1)),0)*3600+IFERROR(VALUE(MID(D174,IFERROR(SEARCH("h ",D174)+2,1),SEARCH("m",D174)-IFERROR(SEARCH("h ",D174)+2,1))),0)*60+IFERROR(VALUE(MID(D174,IFERROR(SEARCH("m ",D174)+2,IFERROR(SEARCH("h ",D174)+2,1)),SEARCH("s",D174)-IFERROR(SEARCH("m ",D174)+2,IFERROR(SEARCH("h ",D174)+2,1)))),0)</x:f>
        <x:v>1339</x:v>
      </x:c>
      <x:c r="R174" t="str">
        <x:f>IF(P174="","No",IF(COUNTIF('Employee Attendance'!$D$2:$D$670,P174)&gt;0,"Yes","No"))</x:f>
        <x:v>Yes</x:v>
      </x:c>
    </x:row>
    <x:row r="175">
      <x:c r="A175" t="s">
        <x:v>749</x:v>
      </x:c>
      <x:c r="B175" t="s">
        <x:v>750</x:v>
      </x:c>
      <x:c r="C175" t="s">
        <x:v>751</x:v>
      </x:c>
      <x:c r="D175" t="s">
        <x:v>752</x:v>
      </x:c>
      <x:c r="E175" t="s">
        <x:v>753</x:v>
      </x:c>
      <x:c r="F175" t="s">
        <x:v>753</x:v>
      </x:c>
      <x:c r="G175" t="s">
        <x:v>59</x:v>
      </x:c>
      <x:c r="H175">
        <x:v>1</x:v>
      </x:c>
      <x:c r="P175" t="str">
        <x:f>LOWER(TRIM(SUBSTITUTE(E175,CHAR(160)," ")))</x:f>
        <x:v>linda.musau@pwc.com</x:v>
      </x:c>
      <x:c r="Q175" t="n">
        <x:f>IFERROR(VALUE(LEFT(D175,SEARCH("h",D175)-1)),0)*3600+IFERROR(VALUE(MID(D175,IFERROR(SEARCH("h ",D175)+2,1),SEARCH("m",D175)-IFERROR(SEARCH("h ",D175)+2,1))),0)*60+IFERROR(VALUE(MID(D175,IFERROR(SEARCH("m ",D175)+2,IFERROR(SEARCH("h ",D175)+2,1)),SEARCH("s",D175)-IFERROR(SEARCH("m ",D175)+2,IFERROR(SEARCH("h ",D175)+2,1)))),0)</x:f>
        <x:v>6866</x:v>
      </x:c>
      <x:c r="R175" t="str">
        <x:f>IF(P175="","No",IF(COUNTIF('Employee Attendance'!$D$2:$D$670,P175)&gt;0,"Yes","No"))</x:f>
        <x:v>Yes</x:v>
      </x:c>
    </x:row>
    <x:row r="176">
      <x:c r="A176" t="s">
        <x:v>754</x:v>
      </x:c>
      <x:c r="B176" t="s">
        <x:v>755</x:v>
      </x:c>
      <x:c r="C176" t="s">
        <x:v>502</x:v>
      </x:c>
      <x:c r="D176" t="s">
        <x:v>756</x:v>
      </x:c>
      <x:c r="E176" t="s">
        <x:v>757</x:v>
      </x:c>
      <x:c r="F176" t="s">
        <x:v>757</x:v>
      </x:c>
      <x:c r="G176" t="s">
        <x:v>59</x:v>
      </x:c>
      <x:c r="O176">
        <x:v>1</x:v>
      </x:c>
      <x:c r="P176" t="str">
        <x:f>LOWER(TRIM(SUBSTITUTE(E176,CHAR(160)," ")))</x:f>
        <x:v>edwin.musire@pwc.com</x:v>
      </x:c>
      <x:c r="Q176" t="n">
        <x:f>IFERROR(VALUE(LEFT(D176,SEARCH("h",D176)-1)),0)*3600+IFERROR(VALUE(MID(D176,IFERROR(SEARCH("h ",D176)+2,1),SEARCH("m",D176)-IFERROR(SEARCH("h ",D176)+2,1))),0)*60+IFERROR(VALUE(MID(D176,IFERROR(SEARCH("m ",D176)+2,IFERROR(SEARCH("h ",D176)+2,1)),SEARCH("s",D176)-IFERROR(SEARCH("m ",D176)+2,IFERROR(SEARCH("h ",D176)+2,1)))),0)</x:f>
        <x:v>6851</x:v>
      </x:c>
      <x:c r="R176" t="str">
        <x:f>IF(P176="","No",IF(COUNTIF('Employee Attendance'!$D$2:$D$670,P176)&gt;0,"Yes","No"))</x:f>
        <x:v>Yes</x:v>
      </x:c>
    </x:row>
    <x:row r="177">
      <x:c r="A177" t="s">
        <x:v>758</x:v>
      </x:c>
      <x:c r="B177" t="s">
        <x:v>755</x:v>
      </x:c>
      <x:c r="C177" t="s">
        <x:v>759</x:v>
      </x:c>
      <x:c r="D177" t="s">
        <x:v>760</x:v>
      </x:c>
      <x:c r="E177" t="s">
        <x:v>761</x:v>
      </x:c>
      <x:c r="F177" t="s">
        <x:v>761</x:v>
      </x:c>
      <x:c r="G177" t="s">
        <x:v>59</x:v>
      </x:c>
      <x:c r="P177" t="str">
        <x:f>LOWER(TRIM(SUBSTITUTE(E177,CHAR(160)," ")))</x:f>
        <x:v>mohamed.zuberi@pwc.com</x:v>
      </x:c>
      <x:c r="Q177" t="n">
        <x:f>IFERROR(VALUE(LEFT(D177,SEARCH("h",D177)-1)),0)*3600+IFERROR(VALUE(MID(D177,IFERROR(SEARCH("h ",D177)+2,1),SEARCH("m",D177)-IFERROR(SEARCH("h ",D177)+2,1))),0)*60+IFERROR(VALUE(MID(D177,IFERROR(SEARCH("m ",D177)+2,IFERROR(SEARCH("h ",D177)+2,1)),SEARCH("s",D177)-IFERROR(SEARCH("m ",D177)+2,IFERROR(SEARCH("h ",D177)+2,1)))),0)</x:f>
        <x:v>6867</x:v>
      </x:c>
      <x:c r="R177" t="str">
        <x:f>IF(P177="","No",IF(COUNTIF('Employee Attendance'!$D$2:$D$670,P177)&gt;0,"Yes","No"))</x:f>
        <x:v>Yes</x:v>
      </x:c>
    </x:row>
    <x:row r="178">
      <x:c r="A178" t="s">
        <x:v>762</x:v>
      </x:c>
      <x:c r="B178" t="s">
        <x:v>755</x:v>
      </x:c>
      <x:c r="C178" t="s">
        <x:v>763</x:v>
      </x:c>
      <x:c r="D178" t="s">
        <x:v>764</x:v>
      </x:c>
      <x:c r="E178" t="s">
        <x:v>765</x:v>
      </x:c>
      <x:c r="F178" t="s">
        <x:v>765</x:v>
      </x:c>
      <x:c r="G178" t="s">
        <x:v>59</x:v>
      </x:c>
      <x:c r="P178" t="str">
        <x:f>LOWER(TRIM(SUBSTITUTE(E178,CHAR(160)," ")))</x:f>
        <x:v>neria.rutashobya@pwc.com</x:v>
      </x:c>
      <x:c r="Q178" t="n">
        <x:f>IFERROR(VALUE(LEFT(D178,SEARCH("h",D178)-1)),0)*3600+IFERROR(VALUE(MID(D178,IFERROR(SEARCH("h ",D178)+2,1),SEARCH("m",D178)-IFERROR(SEARCH("h ",D178)+2,1))),0)*60+IFERROR(VALUE(MID(D178,IFERROR(SEARCH("m ",D178)+2,IFERROR(SEARCH("h ",D178)+2,1)),SEARCH("s",D178)-IFERROR(SEARCH("m ",D178)+2,IFERROR(SEARCH("h ",D178)+2,1)))),0)</x:f>
        <x:v>6935</x:v>
      </x:c>
      <x:c r="R178" t="str">
        <x:f>IF(P178="","No",IF(COUNTIF('Employee Attendance'!$D$2:$D$670,P178)&gt;0,"Yes","No"))</x:f>
        <x:v>Yes</x:v>
      </x:c>
    </x:row>
    <x:row r="179">
      <x:c r="A179" t="s">
        <x:v>766</x:v>
      </x:c>
      <x:c r="B179" t="s">
        <x:v>767</x:v>
      </x:c>
      <x:c r="C179" t="s">
        <x:v>768</x:v>
      </x:c>
      <x:c r="D179" t="s">
        <x:v>769</x:v>
      </x:c>
      <x:c r="E179" t="s">
        <x:v>770</x:v>
      </x:c>
      <x:c r="F179" t="s">
        <x:v>770</x:v>
      </x:c>
      <x:c r="G179" t="s">
        <x:v>59</x:v>
      </x:c>
      <x:c r="P179" t="str">
        <x:f>LOWER(TRIM(SUBSTITUTE(E179,CHAR(160)," ")))</x:f>
        <x:v>angel.qamara@pwc.com</x:v>
      </x:c>
      <x:c r="Q179" t="n">
        <x:f>IFERROR(VALUE(LEFT(D179,SEARCH("h",D179)-1)),0)*3600+IFERROR(VALUE(MID(D179,IFERROR(SEARCH("h ",D179)+2,1),SEARCH("m",D179)-IFERROR(SEARCH("h ",D179)+2,1))),0)*60+IFERROR(VALUE(MID(D179,IFERROR(SEARCH("m ",D179)+2,IFERROR(SEARCH("h ",D179)+2,1)),SEARCH("s",D179)-IFERROR(SEARCH("m ",D179)+2,IFERROR(SEARCH("h ",D179)+2,1)))),0)</x:f>
        <x:v>6193</x:v>
      </x:c>
      <x:c r="R179" t="str">
        <x:f>IF(P179="","No",IF(COUNTIF('Employee Attendance'!$D$2:$D$670,P179)&gt;0,"Yes","No"))</x:f>
        <x:v>Yes</x:v>
      </x:c>
    </x:row>
    <x:row r="180">
      <x:c r="A180" t="s">
        <x:v>771</x:v>
      </x:c>
      <x:c r="B180" t="s">
        <x:v>772</x:v>
      </x:c>
      <x:c r="C180" t="s">
        <x:v>773</x:v>
      </x:c>
      <x:c r="D180" t="s">
        <x:v>774</x:v>
      </x:c>
      <x:c r="E180" t="s">
        <x:v>775</x:v>
      </x:c>
      <x:c r="F180" t="s">
        <x:v>775</x:v>
      </x:c>
      <x:c r="G180" t="s">
        <x:v>59</x:v>
      </x:c>
      <x:c r="O180">
        <x:v>1</x:v>
      </x:c>
      <x:c r="P180" t="str">
        <x:f>LOWER(TRIM(SUBSTITUTE(E180,CHAR(160)," ")))</x:f>
        <x:v>lucy.thuo@pwc.com</x:v>
      </x:c>
      <x:c r="Q180" t="n">
        <x:f>IFERROR(VALUE(LEFT(D180,SEARCH("h",D180)-1)),0)*3600+IFERROR(VALUE(MID(D180,IFERROR(SEARCH("h ",D180)+2,1),SEARCH("m",D180)-IFERROR(SEARCH("h ",D180)+2,1))),0)*60+IFERROR(VALUE(MID(D180,IFERROR(SEARCH("m ",D180)+2,IFERROR(SEARCH("h ",D180)+2,1)),SEARCH("s",D180)-IFERROR(SEARCH("m ",D180)+2,IFERROR(SEARCH("h ",D180)+2,1)))),0)</x:f>
        <x:v>1545</x:v>
      </x:c>
      <x:c r="R180" t="str">
        <x:f>IF(P180="","No",IF(COUNTIF('Employee Attendance'!$D$2:$D$670,P180)&gt;0,"Yes","No"))</x:f>
        <x:v>Yes</x:v>
      </x:c>
    </x:row>
    <x:row r="181">
      <x:c r="A181" t="s">
        <x:v>776</x:v>
      </x:c>
      <x:c r="B181" t="s">
        <x:v>777</x:v>
      </x:c>
      <x:c r="C181" t="s">
        <x:v>778</x:v>
      </x:c>
      <x:c r="D181" t="s">
        <x:v>779</x:v>
      </x:c>
      <x:c r="E181" t="s">
        <x:v>780</x:v>
      </x:c>
      <x:c r="F181" t="s">
        <x:v>780</x:v>
      </x:c>
      <x:c r="G181" t="s">
        <x:v>59</x:v>
      </x:c>
      <x:c r="O181">
        <x:v>1</x:v>
      </x:c>
      <x:c r="P181" t="str">
        <x:f>LOWER(TRIM(SUBSTITUTE(E181,CHAR(160)," ")))</x:f>
        <x:v>hassan.soormally@pwc.com</x:v>
      </x:c>
      <x:c r="Q181" t="n">
        <x:f>IFERROR(VALUE(LEFT(D181,SEARCH("h",D181)-1)),0)*3600+IFERROR(VALUE(MID(D181,IFERROR(SEARCH("h ",D181)+2,1),SEARCH("m",D181)-IFERROR(SEARCH("h ",D181)+2,1))),0)*60+IFERROR(VALUE(MID(D181,IFERROR(SEARCH("m ",D181)+2,IFERROR(SEARCH("h ",D181)+2,1)),SEARCH("s",D181)-IFERROR(SEARCH("m ",D181)+2,IFERROR(SEARCH("h ",D181)+2,1)))),0)</x:f>
        <x:v>6883</x:v>
      </x:c>
      <x:c r="R181" t="str">
        <x:f>IF(P181="","No",IF(COUNTIF('Employee Attendance'!$D$2:$D$670,P181)&gt;0,"Yes","No"))</x:f>
        <x:v>Yes</x:v>
      </x:c>
    </x:row>
    <x:row r="182">
      <x:c r="A182" t="s">
        <x:v>781</x:v>
      </x:c>
      <x:c r="B182" t="s">
        <x:v>782</x:v>
      </x:c>
      <x:c r="C182" t="s">
        <x:v>51</x:v>
      </x:c>
      <x:c r="D182" t="s">
        <x:v>783</x:v>
      </x:c>
      <x:c r="E182" t="s">
        <x:v>784</x:v>
      </x:c>
      <x:c r="F182" t="s">
        <x:v>784</x:v>
      </x:c>
      <x:c r="G182" t="s">
        <x:v>59</x:v>
      </x:c>
      <x:c r="P182" t="str">
        <x:f>LOWER(TRIM(SUBSTITUTE(E182,CHAR(160)," ")))</x:f>
        <x:v>penlope.bainomugisha@pwc.com</x:v>
      </x:c>
      <x:c r="Q182" t="n">
        <x:f>IFERROR(VALUE(LEFT(D182,SEARCH("h",D182)-1)),0)*3600+IFERROR(VALUE(MID(D182,IFERROR(SEARCH("h ",D182)+2,1),SEARCH("m",D182)-IFERROR(SEARCH("h ",D182)+2,1))),0)*60+IFERROR(VALUE(MID(D182,IFERROR(SEARCH("m ",D182)+2,IFERROR(SEARCH("h ",D182)+2,1)),SEARCH("s",D182)-IFERROR(SEARCH("m ",D182)+2,IFERROR(SEARCH("h ",D182)+2,1)))),0)</x:f>
        <x:v>6810</x:v>
      </x:c>
      <x:c r="R182" t="str">
        <x:f>IF(P182="","No",IF(COUNTIF('Employee Attendance'!$D$2:$D$670,P182)&gt;0,"Yes","No"))</x:f>
        <x:v>Yes</x:v>
      </x:c>
    </x:row>
    <x:row r="183">
      <x:c r="A183" t="s">
        <x:v>785</x:v>
      </x:c>
      <x:c r="B183" t="s">
        <x:v>786</x:v>
      </x:c>
      <x:c r="C183" t="s">
        <x:v>787</x:v>
      </x:c>
      <x:c r="D183" t="s">
        <x:v>788</x:v>
      </x:c>
      <x:c r="E183" t="s">
        <x:v>789</x:v>
      </x:c>
      <x:c r="F183" t="s">
        <x:v>789</x:v>
      </x:c>
      <x:c r="G183" t="s">
        <x:v>59</x:v>
      </x:c>
      <x:c r="P183" t="str">
        <x:f>LOWER(TRIM(SUBSTITUTE(E183,CHAR(160)," ")))</x:f>
        <x:v>nahashon.kimani@pwc.com</x:v>
      </x:c>
      <x:c r="Q183" t="n">
        <x:f>IFERROR(VALUE(LEFT(D183,SEARCH("h",D183)-1)),0)*3600+IFERROR(VALUE(MID(D183,IFERROR(SEARCH("h ",D183)+2,1),SEARCH("m",D183)-IFERROR(SEARCH("h ",D183)+2,1))),0)*60+IFERROR(VALUE(MID(D183,IFERROR(SEARCH("m ",D183)+2,IFERROR(SEARCH("h ",D183)+2,1)),SEARCH("s",D183)-IFERROR(SEARCH("m ",D183)+2,IFERROR(SEARCH("h ",D183)+2,1)))),0)</x:f>
        <x:v>6840</x:v>
      </x:c>
      <x:c r="R183" t="str">
        <x:f>IF(P183="","No",IF(COUNTIF('Employee Attendance'!$D$2:$D$670,P183)&gt;0,"Yes","No"))</x:f>
        <x:v>Yes</x:v>
      </x:c>
    </x:row>
    <x:row r="184">
      <x:c r="A184" t="s">
        <x:v>790</x:v>
      </x:c>
      <x:c r="B184" t="s">
        <x:v>791</x:v>
      </x:c>
      <x:c r="C184" t="s">
        <x:v>454</x:v>
      </x:c>
      <x:c r="D184" t="s">
        <x:v>792</x:v>
      </x:c>
      <x:c r="E184" t="s">
        <x:v>793</x:v>
      </x:c>
      <x:c r="F184" t="s">
        <x:v>793</x:v>
      </x:c>
      <x:c r="G184" t="s">
        <x:v>59</x:v>
      </x:c>
      <x:c r="P184" t="str">
        <x:f>LOWER(TRIM(SUBSTITUTE(E184,CHAR(160)," ")))</x:f>
        <x:v>consolata.orodi@pwc.com</x:v>
      </x:c>
      <x:c r="Q184" t="n">
        <x:f>IFERROR(VALUE(LEFT(D184,SEARCH("h",D184)-1)),0)*3600+IFERROR(VALUE(MID(D184,IFERROR(SEARCH("h ",D184)+2,1),SEARCH("m",D184)-IFERROR(SEARCH("h ",D184)+2,1))),0)*60+IFERROR(VALUE(MID(D184,IFERROR(SEARCH("m ",D184)+2,IFERROR(SEARCH("h ",D184)+2,1)),SEARCH("s",D184)-IFERROR(SEARCH("m ",D184)+2,IFERROR(SEARCH("h ",D184)+2,1)))),0)</x:f>
        <x:v>6862</x:v>
      </x:c>
      <x:c r="R184" t="str">
        <x:f>IF(P184="","No",IF(COUNTIF('Employee Attendance'!$D$2:$D$670,P184)&gt;0,"Yes","No"))</x:f>
        <x:v>Yes</x:v>
      </x:c>
    </x:row>
    <x:row r="185">
      <x:c r="A185" t="s">
        <x:v>794</x:v>
      </x:c>
      <x:c r="B185" t="s">
        <x:v>795</x:v>
      </x:c>
      <x:c r="C185" t="s">
        <x:v>30</x:v>
      </x:c>
      <x:c r="D185" t="s">
        <x:v>796</x:v>
      </x:c>
      <x:c r="E185" t="s">
        <x:v>797</x:v>
      </x:c>
      <x:c r="F185" t="s">
        <x:v>797</x:v>
      </x:c>
      <x:c r="G185" t="s">
        <x:v>59</x:v>
      </x:c>
      <x:c r="P185" t="str">
        <x:f>LOWER(TRIM(SUBSTITUTE(E185,CHAR(160)," ")))</x:f>
        <x:v>maria.amasi@pwc.com</x:v>
      </x:c>
      <x:c r="Q185" t="n">
        <x:f>IFERROR(VALUE(LEFT(D185,SEARCH("h",D185)-1)),0)*3600+IFERROR(VALUE(MID(D185,IFERROR(SEARCH("h ",D185)+2,1),SEARCH("m",D185)-IFERROR(SEARCH("h ",D185)+2,1))),0)*60+IFERROR(VALUE(MID(D185,IFERROR(SEARCH("m ",D185)+2,IFERROR(SEARCH("h ",D185)+2,1)),SEARCH("s",D185)-IFERROR(SEARCH("m ",D185)+2,IFERROR(SEARCH("h ",D185)+2,1)))),0)</x:f>
        <x:v>6777</x:v>
      </x:c>
      <x:c r="R185" t="str">
        <x:f>IF(P185="","No",IF(COUNTIF('Employee Attendance'!$D$2:$D$670,P185)&gt;0,"Yes","No"))</x:f>
        <x:v>Yes</x:v>
      </x:c>
    </x:row>
    <x:row r="186">
      <x:c r="A186" t="s">
        <x:v>798</x:v>
      </x:c>
      <x:c r="B186" t="s">
        <x:v>795</x:v>
      </x:c>
      <x:c r="C186" t="s">
        <x:v>799</x:v>
      </x:c>
      <x:c r="D186" t="s">
        <x:v>800</x:v>
      </x:c>
      <x:c r="E186" t="s">
        <x:v>801</x:v>
      </x:c>
      <x:c r="F186" t="s">
        <x:v>801</x:v>
      </x:c>
      <x:c r="G186" t="s">
        <x:v>59</x:v>
      </x:c>
      <x:c r="P186" t="str">
        <x:f>LOWER(TRIM(SUBSTITUTE(E186,CHAR(160)," ")))</x:f>
        <x:v>daniel.kiilu@pwc.com</x:v>
      </x:c>
      <x:c r="Q186" t="n">
        <x:f>IFERROR(VALUE(LEFT(D186,SEARCH("h",D186)-1)),0)*3600+IFERROR(VALUE(MID(D186,IFERROR(SEARCH("h ",D186)+2,1),SEARCH("m",D186)-IFERROR(SEARCH("h ",D186)+2,1))),0)*60+IFERROR(VALUE(MID(D186,IFERROR(SEARCH("m ",D186)+2,IFERROR(SEARCH("h ",D186)+2,1)),SEARCH("s",D186)-IFERROR(SEARCH("m ",D186)+2,IFERROR(SEARCH("h ",D186)+2,1)))),0)</x:f>
        <x:v>5135</x:v>
      </x:c>
      <x:c r="R186" t="str">
        <x:f>IF(P186="","No",IF(COUNTIF('Employee Attendance'!$D$2:$D$670,P186)&gt;0,"Yes","No"))</x:f>
        <x:v>Yes</x:v>
      </x:c>
    </x:row>
    <x:row r="187">
      <x:c r="A187" t="s">
        <x:v>802</x:v>
      </x:c>
      <x:c r="B187" t="s">
        <x:v>803</x:v>
      </x:c>
      <x:c r="C187" t="s">
        <x:v>339</x:v>
      </x:c>
      <x:c r="D187" t="s">
        <x:v>804</x:v>
      </x:c>
      <x:c r="E187" t="s">
        <x:v>805</x:v>
      </x:c>
      <x:c r="F187" t="s">
        <x:v>805</x:v>
      </x:c>
      <x:c r="G187" t="s">
        <x:v>59</x:v>
      </x:c>
      <x:c r="J187">
        <x:v>1</x:v>
      </x:c>
      <x:c r="O187">
        <x:v>1</x:v>
      </x:c>
      <x:c r="P187" t="str">
        <x:f>LOWER(TRIM(SUBSTITUTE(E187,CHAR(160)," ")))</x:f>
        <x:v>moses.njoroge@pwc.com</x:v>
      </x:c>
      <x:c r="Q187" t="n">
        <x:f>IFERROR(VALUE(LEFT(D187,SEARCH("h",D187)-1)),0)*3600+IFERROR(VALUE(MID(D187,IFERROR(SEARCH("h ",D187)+2,1),SEARCH("m",D187)-IFERROR(SEARCH("h ",D187)+2,1))),0)*60+IFERROR(VALUE(MID(D187,IFERROR(SEARCH("m ",D187)+2,IFERROR(SEARCH("h ",D187)+2,1)),SEARCH("s",D187)-IFERROR(SEARCH("m ",D187)+2,IFERROR(SEARCH("h ",D187)+2,1)))),0)</x:f>
        <x:v>6788</x:v>
      </x:c>
      <x:c r="R187" t="str">
        <x:f>IF(P187="","No",IF(COUNTIF('Employee Attendance'!$D$2:$D$670,P187)&gt;0,"Yes","No"))</x:f>
        <x:v>Yes</x:v>
      </x:c>
    </x:row>
    <x:row r="188">
      <x:c r="A188" t="s">
        <x:v>806</x:v>
      </x:c>
      <x:c r="B188" t="s">
        <x:v>807</x:v>
      </x:c>
      <x:c r="C188" t="s">
        <x:v>808</x:v>
      </x:c>
      <x:c r="D188" t="s">
        <x:v>809</x:v>
      </x:c>
      <x:c r="E188" t="s">
        <x:v>810</x:v>
      </x:c>
      <x:c r="F188" t="s">
        <x:v>810</x:v>
      </x:c>
      <x:c r="G188" t="s">
        <x:v>59</x:v>
      </x:c>
      <x:c r="O188">
        <x:v>1</x:v>
      </x:c>
      <x:c r="P188" t="str">
        <x:f>LOWER(TRIM(SUBSTITUTE(E188,CHAR(160)," ")))</x:f>
        <x:v>moureen.ongaga@pwc.com</x:v>
      </x:c>
      <x:c r="Q188" t="n">
        <x:f>IFERROR(VALUE(LEFT(D188,SEARCH("h",D188)-1)),0)*3600+IFERROR(VALUE(MID(D188,IFERROR(SEARCH("h ",D188)+2,1),SEARCH("m",D188)-IFERROR(SEARCH("h ",D188)+2,1))),0)*60+IFERROR(VALUE(MID(D188,IFERROR(SEARCH("m ",D188)+2,IFERROR(SEARCH("h ",D188)+2,1)),SEARCH("s",D188)-IFERROR(SEARCH("m ",D188)+2,IFERROR(SEARCH("h ",D188)+2,1)))),0)</x:f>
        <x:v>4968</x:v>
      </x:c>
      <x:c r="R188" t="str">
        <x:f>IF(P188="","No",IF(COUNTIF('Employee Attendance'!$D$2:$D$670,P188)&gt;0,"Yes","No"))</x:f>
        <x:v>Yes</x:v>
      </x:c>
    </x:row>
    <x:row r="189">
      <x:c r="A189" t="s">
        <x:v>811</x:v>
      </x:c>
      <x:c r="B189" t="s">
        <x:v>812</x:v>
      </x:c>
      <x:c r="C189" t="s">
        <x:v>813</x:v>
      </x:c>
      <x:c r="D189" t="s">
        <x:v>814</x:v>
      </x:c>
      <x:c r="E189" t="s">
        <x:v>815</x:v>
      </x:c>
      <x:c r="F189" t="s">
        <x:v>815</x:v>
      </x:c>
      <x:c r="G189" t="s">
        <x:v>59</x:v>
      </x:c>
      <x:c r="P189" t="str">
        <x:f>LOWER(TRIM(SUBSTITUTE(E189,CHAR(160)," ")))</x:f>
        <x:v>faheem.ammeer@pwc.com</x:v>
      </x:c>
      <x:c r="Q189" t="n">
        <x:f>IFERROR(VALUE(LEFT(D189,SEARCH("h",D189)-1)),0)*3600+IFERROR(VALUE(MID(D189,IFERROR(SEARCH("h ",D189)+2,1),SEARCH("m",D189)-IFERROR(SEARCH("h ",D189)+2,1))),0)*60+IFERROR(VALUE(MID(D189,IFERROR(SEARCH("m ",D189)+2,IFERROR(SEARCH("h ",D189)+2,1)),SEARCH("s",D189)-IFERROR(SEARCH("m ",D189)+2,IFERROR(SEARCH("h ",D189)+2,1)))),0)</x:f>
        <x:v>2565</x:v>
      </x:c>
      <x:c r="R189" t="str">
        <x:f>IF(P189="","No",IF(COUNTIF('Employee Attendance'!$D$2:$D$670,P189)&gt;0,"Yes","No"))</x:f>
        <x:v>Yes</x:v>
      </x:c>
    </x:row>
    <x:row r="190">
      <x:c r="A190" t="s">
        <x:v>816</x:v>
      </x:c>
      <x:c r="B190" t="s">
        <x:v>817</x:v>
      </x:c>
      <x:c r="C190" t="s">
        <x:v>818</x:v>
      </x:c>
      <x:c r="D190" t="s">
        <x:v>819</x:v>
      </x:c>
      <x:c r="E190" t="s">
        <x:v>820</x:v>
      </x:c>
      <x:c r="F190" t="s">
        <x:v>820</x:v>
      </x:c>
      <x:c r="G190" t="s">
        <x:v>59</x:v>
      </x:c>
      <x:c r="O190">
        <x:v>1</x:v>
      </x:c>
      <x:c r="P190" t="str">
        <x:f>LOWER(TRIM(SUBSTITUTE(E190,CHAR(160)," ")))</x:f>
        <x:v>hudah.naluwembe@pwc.com</x:v>
      </x:c>
      <x:c r="Q190" t="n">
        <x:f>IFERROR(VALUE(LEFT(D190,SEARCH("h",D190)-1)),0)*3600+IFERROR(VALUE(MID(D190,IFERROR(SEARCH("h ",D190)+2,1),SEARCH("m",D190)-IFERROR(SEARCH("h ",D190)+2,1))),0)*60+IFERROR(VALUE(MID(D190,IFERROR(SEARCH("m ",D190)+2,IFERROR(SEARCH("h ",D190)+2,1)),SEARCH("s",D190)-IFERROR(SEARCH("m ",D190)+2,IFERROR(SEARCH("h ",D190)+2,1)))),0)</x:f>
        <x:v>6239</x:v>
      </x:c>
      <x:c r="R190" t="str">
        <x:f>IF(P190="","No",IF(COUNTIF('Employee Attendance'!$D$2:$D$670,P190)&gt;0,"Yes","No"))</x:f>
        <x:v>Yes</x:v>
      </x:c>
    </x:row>
    <x:row r="191">
      <x:c r="A191" t="s">
        <x:v>821</x:v>
      </x:c>
      <x:c r="B191" t="s">
        <x:v>822</x:v>
      </x:c>
      <x:c r="C191" t="s">
        <x:v>280</x:v>
      </x:c>
      <x:c r="D191" t="s">
        <x:v>823</x:v>
      </x:c>
      <x:c r="E191" t="s">
        <x:v>824</x:v>
      </x:c>
      <x:c r="F191" t="s">
        <x:v>824</x:v>
      </x:c>
      <x:c r="G191" t="s">
        <x:v>59</x:v>
      </x:c>
      <x:c r="P191" t="str">
        <x:f>LOWER(TRIM(SUBSTITUTE(E191,CHAR(160)," ")))</x:f>
        <x:v>bumi.mwampullo@pwc.com</x:v>
      </x:c>
      <x:c r="Q191" t="n">
        <x:f>IFERROR(VALUE(LEFT(D191,SEARCH("h",D191)-1)),0)*3600+IFERROR(VALUE(MID(D191,IFERROR(SEARCH("h ",D191)+2,1),SEARCH("m",D191)-IFERROR(SEARCH("h ",D191)+2,1))),0)*60+IFERROR(VALUE(MID(D191,IFERROR(SEARCH("m ",D191)+2,IFERROR(SEARCH("h ",D191)+2,1)),SEARCH("s",D191)-IFERROR(SEARCH("m ",D191)+2,IFERROR(SEARCH("h ",D191)+2,1)))),0)</x:f>
        <x:v>6792</x:v>
      </x:c>
      <x:c r="R191" t="str">
        <x:f>IF(P191="","No",IF(COUNTIF('Employee Attendance'!$D$2:$D$670,P191)&gt;0,"Yes","No"))</x:f>
        <x:v>Yes</x:v>
      </x:c>
    </x:row>
    <x:row r="192">
      <x:c r="A192" t="s">
        <x:v>825</x:v>
      </x:c>
      <x:c r="B192" t="s">
        <x:v>826</x:v>
      </x:c>
      <x:c r="C192" t="s">
        <x:v>170</x:v>
      </x:c>
      <x:c r="D192" t="s">
        <x:v>827</x:v>
      </x:c>
      <x:c r="E192" t="s">
        <x:v>828</x:v>
      </x:c>
      <x:c r="F192" t="s">
        <x:v>828</x:v>
      </x:c>
      <x:c r="G192" t="s">
        <x:v>59</x:v>
      </x:c>
      <x:c r="P192" t="str">
        <x:f>LOWER(TRIM(SUBSTITUTE(E192,CHAR(160)," ")))</x:f>
        <x:v>nancy.shamge@pwc.com</x:v>
      </x:c>
      <x:c r="Q192" t="n">
        <x:f>IFERROR(VALUE(LEFT(D192,SEARCH("h",D192)-1)),0)*3600+IFERROR(VALUE(MID(D192,IFERROR(SEARCH("h ",D192)+2,1),SEARCH("m",D192)-IFERROR(SEARCH("h ",D192)+2,1))),0)*60+IFERROR(VALUE(MID(D192,IFERROR(SEARCH("m ",D192)+2,IFERROR(SEARCH("h ",D192)+2,1)),SEARCH("s",D192)-IFERROR(SEARCH("m ",D192)+2,IFERROR(SEARCH("h ",D192)+2,1)))),0)</x:f>
        <x:v>6744</x:v>
      </x:c>
      <x:c r="R192" t="str">
        <x:f>IF(P192="","No",IF(COUNTIF('Employee Attendance'!$D$2:$D$670,P192)&gt;0,"Yes","No"))</x:f>
        <x:v>Yes</x:v>
      </x:c>
    </x:row>
    <x:row r="193">
      <x:c r="A193" t="s">
        <x:v>829</x:v>
      </x:c>
      <x:c r="B193" t="s">
        <x:v>830</x:v>
      </x:c>
      <x:c r="C193" t="s">
        <x:v>146</x:v>
      </x:c>
      <x:c r="D193" t="s">
        <x:v>831</x:v>
      </x:c>
      <x:c r="E193" t="s">
        <x:v>832</x:v>
      </x:c>
      <x:c r="F193" t="s">
        <x:v>832</x:v>
      </x:c>
      <x:c r="G193" t="s">
        <x:v>59</x:v>
      </x:c>
      <x:c r="P193" t="str">
        <x:f>LOWER(TRIM(SUBSTITUTE(E193,CHAR(160)," ")))</x:f>
        <x:v>elizabeth.waudo@pwc.com</x:v>
      </x:c>
      <x:c r="Q193" t="n">
        <x:f>IFERROR(VALUE(LEFT(D193,SEARCH("h",D193)-1)),0)*3600+IFERROR(VALUE(MID(D193,IFERROR(SEARCH("h ",D193)+2,1),SEARCH("m",D193)-IFERROR(SEARCH("h ",D193)+2,1))),0)*60+IFERROR(VALUE(MID(D193,IFERROR(SEARCH("m ",D193)+2,IFERROR(SEARCH("h ",D193)+2,1)),SEARCH("s",D193)-IFERROR(SEARCH("m ",D193)+2,IFERROR(SEARCH("h ",D193)+2,1)))),0)</x:f>
        <x:v>6738</x:v>
      </x:c>
      <x:c r="R193" t="str">
        <x:f>IF(P193="","No",IF(COUNTIF('Employee Attendance'!$D$2:$D$670,P193)&gt;0,"Yes","No"))</x:f>
        <x:v>Yes</x:v>
      </x:c>
    </x:row>
    <x:row r="194">
      <x:c r="A194" t="s">
        <x:v>833</x:v>
      </x:c>
      <x:c r="B194" t="s">
        <x:v>834</x:v>
      </x:c>
      <x:c r="C194" t="s">
        <x:v>507</x:v>
      </x:c>
      <x:c r="D194" t="s">
        <x:v>835</x:v>
      </x:c>
      <x:c r="E194" t="s">
        <x:v>836</x:v>
      </x:c>
      <x:c r="F194" t="s">
        <x:v>836</x:v>
      </x:c>
      <x:c r="G194" t="s">
        <x:v>59</x:v>
      </x:c>
      <x:c r="P194" t="str">
        <x:f>LOWER(TRIM(SUBSTITUTE(E194,CHAR(160)," ")))</x:f>
        <x:v>nahashon.thuo@pwc.com</x:v>
      </x:c>
      <x:c r="Q194" t="n">
        <x:f>IFERROR(VALUE(LEFT(D194,SEARCH("h",D194)-1)),0)*3600+IFERROR(VALUE(MID(D194,IFERROR(SEARCH("h ",D194)+2,1),SEARCH("m",D194)-IFERROR(SEARCH("h ",D194)+2,1))),0)*60+IFERROR(VALUE(MID(D194,IFERROR(SEARCH("m ",D194)+2,IFERROR(SEARCH("h ",D194)+2,1)),SEARCH("s",D194)-IFERROR(SEARCH("m ",D194)+2,IFERROR(SEARCH("h ",D194)+2,1)))),0)</x:f>
        <x:v>6755</x:v>
      </x:c>
      <x:c r="R194" t="str">
        <x:f>IF(P194="","No",IF(COUNTIF('Employee Attendance'!$D$2:$D$670,P194)&gt;0,"Yes","No"))</x:f>
        <x:v>Yes</x:v>
      </x:c>
    </x:row>
    <x:row r="195">
      <x:c r="A195" t="s">
        <x:v>837</x:v>
      </x:c>
      <x:c r="B195" t="s">
        <x:v>838</x:v>
      </x:c>
      <x:c r="C195" t="s">
        <x:v>418</x:v>
      </x:c>
      <x:c r="D195" t="s">
        <x:v>839</x:v>
      </x:c>
      <x:c r="E195" t="s">
        <x:v>840</x:v>
      </x:c>
      <x:c r="F195" t="s">
        <x:v>840</x:v>
      </x:c>
      <x:c r="G195" t="s">
        <x:v>59</x:v>
      </x:c>
      <x:c r="P195" t="str">
        <x:f>LOWER(TRIM(SUBSTITUTE(E195,CHAR(160)," ")))</x:f>
        <x:v>darshani.cooshna@pwc.com</x:v>
      </x:c>
      <x:c r="Q195" t="n">
        <x:f>IFERROR(VALUE(LEFT(D195,SEARCH("h",D195)-1)),0)*3600+IFERROR(VALUE(MID(D195,IFERROR(SEARCH("h ",D195)+2,1),SEARCH("m",D195)-IFERROR(SEARCH("h ",D195)+2,1))),0)*60+IFERROR(VALUE(MID(D195,IFERROR(SEARCH("m ",D195)+2,IFERROR(SEARCH("h ",D195)+2,1)),SEARCH("s",D195)-IFERROR(SEARCH("m ",D195)+2,IFERROR(SEARCH("h ",D195)+2,1)))),0)</x:f>
        <x:v>3399</x:v>
      </x:c>
      <x:c r="R195" t="str">
        <x:f>IF(P195="","No",IF(COUNTIF('Employee Attendance'!$D$2:$D$670,P195)&gt;0,"Yes","No"))</x:f>
        <x:v>Yes</x:v>
      </x:c>
    </x:row>
    <x:row r="196">
      <x:c r="A196" t="s">
        <x:v>841</x:v>
      </x:c>
      <x:c r="B196" t="s">
        <x:v>842</x:v>
      </x:c>
      <x:c r="C196" t="s">
        <x:v>843</x:v>
      </x:c>
      <x:c r="D196" t="s">
        <x:v>844</x:v>
      </x:c>
      <x:c r="E196" t="s">
        <x:v>845</x:v>
      </x:c>
      <x:c r="F196" t="s">
        <x:v>845</x:v>
      </x:c>
      <x:c r="G196" t="s">
        <x:v>59</x:v>
      </x:c>
      <x:c r="O196">
        <x:v>1</x:v>
      </x:c>
      <x:c r="P196" t="str">
        <x:f>LOWER(TRIM(SUBSTITUTE(E196,CHAR(160)," ")))</x:f>
        <x:v>nuzhah.r.rosun@pwc.com</x:v>
      </x:c>
      <x:c r="Q196" t="n">
        <x:f>IFERROR(VALUE(LEFT(D196,SEARCH("h",D196)-1)),0)*3600+IFERROR(VALUE(MID(D196,IFERROR(SEARCH("h ",D196)+2,1),SEARCH("m",D196)-IFERROR(SEARCH("h ",D196)+2,1))),0)*60+IFERROR(VALUE(MID(D196,IFERROR(SEARCH("m ",D196)+2,IFERROR(SEARCH("h ",D196)+2,1)),SEARCH("s",D196)-IFERROR(SEARCH("m ",D196)+2,IFERROR(SEARCH("h ",D196)+2,1)))),0)</x:f>
        <x:v>6734</x:v>
      </x:c>
      <x:c r="R196" t="str">
        <x:f>IF(P196="","No",IF(COUNTIF('Employee Attendance'!$D$2:$D$670,P196)&gt;0,"Yes","No"))</x:f>
        <x:v>Yes</x:v>
      </x:c>
    </x:row>
    <x:row r="197">
      <x:c r="A197" t="s">
        <x:v>846</x:v>
      </x:c>
      <x:c r="B197" t="s">
        <x:v>842</x:v>
      </x:c>
      <x:c r="C197" t="s">
        <x:v>231</x:v>
      </x:c>
      <x:c r="D197" t="s">
        <x:v>847</x:v>
      </x:c>
      <x:c r="E197" t="s">
        <x:v>848</x:v>
      </x:c>
      <x:c r="F197" t="s">
        <x:v>848</x:v>
      </x:c>
      <x:c r="G197" t="s">
        <x:v>59</x:v>
      </x:c>
      <x:c r="O197">
        <x:v>1</x:v>
      </x:c>
      <x:c r="P197" t="str">
        <x:f>LOWER(TRIM(SUBSTITUTE(E197,CHAR(160)," ")))</x:f>
        <x:v>elizabeth.m.monga@pwc.com</x:v>
      </x:c>
      <x:c r="Q197" t="n">
        <x:f>IFERROR(VALUE(LEFT(D197,SEARCH("h",D197)-1)),0)*3600+IFERROR(VALUE(MID(D197,IFERROR(SEARCH("h ",D197)+2,1),SEARCH("m",D197)-IFERROR(SEARCH("h ",D197)+2,1))),0)*60+IFERROR(VALUE(MID(D197,IFERROR(SEARCH("m ",D197)+2,IFERROR(SEARCH("h ",D197)+2,1)),SEARCH("s",D197)-IFERROR(SEARCH("m ",D197)+2,IFERROR(SEARCH("h ",D197)+2,1)))),0)</x:f>
        <x:v>6732</x:v>
      </x:c>
      <x:c r="R197" t="str">
        <x:f>IF(P197="","No",IF(COUNTIF('Employee Attendance'!$D$2:$D$670,P197)&gt;0,"Yes","No"))</x:f>
        <x:v>Yes</x:v>
      </x:c>
    </x:row>
    <x:row r="198">
      <x:c r="A198" t="s">
        <x:v>849</x:v>
      </x:c>
      <x:c r="B198" t="s">
        <x:v>850</x:v>
      </x:c>
      <x:c r="C198" t="s">
        <x:v>851</x:v>
      </x:c>
      <x:c r="D198" t="s">
        <x:v>852</x:v>
      </x:c>
      <x:c r="E198" t="s">
        <x:v>853</x:v>
      </x:c>
      <x:c r="F198" t="s">
        <x:v>853</x:v>
      </x:c>
      <x:c r="G198" t="s">
        <x:v>59</x:v>
      </x:c>
      <x:c r="O198">
        <x:v>1</x:v>
      </x:c>
      <x:c r="P198" t="str">
        <x:f>LOWER(TRIM(SUBSTITUTE(E198,CHAR(160)," ")))</x:f>
        <x:v>alphonce.o.odhiambo@pwc.com</x:v>
      </x:c>
      <x:c r="Q198" t="n">
        <x:f>IFERROR(VALUE(LEFT(D198,SEARCH("h",D198)-1)),0)*3600+IFERROR(VALUE(MID(D198,IFERROR(SEARCH("h ",D198)+2,1),SEARCH("m",D198)-IFERROR(SEARCH("h ",D198)+2,1))),0)*60+IFERROR(VALUE(MID(D198,IFERROR(SEARCH("m ",D198)+2,IFERROR(SEARCH("h ",D198)+2,1)),SEARCH("s",D198)-IFERROR(SEARCH("m ",D198)+2,IFERROR(SEARCH("h ",D198)+2,1)))),0)</x:f>
        <x:v>6768</x:v>
      </x:c>
      <x:c r="R198" t="str">
        <x:f>IF(P198="","No",IF(COUNTIF('Employee Attendance'!$D$2:$D$670,P198)&gt;0,"Yes","No"))</x:f>
        <x:v>Yes</x:v>
      </x:c>
    </x:row>
    <x:row r="199">
      <x:c r="A199" t="s">
        <x:v>854</x:v>
      </x:c>
      <x:c r="B199" t="s">
        <x:v>855</x:v>
      </x:c>
      <x:c r="C199" t="s">
        <x:v>463</x:v>
      </x:c>
      <x:c r="D199" t="s">
        <x:v>856</x:v>
      </x:c>
      <x:c r="E199" t="s">
        <x:v>857</x:v>
      </x:c>
      <x:c r="F199" t="s">
        <x:v>857</x:v>
      </x:c>
      <x:c r="G199" t="s">
        <x:v>59</x:v>
      </x:c>
      <x:c r="P199" t="str">
        <x:f>LOWER(TRIM(SUBSTITUTE(E199,CHAR(160)," ")))</x:f>
        <x:v>alfred.mwendwa@pwc.com</x:v>
      </x:c>
      <x:c r="Q199" t="n">
        <x:f>IFERROR(VALUE(LEFT(D199,SEARCH("h",D199)-1)),0)*3600+IFERROR(VALUE(MID(D199,IFERROR(SEARCH("h ",D199)+2,1),SEARCH("m",D199)-IFERROR(SEARCH("h ",D199)+2,1))),0)*60+IFERROR(VALUE(MID(D199,IFERROR(SEARCH("m ",D199)+2,IFERROR(SEARCH("h ",D199)+2,1)),SEARCH("s",D199)-IFERROR(SEARCH("m ",D199)+2,IFERROR(SEARCH("h ",D199)+2,1)))),0)</x:f>
        <x:v>6745</x:v>
      </x:c>
      <x:c r="R199" t="str">
        <x:f>IF(P199="","No",IF(COUNTIF('Employee Attendance'!$D$2:$D$670,P199)&gt;0,"Yes","No"))</x:f>
        <x:v>Yes</x:v>
      </x:c>
    </x:row>
    <x:row r="200">
      <x:c r="A200" t="s">
        <x:v>858</x:v>
      </x:c>
      <x:c r="B200" t="s">
        <x:v>859</x:v>
      </x:c>
      <x:c r="C200" t="s">
        <x:v>334</x:v>
      </x:c>
      <x:c r="D200" t="s">
        <x:v>860</x:v>
      </x:c>
      <x:c r="E200" t="s">
        <x:v>861</x:v>
      </x:c>
      <x:c r="F200" t="s">
        <x:v>861</x:v>
      </x:c>
      <x:c r="G200" t="s">
        <x:v>59</x:v>
      </x:c>
      <x:c r="P200" t="str">
        <x:f>LOWER(TRIM(SUBSTITUTE(E200,CHAR(160)," ")))</x:f>
        <x:v>golder.k.kamuzora@pwc.com</x:v>
      </x:c>
      <x:c r="Q200" t="n">
        <x:f>IFERROR(VALUE(LEFT(D200,SEARCH("h",D200)-1)),0)*3600+IFERROR(VALUE(MID(D200,IFERROR(SEARCH("h ",D200)+2,1),SEARCH("m",D200)-IFERROR(SEARCH("h ",D200)+2,1))),0)*60+IFERROR(VALUE(MID(D200,IFERROR(SEARCH("m ",D200)+2,IFERROR(SEARCH("h ",D200)+2,1)),SEARCH("s",D200)-IFERROR(SEARCH("m ",D200)+2,IFERROR(SEARCH("h ",D200)+2,1)))),0)</x:f>
        <x:v>6641</x:v>
      </x:c>
      <x:c r="R200" t="str">
        <x:f>IF(P200="","No",IF(COUNTIF('Employee Attendance'!$D$2:$D$670,P200)&gt;0,"Yes","No"))</x:f>
        <x:v>Yes</x:v>
      </x:c>
    </x:row>
    <x:row r="201">
      <x:c r="A201" t="s">
        <x:v>862</x:v>
      </x:c>
      <x:c r="B201" t="s">
        <x:v>863</x:v>
      </x:c>
      <x:c r="C201" t="s">
        <x:v>864</x:v>
      </x:c>
      <x:c r="D201" t="s">
        <x:v>865</x:v>
      </x:c>
      <x:c r="E201" t="s">
        <x:v>866</x:v>
      </x:c>
      <x:c r="F201" t="s">
        <x:v>866</x:v>
      </x:c>
      <x:c r="G201" t="s">
        <x:v>59</x:v>
      </x:c>
      <x:c r="O201">
        <x:v>2</x:v>
      </x:c>
      <x:c r="P201" t="str">
        <x:f>LOWER(TRIM(SUBSTITUTE(E201,CHAR(160)," ")))</x:f>
        <x:v>beryl.wasungu@pwc.com</x:v>
      </x:c>
      <x:c r="Q201" t="n">
        <x:f>IFERROR(VALUE(LEFT(D201,SEARCH("h",D201)-1)),0)*3600+IFERROR(VALUE(MID(D201,IFERROR(SEARCH("h ",D201)+2,1),SEARCH("m",D201)-IFERROR(SEARCH("h ",D201)+2,1))),0)*60+IFERROR(VALUE(MID(D201,IFERROR(SEARCH("m ",D201)+2,IFERROR(SEARCH("h ",D201)+2,1)),SEARCH("s",D201)-IFERROR(SEARCH("m ",D201)+2,IFERROR(SEARCH("h ",D201)+2,1)))),0)</x:f>
        <x:v>6315</x:v>
      </x:c>
      <x:c r="R201" t="str">
        <x:f>IF(P201="","No",IF(COUNTIF('Employee Attendance'!$D$2:$D$670,P201)&gt;0,"Yes","No"))</x:f>
        <x:v>Yes</x:v>
      </x:c>
    </x:row>
    <x:row r="202">
      <x:c r="A202" t="s">
        <x:v>867</x:v>
      </x:c>
      <x:c r="B202" t="s">
        <x:v>868</x:v>
      </x:c>
      <x:c r="C202" t="s">
        <x:v>869</x:v>
      </x:c>
      <x:c r="D202" t="s">
        <x:v>870</x:v>
      </x:c>
      <x:c r="E202" t="s">
        <x:v>871</x:v>
      </x:c>
      <x:c r="F202" t="s">
        <x:v>871</x:v>
      </x:c>
      <x:c r="G202" t="s">
        <x:v>59</x:v>
      </x:c>
      <x:c r="P202" t="str">
        <x:f>LOWER(TRIM(SUBSTITUTE(E202,CHAR(160)," ")))</x:f>
        <x:v>jeffrey.koo@pwc.com</x:v>
      </x:c>
      <x:c r="Q202" t="n">
        <x:f>IFERROR(VALUE(LEFT(D202,SEARCH("h",D202)-1)),0)*3600+IFERROR(VALUE(MID(D202,IFERROR(SEARCH("h ",D202)+2,1),SEARCH("m",D202)-IFERROR(SEARCH("h ",D202)+2,1))),0)*60+IFERROR(VALUE(MID(D202,IFERROR(SEARCH("m ",D202)+2,IFERROR(SEARCH("h ",D202)+2,1)),SEARCH("s",D202)-IFERROR(SEARCH("m ",D202)+2,IFERROR(SEARCH("h ",D202)+2,1)))),0)</x:f>
        <x:v>5114</x:v>
      </x:c>
      <x:c r="R202" t="str">
        <x:f>IF(P202="","No",IF(COUNTIF('Employee Attendance'!$D$2:$D$670,P202)&gt;0,"Yes","No"))</x:f>
        <x:v>Yes</x:v>
      </x:c>
    </x:row>
    <x:row r="203">
      <x:c r="A203" t="s">
        <x:v>872</x:v>
      </x:c>
      <x:c r="B203" t="s">
        <x:v>873</x:v>
      </x:c>
      <x:c r="C203" t="s">
        <x:v>231</x:v>
      </x:c>
      <x:c r="D203" t="s">
        <x:v>874</x:v>
      </x:c>
      <x:c r="E203" t="s">
        <x:v>875</x:v>
      </x:c>
      <x:c r="F203" t="s">
        <x:v>875</x:v>
      </x:c>
      <x:c r="G203" t="s">
        <x:v>59</x:v>
      </x:c>
      <x:c r="H203">
        <x:v>1</x:v>
      </x:c>
      <x:c r="P203" t="str">
        <x:f>LOWER(TRIM(SUBSTITUTE(E203,CHAR(160)," ")))</x:f>
        <x:v>mercy.kuria@pwc.com</x:v>
      </x:c>
      <x:c r="Q203" t="n">
        <x:f>IFERROR(VALUE(LEFT(D203,SEARCH("h",D203)-1)),0)*3600+IFERROR(VALUE(MID(D203,IFERROR(SEARCH("h ",D203)+2,1),SEARCH("m",D203)-IFERROR(SEARCH("h ",D203)+2,1))),0)*60+IFERROR(VALUE(MID(D203,IFERROR(SEARCH("m ",D203)+2,IFERROR(SEARCH("h ",D203)+2,1)),SEARCH("s",D203)-IFERROR(SEARCH("m ",D203)+2,IFERROR(SEARCH("h ",D203)+2,1)))),0)</x:f>
        <x:v>6673</x:v>
      </x:c>
      <x:c r="R203" t="str">
        <x:f>IF(P203="","No",IF(COUNTIF('Employee Attendance'!$D$2:$D$670,P203)&gt;0,"Yes","No"))</x:f>
        <x:v>Yes</x:v>
      </x:c>
    </x:row>
    <x:row r="204">
      <x:c r="A204" t="s">
        <x:v>876</x:v>
      </x:c>
      <x:c r="B204" t="s">
        <x:v>877</x:v>
      </x:c>
      <x:c r="C204" t="s">
        <x:v>878</x:v>
      </x:c>
      <x:c r="D204" t="s">
        <x:v>879</x:v>
      </x:c>
      <x:c r="E204" t="s">
        <x:v>880</x:v>
      </x:c>
      <x:c r="F204" t="s">
        <x:v>880</x:v>
      </x:c>
      <x:c r="G204" t="s">
        <x:v>59</x:v>
      </x:c>
      <x:c r="P204" t="str">
        <x:f>LOWER(TRIM(SUBSTITUTE(E204,CHAR(160)," ")))</x:f>
        <x:v>enock.muywanga@pwc.com</x:v>
      </x:c>
      <x:c r="Q204" t="n">
        <x:f>IFERROR(VALUE(LEFT(D204,SEARCH("h",D204)-1)),0)*3600+IFERROR(VALUE(MID(D204,IFERROR(SEARCH("h ",D204)+2,1),SEARCH("m",D204)-IFERROR(SEARCH("h ",D204)+2,1))),0)*60+IFERROR(VALUE(MID(D204,IFERROR(SEARCH("m ",D204)+2,IFERROR(SEARCH("h ",D204)+2,1)),SEARCH("s",D204)-IFERROR(SEARCH("m ",D204)+2,IFERROR(SEARCH("h ",D204)+2,1)))),0)</x:f>
        <x:v>10125</x:v>
      </x:c>
      <x:c r="R204" t="str">
        <x:f>IF(P204="","No",IF(COUNTIF('Employee Attendance'!$D$2:$D$670,P204)&gt;0,"Yes","No"))</x:f>
        <x:v>Yes</x:v>
      </x:c>
    </x:row>
    <x:row r="205">
      <x:c r="A205" t="s">
        <x:v>881</x:v>
      </x:c>
      <x:c r="B205" t="s">
        <x:v>877</x:v>
      </x:c>
      <x:c r="C205" t="s">
        <x:v>882</x:v>
      </x:c>
      <x:c r="D205" t="s">
        <x:v>883</x:v>
      </x:c>
      <x:c r="E205" t="s">
        <x:v>884</x:v>
      </x:c>
      <x:c r="F205" t="s">
        <x:v>884</x:v>
      </x:c>
      <x:c r="G205" t="s">
        <x:v>59</x:v>
      </x:c>
      <x:c r="P205" t="str">
        <x:f>LOWER(TRIM(SUBSTITUTE(E205,CHAR(160)," ")))</x:f>
        <x:v>sharon.obiero@pwc.com</x:v>
      </x:c>
      <x:c r="Q205" t="n">
        <x:f>IFERROR(VALUE(LEFT(D205,SEARCH("h",D205)-1)),0)*3600+IFERROR(VALUE(MID(D205,IFERROR(SEARCH("h ",D205)+2,1),SEARCH("m",D205)-IFERROR(SEARCH("h ",D205)+2,1))),0)*60+IFERROR(VALUE(MID(D205,IFERROR(SEARCH("m ",D205)+2,IFERROR(SEARCH("h ",D205)+2,1)),SEARCH("s",D205)-IFERROR(SEARCH("m ",D205)+2,IFERROR(SEARCH("h ",D205)+2,1)))),0)</x:f>
        <x:v>6468</x:v>
      </x:c>
      <x:c r="R205" t="str">
        <x:f>IF(P205="","No",IF(COUNTIF('Employee Attendance'!$D$2:$D$670,P205)&gt;0,"Yes","No"))</x:f>
        <x:v>Yes</x:v>
      </x:c>
    </x:row>
    <x:row r="206">
      <x:c r="A206" t="s">
        <x:v>885</x:v>
      </x:c>
      <x:c r="B206" t="s">
        <x:v>886</x:v>
      </x:c>
      <x:c r="C206" t="s">
        <x:v>887</x:v>
      </x:c>
      <x:c r="D206" t="s">
        <x:v>888</x:v>
      </x:c>
      <x:c r="E206" t="s">
        <x:v>889</x:v>
      </x:c>
      <x:c r="F206" t="s">
        <x:v>889</x:v>
      </x:c>
      <x:c r="G206" t="s">
        <x:v>59</x:v>
      </x:c>
      <x:c r="P206" t="str">
        <x:f>LOWER(TRIM(SUBSTITUTE(E206,CHAR(160)," ")))</x:f>
        <x:v>maryam.majid@pwc.com</x:v>
      </x:c>
      <x:c r="Q206" t="n">
        <x:f>IFERROR(VALUE(LEFT(D206,SEARCH("h",D206)-1)),0)*3600+IFERROR(VALUE(MID(D206,IFERROR(SEARCH("h ",D206)+2,1),SEARCH("m",D206)-IFERROR(SEARCH("h ",D206)+2,1))),0)*60+IFERROR(VALUE(MID(D206,IFERROR(SEARCH("m ",D206)+2,IFERROR(SEARCH("h ",D206)+2,1)),SEARCH("s",D206)-IFERROR(SEARCH("m ",D206)+2,IFERROR(SEARCH("h ",D206)+2,1)))),0)</x:f>
        <x:v>6680</x:v>
      </x:c>
      <x:c r="R206" t="str">
        <x:f>IF(P206="","No",IF(COUNTIF('Employee Attendance'!$D$2:$D$670,P206)&gt;0,"Yes","No"))</x:f>
        <x:v>Yes</x:v>
      </x:c>
    </x:row>
    <x:row r="207">
      <x:c r="A207" t="s">
        <x:v>890</x:v>
      </x:c>
      <x:c r="B207" t="s">
        <x:v>891</x:v>
      </x:c>
      <x:c r="C207" t="s">
        <x:v>56</x:v>
      </x:c>
      <x:c r="D207" t="s">
        <x:v>892</x:v>
      </x:c>
      <x:c r="E207" t="s">
        <x:v>893</x:v>
      </x:c>
      <x:c r="F207" t="s">
        <x:v>893</x:v>
      </x:c>
      <x:c r="G207" t="s">
        <x:v>59</x:v>
      </x:c>
      <x:c r="P207" t="str">
        <x:f>LOWER(TRIM(SUBSTITUTE(E207,CHAR(160)," ")))</x:f>
        <x:v>angel.kwaye@pwc.com</x:v>
      </x:c>
      <x:c r="Q207" t="n">
        <x:f>IFERROR(VALUE(LEFT(D207,SEARCH("h",D207)-1)),0)*3600+IFERROR(VALUE(MID(D207,IFERROR(SEARCH("h ",D207)+2,1),SEARCH("m",D207)-IFERROR(SEARCH("h ",D207)+2,1))),0)*60+IFERROR(VALUE(MID(D207,IFERROR(SEARCH("m ",D207)+2,IFERROR(SEARCH("h ",D207)+2,1)),SEARCH("s",D207)-IFERROR(SEARCH("m ",D207)+2,IFERROR(SEARCH("h ",D207)+2,1)))),0)</x:f>
        <x:v>6660</x:v>
      </x:c>
      <x:c r="R207" t="str">
        <x:f>IF(P207="","No",IF(COUNTIF('Employee Attendance'!$D$2:$D$670,P207)&gt;0,"Yes","No"))</x:f>
        <x:v>Yes</x:v>
      </x:c>
    </x:row>
    <x:row r="208">
      <x:c r="A208" t="s">
        <x:v>894</x:v>
      </x:c>
      <x:c r="B208" t="s">
        <x:v>895</x:v>
      </x:c>
      <x:c r="C208" t="s">
        <x:v>896</x:v>
      </x:c>
      <x:c r="D208" t="s">
        <x:v>897</x:v>
      </x:c>
      <x:c r="E208" t="s">
        <x:v>898</x:v>
      </x:c>
      <x:c r="F208" t="s">
        <x:v>898</x:v>
      </x:c>
      <x:c r="G208" t="s">
        <x:v>59</x:v>
      </x:c>
      <x:c r="P208" t="str">
        <x:f>LOWER(TRIM(SUBSTITUTE(E208,CHAR(160)," ")))</x:f>
        <x:v>masha.alobo@pwc.com</x:v>
      </x:c>
      <x:c r="Q208" t="n">
        <x:f>IFERROR(VALUE(LEFT(D208,SEARCH("h",D208)-1)),0)*3600+IFERROR(VALUE(MID(D208,IFERROR(SEARCH("h ",D208)+2,1),SEARCH("m",D208)-IFERROR(SEARCH("h ",D208)+2,1))),0)*60+IFERROR(VALUE(MID(D208,IFERROR(SEARCH("m ",D208)+2,IFERROR(SEARCH("h ",D208)+2,1)),SEARCH("s",D208)-IFERROR(SEARCH("m ",D208)+2,IFERROR(SEARCH("h ",D208)+2,1)))),0)</x:f>
        <x:v>6679</x:v>
      </x:c>
      <x:c r="R208" t="str">
        <x:f>IF(P208="","No",IF(COUNTIF('Employee Attendance'!$D$2:$D$670,P208)&gt;0,"Yes","No"))</x:f>
        <x:v>Yes</x:v>
      </x:c>
    </x:row>
    <x:row r="209">
      <x:c r="A209" t="s">
        <x:v>899</x:v>
      </x:c>
      <x:c r="B209" t="s">
        <x:v>895</x:v>
      </x:c>
      <x:c r="C209" t="s">
        <x:v>604</x:v>
      </x:c>
      <x:c r="D209" t="s">
        <x:v>900</x:v>
      </x:c>
      <x:c r="E209" t="s">
        <x:v>901</x:v>
      </x:c>
      <x:c r="F209" t="s">
        <x:v>901</x:v>
      </x:c>
      <x:c r="G209" t="s">
        <x:v>59</x:v>
      </x:c>
      <x:c r="P209" t="str">
        <x:f>LOWER(TRIM(SUBSTITUTE(E209,CHAR(160)," ")))</x:f>
        <x:v>cedric.t.mpobusingye@pwc.com</x:v>
      </x:c>
      <x:c r="Q209" t="n">
        <x:f>IFERROR(VALUE(LEFT(D209,SEARCH("h",D209)-1)),0)*3600+IFERROR(VALUE(MID(D209,IFERROR(SEARCH("h ",D209)+2,1),SEARCH("m",D209)-IFERROR(SEARCH("h ",D209)+2,1))),0)*60+IFERROR(VALUE(MID(D209,IFERROR(SEARCH("m ",D209)+2,IFERROR(SEARCH("h ",D209)+2,1)),SEARCH("s",D209)-IFERROR(SEARCH("m ",D209)+2,IFERROR(SEARCH("h ",D209)+2,1)))),0)</x:f>
        <x:v>6632</x:v>
      </x:c>
      <x:c r="R209" t="str">
        <x:f>IF(P209="","No",IF(COUNTIF('Employee Attendance'!$D$2:$D$670,P209)&gt;0,"Yes","No"))</x:f>
        <x:v>Yes</x:v>
      </x:c>
    </x:row>
    <x:row r="210">
      <x:c r="A210" t="s">
        <x:v>902</x:v>
      </x:c>
      <x:c r="B210" t="s">
        <x:v>903</x:v>
      </x:c>
      <x:c r="C210" t="s">
        <x:v>904</x:v>
      </x:c>
      <x:c r="D210" t="s">
        <x:v>905</x:v>
      </x:c>
      <x:c r="E210" t="s">
        <x:v>906</x:v>
      </x:c>
      <x:c r="F210" t="s">
        <x:v>906</x:v>
      </x:c>
      <x:c r="G210" t="s">
        <x:v>59</x:v>
      </x:c>
      <x:c r="O210">
        <x:v>3</x:v>
      </x:c>
      <x:c r="P210" t="str">
        <x:f>LOWER(TRIM(SUBSTITUTE(E210,CHAR(160)," ")))</x:f>
        <x:v>davis.ndunguru@pwc.com</x:v>
      </x:c>
      <x:c r="Q210" t="n">
        <x:f>IFERROR(VALUE(LEFT(D210,SEARCH("h",D210)-1)),0)*3600+IFERROR(VALUE(MID(D210,IFERROR(SEARCH("h ",D210)+2,1),SEARCH("m",D210)-IFERROR(SEARCH("h ",D210)+2,1))),0)*60+IFERROR(VALUE(MID(D210,IFERROR(SEARCH("m ",D210)+2,IFERROR(SEARCH("h ",D210)+2,1)),SEARCH("s",D210)-IFERROR(SEARCH("m ",D210)+2,IFERROR(SEARCH("h ",D210)+2,1)))),0)</x:f>
        <x:v>4591</x:v>
      </x:c>
      <x:c r="R210" t="str">
        <x:f>IF(P210="","No",IF(COUNTIF('Employee Attendance'!$D$2:$D$670,P210)&gt;0,"Yes","No"))</x:f>
        <x:v>Yes</x:v>
      </x:c>
    </x:row>
    <x:row r="211">
      <x:c r="A211" t="s">
        <x:v>907</x:v>
      </x:c>
      <x:c r="B211" t="s">
        <x:v>908</x:v>
      </x:c>
      <x:c r="C211" t="s">
        <x:v>909</x:v>
      </x:c>
      <x:c r="D211" t="s">
        <x:v>910</x:v>
      </x:c>
      <x:c r="E211" t="s">
        <x:v>911</x:v>
      </x:c>
      <x:c r="F211" t="s">
        <x:v>911</x:v>
      </x:c>
      <x:c r="G211" t="s">
        <x:v>59</x:v>
      </x:c>
      <x:c r="P211" t="str">
        <x:f>LOWER(TRIM(SUBSTITUTE(E211,CHAR(160)," ")))</x:f>
        <x:v>shafeeka.bauluck@pwc.com</x:v>
      </x:c>
      <x:c r="Q211" t="n">
        <x:f>IFERROR(VALUE(LEFT(D211,SEARCH("h",D211)-1)),0)*3600+IFERROR(VALUE(MID(D211,IFERROR(SEARCH("h ",D211)+2,1),SEARCH("m",D211)-IFERROR(SEARCH("h ",D211)+2,1))),0)*60+IFERROR(VALUE(MID(D211,IFERROR(SEARCH("m ",D211)+2,IFERROR(SEARCH("h ",D211)+2,1)),SEARCH("s",D211)-IFERROR(SEARCH("m ",D211)+2,IFERROR(SEARCH("h ",D211)+2,1)))),0)</x:f>
        <x:v>939</x:v>
      </x:c>
      <x:c r="R211" t="str">
        <x:f>IF(P211="","No",IF(COUNTIF('Employee Attendance'!$D$2:$D$670,P211)&gt;0,"Yes","No"))</x:f>
        <x:v>Yes</x:v>
      </x:c>
    </x:row>
    <x:row r="212">
      <x:c r="A212" t="s">
        <x:v>912</x:v>
      </x:c>
      <x:c r="B212" t="s">
        <x:v>908</x:v>
      </x:c>
      <x:c r="C212" t="s">
        <x:v>913</x:v>
      </x:c>
      <x:c r="D212" t="s">
        <x:v>914</x:v>
      </x:c>
      <x:c r="E212" t="s">
        <x:v>915</x:v>
      </x:c>
      <x:c r="F212" t="s">
        <x:v>915</x:v>
      </x:c>
      <x:c r="G212" t="s">
        <x:v>59</x:v>
      </x:c>
      <x:c r="O212">
        <x:v>1</x:v>
      </x:c>
      <x:c r="P212" t="str">
        <x:f>LOWER(TRIM(SUBSTITUTE(E212,CHAR(160)," ")))</x:f>
        <x:v>mukota.chungu@pwc.com</x:v>
      </x:c>
      <x:c r="Q212" t="n">
        <x:f>IFERROR(VALUE(LEFT(D212,SEARCH("h",D212)-1)),0)*3600+IFERROR(VALUE(MID(D212,IFERROR(SEARCH("h ",D212)+2,1),SEARCH("m",D212)-IFERROR(SEARCH("h ",D212)+2,1))),0)*60+IFERROR(VALUE(MID(D212,IFERROR(SEARCH("m ",D212)+2,IFERROR(SEARCH("h ",D212)+2,1)),SEARCH("s",D212)-IFERROR(SEARCH("m ",D212)+2,IFERROR(SEARCH("h ",D212)+2,1)))),0)</x:f>
        <x:v>6796</x:v>
      </x:c>
      <x:c r="R212" t="str">
        <x:f>IF(P212="","No",IF(COUNTIF('Employee Attendance'!$D$2:$D$670,P212)&gt;0,"Yes","No"))</x:f>
        <x:v>Yes</x:v>
      </x:c>
    </x:row>
    <x:row r="213">
      <x:c r="A213" t="s">
        <x:v>916</x:v>
      </x:c>
      <x:c r="B213" t="s">
        <x:v>917</x:v>
      </x:c>
      <x:c r="C213" t="s">
        <x:v>918</x:v>
      </x:c>
      <x:c r="D213" t="s">
        <x:v>919</x:v>
      </x:c>
      <x:c r="E213" t="s">
        <x:v>920</x:v>
      </x:c>
      <x:c r="F213" t="s">
        <x:v>920</x:v>
      </x:c>
      <x:c r="G213" t="s">
        <x:v>59</x:v>
      </x:c>
      <x:c r="P213" t="str">
        <x:f>LOWER(TRIM(SUBSTITUTE(E213,CHAR(160)," ")))</x:f>
        <x:v>mary.juma@pwc.com</x:v>
      </x:c>
      <x:c r="Q213" t="n">
        <x:f>IFERROR(VALUE(LEFT(D213,SEARCH("h",D213)-1)),0)*3600+IFERROR(VALUE(MID(D213,IFERROR(SEARCH("h ",D213)+2,1),SEARCH("m",D213)-IFERROR(SEARCH("h ",D213)+2,1))),0)*60+IFERROR(VALUE(MID(D213,IFERROR(SEARCH("m ",D213)+2,IFERROR(SEARCH("h ",D213)+2,1)),SEARCH("s",D213)-IFERROR(SEARCH("m ",D213)+2,IFERROR(SEARCH("h ",D213)+2,1)))),0)</x:f>
        <x:v>4866</x:v>
      </x:c>
      <x:c r="R213" t="str">
        <x:f>IF(P213="","No",IF(COUNTIF('Employee Attendance'!$D$2:$D$670,P213)&gt;0,"Yes","No"))</x:f>
        <x:v>Yes</x:v>
      </x:c>
    </x:row>
    <x:row r="214">
      <x:c r="A214" t="s">
        <x:v>921</x:v>
      </x:c>
      <x:c r="B214" t="s">
        <x:v>922</x:v>
      </x:c>
      <x:c r="C214" t="s">
        <x:v>56</x:v>
      </x:c>
      <x:c r="D214" t="s">
        <x:v>923</x:v>
      </x:c>
      <x:c r="E214" t="s">
        <x:v>924</x:v>
      </x:c>
      <x:c r="F214" t="s">
        <x:v>924</x:v>
      </x:c>
      <x:c r="G214" t="s">
        <x:v>59</x:v>
      </x:c>
      <x:c r="J214">
        <x:v>1</x:v>
      </x:c>
      <x:c r="P214" t="str">
        <x:f>LOWER(TRIM(SUBSTITUTE(E214,CHAR(160)," ")))</x:f>
        <x:v>hans.l.lutchmanen@pwc.com</x:v>
      </x:c>
      <x:c r="Q214" t="n">
        <x:f>IFERROR(VALUE(LEFT(D214,SEARCH("h",D214)-1)),0)*3600+IFERROR(VALUE(MID(D214,IFERROR(SEARCH("h ",D214)+2,1),SEARCH("m",D214)-IFERROR(SEARCH("h ",D214)+2,1))),0)*60+IFERROR(VALUE(MID(D214,IFERROR(SEARCH("m ",D214)+2,IFERROR(SEARCH("h ",D214)+2,1)),SEARCH("s",D214)-IFERROR(SEARCH("m ",D214)+2,IFERROR(SEARCH("h ",D214)+2,1)))),0)</x:f>
        <x:v>6596</x:v>
      </x:c>
      <x:c r="R214" t="str">
        <x:f>IF(P214="","No",IF(COUNTIF('Employee Attendance'!$D$2:$D$670,P214)&gt;0,"Yes","No"))</x:f>
        <x:v>Yes</x:v>
      </x:c>
    </x:row>
    <x:row r="215">
      <x:c r="A215" t="s">
        <x:v>925</x:v>
      </x:c>
      <x:c r="B215" t="s">
        <x:v>926</x:v>
      </x:c>
      <x:c r="C215" t="s">
        <x:v>927</x:v>
      </x:c>
      <x:c r="D215" t="s">
        <x:v>928</x:v>
      </x:c>
      <x:c r="E215" t="s">
        <x:v>929</x:v>
      </x:c>
      <x:c r="F215" t="s">
        <x:v>929</x:v>
      </x:c>
      <x:c r="G215" t="s">
        <x:v>59</x:v>
      </x:c>
      <x:c r="P215" t="str">
        <x:f>LOWER(TRIM(SUBSTITUTE(E215,CHAR(160)," ")))</x:f>
        <x:v>rose.mufana@pwc.com</x:v>
      </x:c>
      <x:c r="Q215" t="n">
        <x:f>IFERROR(VALUE(LEFT(D215,SEARCH("h",D215)-1)),0)*3600+IFERROR(VALUE(MID(D215,IFERROR(SEARCH("h ",D215)+2,1),SEARCH("m",D215)-IFERROR(SEARCH("h ",D215)+2,1))),0)*60+IFERROR(VALUE(MID(D215,IFERROR(SEARCH("m ",D215)+2,IFERROR(SEARCH("h ",D215)+2,1)),SEARCH("s",D215)-IFERROR(SEARCH("m ",D215)+2,IFERROR(SEARCH("h ",D215)+2,1)))),0)</x:f>
        <x:v>9786</x:v>
      </x:c>
      <x:c r="R215" t="str">
        <x:f>IF(P215="","No",IF(COUNTIF('Employee Attendance'!$D$2:$D$670,P215)&gt;0,"Yes","No"))</x:f>
        <x:v>Yes</x:v>
      </x:c>
    </x:row>
    <x:row r="216">
      <x:c r="A216" t="s">
        <x:v>930</x:v>
      </x:c>
      <x:c r="B216" t="s">
        <x:v>931</x:v>
      </x:c>
      <x:c r="C216" t="s">
        <x:v>584</x:v>
      </x:c>
      <x:c r="D216" t="s">
        <x:v>932</x:v>
      </x:c>
      <x:c r="E216" t="s">
        <x:v>933</x:v>
      </x:c>
      <x:c r="F216" t="s">
        <x:v>933</x:v>
      </x:c>
      <x:c r="G216" t="s">
        <x:v>59</x:v>
      </x:c>
      <x:c r="P216" t="str">
        <x:f>LOWER(TRIM(SUBSTITUTE(E216,CHAR(160)," ")))</x:f>
        <x:v>ranveer.d.dindoyal@pwc.com</x:v>
      </x:c>
      <x:c r="Q216" t="n">
        <x:f>IFERROR(VALUE(LEFT(D216,SEARCH("h",D216)-1)),0)*3600+IFERROR(VALUE(MID(D216,IFERROR(SEARCH("h ",D216)+2,1),SEARCH("m",D216)-IFERROR(SEARCH("h ",D216)+2,1))),0)*60+IFERROR(VALUE(MID(D216,IFERROR(SEARCH("m ",D216)+2,IFERROR(SEARCH("h ",D216)+2,1)),SEARCH("s",D216)-IFERROR(SEARCH("m ",D216)+2,IFERROR(SEARCH("h ",D216)+2,1)))),0)</x:f>
        <x:v>6518</x:v>
      </x:c>
      <x:c r="R216" t="str">
        <x:f>IF(P216="","No",IF(COUNTIF('Employee Attendance'!$D$2:$D$670,P216)&gt;0,"Yes","No"))</x:f>
        <x:v>Yes</x:v>
      </x:c>
    </x:row>
    <x:row r="217">
      <x:c r="A217" t="s">
        <x:v>934</x:v>
      </x:c>
      <x:c r="B217" t="s">
        <x:v>935</x:v>
      </x:c>
      <x:c r="C217" t="s">
        <x:v>936</x:v>
      </x:c>
      <x:c r="D217" t="s">
        <x:v>937</x:v>
      </x:c>
      <x:c r="E217" t="s">
        <x:v>938</x:v>
      </x:c>
      <x:c r="F217" t="s">
        <x:v>938</x:v>
      </x:c>
      <x:c r="G217" t="s">
        <x:v>59</x:v>
      </x:c>
      <x:c r="O217">
        <x:v>1</x:v>
      </x:c>
      <x:c r="P217" t="str">
        <x:f>LOWER(TRIM(SUBSTITUTE(E217,CHAR(160)," ")))</x:f>
        <x:v>rayhaan.cadersa@pwc.com</x:v>
      </x:c>
      <x:c r="Q217" t="n">
        <x:f>IFERROR(VALUE(LEFT(D217,SEARCH("h",D217)-1)),0)*3600+IFERROR(VALUE(MID(D217,IFERROR(SEARCH("h ",D217)+2,1),SEARCH("m",D217)-IFERROR(SEARCH("h ",D217)+2,1))),0)*60+IFERROR(VALUE(MID(D217,IFERROR(SEARCH("m ",D217)+2,IFERROR(SEARCH("h ",D217)+2,1)),SEARCH("s",D217)-IFERROR(SEARCH("m ",D217)+2,IFERROR(SEARCH("h ",D217)+2,1)))),0)</x:f>
        <x:v>213</x:v>
      </x:c>
      <x:c r="R217" t="str">
        <x:f>IF(P217="","No",IF(COUNTIF('Employee Attendance'!$D$2:$D$670,P217)&gt;0,"Yes","No"))</x:f>
        <x:v>Yes</x:v>
      </x:c>
    </x:row>
    <x:row r="218">
      <x:c r="A218" t="s">
        <x:v>939</x:v>
      </x:c>
      <x:c r="B218" t="s">
        <x:v>940</x:v>
      </x:c>
      <x:c r="C218" t="s">
        <x:v>941</x:v>
      </x:c>
      <x:c r="D218" t="s">
        <x:v>942</x:v>
      </x:c>
      <x:c r="E218" t="s">
        <x:v>943</x:v>
      </x:c>
      <x:c r="F218" t="s">
        <x:v>943</x:v>
      </x:c>
      <x:c r="G218" t="s">
        <x:v>59</x:v>
      </x:c>
      <x:c r="P218" t="str">
        <x:f>LOWER(TRIM(SUBSTITUTE(E218,CHAR(160)," ")))</x:f>
        <x:v>anusha.jokhoo@pwc.com</x:v>
      </x:c>
      <x:c r="Q218" t="n">
        <x:f>IFERROR(VALUE(LEFT(D218,SEARCH("h",D218)-1)),0)*3600+IFERROR(VALUE(MID(D218,IFERROR(SEARCH("h ",D218)+2,1),SEARCH("m",D218)-IFERROR(SEARCH("h ",D218)+2,1))),0)*60+IFERROR(VALUE(MID(D218,IFERROR(SEARCH("m ",D218)+2,IFERROR(SEARCH("h ",D218)+2,1)),SEARCH("s",D218)-IFERROR(SEARCH("m ",D218)+2,IFERROR(SEARCH("h ",D218)+2,1)))),0)</x:f>
        <x:v>2605</x:v>
      </x:c>
      <x:c r="R218" t="str">
        <x:f>IF(P218="","No",IF(COUNTIF('Employee Attendance'!$D$2:$D$670,P218)&gt;0,"Yes","No"))</x:f>
        <x:v>Yes</x:v>
      </x:c>
    </x:row>
    <x:row r="219">
      <x:c r="A219" t="s">
        <x:v>944</x:v>
      </x:c>
      <x:c r="B219" t="s">
        <x:v>945</x:v>
      </x:c>
      <x:c r="C219" t="s">
        <x:v>946</x:v>
      </x:c>
      <x:c r="D219" t="s">
        <x:v>947</x:v>
      </x:c>
      <x:c r="E219" t="s">
        <x:v>948</x:v>
      </x:c>
      <x:c r="F219" t="s">
        <x:v>948</x:v>
      </x:c>
      <x:c r="G219" t="s">
        <x:v>59</x:v>
      </x:c>
      <x:c r="O219">
        <x:v>1</x:v>
      </x:c>
      <x:c r="P219" t="str">
        <x:f>LOWER(TRIM(SUBSTITUTE(E219,CHAR(160)," ")))</x:f>
        <x:v>ramadhani.mshana@pwc.com</x:v>
      </x:c>
      <x:c r="Q219" t="n">
        <x:f>IFERROR(VALUE(LEFT(D219,SEARCH("h",D219)-1)),0)*3600+IFERROR(VALUE(MID(D219,IFERROR(SEARCH("h ",D219)+2,1),SEARCH("m",D219)-IFERROR(SEARCH("h ",D219)+2,1))),0)*60+IFERROR(VALUE(MID(D219,IFERROR(SEARCH("m ",D219)+2,IFERROR(SEARCH("h ",D219)+2,1)),SEARCH("s",D219)-IFERROR(SEARCH("m ",D219)+2,IFERROR(SEARCH("h ",D219)+2,1)))),0)</x:f>
        <x:v>9431</x:v>
      </x:c>
      <x:c r="R219" t="str">
        <x:f>IF(P219="","No",IF(COUNTIF('Employee Attendance'!$D$2:$D$670,P219)&gt;0,"Yes","No"))</x:f>
        <x:v>Yes</x:v>
      </x:c>
    </x:row>
    <x:row r="220">
      <x:c r="A220" t="s">
        <x:v>949</x:v>
      </x:c>
      <x:c r="B220" t="s">
        <x:v>950</x:v>
      </x:c>
      <x:c r="C220" t="s">
        <x:v>951</x:v>
      </x:c>
      <x:c r="D220" t="s">
        <x:v>952</x:v>
      </x:c>
      <x:c r="E220" t="s">
        <x:v>953</x:v>
      </x:c>
      <x:c r="F220" t="s">
        <x:v>953</x:v>
      </x:c>
      <x:c r="G220" t="s">
        <x:v>59</x:v>
      </x:c>
      <x:c r="O220">
        <x:v>1</x:v>
      </x:c>
      <x:c r="P220" t="str">
        <x:f>LOWER(TRIM(SUBSTITUTE(E220,CHAR(160)," ")))</x:f>
        <x:v>tamandani.mwalusaka@pwc.com</x:v>
      </x:c>
      <x:c r="Q220" t="n">
        <x:f>IFERROR(VALUE(LEFT(D220,SEARCH("h",D220)-1)),0)*3600+IFERROR(VALUE(MID(D220,IFERROR(SEARCH("h ",D220)+2,1),SEARCH("m",D220)-IFERROR(SEARCH("h ",D220)+2,1))),0)*60+IFERROR(VALUE(MID(D220,IFERROR(SEARCH("m ",D220)+2,IFERROR(SEARCH("h ",D220)+2,1)),SEARCH("s",D220)-IFERROR(SEARCH("m ",D220)+2,IFERROR(SEARCH("h ",D220)+2,1)))),0)</x:f>
        <x:v>577</x:v>
      </x:c>
      <x:c r="R220" t="str">
        <x:f>IF(P220="","No",IF(COUNTIF('Employee Attendance'!$D$2:$D$670,P220)&gt;0,"Yes","No"))</x:f>
        <x:v>Yes</x:v>
      </x:c>
    </x:row>
    <x:row r="221">
      <x:c r="A221" t="s">
        <x:v>954</x:v>
      </x:c>
      <x:c r="B221" t="s">
        <x:v>955</x:v>
      </x:c>
      <x:c r="C221" t="s">
        <x:v>196</x:v>
      </x:c>
      <x:c r="D221" t="s">
        <x:v>956</x:v>
      </x:c>
      <x:c r="E221" t="s">
        <x:v>957</x:v>
      </x:c>
      <x:c r="F221" t="s">
        <x:v>957</x:v>
      </x:c>
      <x:c r="G221" t="s">
        <x:v>59</x:v>
      </x:c>
      <x:c r="P221" t="str">
        <x:f>LOWER(TRIM(SUBSTITUTE(E221,CHAR(160)," ")))</x:f>
        <x:v>emmanuel.ngemi@pwc.com</x:v>
      </x:c>
      <x:c r="Q221" t="n">
        <x:f>IFERROR(VALUE(LEFT(D221,SEARCH("h",D221)-1)),0)*3600+IFERROR(VALUE(MID(D221,IFERROR(SEARCH("h ",D221)+2,1),SEARCH("m",D221)-IFERROR(SEARCH("h ",D221)+2,1))),0)*60+IFERROR(VALUE(MID(D221,IFERROR(SEARCH("m ",D221)+2,IFERROR(SEARCH("h ",D221)+2,1)),SEARCH("s",D221)-IFERROR(SEARCH("m ",D221)+2,IFERROR(SEARCH("h ",D221)+2,1)))),0)</x:f>
        <x:v>6499</x:v>
      </x:c>
      <x:c r="R221" t="str">
        <x:f>IF(P221="","No",IF(COUNTIF('Employee Attendance'!$D$2:$D$670,P221)&gt;0,"Yes","No"))</x:f>
        <x:v>Yes</x:v>
      </x:c>
    </x:row>
    <x:row r="222">
      <x:c r="A222" t="s">
        <x:v>958</x:v>
      </x:c>
      <x:c r="B222" t="s">
        <x:v>959</x:v>
      </x:c>
      <x:c r="C222" t="s">
        <x:v>960</x:v>
      </x:c>
      <x:c r="D222" t="s">
        <x:v>961</x:v>
      </x:c>
      <x:c r="E222" t="s">
        <x:v>962</x:v>
      </x:c>
      <x:c r="F222" t="s">
        <x:v>962</x:v>
      </x:c>
      <x:c r="G222" t="s">
        <x:v>59</x:v>
      </x:c>
      <x:c r="P222" t="str">
        <x:f>LOWER(TRIM(SUBSTITUTE(E222,CHAR(160)," ")))</x:f>
        <x:v>mutale.mulubwa@pwc.com</x:v>
      </x:c>
      <x:c r="Q222" t="n">
        <x:f>IFERROR(VALUE(LEFT(D222,SEARCH("h",D222)-1)),0)*3600+IFERROR(VALUE(MID(D222,IFERROR(SEARCH("h ",D222)+2,1),SEARCH("m",D222)-IFERROR(SEARCH("h ",D222)+2,1))),0)*60+IFERROR(VALUE(MID(D222,IFERROR(SEARCH("m ",D222)+2,IFERROR(SEARCH("h ",D222)+2,1)),SEARCH("s",D222)-IFERROR(SEARCH("m ",D222)+2,IFERROR(SEARCH("h ",D222)+2,1)))),0)</x:f>
        <x:v>13132</x:v>
      </x:c>
      <x:c r="R222" t="str">
        <x:f>IF(P222="","No",IF(COUNTIF('Employee Attendance'!$D$2:$D$670,P222)&gt;0,"Yes","No"))</x:f>
        <x:v>Yes</x:v>
      </x:c>
    </x:row>
    <x:row r="223">
      <x:c r="A223" t="s">
        <x:v>963</x:v>
      </x:c>
      <x:c r="B223" t="s">
        <x:v>964</x:v>
      </x:c>
      <x:c r="C223" t="s">
        <x:v>965</x:v>
      </x:c>
      <x:c r="D223" t="s">
        <x:v>966</x:v>
      </x:c>
      <x:c r="E223" t="s">
        <x:v>967</x:v>
      </x:c>
      <x:c r="F223" t="s">
        <x:v>967</x:v>
      </x:c>
      <x:c r="G223" t="s">
        <x:v>59</x:v>
      </x:c>
      <x:c r="P223" t="str">
        <x:f>LOWER(TRIM(SUBSTITUTE(E223,CHAR(160)," ")))</x:f>
        <x:v>wendy.mwiti@pwc.com</x:v>
      </x:c>
      <x:c r="Q223" t="n">
        <x:f>IFERROR(VALUE(LEFT(D223,SEARCH("h",D223)-1)),0)*3600+IFERROR(VALUE(MID(D223,IFERROR(SEARCH("h ",D223)+2,1),SEARCH("m",D223)-IFERROR(SEARCH("h ",D223)+2,1))),0)*60+IFERROR(VALUE(MID(D223,IFERROR(SEARCH("m ",D223)+2,IFERROR(SEARCH("h ",D223)+2,1)),SEARCH("s",D223)-IFERROR(SEARCH("m ",D223)+2,IFERROR(SEARCH("h ",D223)+2,1)))),0)</x:f>
        <x:v>6657</x:v>
      </x:c>
      <x:c r="R223" t="str">
        <x:f>IF(P223="","No",IF(COUNTIF('Employee Attendance'!$D$2:$D$670,P223)&gt;0,"Yes","No"))</x:f>
        <x:v>Yes</x:v>
      </x:c>
    </x:row>
    <x:row r="224">
      <x:c r="A224" t="s">
        <x:v>968</x:v>
      </x:c>
      <x:c r="B224" t="s">
        <x:v>969</x:v>
      </x:c>
      <x:c r="C224" t="s">
        <x:v>970</x:v>
      </x:c>
      <x:c r="D224" t="s">
        <x:v>971</x:v>
      </x:c>
      <x:c r="E224" t="s">
        <x:v>972</x:v>
      </x:c>
      <x:c r="F224" t="s">
        <x:v>972</x:v>
      </x:c>
      <x:c r="G224" t="s">
        <x:v>59</x:v>
      </x:c>
      <x:c r="P224" t="str">
        <x:f>LOWER(TRIM(SUBSTITUTE(E224,CHAR(160)," ")))</x:f>
        <x:v>nivenda.govindramen@pwc.com</x:v>
      </x:c>
      <x:c r="Q224" t="n">
        <x:f>IFERROR(VALUE(LEFT(D224,SEARCH("h",D224)-1)),0)*3600+IFERROR(VALUE(MID(D224,IFERROR(SEARCH("h ",D224)+2,1),SEARCH("m",D224)-IFERROR(SEARCH("h ",D224)+2,1))),0)*60+IFERROR(VALUE(MID(D224,IFERROR(SEARCH("m ",D224)+2,IFERROR(SEARCH("h ",D224)+2,1)),SEARCH("s",D224)-IFERROR(SEARCH("m ",D224)+2,IFERROR(SEARCH("h ",D224)+2,1)))),0)</x:f>
        <x:v>5742</x:v>
      </x:c>
      <x:c r="R224" t="str">
        <x:f>IF(P224="","No",IF(COUNTIF('Employee Attendance'!$D$2:$D$670,P224)&gt;0,"Yes","No"))</x:f>
        <x:v>Yes</x:v>
      </x:c>
    </x:row>
    <x:row r="225">
      <x:c r="A225" t="s">
        <x:v>973</x:v>
      </x:c>
      <x:c r="B225" t="s">
        <x:v>974</x:v>
      </x:c>
      <x:c r="C225" t="s">
        <x:v>502</x:v>
      </x:c>
      <x:c r="D225" t="s">
        <x:v>975</x:v>
      </x:c>
      <x:c r="E225" t="s">
        <x:v>976</x:v>
      </x:c>
      <x:c r="F225" t="s">
        <x:v>976</x:v>
      </x:c>
      <x:c r="G225" t="s">
        <x:v>59</x:v>
      </x:c>
      <x:c r="P225" t="str">
        <x:f>LOWER(TRIM(SUBSTITUTE(E225,CHAR(160)," ")))</x:f>
        <x:v>trishtee.gopeechund@pwc.com</x:v>
      </x:c>
      <x:c r="Q225" t="n">
        <x:f>IFERROR(VALUE(LEFT(D225,SEARCH("h",D225)-1)),0)*3600+IFERROR(VALUE(MID(D225,IFERROR(SEARCH("h ",D225)+2,1),SEARCH("m",D225)-IFERROR(SEARCH("h ",D225)+2,1))),0)*60+IFERROR(VALUE(MID(D225,IFERROR(SEARCH("m ",D225)+2,IFERROR(SEARCH("h ",D225)+2,1)),SEARCH("s",D225)-IFERROR(SEARCH("m ",D225)+2,IFERROR(SEARCH("h ",D225)+2,1)))),0)</x:f>
        <x:v>6464</x:v>
      </x:c>
      <x:c r="R225" t="str">
        <x:f>IF(P225="","No",IF(COUNTIF('Employee Attendance'!$D$2:$D$670,P225)&gt;0,"Yes","No"))</x:f>
        <x:v>Yes</x:v>
      </x:c>
    </x:row>
    <x:row r="226">
      <x:c r="A226" t="s">
        <x:v>977</x:v>
      </x:c>
      <x:c r="B226" t="s">
        <x:v>978</x:v>
      </x:c>
      <x:c r="C226" t="s">
        <x:v>979</x:v>
      </x:c>
      <x:c r="D226" t="s">
        <x:v>633</x:v>
      </x:c>
      <x:c r="E226" t="s">
        <x:v>980</x:v>
      </x:c>
      <x:c r="F226" t="s">
        <x:v>980</x:v>
      </x:c>
      <x:c r="G226" t="s">
        <x:v>59</x:v>
      </x:c>
      <x:c r="H226">
        <x:v>1</x:v>
      </x:c>
      <x:c r="P226" t="str">
        <x:f>LOWER(TRIM(SUBSTITUTE(E226,CHAR(160)," ")))</x:f>
        <x:v>etase.nyirenda@pwc.com</x:v>
      </x:c>
      <x:c r="Q226" t="n">
        <x:f>IFERROR(VALUE(LEFT(D226,SEARCH("h",D226)-1)),0)*3600+IFERROR(VALUE(MID(D226,IFERROR(SEARCH("h ",D226)+2,1),SEARCH("m",D226)-IFERROR(SEARCH("h ",D226)+2,1))),0)*60+IFERROR(VALUE(MID(D226,IFERROR(SEARCH("m ",D226)+2,IFERROR(SEARCH("h ",D226)+2,1)),SEARCH("s",D226)-IFERROR(SEARCH("m ",D226)+2,IFERROR(SEARCH("h ",D226)+2,1)))),0)</x:f>
        <x:v>6476</x:v>
      </x:c>
      <x:c r="R226" t="str">
        <x:f>IF(P226="","No",IF(COUNTIF('Employee Attendance'!$D$2:$D$670,P226)&gt;0,"Yes","No"))</x:f>
        <x:v>Yes</x:v>
      </x:c>
    </x:row>
    <x:row r="227">
      <x:c r="A227" t="s">
        <x:v>981</x:v>
      </x:c>
      <x:c r="B227" t="s">
        <x:v>982</x:v>
      </x:c>
      <x:c r="C227" t="s">
        <x:v>983</x:v>
      </x:c>
      <x:c r="D227" t="s">
        <x:v>984</x:v>
      </x:c>
      <x:c r="E227" t="s">
        <x:v>985</x:v>
      </x:c>
      <x:c r="F227" t="s">
        <x:v>985</x:v>
      </x:c>
      <x:c r="G227" t="s">
        <x:v>59</x:v>
      </x:c>
      <x:c r="P227" t="str">
        <x:f>LOWER(TRIM(SUBSTITUTE(E227,CHAR(160)," ")))</x:f>
        <x:v>doroth.mushi@pwc.com</x:v>
      </x:c>
      <x:c r="Q227" t="n">
        <x:f>IFERROR(VALUE(LEFT(D227,SEARCH("h",D227)-1)),0)*3600+IFERROR(VALUE(MID(D227,IFERROR(SEARCH("h ",D227)+2,1),SEARCH("m",D227)-IFERROR(SEARCH("h ",D227)+2,1))),0)*60+IFERROR(VALUE(MID(D227,IFERROR(SEARCH("m ",D227)+2,IFERROR(SEARCH("h ",D227)+2,1)),SEARCH("s",D227)-IFERROR(SEARCH("m ",D227)+2,IFERROR(SEARCH("h ",D227)+2,1)))),0)</x:f>
        <x:v>1214</x:v>
      </x:c>
      <x:c r="R227" t="str">
        <x:f>IF(P227="","No",IF(COUNTIF('Employee Attendance'!$D$2:$D$670,P227)&gt;0,"Yes","No"))</x:f>
        <x:v>Yes</x:v>
      </x:c>
    </x:row>
    <x:row r="228">
      <x:c r="A228" t="s">
        <x:v>986</x:v>
      </x:c>
      <x:c r="B228" t="s">
        <x:v>982</x:v>
      </x:c>
      <x:c r="C228" t="s">
        <x:v>987</x:v>
      </x:c>
      <x:c r="D228" t="s">
        <x:v>988</x:v>
      </x:c>
      <x:c r="E228" t="s">
        <x:v>989</x:v>
      </x:c>
      <x:c r="F228" t="s">
        <x:v>989</x:v>
      </x:c>
      <x:c r="G228" t="s">
        <x:v>59</x:v>
      </x:c>
      <x:c r="P228" t="str">
        <x:f>LOWER(TRIM(SUBSTITUTE(E228,CHAR(160)," ")))</x:f>
        <x:v>johnbaptist.wachira@pwc.com</x:v>
      </x:c>
      <x:c r="Q228" t="n">
        <x:f>IFERROR(VALUE(LEFT(D228,SEARCH("h",D228)-1)),0)*3600+IFERROR(VALUE(MID(D228,IFERROR(SEARCH("h ",D228)+2,1),SEARCH("m",D228)-IFERROR(SEARCH("h ",D228)+2,1))),0)*60+IFERROR(VALUE(MID(D228,IFERROR(SEARCH("m ",D228)+2,IFERROR(SEARCH("h ",D228)+2,1)),SEARCH("s",D228)-IFERROR(SEARCH("m ",D228)+2,IFERROR(SEARCH("h ",D228)+2,1)))),0)</x:f>
        <x:v>6158</x:v>
      </x:c>
      <x:c r="R228" t="str">
        <x:f>IF(P228="","No",IF(COUNTIF('Employee Attendance'!$D$2:$D$670,P228)&gt;0,"Yes","No"))</x:f>
        <x:v>Yes</x:v>
      </x:c>
    </x:row>
    <x:row r="229">
      <x:c r="A229" t="s">
        <x:v>990</x:v>
      </x:c>
      <x:c r="B229" t="s">
        <x:v>991</x:v>
      </x:c>
      <x:c r="C229" t="s">
        <x:v>992</x:v>
      </x:c>
      <x:c r="D229" t="s">
        <x:v>993</x:v>
      </x:c>
      <x:c r="E229" t="s">
        <x:v>994</x:v>
      </x:c>
      <x:c r="F229" t="s">
        <x:v>994</x:v>
      </x:c>
      <x:c r="G229" t="s">
        <x:v>59</x:v>
      </x:c>
      <x:c r="O229">
        <x:v>1</x:v>
      </x:c>
      <x:c r="P229" t="str">
        <x:f>LOWER(TRIM(SUBSTITUTE(E229,CHAR(160)," ")))</x:f>
        <x:v>moddie.mwewa@pwc.com</x:v>
      </x:c>
      <x:c r="Q229" t="n">
        <x:f>IFERROR(VALUE(LEFT(D229,SEARCH("h",D229)-1)),0)*3600+IFERROR(VALUE(MID(D229,IFERROR(SEARCH("h ",D229)+2,1),SEARCH("m",D229)-IFERROR(SEARCH("h ",D229)+2,1))),0)*60+IFERROR(VALUE(MID(D229,IFERROR(SEARCH("m ",D229)+2,IFERROR(SEARCH("h ",D229)+2,1)),SEARCH("s",D229)-IFERROR(SEARCH("m ",D229)+2,IFERROR(SEARCH("h ",D229)+2,1)))),0)</x:f>
        <x:v>6495</x:v>
      </x:c>
      <x:c r="R229" t="str">
        <x:f>IF(P229="","No",IF(COUNTIF('Employee Attendance'!$D$2:$D$670,P229)&gt;0,"Yes","No"))</x:f>
        <x:v>Yes</x:v>
      </x:c>
    </x:row>
    <x:row r="230">
      <x:c r="A230" t="s">
        <x:v>995</x:v>
      </x:c>
      <x:c r="B230" t="s">
        <x:v>996</x:v>
      </x:c>
      <x:c r="C230" t="s">
        <x:v>507</x:v>
      </x:c>
      <x:c r="D230" t="s">
        <x:v>997</x:v>
      </x:c>
      <x:c r="E230" t="s">
        <x:v>998</x:v>
      </x:c>
      <x:c r="F230" t="s">
        <x:v>998</x:v>
      </x:c>
      <x:c r="G230" t="s">
        <x:v>59</x:v>
      </x:c>
      <x:c r="H230">
        <x:v>2</x:v>
      </x:c>
      <x:c r="I230">
        <x:v>1</x:v>
      </x:c>
      <x:c r="P230" t="str">
        <x:f>LOWER(TRIM(SUBSTITUTE(E230,CHAR(160)," ")))</x:f>
        <x:v>john.lukwesa@pwc.com</x:v>
      </x:c>
      <x:c r="Q230" t="n">
        <x:f>IFERROR(VALUE(LEFT(D230,SEARCH("h",D230)-1)),0)*3600+IFERROR(VALUE(MID(D230,IFERROR(SEARCH("h ",D230)+2,1),SEARCH("m",D230)-IFERROR(SEARCH("h ",D230)+2,1))),0)*60+IFERROR(VALUE(MID(D230,IFERROR(SEARCH("m ",D230)+2,IFERROR(SEARCH("h ",D230)+2,1)),SEARCH("s",D230)-IFERROR(SEARCH("m ",D230)+2,IFERROR(SEARCH("h ",D230)+2,1)))),0)</x:f>
        <x:v>6437</x:v>
      </x:c>
      <x:c r="R230" t="str">
        <x:f>IF(P230="","No",IF(COUNTIF('Employee Attendance'!$D$2:$D$670,P230)&gt;0,"Yes","No"))</x:f>
        <x:v>Yes</x:v>
      </x:c>
    </x:row>
    <x:row r="231">
      <x:c r="A231" t="s">
        <x:v>999</x:v>
      </x:c>
      <x:c r="B231" t="s">
        <x:v>1000</x:v>
      </x:c>
      <x:c r="C231" t="s">
        <x:v>887</x:v>
      </x:c>
      <x:c r="D231" t="s">
        <x:v>1001</x:v>
      </x:c>
      <x:c r="E231" t="s">
        <x:v>1002</x:v>
      </x:c>
      <x:c r="F231" t="s">
        <x:v>1002</x:v>
      </x:c>
      <x:c r="G231" t="s">
        <x:v>59</x:v>
      </x:c>
      <x:c r="P231" t="str">
        <x:f>LOWER(TRIM(SUBSTITUTE(E231,CHAR(160)," ")))</x:f>
        <x:v>honorine.i.ihimbazwe@pwc.com</x:v>
      </x:c>
      <x:c r="Q231" t="n">
        <x:f>IFERROR(VALUE(LEFT(D231,SEARCH("h",D231)-1)),0)*3600+IFERROR(VALUE(MID(D231,IFERROR(SEARCH("h ",D231)+2,1),SEARCH("m",D231)-IFERROR(SEARCH("h ",D231)+2,1))),0)*60+IFERROR(VALUE(MID(D231,IFERROR(SEARCH("m ",D231)+2,IFERROR(SEARCH("h ",D231)+2,1)),SEARCH("s",D231)-IFERROR(SEARCH("m ",D231)+2,IFERROR(SEARCH("h ",D231)+2,1)))),0)</x:f>
        <x:v>6417</x:v>
      </x:c>
      <x:c r="R231" t="str">
        <x:f>IF(P231="","No",IF(COUNTIF('Employee Attendance'!$D$2:$D$670,P231)&gt;0,"Yes","No"))</x:f>
        <x:v>Yes</x:v>
      </x:c>
    </x:row>
    <x:row r="232">
      <x:c r="A232" t="s">
        <x:v>1003</x:v>
      </x:c>
      <x:c r="B232" t="s">
        <x:v>1004</x:v>
      </x:c>
      <x:c r="C232" t="s">
        <x:v>7</x:v>
      </x:c>
      <x:c r="D232" t="s">
        <x:v>1005</x:v>
      </x:c>
      <x:c r="E232" t="s">
        <x:v>1006</x:v>
      </x:c>
      <x:c r="F232" t="s">
        <x:v>1006</x:v>
      </x:c>
      <x:c r="G232" t="s">
        <x:v>59</x:v>
      </x:c>
      <x:c r="O232">
        <x:v>1</x:v>
      </x:c>
      <x:c r="P232" t="str">
        <x:f>LOWER(TRIM(SUBSTITUTE(E232,CHAR(160)," ")))</x:f>
        <x:v>ronald.simba@pwc.com</x:v>
      </x:c>
      <x:c r="Q232" t="n">
        <x:f>IFERROR(VALUE(LEFT(D232,SEARCH("h",D232)-1)),0)*3600+IFERROR(VALUE(MID(D232,IFERROR(SEARCH("h ",D232)+2,1),SEARCH("m",D232)-IFERROR(SEARCH("h ",D232)+2,1))),0)*60+IFERROR(VALUE(MID(D232,IFERROR(SEARCH("m ",D232)+2,IFERROR(SEARCH("h ",D232)+2,1)),SEARCH("s",D232)-IFERROR(SEARCH("m ",D232)+2,IFERROR(SEARCH("h ",D232)+2,1)))),0)</x:f>
        <x:v>15346</x:v>
      </x:c>
      <x:c r="R232" t="str">
        <x:f>IF(P232="","No",IF(COUNTIF('Employee Attendance'!$D$2:$D$670,P232)&gt;0,"Yes","No"))</x:f>
        <x:v>Yes</x:v>
      </x:c>
    </x:row>
    <x:row r="233">
      <x:c r="A233" t="s">
        <x:v>1007</x:v>
      </x:c>
      <x:c r="B233" t="s">
        <x:v>1008</x:v>
      </x:c>
      <x:c r="C233" t="s">
        <x:v>1009</x:v>
      </x:c>
      <x:c r="D233" t="s">
        <x:v>1010</x:v>
      </x:c>
      <x:c r="E233" t="s">
        <x:v>1011</x:v>
      </x:c>
      <x:c r="F233" t="s">
        <x:v>1011</x:v>
      </x:c>
      <x:c r="G233" t="s">
        <x:v>59</x:v>
      </x:c>
      <x:c r="P233" t="str">
        <x:f>LOWER(TRIM(SUBSTITUTE(E233,CHAR(160)," ")))</x:f>
        <x:v>erick.mona@pwc.com</x:v>
      </x:c>
      <x:c r="Q233" t="n">
        <x:f>IFERROR(VALUE(LEFT(D233,SEARCH("h",D233)-1)),0)*3600+IFERROR(VALUE(MID(D233,IFERROR(SEARCH("h ",D233)+2,1),SEARCH("m",D233)-IFERROR(SEARCH("h ",D233)+2,1))),0)*60+IFERROR(VALUE(MID(D233,IFERROR(SEARCH("m ",D233)+2,IFERROR(SEARCH("h ",D233)+2,1)),SEARCH("s",D233)-IFERROR(SEARCH("m ",D233)+2,IFERROR(SEARCH("h ",D233)+2,1)))),0)</x:f>
        <x:v>6405</x:v>
      </x:c>
      <x:c r="R233" t="str">
        <x:f>IF(P233="","No",IF(COUNTIF('Employee Attendance'!$D$2:$D$670,P233)&gt;0,"Yes","No"))</x:f>
        <x:v>Yes</x:v>
      </x:c>
    </x:row>
    <x:row r="234">
      <x:c r="A234" t="s">
        <x:v>1012</x:v>
      </x:c>
      <x:c r="B234" t="s">
        <x:v>1013</x:v>
      </x:c>
      <x:c r="C234" t="s">
        <x:v>196</x:v>
      </x:c>
      <x:c r="D234" t="s">
        <x:v>1014</x:v>
      </x:c>
      <x:c r="E234" t="s">
        <x:v>1015</x:v>
      </x:c>
      <x:c r="F234" t="s">
        <x:v>1015</x:v>
      </x:c>
      <x:c r="G234" t="s">
        <x:v>59</x:v>
      </x:c>
      <x:c r="P234" t="str">
        <x:f>LOWER(TRIM(SUBSTITUTE(E234,CHAR(160)," ")))</x:f>
        <x:v>bertha.chenga@pwc.com</x:v>
      </x:c>
      <x:c r="Q234" t="n">
        <x:f>IFERROR(VALUE(LEFT(D234,SEARCH("h",D234)-1)),0)*3600+IFERROR(VALUE(MID(D234,IFERROR(SEARCH("h ",D234)+2,1),SEARCH("m",D234)-IFERROR(SEARCH("h ",D234)+2,1))),0)*60+IFERROR(VALUE(MID(D234,IFERROR(SEARCH("m ",D234)+2,IFERROR(SEARCH("h ",D234)+2,1)),SEARCH("s",D234)-IFERROR(SEARCH("m ",D234)+2,IFERROR(SEARCH("h ",D234)+2,1)))),0)</x:f>
        <x:v>6336</x:v>
      </x:c>
      <x:c r="R234" t="str">
        <x:f>IF(P234="","No",IF(COUNTIF('Employee Attendance'!$D$2:$D$670,P234)&gt;0,"Yes","No"))</x:f>
        <x:v>Yes</x:v>
      </x:c>
    </x:row>
    <x:row r="235">
      <x:c r="A235" t="s">
        <x:v>1016</x:v>
      </x:c>
      <x:c r="B235" t="s">
        <x:v>1017</x:v>
      </x:c>
      <x:c r="C235" t="s">
        <x:v>56</x:v>
      </x:c>
      <x:c r="D235" t="s">
        <x:v>1018</x:v>
      </x:c>
      <x:c r="E235" t="s">
        <x:v>1019</x:v>
      </x:c>
      <x:c r="F235" t="s">
        <x:v>1019</x:v>
      </x:c>
      <x:c r="G235" t="s">
        <x:v>59</x:v>
      </x:c>
      <x:c r="P235" t="str">
        <x:f>LOWER(TRIM(SUBSTITUTE(E235,CHAR(160)," ")))</x:f>
        <x:v>clement.muhoro@pwc.com</x:v>
      </x:c>
      <x:c r="Q235" t="n">
        <x:f>IFERROR(VALUE(LEFT(D235,SEARCH("h",D235)-1)),0)*3600+IFERROR(VALUE(MID(D235,IFERROR(SEARCH("h ",D235)+2,1),SEARCH("m",D235)-IFERROR(SEARCH("h ",D235)+2,1))),0)*60+IFERROR(VALUE(MID(D235,IFERROR(SEARCH("m ",D235)+2,IFERROR(SEARCH("h ",D235)+2,1)),SEARCH("s",D235)-IFERROR(SEARCH("m ",D235)+2,IFERROR(SEARCH("h ",D235)+2,1)))),0)</x:f>
        <x:v>6134</x:v>
      </x:c>
      <x:c r="R235" t="str">
        <x:f>IF(P235="","No",IF(COUNTIF('Employee Attendance'!$D$2:$D$670,P235)&gt;0,"Yes","No"))</x:f>
        <x:v>Yes</x:v>
      </x:c>
    </x:row>
    <x:row r="236">
      <x:c r="A236" t="s">
        <x:v>1020</x:v>
      </x:c>
      <x:c r="B236" t="s">
        <x:v>1021</x:v>
      </x:c>
      <x:c r="C236" t="s">
        <x:v>1022</x:v>
      </x:c>
      <x:c r="D236" t="s">
        <x:v>1023</x:v>
      </x:c>
      <x:c r="E236" t="s">
        <x:v>1024</x:v>
      </x:c>
      <x:c r="F236" t="s">
        <x:v>1024</x:v>
      </x:c>
      <x:c r="G236" t="s">
        <x:v>59</x:v>
      </x:c>
      <x:c r="P236" t="str">
        <x:f>LOWER(TRIM(SUBSTITUTE(E236,CHAR(160)," ")))</x:f>
        <x:v>yves.m.niyonkuru@pwc.com</x:v>
      </x:c>
      <x:c r="Q236" t="n">
        <x:f>IFERROR(VALUE(LEFT(D236,SEARCH("h",D236)-1)),0)*3600+IFERROR(VALUE(MID(D236,IFERROR(SEARCH("h ",D236)+2,1),SEARCH("m",D236)-IFERROR(SEARCH("h ",D236)+2,1))),0)*60+IFERROR(VALUE(MID(D236,IFERROR(SEARCH("m ",D236)+2,IFERROR(SEARCH("h ",D236)+2,1)),SEARCH("s",D236)-IFERROR(SEARCH("m ",D236)+2,IFERROR(SEARCH("h ",D236)+2,1)))),0)</x:f>
        <x:v>5641</x:v>
      </x:c>
      <x:c r="R236" t="str">
        <x:f>IF(P236="","No",IF(COUNTIF('Employee Attendance'!$D$2:$D$670,P236)&gt;0,"Yes","No"))</x:f>
        <x:v>Yes</x:v>
      </x:c>
    </x:row>
    <x:row r="237">
      <x:c r="A237" t="s">
        <x:v>1025</x:v>
      </x:c>
      <x:c r="B237" t="s">
        <x:v>1026</x:v>
      </x:c>
      <x:c r="C237" t="s">
        <x:v>1027</x:v>
      </x:c>
      <x:c r="D237" t="s">
        <x:v>1028</x:v>
      </x:c>
      <x:c r="E237" t="s">
        <x:v>1029</x:v>
      </x:c>
      <x:c r="F237" t="s">
        <x:v>1029</x:v>
      </x:c>
      <x:c r="G237" t="s">
        <x:v>59</x:v>
      </x:c>
      <x:c r="P237" t="str">
        <x:f>LOWER(TRIM(SUBSTITUTE(E237,CHAR(160)," ")))</x:f>
        <x:v>antony.wawira@pwc.com</x:v>
      </x:c>
      <x:c r="Q237" t="n">
        <x:f>IFERROR(VALUE(LEFT(D237,SEARCH("h",D237)-1)),0)*3600+IFERROR(VALUE(MID(D237,IFERROR(SEARCH("h ",D237)+2,1),SEARCH("m",D237)-IFERROR(SEARCH("h ",D237)+2,1))),0)*60+IFERROR(VALUE(MID(D237,IFERROR(SEARCH("m ",D237)+2,IFERROR(SEARCH("h ",D237)+2,1)),SEARCH("s",D237)-IFERROR(SEARCH("m ",D237)+2,IFERROR(SEARCH("h ",D237)+2,1)))),0)</x:f>
        <x:v>4510</x:v>
      </x:c>
      <x:c r="R237" t="str">
        <x:f>IF(P237="","No",IF(COUNTIF('Employee Attendance'!$D$2:$D$670,P237)&gt;0,"Yes","No"))</x:f>
        <x:v>Yes</x:v>
      </x:c>
    </x:row>
    <x:row r="238">
      <x:c r="A238" t="s">
        <x:v>1030</x:v>
      </x:c>
      <x:c r="B238" t="s">
        <x:v>1031</x:v>
      </x:c>
      <x:c r="C238" t="s">
        <x:v>502</x:v>
      </x:c>
      <x:c r="D238" t="s">
        <x:v>1032</x:v>
      </x:c>
      <x:c r="E238" t="s">
        <x:v>1033</x:v>
      </x:c>
      <x:c r="F238" t="s">
        <x:v>1033</x:v>
      </x:c>
      <x:c r="G238" t="s">
        <x:v>59</x:v>
      </x:c>
      <x:c r="P238" t="str">
        <x:f>LOWER(TRIM(SUBSTITUTE(E238,CHAR(160)," ")))</x:f>
        <x:v>collins.maina@pwc.com</x:v>
      </x:c>
      <x:c r="Q238" t="n">
        <x:f>IFERROR(VALUE(LEFT(D238,SEARCH("h",D238)-1)),0)*3600+IFERROR(VALUE(MID(D238,IFERROR(SEARCH("h ",D238)+2,1),SEARCH("m",D238)-IFERROR(SEARCH("h ",D238)+2,1))),0)*60+IFERROR(VALUE(MID(D238,IFERROR(SEARCH("m ",D238)+2,IFERROR(SEARCH("h ",D238)+2,1)),SEARCH("s",D238)-IFERROR(SEARCH("m ",D238)+2,IFERROR(SEARCH("h ",D238)+2,1)))),0)</x:f>
        <x:v>6270</x:v>
      </x:c>
      <x:c r="R238" t="str">
        <x:f>IF(P238="","No",IF(COUNTIF('Employee Attendance'!$D$2:$D$670,P238)&gt;0,"Yes","No"))</x:f>
        <x:v>Yes</x:v>
      </x:c>
    </x:row>
    <x:row r="239">
      <x:c r="A239" t="s">
        <x:v>1034</x:v>
      </x:c>
      <x:c r="B239" t="s">
        <x:v>1031</x:v>
      </x:c>
      <x:c r="C239" t="s">
        <x:v>213</x:v>
      </x:c>
      <x:c r="D239" t="s">
        <x:v>1035</x:v>
      </x:c>
      <x:c r="E239" t="s">
        <x:v>1036</x:v>
      </x:c>
      <x:c r="F239" t="s">
        <x:v>1036</x:v>
      </x:c>
      <x:c r="G239" t="s">
        <x:v>59</x:v>
      </x:c>
      <x:c r="P239" t="str">
        <x:f>LOWER(TRIM(SUBSTITUTE(E239,CHAR(160)," ")))</x:f>
        <x:v>malike.uwizeyimana@pwc.com</x:v>
      </x:c>
      <x:c r="Q239" t="n">
        <x:f>IFERROR(VALUE(LEFT(D239,SEARCH("h",D239)-1)),0)*3600+IFERROR(VALUE(MID(D239,IFERROR(SEARCH("h ",D239)+2,1),SEARCH("m",D239)-IFERROR(SEARCH("h ",D239)+2,1))),0)*60+IFERROR(VALUE(MID(D239,IFERROR(SEARCH("m ",D239)+2,IFERROR(SEARCH("h ",D239)+2,1)),SEARCH("s",D239)-IFERROR(SEARCH("m ",D239)+2,IFERROR(SEARCH("h ",D239)+2,1)))),0)</x:f>
        <x:v>6278</x:v>
      </x:c>
      <x:c r="R239" t="str">
        <x:f>IF(P239="","No",IF(COUNTIF('Employee Attendance'!$D$2:$D$670,P239)&gt;0,"Yes","No"))</x:f>
        <x:v>Yes</x:v>
      </x:c>
    </x:row>
    <x:row r="240">
      <x:c r="A240" t="s">
        <x:v>1037</x:v>
      </x:c>
      <x:c r="B240" t="s">
        <x:v>1038</x:v>
      </x:c>
      <x:c r="C240" t="s">
        <x:v>1009</x:v>
      </x:c>
      <x:c r="D240" t="s">
        <x:v>1039</x:v>
      </x:c>
      <x:c r="E240" t="s">
        <x:v>1040</x:v>
      </x:c>
      <x:c r="F240" t="s">
        <x:v>1040</x:v>
      </x:c>
      <x:c r="G240" t="s">
        <x:v>59</x:v>
      </x:c>
      <x:c r="H240">
        <x:v>1</x:v>
      </x:c>
      <x:c r="P240" t="str">
        <x:f>LOWER(TRIM(SUBSTITUTE(E240,CHAR(160)," ")))</x:f>
        <x:v>ian.aruasa@pwc.com</x:v>
      </x:c>
      <x:c r="Q240" t="n">
        <x:f>IFERROR(VALUE(LEFT(D240,SEARCH("h",D240)-1)),0)*3600+IFERROR(VALUE(MID(D240,IFERROR(SEARCH("h ",D240)+2,1),SEARCH("m",D240)-IFERROR(SEARCH("h ",D240)+2,1))),0)*60+IFERROR(VALUE(MID(D240,IFERROR(SEARCH("m ",D240)+2,IFERROR(SEARCH("h ",D240)+2,1)),SEARCH("s",D240)-IFERROR(SEARCH("m ",D240)+2,IFERROR(SEARCH("h ",D240)+2,1)))),0)</x:f>
        <x:v>6306</x:v>
      </x:c>
      <x:c r="R240" t="str">
        <x:f>IF(P240="","No",IF(COUNTIF('Employee Attendance'!$D$2:$D$670,P240)&gt;0,"Yes","No"))</x:f>
        <x:v>Yes</x:v>
      </x:c>
    </x:row>
    <x:row r="241">
      <x:c r="A241" t="s">
        <x:v>1041</x:v>
      </x:c>
      <x:c r="B241" t="s">
        <x:v>1042</x:v>
      </x:c>
      <x:c r="C241" t="s">
        <x:v>213</x:v>
      </x:c>
      <x:c r="D241" t="s">
        <x:v>1043</x:v>
      </x:c>
      <x:c r="E241" t="s">
        <x:v>1044</x:v>
      </x:c>
      <x:c r="F241" t="s">
        <x:v>1044</x:v>
      </x:c>
      <x:c r="G241" t="s">
        <x:v>59</x:v>
      </x:c>
      <x:c r="O241">
        <x:v>1</x:v>
      </x:c>
      <x:c r="P241" t="str">
        <x:f>LOWER(TRIM(SUBSTITUTE(E241,CHAR(160)," ")))</x:f>
        <x:v>witness.meena@pwc.com</x:v>
      </x:c>
      <x:c r="Q241" t="n">
        <x:f>IFERROR(VALUE(LEFT(D241,SEARCH("h",D241)-1)),0)*3600+IFERROR(VALUE(MID(D241,IFERROR(SEARCH("h ",D241)+2,1),SEARCH("m",D241)-IFERROR(SEARCH("h ",D241)+2,1))),0)*60+IFERROR(VALUE(MID(D241,IFERROR(SEARCH("m ",D241)+2,IFERROR(SEARCH("h ",D241)+2,1)),SEARCH("s",D241)-IFERROR(SEARCH("m ",D241)+2,IFERROR(SEARCH("h ",D241)+2,1)))),0)</x:f>
        <x:v>6249</x:v>
      </x:c>
      <x:c r="R241" t="str">
        <x:f>IF(P241="","No",IF(COUNTIF('Employee Attendance'!$D$2:$D$670,P241)&gt;0,"Yes","No"))</x:f>
        <x:v>Yes</x:v>
      </x:c>
    </x:row>
    <x:row r="242">
      <x:c r="A242" t="s">
        <x:v>1045</x:v>
      </x:c>
      <x:c r="B242" t="s">
        <x:v>1046</x:v>
      </x:c>
      <x:c r="C242" t="s">
        <x:v>98</x:v>
      </x:c>
      <x:c r="D242" t="s">
        <x:v>1047</x:v>
      </x:c>
      <x:c r="E242" t="s">
        <x:v>1048</x:v>
      </x:c>
      <x:c r="F242" t="s">
        <x:v>1048</x:v>
      </x:c>
      <x:c r="G242" t="s">
        <x:v>59</x:v>
      </x:c>
      <x:c r="P242" t="str">
        <x:f>LOWER(TRIM(SUBSTITUTE(E242,CHAR(160)," ")))</x:f>
        <x:v>teresia.kilawe@pwc.com</x:v>
      </x:c>
      <x:c r="Q242" t="n">
        <x:f>IFERROR(VALUE(LEFT(D242,SEARCH("h",D242)-1)),0)*3600+IFERROR(VALUE(MID(D242,IFERROR(SEARCH("h ",D242)+2,1),SEARCH("m",D242)-IFERROR(SEARCH("h ",D242)+2,1))),0)*60+IFERROR(VALUE(MID(D242,IFERROR(SEARCH("m ",D242)+2,IFERROR(SEARCH("h ",D242)+2,1)),SEARCH("s",D242)-IFERROR(SEARCH("m ",D242)+2,IFERROR(SEARCH("h ",D242)+2,1)))),0)</x:f>
        <x:v>6202</x:v>
      </x:c>
      <x:c r="R242" t="str">
        <x:f>IF(P242="","No",IF(COUNTIF('Employee Attendance'!$D$2:$D$670,P242)&gt;0,"Yes","No"))</x:f>
        <x:v>Yes</x:v>
      </x:c>
    </x:row>
    <x:row r="243">
      <x:c r="A243" t="s">
        <x:v>1049</x:v>
      </x:c>
      <x:c r="B243" t="s">
        <x:v>1050</x:v>
      </x:c>
      <x:c r="C243" t="s">
        <x:v>493</x:v>
      </x:c>
      <x:c r="D243" t="s">
        <x:v>1051</x:v>
      </x:c>
      <x:c r="E243" t="s">
        <x:v>1052</x:v>
      </x:c>
      <x:c r="F243" t="s">
        <x:v>1052</x:v>
      </x:c>
      <x:c r="G243" t="s">
        <x:v>59</x:v>
      </x:c>
      <x:c r="P243" t="str">
        <x:f>LOWER(TRIM(SUBSTITUTE(E243,CHAR(160)," ")))</x:f>
        <x:v>mercy.john@pwc.com</x:v>
      </x:c>
      <x:c r="Q243" t="n">
        <x:f>IFERROR(VALUE(LEFT(D243,SEARCH("h",D243)-1)),0)*3600+IFERROR(VALUE(MID(D243,IFERROR(SEARCH("h ",D243)+2,1),SEARCH("m",D243)-IFERROR(SEARCH("h ",D243)+2,1))),0)*60+IFERROR(VALUE(MID(D243,IFERROR(SEARCH("m ",D243)+2,IFERROR(SEARCH("h ",D243)+2,1)),SEARCH("s",D243)-IFERROR(SEARCH("m ",D243)+2,IFERROR(SEARCH("h ",D243)+2,1)))),0)</x:f>
        <x:v>6224</x:v>
      </x:c>
      <x:c r="R243" t="str">
        <x:f>IF(P243="","No",IF(COUNTIF('Employee Attendance'!$D$2:$D$670,P243)&gt;0,"Yes","No"))</x:f>
        <x:v>Yes</x:v>
      </x:c>
    </x:row>
    <x:row r="244">
      <x:c r="A244" t="s">
        <x:v>1053</x:v>
      </x:c>
      <x:c r="B244" t="s">
        <x:v>1054</x:v>
      </x:c>
      <x:c r="C244" t="s">
        <x:v>1055</x:v>
      </x:c>
      <x:c r="D244" t="s">
        <x:v>1056</x:v>
      </x:c>
      <x:c r="E244" t="s">
        <x:v>1057</x:v>
      </x:c>
      <x:c r="F244" t="s">
        <x:v>1057</x:v>
      </x:c>
      <x:c r="G244" t="s">
        <x:v>59</x:v>
      </x:c>
      <x:c r="O244">
        <x:v>1</x:v>
      </x:c>
      <x:c r="P244" t="str">
        <x:f>LOWER(TRIM(SUBSTITUTE(E244,CHAR(160)," ")))</x:f>
        <x:v>marion.basil@pwc.com</x:v>
      </x:c>
      <x:c r="Q244" t="n">
        <x:f>IFERROR(VALUE(LEFT(D244,SEARCH("h",D244)-1)),0)*3600+IFERROR(VALUE(MID(D244,IFERROR(SEARCH("h ",D244)+2,1),SEARCH("m",D244)-IFERROR(SEARCH("h ",D244)+2,1))),0)*60+IFERROR(VALUE(MID(D244,IFERROR(SEARCH("m ",D244)+2,IFERROR(SEARCH("h ",D244)+2,1)),SEARCH("s",D244)-IFERROR(SEARCH("m ",D244)+2,IFERROR(SEARCH("h ",D244)+2,1)))),0)</x:f>
        <x:v>6175</x:v>
      </x:c>
      <x:c r="R244" t="str">
        <x:f>IF(P244="","No",IF(COUNTIF('Employee Attendance'!$D$2:$D$670,P244)&gt;0,"Yes","No"))</x:f>
        <x:v>Yes</x:v>
      </x:c>
    </x:row>
    <x:row r="245">
      <x:c r="A245" t="s">
        <x:v>1058</x:v>
      </x:c>
      <x:c r="B245" t="s">
        <x:v>1059</x:v>
      </x:c>
      <x:c r="C245" t="s">
        <x:v>896</x:v>
      </x:c>
      <x:c r="D245" t="s">
        <x:v>1060</x:v>
      </x:c>
      <x:c r="E245" t="s">
        <x:v>1061</x:v>
      </x:c>
      <x:c r="F245" t="s">
        <x:v>1061</x:v>
      </x:c>
      <x:c r="G245" t="s">
        <x:v>59</x:v>
      </x:c>
      <x:c r="O245">
        <x:v>1</x:v>
      </x:c>
      <x:c r="P245" t="str">
        <x:f>LOWER(TRIM(SUBSTITUTE(E245,CHAR(160)," ")))</x:f>
        <x:v>jacqueline.makasa@pwc.com</x:v>
      </x:c>
      <x:c r="Q245" t="n">
        <x:f>IFERROR(VALUE(LEFT(D245,SEARCH("h",D245)-1)),0)*3600+IFERROR(VALUE(MID(D245,IFERROR(SEARCH("h ",D245)+2,1),SEARCH("m",D245)-IFERROR(SEARCH("h ",D245)+2,1))),0)*60+IFERROR(VALUE(MID(D245,IFERROR(SEARCH("m ",D245)+2,IFERROR(SEARCH("h ",D245)+2,1)),SEARCH("s",D245)-IFERROR(SEARCH("m ",D245)+2,IFERROR(SEARCH("h ",D245)+2,1)))),0)</x:f>
        <x:v>6204</x:v>
      </x:c>
      <x:c r="R245" t="str">
        <x:f>IF(P245="","No",IF(COUNTIF('Employee Attendance'!$D$2:$D$670,P245)&gt;0,"Yes","No"))</x:f>
        <x:v>Yes</x:v>
      </x:c>
    </x:row>
    <x:row r="246">
      <x:c r="A246" t="s">
        <x:v>1062</x:v>
      </x:c>
      <x:c r="B246" t="s">
        <x:v>1063</x:v>
      </x:c>
      <x:c r="C246" t="s">
        <x:v>1064</x:v>
      </x:c>
      <x:c r="D246" t="s">
        <x:v>1065</x:v>
      </x:c>
      <x:c r="E246" t="s">
        <x:v>1066</x:v>
      </x:c>
      <x:c r="F246" t="s">
        <x:v>1066</x:v>
      </x:c>
      <x:c r="G246" t="s">
        <x:v>59</x:v>
      </x:c>
      <x:c r="O246">
        <x:v>1</x:v>
      </x:c>
      <x:c r="P246" t="str">
        <x:f>LOWER(TRIM(SUBSTITUTE(E246,CHAR(160)," ")))</x:f>
        <x:v>rebecca.osunga@pwc.com</x:v>
      </x:c>
      <x:c r="Q246" t="n">
        <x:f>IFERROR(VALUE(LEFT(D246,SEARCH("h",D246)-1)),0)*3600+IFERROR(VALUE(MID(D246,IFERROR(SEARCH("h ",D246)+2,1),SEARCH("m",D246)-IFERROR(SEARCH("h ",D246)+2,1))),0)*60+IFERROR(VALUE(MID(D246,IFERROR(SEARCH("m ",D246)+2,IFERROR(SEARCH("h ",D246)+2,1)),SEARCH("s",D246)-IFERROR(SEARCH("m ",D246)+2,IFERROR(SEARCH("h ",D246)+2,1)))),0)</x:f>
        <x:v>4916</x:v>
      </x:c>
      <x:c r="R246" t="str">
        <x:f>IF(P246="","No",IF(COUNTIF('Employee Attendance'!$D$2:$D$670,P246)&gt;0,"Yes","No"))</x:f>
        <x:v>Yes</x:v>
      </x:c>
    </x:row>
    <x:row r="247">
      <x:c r="A247" t="s">
        <x:v>1067</x:v>
      </x:c>
      <x:c r="B247" t="s">
        <x:v>1068</x:v>
      </x:c>
      <x:c r="C247" t="s">
        <x:v>502</x:v>
      </x:c>
      <x:c r="D247" t="s">
        <x:v>1069</x:v>
      </x:c>
      <x:c r="E247" t="s">
        <x:v>1070</x:v>
      </x:c>
      <x:c r="F247" t="s">
        <x:v>1070</x:v>
      </x:c>
      <x:c r="G247" t="s">
        <x:v>59</x:v>
      </x:c>
      <x:c r="P247" t="str">
        <x:f>LOWER(TRIM(SUBSTITUTE(E247,CHAR(160)," ")))</x:f>
        <x:v>maurine.cheptoo@pwc.com</x:v>
      </x:c>
      <x:c r="Q247" t="n">
        <x:f>IFERROR(VALUE(LEFT(D247,SEARCH("h",D247)-1)),0)*3600+IFERROR(VALUE(MID(D247,IFERROR(SEARCH("h ",D247)+2,1),SEARCH("m",D247)-IFERROR(SEARCH("h ",D247)+2,1))),0)*60+IFERROR(VALUE(MID(D247,IFERROR(SEARCH("m ",D247)+2,IFERROR(SEARCH("h ",D247)+2,1)),SEARCH("s",D247)-IFERROR(SEARCH("m ",D247)+2,IFERROR(SEARCH("h ",D247)+2,1)))),0)</x:f>
        <x:v>6121</x:v>
      </x:c>
      <x:c r="R247" t="str">
        <x:f>IF(P247="","No",IF(COUNTIF('Employee Attendance'!$D$2:$D$670,P247)&gt;0,"Yes","No"))</x:f>
        <x:v>Yes</x:v>
      </x:c>
    </x:row>
    <x:row r="248">
      <x:c r="A248" t="s">
        <x:v>1071</x:v>
      </x:c>
      <x:c r="B248" t="s">
        <x:v>1072</x:v>
      </x:c>
      <x:c r="C248" t="s">
        <x:v>200</x:v>
      </x:c>
      <x:c r="D248" t="s">
        <x:v>1073</x:v>
      </x:c>
      <x:c r="E248" t="s">
        <x:v>1074</x:v>
      </x:c>
      <x:c r="F248" t="s">
        <x:v>1074</x:v>
      </x:c>
      <x:c r="G248" t="s">
        <x:v>59</x:v>
      </x:c>
      <x:c r="P248" t="str">
        <x:f>LOWER(TRIM(SUBSTITUTE(E248,CHAR(160)," ")))</x:f>
        <x:v>seth.adoli@pwc.com</x:v>
      </x:c>
      <x:c r="Q248" t="n">
        <x:f>IFERROR(VALUE(LEFT(D248,SEARCH("h",D248)-1)),0)*3600+IFERROR(VALUE(MID(D248,IFERROR(SEARCH("h ",D248)+2,1),SEARCH("m",D248)-IFERROR(SEARCH("h ",D248)+2,1))),0)*60+IFERROR(VALUE(MID(D248,IFERROR(SEARCH("m ",D248)+2,IFERROR(SEARCH("h ",D248)+2,1)),SEARCH("s",D248)-IFERROR(SEARCH("m ",D248)+2,IFERROR(SEARCH("h ",D248)+2,1)))),0)</x:f>
        <x:v>5814</x:v>
      </x:c>
      <x:c r="R248" t="str">
        <x:f>IF(P248="","No",IF(COUNTIF('Employee Attendance'!$D$2:$D$670,P248)&gt;0,"Yes","No"))</x:f>
        <x:v>Yes</x:v>
      </x:c>
    </x:row>
    <x:row r="249">
      <x:c r="A249" t="s">
        <x:v>1075</x:v>
      </x:c>
      <x:c r="B249" t="s">
        <x:v>1076</x:v>
      </x:c>
      <x:c r="C249" t="s">
        <x:v>46</x:v>
      </x:c>
      <x:c r="D249" t="s">
        <x:v>1077</x:v>
      </x:c>
      <x:c r="E249" t="s">
        <x:v>1078</x:v>
      </x:c>
      <x:c r="F249" t="s">
        <x:v>1078</x:v>
      </x:c>
      <x:c r="G249" t="s">
        <x:v>59</x:v>
      </x:c>
      <x:c r="O249">
        <x:v>1</x:v>
      </x:c>
      <x:c r="P249" t="str">
        <x:f>LOWER(TRIM(SUBSTITUTE(E249,CHAR(160)," ")))</x:f>
        <x:v>beatrice.owino@pwc.com</x:v>
      </x:c>
      <x:c r="Q249" t="n">
        <x:f>IFERROR(VALUE(LEFT(D249,SEARCH("h",D249)-1)),0)*3600+IFERROR(VALUE(MID(D249,IFERROR(SEARCH("h ",D249)+2,1),SEARCH("m",D249)-IFERROR(SEARCH("h ",D249)+2,1))),0)*60+IFERROR(VALUE(MID(D249,IFERROR(SEARCH("m ",D249)+2,IFERROR(SEARCH("h ",D249)+2,1)),SEARCH("s",D249)-IFERROR(SEARCH("m ",D249)+2,IFERROR(SEARCH("h ",D249)+2,1)))),0)</x:f>
        <x:v>6012</x:v>
      </x:c>
      <x:c r="R249" t="str">
        <x:f>IF(P249="","No",IF(COUNTIF('Employee Attendance'!$D$2:$D$670,P249)&gt;0,"Yes","No"))</x:f>
        <x:v>Yes</x:v>
      </x:c>
    </x:row>
    <x:row r="250">
      <x:c r="A250" t="s">
        <x:v>1079</x:v>
      </x:c>
      <x:c r="B250" t="s">
        <x:v>1076</x:v>
      </x:c>
      <x:c r="C250" t="s">
        <x:v>56</x:v>
      </x:c>
      <x:c r="D250" t="s">
        <x:v>1080</x:v>
      </x:c>
      <x:c r="E250" t="s">
        <x:v>1081</x:v>
      </x:c>
      <x:c r="F250" t="s">
        <x:v>1081</x:v>
      </x:c>
      <x:c r="G250" t="s">
        <x:v>59</x:v>
      </x:c>
      <x:c r="P250" t="str">
        <x:f>LOWER(TRIM(SUBSTITUTE(E250,CHAR(160)," ")))</x:f>
        <x:v>erick.mdaki@pwc.com</x:v>
      </x:c>
      <x:c r="Q250" t="n">
        <x:f>IFERROR(VALUE(LEFT(D250,SEARCH("h",D250)-1)),0)*3600+IFERROR(VALUE(MID(D250,IFERROR(SEARCH("h ",D250)+2,1),SEARCH("m",D250)-IFERROR(SEARCH("h ",D250)+2,1))),0)*60+IFERROR(VALUE(MID(D250,IFERROR(SEARCH("m ",D250)+2,IFERROR(SEARCH("h ",D250)+2,1)),SEARCH("s",D250)-IFERROR(SEARCH("m ",D250)+2,IFERROR(SEARCH("h ",D250)+2,1)))),0)</x:f>
        <x:v>6016</x:v>
      </x:c>
      <x:c r="R250" t="str">
        <x:f>IF(P250="","No",IF(COUNTIF('Employee Attendance'!$D$2:$D$670,P250)&gt;0,"Yes","No"))</x:f>
        <x:v>Yes</x:v>
      </x:c>
    </x:row>
    <x:row r="251">
      <x:c r="A251" t="s">
        <x:v>1082</x:v>
      </x:c>
      <x:c r="B251" t="s">
        <x:v>1083</x:v>
      </x:c>
      <x:c r="C251" t="s">
        <x:v>1084</x:v>
      </x:c>
      <x:c r="D251" t="s">
        <x:v>1085</x:v>
      </x:c>
      <x:c r="G251" t="s">
        <x:v>59</x:v>
      </x:c>
      <x:c r="P251" t="str">
        <x:f>LOWER(TRIM(SUBSTITUTE(E251,CHAR(160)," ")))</x:f>
      </x:c>
      <x:c r="Q251" t="n">
        <x:f>IFERROR(VALUE(LEFT(D251,SEARCH("h",D251)-1)),0)*3600+IFERROR(VALUE(MID(D251,IFERROR(SEARCH("h ",D251)+2,1),SEARCH("m",D251)-IFERROR(SEARCH("h ",D251)+2,1))),0)*60+IFERROR(VALUE(MID(D251,IFERROR(SEARCH("m ",D251)+2,IFERROR(SEARCH("h ",D251)+2,1)),SEARCH("s",D251)-IFERROR(SEARCH("m ",D251)+2,IFERROR(SEARCH("h ",D251)+2,1)))),0)</x:f>
        <x:v>6047</x:v>
      </x:c>
      <x:c r="R251" t="str">
        <x:f>IF(P251="","No",IF(COUNTIF('Employee Attendance'!$D$2:$D$670,P251)&gt;0,"Yes","No"))</x:f>
        <x:v>No</x:v>
      </x:c>
    </x:row>
    <x:row r="252">
      <x:c r="A252" t="s">
        <x:v>1086</x:v>
      </x:c>
      <x:c r="B252" t="s">
        <x:v>1087</x:v>
      </x:c>
      <x:c r="C252" t="s">
        <x:v>98</x:v>
      </x:c>
      <x:c r="D252" t="s">
        <x:v>1088</x:v>
      </x:c>
      <x:c r="E252" t="s">
        <x:v>1089</x:v>
      </x:c>
      <x:c r="F252" t="s">
        <x:v>1089</x:v>
      </x:c>
      <x:c r="G252" t="s">
        <x:v>59</x:v>
      </x:c>
      <x:c r="P252" t="str">
        <x:f>LOWER(TRIM(SUBSTITUTE(E252,CHAR(160)," ")))</x:f>
        <x:v>irene.sabuni@pwc.com</x:v>
      </x:c>
      <x:c r="Q252" t="n">
        <x:f>IFERROR(VALUE(LEFT(D252,SEARCH("h",D252)-1)),0)*3600+IFERROR(VALUE(MID(D252,IFERROR(SEARCH("h ",D252)+2,1),SEARCH("m",D252)-IFERROR(SEARCH("h ",D252)+2,1))),0)*60+IFERROR(VALUE(MID(D252,IFERROR(SEARCH("m ",D252)+2,IFERROR(SEARCH("h ",D252)+2,1)),SEARCH("s",D252)-IFERROR(SEARCH("m ",D252)+2,IFERROR(SEARCH("h ",D252)+2,1)))),0)</x:f>
        <x:v>5977</x:v>
      </x:c>
      <x:c r="R252" t="str">
        <x:f>IF(P252="","No",IF(COUNTIF('Employee Attendance'!$D$2:$D$670,P252)&gt;0,"Yes","No"))</x:f>
        <x:v>Yes</x:v>
      </x:c>
    </x:row>
    <x:row r="253">
      <x:c r="A253" t="s">
        <x:v>1090</x:v>
      </x:c>
      <x:c r="B253" t="s">
        <x:v>1091</x:v>
      </x:c>
      <x:c r="C253" t="s">
        <x:v>1092</x:v>
      </x:c>
      <x:c r="D253" t="s">
        <x:v>1093</x:v>
      </x:c>
      <x:c r="E253" t="s">
        <x:v>1094</x:v>
      </x:c>
      <x:c r="F253" t="s">
        <x:v>1094</x:v>
      </x:c>
      <x:c r="G253" t="s">
        <x:v>59</x:v>
      </x:c>
      <x:c r="P253" t="str">
        <x:f>LOWER(TRIM(SUBSTITUTE(E253,CHAR(160)," ")))</x:f>
        <x:v>mukundi.makhado@pwc.com</x:v>
      </x:c>
      <x:c r="Q253" t="n">
        <x:f>IFERROR(VALUE(LEFT(D253,SEARCH("h",D253)-1)),0)*3600+IFERROR(VALUE(MID(D253,IFERROR(SEARCH("h ",D253)+2,1),SEARCH("m",D253)-IFERROR(SEARCH("h ",D253)+2,1))),0)*60+IFERROR(VALUE(MID(D253,IFERROR(SEARCH("m ",D253)+2,IFERROR(SEARCH("h ",D253)+2,1)),SEARCH("s",D253)-IFERROR(SEARCH("m ",D253)+2,IFERROR(SEARCH("h ",D253)+2,1)))),0)</x:f>
        <x:v>6210</x:v>
      </x:c>
      <x:c r="R253" t="str">
        <x:f>IF(P253="","No",IF(COUNTIF('Employee Attendance'!$D$2:$D$670,P253)&gt;0,"Yes","No"))</x:f>
        <x:v>Yes</x:v>
      </x:c>
    </x:row>
    <x:row r="254">
      <x:c r="A254" t="s">
        <x:v>1095</x:v>
      </x:c>
      <x:c r="B254" t="s">
        <x:v>1096</x:v>
      </x:c>
      <x:c r="C254" t="s">
        <x:v>970</x:v>
      </x:c>
      <x:c r="D254" t="s">
        <x:v>1097</x:v>
      </x:c>
      <x:c r="E254" t="s">
        <x:v>1098</x:v>
      </x:c>
      <x:c r="F254" t="s">
        <x:v>1098</x:v>
      </x:c>
      <x:c r="G254" t="s">
        <x:v>59</x:v>
      </x:c>
      <x:c r="P254" t="str">
        <x:f>LOWER(TRIM(SUBSTITUTE(E254,CHAR(160)," ")))</x:f>
        <x:v>assery.msangi@pwc.com</x:v>
      </x:c>
      <x:c r="Q254" t="n">
        <x:f>IFERROR(VALUE(LEFT(D254,SEARCH("h",D254)-1)),0)*3600+IFERROR(VALUE(MID(D254,IFERROR(SEARCH("h ",D254)+2,1),SEARCH("m",D254)-IFERROR(SEARCH("h ",D254)+2,1))),0)*60+IFERROR(VALUE(MID(D254,IFERROR(SEARCH("m ",D254)+2,IFERROR(SEARCH("h ",D254)+2,1)),SEARCH("s",D254)-IFERROR(SEARCH("m ",D254)+2,IFERROR(SEARCH("h ",D254)+2,1)))),0)</x:f>
        <x:v>5931</x:v>
      </x:c>
      <x:c r="R254" t="str">
        <x:f>IF(P254="","No",IF(COUNTIF('Employee Attendance'!$D$2:$D$670,P254)&gt;0,"Yes","No"))</x:f>
        <x:v>Yes</x:v>
      </x:c>
    </x:row>
    <x:row r="255">
      <x:c r="A255" t="s">
        <x:v>1099</x:v>
      </x:c>
      <x:c r="B255" t="s">
        <x:v>1100</x:v>
      </x:c>
      <x:c r="C255" t="s">
        <x:v>1101</x:v>
      </x:c>
      <x:c r="D255" t="s">
        <x:v>1102</x:v>
      </x:c>
      <x:c r="E255" t="s">
        <x:v>1103</x:v>
      </x:c>
      <x:c r="F255" t="s">
        <x:v>1103</x:v>
      </x:c>
      <x:c r="G255" t="s">
        <x:v>59</x:v>
      </x:c>
      <x:c r="P255" t="str">
        <x:f>LOWER(TRIM(SUBSTITUTE(E255,CHAR(160)," ")))</x:f>
        <x:v>renou.ramdany@pwc.com</x:v>
      </x:c>
      <x:c r="Q255" t="n">
        <x:f>IFERROR(VALUE(LEFT(D255,SEARCH("h",D255)-1)),0)*3600+IFERROR(VALUE(MID(D255,IFERROR(SEARCH("h ",D255)+2,1),SEARCH("m",D255)-IFERROR(SEARCH("h ",D255)+2,1))),0)*60+IFERROR(VALUE(MID(D255,IFERROR(SEARCH("m ",D255)+2,IFERROR(SEARCH("h ",D255)+2,1)),SEARCH("s",D255)-IFERROR(SEARCH("m ",D255)+2,IFERROR(SEARCH("h ",D255)+2,1)))),0)</x:f>
        <x:v>7246</x:v>
      </x:c>
      <x:c r="R255" t="str">
        <x:f>IF(P255="","No",IF(COUNTIF('Employee Attendance'!$D$2:$D$670,P255)&gt;0,"Yes","No"))</x:f>
        <x:v>Yes</x:v>
      </x:c>
    </x:row>
    <x:row r="256">
      <x:c r="A256" t="s">
        <x:v>1104</x:v>
      </x:c>
      <x:c r="B256" t="s">
        <x:v>1105</x:v>
      </x:c>
      <x:c r="C256" t="s">
        <x:v>1106</x:v>
      </x:c>
      <x:c r="D256" t="s">
        <x:v>1107</x:v>
      </x:c>
      <x:c r="E256" t="s">
        <x:v>1108</x:v>
      </x:c>
      <x:c r="F256" t="s">
        <x:v>1108</x:v>
      </x:c>
      <x:c r="G256" t="s">
        <x:v>59</x:v>
      </x:c>
      <x:c r="P256" t="str">
        <x:f>LOWER(TRIM(SUBSTITUTE(E256,CHAR(160)," ")))</x:f>
        <x:v>farouk.kasadha@pwc.com</x:v>
      </x:c>
      <x:c r="Q256" t="n">
        <x:f>IFERROR(VALUE(LEFT(D256,SEARCH("h",D256)-1)),0)*3600+IFERROR(VALUE(MID(D256,IFERROR(SEARCH("h ",D256)+2,1),SEARCH("m",D256)-IFERROR(SEARCH("h ",D256)+2,1))),0)*60+IFERROR(VALUE(MID(D256,IFERROR(SEARCH("m ",D256)+2,IFERROR(SEARCH("h ",D256)+2,1)),SEARCH("s",D256)-IFERROR(SEARCH("m ",D256)+2,IFERROR(SEARCH("h ",D256)+2,1)))),0)</x:f>
        <x:v>1699</x:v>
      </x:c>
      <x:c r="R256" t="str">
        <x:f>IF(P256="","No",IF(COUNTIF('Employee Attendance'!$D$2:$D$670,P256)&gt;0,"Yes","No"))</x:f>
        <x:v>Yes</x:v>
      </x:c>
    </x:row>
    <x:row r="257">
      <x:c r="A257" t="s">
        <x:v>1109</x:v>
      </x:c>
      <x:c r="B257" t="s">
        <x:v>1110</x:v>
      </x:c>
      <x:c r="C257" t="s">
        <x:v>1111</x:v>
      </x:c>
      <x:c r="D257" t="s">
        <x:v>1112</x:v>
      </x:c>
      <x:c r="E257" t="s">
        <x:v>1113</x:v>
      </x:c>
      <x:c r="F257" t="s">
        <x:v>1113</x:v>
      </x:c>
      <x:c r="G257" t="s">
        <x:v>59</x:v>
      </x:c>
      <x:c r="P257" t="str">
        <x:f>LOWER(TRIM(SUBSTITUTE(E257,CHAR(160)," ")))</x:f>
        <x:v>bruno.kayonga@pwc.com</x:v>
      </x:c>
      <x:c r="Q257" t="n">
        <x:f>IFERROR(VALUE(LEFT(D257,SEARCH("h",D257)-1)),0)*3600+IFERROR(VALUE(MID(D257,IFERROR(SEARCH("h ",D257)+2,1),SEARCH("m",D257)-IFERROR(SEARCH("h ",D257)+2,1))),0)*60+IFERROR(VALUE(MID(D257,IFERROR(SEARCH("m ",D257)+2,IFERROR(SEARCH("h ",D257)+2,1)),SEARCH("s",D257)-IFERROR(SEARCH("m ",D257)+2,IFERROR(SEARCH("h ",D257)+2,1)))),0)</x:f>
        <x:v>6248</x:v>
      </x:c>
      <x:c r="R257" t="str">
        <x:f>IF(P257="","No",IF(COUNTIF('Employee Attendance'!$D$2:$D$670,P257)&gt;0,"Yes","No"))</x:f>
        <x:v>Yes</x:v>
      </x:c>
    </x:row>
    <x:row r="258">
      <x:c r="A258" t="s">
        <x:v>1114</x:v>
      </x:c>
      <x:c r="B258" t="s">
        <x:v>1115</x:v>
      </x:c>
      <x:c r="C258" t="s">
        <x:v>1116</x:v>
      </x:c>
      <x:c r="D258" t="s">
        <x:v>1117</x:v>
      </x:c>
      <x:c r="E258" t="s">
        <x:v>1118</x:v>
      </x:c>
      <x:c r="F258" t="s">
        <x:v>1118</x:v>
      </x:c>
      <x:c r="G258" t="s">
        <x:v>59</x:v>
      </x:c>
      <x:c r="O258">
        <x:v>1</x:v>
      </x:c>
      <x:c r="P258" t="str">
        <x:f>LOWER(TRIM(SUBSTITUTE(E258,CHAR(160)," ")))</x:f>
        <x:v>gloria.aheebwa@pwc.com</x:v>
      </x:c>
      <x:c r="Q258" t="n">
        <x:f>IFERROR(VALUE(LEFT(D258,SEARCH("h",D258)-1)),0)*3600+IFERROR(VALUE(MID(D258,IFERROR(SEARCH("h ",D258)+2,1),SEARCH("m",D258)-IFERROR(SEARCH("h ",D258)+2,1))),0)*60+IFERROR(VALUE(MID(D258,IFERROR(SEARCH("m ",D258)+2,IFERROR(SEARCH("h ",D258)+2,1)),SEARCH("s",D258)-IFERROR(SEARCH("m ",D258)+2,IFERROR(SEARCH("h ",D258)+2,1)))),0)</x:f>
        <x:v>5883</x:v>
      </x:c>
      <x:c r="R258" t="str">
        <x:f>IF(P258="","No",IF(COUNTIF('Employee Attendance'!$D$2:$D$670,P258)&gt;0,"Yes","No"))</x:f>
        <x:v>Yes</x:v>
      </x:c>
    </x:row>
    <x:row r="259">
      <x:c r="A259" t="s">
        <x:v>1119</x:v>
      </x:c>
      <x:c r="B259" t="s">
        <x:v>1120</x:v>
      </x:c>
      <x:c r="C259" t="s">
        <x:v>493</x:v>
      </x:c>
      <x:c r="D259" t="s">
        <x:v>1121</x:v>
      </x:c>
      <x:c r="E259" t="s">
        <x:v>1122</x:v>
      </x:c>
      <x:c r="F259" t="s">
        <x:v>1122</x:v>
      </x:c>
      <x:c r="G259" t="s">
        <x:v>59</x:v>
      </x:c>
      <x:c r="P259" t="str">
        <x:f>LOWER(TRIM(SUBSTITUTE(E259,CHAR(160)," ")))</x:f>
        <x:v>dickson.m.mohoni@pwc.com</x:v>
      </x:c>
      <x:c r="Q259" t="n">
        <x:f>IFERROR(VALUE(LEFT(D259,SEARCH("h",D259)-1)),0)*3600+IFERROR(VALUE(MID(D259,IFERROR(SEARCH("h ",D259)+2,1),SEARCH("m",D259)-IFERROR(SEARCH("h ",D259)+2,1))),0)*60+IFERROR(VALUE(MID(D259,IFERROR(SEARCH("m ",D259)+2,IFERROR(SEARCH("h ",D259)+2,1)),SEARCH("s",D259)-IFERROR(SEARCH("m ",D259)+2,IFERROR(SEARCH("h ",D259)+2,1)))),0)</x:f>
        <x:v>5834</x:v>
      </x:c>
      <x:c r="R259" t="str">
        <x:f>IF(P259="","No",IF(COUNTIF('Employee Attendance'!$D$2:$D$670,P259)&gt;0,"Yes","No"))</x:f>
        <x:v>Yes</x:v>
      </x:c>
    </x:row>
    <x:row r="260">
      <x:c r="A260" t="s">
        <x:v>1123</x:v>
      </x:c>
      <x:c r="B260" t="s">
        <x:v>1124</x:v>
      </x:c>
      <x:c r="C260" t="s">
        <x:v>138</x:v>
      </x:c>
      <x:c r="D260" t="s">
        <x:v>1125</x:v>
      </x:c>
      <x:c r="E260" t="s">
        <x:v>1126</x:v>
      </x:c>
      <x:c r="F260" t="s">
        <x:v>1126</x:v>
      </x:c>
      <x:c r="G260" t="s">
        <x:v>59</x:v>
      </x:c>
      <x:c r="H260">
        <x:v>1</x:v>
      </x:c>
      <x:c r="P260" t="str">
        <x:f>LOWER(TRIM(SUBSTITUTE(E260,CHAR(160)," ")))</x:f>
        <x:v>kerry.watiri@pwc.com</x:v>
      </x:c>
      <x:c r="Q260" t="n">
        <x:f>IFERROR(VALUE(LEFT(D260,SEARCH("h",D260)-1)),0)*3600+IFERROR(VALUE(MID(D260,IFERROR(SEARCH("h ",D260)+2,1),SEARCH("m",D260)-IFERROR(SEARCH("h ",D260)+2,1))),0)*60+IFERROR(VALUE(MID(D260,IFERROR(SEARCH("m ",D260)+2,IFERROR(SEARCH("h ",D260)+2,1)),SEARCH("s",D260)-IFERROR(SEARCH("m ",D260)+2,IFERROR(SEARCH("h ",D260)+2,1)))),0)</x:f>
        <x:v>5525</x:v>
      </x:c>
      <x:c r="R260" t="str">
        <x:f>IF(P260="","No",IF(COUNTIF('Employee Attendance'!$D$2:$D$670,P260)&gt;0,"Yes","No"))</x:f>
        <x:v>Yes</x:v>
      </x:c>
    </x:row>
    <x:row r="261">
      <x:c r="A261" t="s">
        <x:v>1127</x:v>
      </x:c>
      <x:c r="B261" t="s">
        <x:v>1128</x:v>
      </x:c>
      <x:c r="C261" t="s">
        <x:v>502</x:v>
      </x:c>
      <x:c r="D261" t="s">
        <x:v>1129</x:v>
      </x:c>
      <x:c r="E261" t="s">
        <x:v>1130</x:v>
      </x:c>
      <x:c r="F261" t="s">
        <x:v>1130</x:v>
      </x:c>
      <x:c r="G261" t="s">
        <x:v>59</x:v>
      </x:c>
      <x:c r="O261">
        <x:v>1</x:v>
      </x:c>
      <x:c r="P261" t="str">
        <x:f>LOWER(TRIM(SUBSTITUTE(E261,CHAR(160)," ")))</x:f>
        <x:v>taufiq.ishimwe@pwc.com</x:v>
      </x:c>
      <x:c r="Q261" t="n">
        <x:f>IFERROR(VALUE(LEFT(D261,SEARCH("h",D261)-1)),0)*3600+IFERROR(VALUE(MID(D261,IFERROR(SEARCH("h ",D261)+2,1),SEARCH("m",D261)-IFERROR(SEARCH("h ",D261)+2,1))),0)*60+IFERROR(VALUE(MID(D261,IFERROR(SEARCH("m ",D261)+2,IFERROR(SEARCH("h ",D261)+2,1)),SEARCH("s",D261)-IFERROR(SEARCH("m ",D261)+2,IFERROR(SEARCH("h ",D261)+2,1)))),0)</x:f>
        <x:v>5450</x:v>
      </x:c>
      <x:c r="R261" t="str">
        <x:f>IF(P261="","No",IF(COUNTIF('Employee Attendance'!$D$2:$D$670,P261)&gt;0,"Yes","No"))</x:f>
        <x:v>Yes</x:v>
      </x:c>
    </x:row>
    <x:row r="262">
      <x:c r="A262" t="s">
        <x:v>1131</x:v>
      </x:c>
      <x:c r="B262" t="s">
        <x:v>1132</x:v>
      </x:c>
      <x:c r="C262" t="s">
        <x:v>1133</x:v>
      </x:c>
      <x:c r="D262" t="s">
        <x:v>1134</x:v>
      </x:c>
      <x:c r="E262" t="s">
        <x:v>1135</x:v>
      </x:c>
      <x:c r="F262" t="s">
        <x:v>1135</x:v>
      </x:c>
      <x:c r="G262" t="s">
        <x:v>59</x:v>
      </x:c>
      <x:c r="P262" t="str">
        <x:f>LOWER(TRIM(SUBSTITUTE(E262,CHAR(160)," ")))</x:f>
        <x:v>janat.nankya@pwc.com</x:v>
      </x:c>
      <x:c r="Q262" t="n">
        <x:f>IFERROR(VALUE(LEFT(D262,SEARCH("h",D262)-1)),0)*3600+IFERROR(VALUE(MID(D262,IFERROR(SEARCH("h ",D262)+2,1),SEARCH("m",D262)-IFERROR(SEARCH("h ",D262)+2,1))),0)*60+IFERROR(VALUE(MID(D262,IFERROR(SEARCH("m ",D262)+2,IFERROR(SEARCH("h ",D262)+2,1)),SEARCH("s",D262)-IFERROR(SEARCH("m ",D262)+2,IFERROR(SEARCH("h ",D262)+2,1)))),0)</x:f>
        <x:v>3722</x:v>
      </x:c>
      <x:c r="R262" t="str">
        <x:f>IF(P262="","No",IF(COUNTIF('Employee Attendance'!$D$2:$D$670,P262)&gt;0,"Yes","No"))</x:f>
        <x:v>Yes</x:v>
      </x:c>
    </x:row>
    <x:row r="263">
      <x:c r="A263" t="s">
        <x:v>1136</x:v>
      </x:c>
      <x:c r="B263" t="s">
        <x:v>1137</x:v>
      </x:c>
      <x:c r="C263" t="s">
        <x:v>1138</x:v>
      </x:c>
      <x:c r="D263" t="s">
        <x:v>1139</x:v>
      </x:c>
      <x:c r="E263" t="s">
        <x:v>1140</x:v>
      </x:c>
      <x:c r="F263" t="s">
        <x:v>1140</x:v>
      </x:c>
      <x:c r="G263" t="s">
        <x:v>59</x:v>
      </x:c>
      <x:c r="P263" t="str">
        <x:f>LOWER(TRIM(SUBSTITUTE(E263,CHAR(160)," ")))</x:f>
        <x:v>kunda.musolo@pwc.com</x:v>
      </x:c>
      <x:c r="Q263" t="n">
        <x:f>IFERROR(VALUE(LEFT(D263,SEARCH("h",D263)-1)),0)*3600+IFERROR(VALUE(MID(D263,IFERROR(SEARCH("h ",D263)+2,1),SEARCH("m",D263)-IFERROR(SEARCH("h ",D263)+2,1))),0)*60+IFERROR(VALUE(MID(D263,IFERROR(SEARCH("m ",D263)+2,IFERROR(SEARCH("h ",D263)+2,1)),SEARCH("s",D263)-IFERROR(SEARCH("m ",D263)+2,IFERROR(SEARCH("h ",D263)+2,1)))),0)</x:f>
        <x:v>5378</x:v>
      </x:c>
      <x:c r="R263" t="str">
        <x:f>IF(P263="","No",IF(COUNTIF('Employee Attendance'!$D$2:$D$670,P263)&gt;0,"Yes","No"))</x:f>
        <x:v>Yes</x:v>
      </x:c>
    </x:row>
    <x:row r="264">
      <x:c r="A264" t="s">
        <x:v>1141</x:v>
      </x:c>
      <x:c r="B264" t="s">
        <x:v>1142</x:v>
      </x:c>
      <x:c r="C264" t="s">
        <x:v>1143</x:v>
      </x:c>
      <x:c r="D264" t="s">
        <x:v>1144</x:v>
      </x:c>
      <x:c r="E264" t="s">
        <x:v>1145</x:v>
      </x:c>
      <x:c r="F264" t="s">
        <x:v>1145</x:v>
      </x:c>
      <x:c r="G264" t="s">
        <x:v>59</x:v>
      </x:c>
      <x:c r="P264" t="str">
        <x:f>LOWER(TRIM(SUBSTITUTE(E264,CHAR(160)," ")))</x:f>
        <x:v>grace.n.ndhlovu@pwc.com</x:v>
      </x:c>
      <x:c r="Q264" t="n">
        <x:f>IFERROR(VALUE(LEFT(D264,SEARCH("h",D264)-1)),0)*3600+IFERROR(VALUE(MID(D264,IFERROR(SEARCH("h ",D264)+2,1),SEARCH("m",D264)-IFERROR(SEARCH("h ",D264)+2,1))),0)*60+IFERROR(VALUE(MID(D264,IFERROR(SEARCH("m ",D264)+2,IFERROR(SEARCH("h ",D264)+2,1)),SEARCH("s",D264)-IFERROR(SEARCH("m ",D264)+2,IFERROR(SEARCH("h ",D264)+2,1)))),0)</x:f>
        <x:v>6374</x:v>
      </x:c>
      <x:c r="R264" t="str">
        <x:f>IF(P264="","No",IF(COUNTIF('Employee Attendance'!$D$2:$D$670,P264)&gt;0,"Yes","No"))</x:f>
        <x:v>Yes</x:v>
      </x:c>
    </x:row>
    <x:row r="265">
      <x:c r="A265" t="s">
        <x:v>1146</x:v>
      </x:c>
      <x:c r="B265" t="s">
        <x:v>1147</x:v>
      </x:c>
      <x:c r="C265" t="s">
        <x:v>120</x:v>
      </x:c>
      <x:c r="D265" t="s">
        <x:v>1148</x:v>
      </x:c>
      <x:c r="E265" t="s">
        <x:v>1149</x:v>
      </x:c>
      <x:c r="F265" t="s">
        <x:v>1149</x:v>
      </x:c>
      <x:c r="G265" t="s">
        <x:v>59</x:v>
      </x:c>
      <x:c r="O265">
        <x:v>1</x:v>
      </x:c>
      <x:c r="P265" t="str">
        <x:f>LOWER(TRIM(SUBSTITUTE(E265,CHAR(160)," ")))</x:f>
        <x:v>catherine.kilasara@pwc.com</x:v>
      </x:c>
      <x:c r="Q265" t="n">
        <x:f>IFERROR(VALUE(LEFT(D265,SEARCH("h",D265)-1)),0)*3600+IFERROR(VALUE(MID(D265,IFERROR(SEARCH("h ",D265)+2,1),SEARCH("m",D265)-IFERROR(SEARCH("h ",D265)+2,1))),0)*60+IFERROR(VALUE(MID(D265,IFERROR(SEARCH("m ",D265)+2,IFERROR(SEARCH("h ",D265)+2,1)),SEARCH("s",D265)-IFERROR(SEARCH("m ",D265)+2,IFERROR(SEARCH("h ",D265)+2,1)))),0)</x:f>
        <x:v>5306</x:v>
      </x:c>
      <x:c r="R265" t="str">
        <x:f>IF(P265="","No",IF(COUNTIF('Employee Attendance'!$D$2:$D$670,P265)&gt;0,"Yes","No"))</x:f>
        <x:v>Yes</x:v>
      </x:c>
    </x:row>
    <x:row r="266">
      <x:c r="A266" t="s">
        <x:v>1150</x:v>
      </x:c>
      <x:c r="B266" t="s">
        <x:v>1151</x:v>
      </x:c>
      <x:c r="C266" t="s">
        <x:v>493</x:v>
      </x:c>
      <x:c r="D266" t="s">
        <x:v>1152</x:v>
      </x:c>
      <x:c r="E266" t="s">
        <x:v>1153</x:v>
      </x:c>
      <x:c r="F266" t="s">
        <x:v>1153</x:v>
      </x:c>
      <x:c r="G266" t="s">
        <x:v>59</x:v>
      </x:c>
      <x:c r="P266" t="str">
        <x:f>LOWER(TRIM(SUBSTITUTE(E266,CHAR(160)," ")))</x:f>
        <x:v>aderick.bajunana@pwc.com</x:v>
      </x:c>
      <x:c r="Q266" t="n">
        <x:f>IFERROR(VALUE(LEFT(D266,SEARCH("h",D266)-1)),0)*3600+IFERROR(VALUE(MID(D266,IFERROR(SEARCH("h ",D266)+2,1),SEARCH("m",D266)-IFERROR(SEARCH("h ",D266)+2,1))),0)*60+IFERROR(VALUE(MID(D266,IFERROR(SEARCH("m ",D266)+2,IFERROR(SEARCH("h ",D266)+2,1)),SEARCH("s",D266)-IFERROR(SEARCH("m ",D266)+2,IFERROR(SEARCH("h ",D266)+2,1)))),0)</x:f>
        <x:v>5269</x:v>
      </x:c>
      <x:c r="R266" t="str">
        <x:f>IF(P266="","No",IF(COUNTIF('Employee Attendance'!$D$2:$D$670,P266)&gt;0,"Yes","No"))</x:f>
        <x:v>Yes</x:v>
      </x:c>
    </x:row>
    <x:row r="267">
      <x:c r="A267" t="s">
        <x:v>1154</x:v>
      </x:c>
      <x:c r="B267" t="s">
        <x:v>1155</x:v>
      </x:c>
      <x:c r="C267" t="s">
        <x:v>726</x:v>
      </x:c>
      <x:c r="D267" t="s">
        <x:v>1156</x:v>
      </x:c>
      <x:c r="E267" t="s">
        <x:v>1157</x:v>
      </x:c>
      <x:c r="F267" t="s">
        <x:v>1157</x:v>
      </x:c>
      <x:c r="G267" t="s">
        <x:v>59</x:v>
      </x:c>
      <x:c r="P267" t="str">
        <x:f>LOWER(TRIM(SUBSTITUTE(E267,CHAR(160)," ")))</x:f>
        <x:v>rose.banda@pwc.com</x:v>
      </x:c>
      <x:c r="Q267" t="n">
        <x:f>IFERROR(VALUE(LEFT(D267,SEARCH("h",D267)-1)),0)*3600+IFERROR(VALUE(MID(D267,IFERROR(SEARCH("h ",D267)+2,1),SEARCH("m",D267)-IFERROR(SEARCH("h ",D267)+2,1))),0)*60+IFERROR(VALUE(MID(D267,IFERROR(SEARCH("m ",D267)+2,IFERROR(SEARCH("h ",D267)+2,1)),SEARCH("s",D267)-IFERROR(SEARCH("m ",D267)+2,IFERROR(SEARCH("h ",D267)+2,1)))),0)</x:f>
        <x:v>5200</x:v>
      </x:c>
      <x:c r="R267" t="str">
        <x:f>IF(P267="","No",IF(COUNTIF('Employee Attendance'!$D$2:$D$670,P267)&gt;0,"Yes","No"))</x:f>
        <x:v>Yes</x:v>
      </x:c>
    </x:row>
    <x:row r="268">
      <x:c r="A268" t="s">
        <x:v>1158</x:v>
      </x:c>
      <x:c r="B268" t="s">
        <x:v>1159</x:v>
      </x:c>
      <x:c r="C268" t="s">
        <x:v>1160</x:v>
      </x:c>
      <x:c r="D268" t="s">
        <x:v>1161</x:v>
      </x:c>
      <x:c r="E268" t="s">
        <x:v>1162</x:v>
      </x:c>
      <x:c r="F268" t="s">
        <x:v>1162</x:v>
      </x:c>
      <x:c r="G268" t="s">
        <x:v>59</x:v>
      </x:c>
      <x:c r="P268" t="str">
        <x:f>LOWER(TRIM(SUBSTITUTE(E268,CHAR(160)," ")))</x:f>
        <x:v>dabria.ringo@pwc.com</x:v>
      </x:c>
      <x:c r="Q268" t="n">
        <x:f>IFERROR(VALUE(LEFT(D268,SEARCH("h",D268)-1)),0)*3600+IFERROR(VALUE(MID(D268,IFERROR(SEARCH("h ",D268)+2,1),SEARCH("m",D268)-IFERROR(SEARCH("h ",D268)+2,1))),0)*60+IFERROR(VALUE(MID(D268,IFERROR(SEARCH("m ",D268)+2,IFERROR(SEARCH("h ",D268)+2,1)),SEARCH("s",D268)-IFERROR(SEARCH("m ",D268)+2,IFERROR(SEARCH("h ",D268)+2,1)))),0)</x:f>
        <x:v>5601</x:v>
      </x:c>
      <x:c r="R268" t="str">
        <x:f>IF(P268="","No",IF(COUNTIF('Employee Attendance'!$D$2:$D$670,P268)&gt;0,"Yes","No"))</x:f>
        <x:v>Yes</x:v>
      </x:c>
    </x:row>
    <x:row r="269">
      <x:c r="A269" t="s">
        <x:v>1163</x:v>
      </x:c>
      <x:c r="B269" t="s">
        <x:v>1164</x:v>
      </x:c>
      <x:c r="C269" t="s">
        <x:v>56</x:v>
      </x:c>
      <x:c r="D269" t="s">
        <x:v>1165</x:v>
      </x:c>
      <x:c r="E269" t="s">
        <x:v>1166</x:v>
      </x:c>
      <x:c r="F269" t="s">
        <x:v>1166</x:v>
      </x:c>
      <x:c r="G269" t="s">
        <x:v>59</x:v>
      </x:c>
      <x:c r="O269">
        <x:v>1</x:v>
      </x:c>
      <x:c r="P269" t="str">
        <x:f>LOWER(TRIM(SUBSTITUTE(E269,CHAR(160)," ")))</x:f>
        <x:v>erick.g.gikaria@pwc.com</x:v>
      </x:c>
      <x:c r="Q269" t="n">
        <x:f>IFERROR(VALUE(LEFT(D269,SEARCH("h",D269)-1)),0)*3600+IFERROR(VALUE(MID(D269,IFERROR(SEARCH("h ",D269)+2,1),SEARCH("m",D269)-IFERROR(SEARCH("h ",D269)+2,1))),0)*60+IFERROR(VALUE(MID(D269,IFERROR(SEARCH("m ",D269)+2,IFERROR(SEARCH("h ",D269)+2,1)),SEARCH("s",D269)-IFERROR(SEARCH("m ",D269)+2,IFERROR(SEARCH("h ",D269)+2,1)))),0)</x:f>
        <x:v>5106</x:v>
      </x:c>
      <x:c r="R269" t="str">
        <x:f>IF(P269="","No",IF(COUNTIF('Employee Attendance'!$D$2:$D$670,P269)&gt;0,"Yes","No"))</x:f>
        <x:v>Yes</x:v>
      </x:c>
    </x:row>
    <x:row r="270">
      <x:c r="A270" t="s">
        <x:v>1167</x:v>
      </x:c>
      <x:c r="B270" t="s">
        <x:v>1168</x:v>
      </x:c>
      <x:c r="C270" t="s">
        <x:v>1169</x:v>
      </x:c>
      <x:c r="D270" t="s">
        <x:v>1170</x:v>
      </x:c>
      <x:c r="E270" t="s">
        <x:v>1171</x:v>
      </x:c>
      <x:c r="F270" t="s">
        <x:v>1171</x:v>
      </x:c>
      <x:c r="G270" t="s">
        <x:v>59</x:v>
      </x:c>
      <x:c r="P270" t="str">
        <x:f>LOWER(TRIM(SUBSTITUTE(E270,CHAR(160)," ")))</x:f>
        <x:v>ahmed.kayungilo@pwc.com</x:v>
      </x:c>
      <x:c r="Q270" t="n">
        <x:f>IFERROR(VALUE(LEFT(D270,SEARCH("h",D270)-1)),0)*3600+IFERROR(VALUE(MID(D270,IFERROR(SEARCH("h ",D270)+2,1),SEARCH("m",D270)-IFERROR(SEARCH("h ",D270)+2,1))),0)*60+IFERROR(VALUE(MID(D270,IFERROR(SEARCH("m ",D270)+2,IFERROR(SEARCH("h ",D270)+2,1)),SEARCH("s",D270)-IFERROR(SEARCH("m ",D270)+2,IFERROR(SEARCH("h ",D270)+2,1)))),0)</x:f>
        <x:v>54</x:v>
      </x:c>
      <x:c r="R270" t="str">
        <x:f>IF(P270="","No",IF(COUNTIF('Employee Attendance'!$D$2:$D$670,P270)&gt;0,"Yes","No"))</x:f>
        <x:v>Yes</x:v>
      </x:c>
    </x:row>
    <x:row r="271">
      <x:c r="A271" t="s">
        <x:v>1172</x:v>
      </x:c>
      <x:c r="B271" t="s">
        <x:v>1173</x:v>
      </x:c>
      <x:c r="C271" t="s">
        <x:v>1055</x:v>
      </x:c>
      <x:c r="D271" t="s">
        <x:v>1174</x:v>
      </x:c>
      <x:c r="E271" t="s">
        <x:v>1175</x:v>
      </x:c>
      <x:c r="F271" t="s">
        <x:v>1175</x:v>
      </x:c>
      <x:c r="G271" t="s">
        <x:v>59</x:v>
      </x:c>
      <x:c r="P271" t="str">
        <x:f>LOWER(TRIM(SUBSTITUTE(E271,CHAR(160)," ")))</x:f>
        <x:v>richard.manzi@pwc.com</x:v>
      </x:c>
      <x:c r="Q271" t="n">
        <x:f>IFERROR(VALUE(LEFT(D271,SEARCH("h",D271)-1)),0)*3600+IFERROR(VALUE(MID(D271,IFERROR(SEARCH("h ",D271)+2,1),SEARCH("m",D271)-IFERROR(SEARCH("h ",D271)+2,1))),0)*60+IFERROR(VALUE(MID(D271,IFERROR(SEARCH("m ",D271)+2,IFERROR(SEARCH("h ",D271)+2,1)),SEARCH("s",D271)-IFERROR(SEARCH("m ",D271)+2,IFERROR(SEARCH("h ",D271)+2,1)))),0)</x:f>
        <x:v>4873</x:v>
      </x:c>
      <x:c r="R271" t="str">
        <x:f>IF(P271="","No",IF(COUNTIF('Employee Attendance'!$D$2:$D$670,P271)&gt;0,"Yes","No"))</x:f>
        <x:v>Yes</x:v>
      </x:c>
    </x:row>
    <x:row r="272">
      <x:c r="A272" t="s">
        <x:v>1176</x:v>
      </x:c>
      <x:c r="B272" t="s">
        <x:v>1177</x:v>
      </x:c>
      <x:c r="C272" t="s">
        <x:v>339</x:v>
      </x:c>
      <x:c r="D272" t="s">
        <x:v>1178</x:v>
      </x:c>
      <x:c r="E272" t="s">
        <x:v>1179</x:v>
      </x:c>
      <x:c r="F272" t="s">
        <x:v>1179</x:v>
      </x:c>
      <x:c r="G272" t="s">
        <x:v>59</x:v>
      </x:c>
      <x:c r="P272" t="str">
        <x:f>LOWER(TRIM(SUBSTITUTE(E272,CHAR(160)," ")))</x:f>
        <x:v>james.musyoka@pwc.com</x:v>
      </x:c>
      <x:c r="Q272" t="n">
        <x:f>IFERROR(VALUE(LEFT(D272,SEARCH("h",D272)-1)),0)*3600+IFERROR(VALUE(MID(D272,IFERROR(SEARCH("h ",D272)+2,1),SEARCH("m",D272)-IFERROR(SEARCH("h ",D272)+2,1))),0)*60+IFERROR(VALUE(MID(D272,IFERROR(SEARCH("m ",D272)+2,IFERROR(SEARCH("h ",D272)+2,1)),SEARCH("s",D272)-IFERROR(SEARCH("m ",D272)+2,IFERROR(SEARCH("h ",D272)+2,1)))),0)</x:f>
        <x:v>4847</x:v>
      </x:c>
      <x:c r="R272" t="str">
        <x:f>IF(P272="","No",IF(COUNTIF('Employee Attendance'!$D$2:$D$670,P272)&gt;0,"Yes","No"))</x:f>
        <x:v>Yes</x:v>
      </x:c>
    </x:row>
    <x:row r="273">
      <x:c r="A273" t="s">
        <x:v>1180</x:v>
      </x:c>
      <x:c r="B273" t="s">
        <x:v>1181</x:v>
      </x:c>
      <x:c r="C273" t="s">
        <x:v>1182</x:v>
      </x:c>
      <x:c r="D273" t="s">
        <x:v>1183</x:v>
      </x:c>
      <x:c r="E273" t="s">
        <x:v>1184</x:v>
      </x:c>
      <x:c r="F273" t="s">
        <x:v>1184</x:v>
      </x:c>
      <x:c r="G273" t="s">
        <x:v>59</x:v>
      </x:c>
      <x:c r="O273">
        <x:v>1</x:v>
      </x:c>
      <x:c r="P273" t="str">
        <x:f>LOWER(TRIM(SUBSTITUTE(E273,CHAR(160)," ")))</x:f>
        <x:v>pravin.p.meetoo@pwc.com</x:v>
      </x:c>
      <x:c r="Q273" t="n">
        <x:f>IFERROR(VALUE(LEFT(D273,SEARCH("h",D273)-1)),0)*3600+IFERROR(VALUE(MID(D273,IFERROR(SEARCH("h ",D273)+2,1),SEARCH("m",D273)-IFERROR(SEARCH("h ",D273)+2,1))),0)*60+IFERROR(VALUE(MID(D273,IFERROR(SEARCH("m ",D273)+2,IFERROR(SEARCH("h ",D273)+2,1)),SEARCH("s",D273)-IFERROR(SEARCH("m ",D273)+2,IFERROR(SEARCH("h ",D273)+2,1)))),0)</x:f>
        <x:v>618</x:v>
      </x:c>
      <x:c r="R273" t="str">
        <x:f>IF(P273="","No",IF(COUNTIF('Employee Attendance'!$D$2:$D$670,P273)&gt;0,"Yes","No"))</x:f>
        <x:v>Yes</x:v>
      </x:c>
    </x:row>
    <x:row r="274">
      <x:c r="A274" t="s">
        <x:v>1185</x:v>
      </x:c>
      <x:c r="B274" t="s">
        <x:v>1186</x:v>
      </x:c>
      <x:c r="C274" t="s">
        <x:v>1187</x:v>
      </x:c>
      <x:c r="D274" t="s">
        <x:v>1188</x:v>
      </x:c>
      <x:c r="E274" t="s">
        <x:v>1189</x:v>
      </x:c>
      <x:c r="F274" t="s">
        <x:v>1189</x:v>
      </x:c>
      <x:c r="G274" t="s">
        <x:v>59</x:v>
      </x:c>
      <x:c r="P274" t="str">
        <x:f>LOWER(TRIM(SUBSTITUTE(E274,CHAR(160)," ")))</x:f>
        <x:v>linet.muthii@pwc.com</x:v>
      </x:c>
      <x:c r="Q274" t="n">
        <x:f>IFERROR(VALUE(LEFT(D274,SEARCH("h",D274)-1)),0)*3600+IFERROR(VALUE(MID(D274,IFERROR(SEARCH("h ",D274)+2,1),SEARCH("m",D274)-IFERROR(SEARCH("h ",D274)+2,1))),0)*60+IFERROR(VALUE(MID(D274,IFERROR(SEARCH("m ",D274)+2,IFERROR(SEARCH("h ",D274)+2,1)),SEARCH("s",D274)-IFERROR(SEARCH("m ",D274)+2,IFERROR(SEARCH("h ",D274)+2,1)))),0)</x:f>
        <x:v>3322</x:v>
      </x:c>
      <x:c r="R274" t="str">
        <x:f>IF(P274="","No",IF(COUNTIF('Employee Attendance'!$D$2:$D$670,P274)&gt;0,"Yes","No"))</x:f>
        <x:v>Yes</x:v>
      </x:c>
    </x:row>
    <x:row r="275">
      <x:c r="A275" t="s">
        <x:v>1190</x:v>
      </x:c>
      <x:c r="B275" t="s">
        <x:v>1191</x:v>
      </x:c>
      <x:c r="C275" t="s">
        <x:v>1192</x:v>
      </x:c>
      <x:c r="D275" t="s">
        <x:v>1193</x:v>
      </x:c>
      <x:c r="E275" t="s">
        <x:v>1194</x:v>
      </x:c>
      <x:c r="F275" t="s">
        <x:v>1194</x:v>
      </x:c>
      <x:c r="G275" t="s">
        <x:v>59</x:v>
      </x:c>
      <x:c r="P275" t="str">
        <x:f>LOWER(TRIM(SUBSTITUTE(E275,CHAR(160)," ")))</x:f>
        <x:v>abigael.kimani@pwc.com</x:v>
      </x:c>
      <x:c r="Q275" t="n">
        <x:f>IFERROR(VALUE(LEFT(D275,SEARCH("h",D275)-1)),0)*3600+IFERROR(VALUE(MID(D275,IFERROR(SEARCH("h ",D275)+2,1),SEARCH("m",D275)-IFERROR(SEARCH("h ",D275)+2,1))),0)*60+IFERROR(VALUE(MID(D275,IFERROR(SEARCH("m ",D275)+2,IFERROR(SEARCH("h ",D275)+2,1)),SEARCH("s",D275)-IFERROR(SEARCH("m ",D275)+2,IFERROR(SEARCH("h ",D275)+2,1)))),0)</x:f>
        <x:v>5423</x:v>
      </x:c>
      <x:c r="R275" t="str">
        <x:f>IF(P275="","No",IF(COUNTIF('Employee Attendance'!$D$2:$D$670,P275)&gt;0,"Yes","No"))</x:f>
        <x:v>Yes</x:v>
      </x:c>
    </x:row>
    <x:row r="276">
      <x:c r="A276" t="s">
        <x:v>1195</x:v>
      </x:c>
      <x:c r="B276" t="s">
        <x:v>1196</x:v>
      </x:c>
      <x:c r="C276" t="s">
        <x:v>339</x:v>
      </x:c>
      <x:c r="D276" t="s">
        <x:v>1197</x:v>
      </x:c>
      <x:c r="E276" t="s">
        <x:v>1198</x:v>
      </x:c>
      <x:c r="F276" t="s">
        <x:v>1198</x:v>
      </x:c>
      <x:c r="G276" t="s">
        <x:v>59</x:v>
      </x:c>
      <x:c r="P276" t="str">
        <x:f>LOWER(TRIM(SUBSTITUTE(E276,CHAR(160)," ")))</x:f>
        <x:v>patrick.rimomo@pwc.com</x:v>
      </x:c>
      <x:c r="Q276" t="n">
        <x:f>IFERROR(VALUE(LEFT(D276,SEARCH("h",D276)-1)),0)*3600+IFERROR(VALUE(MID(D276,IFERROR(SEARCH("h ",D276)+2,1),SEARCH("m",D276)-IFERROR(SEARCH("h ",D276)+2,1))),0)*60+IFERROR(VALUE(MID(D276,IFERROR(SEARCH("m ",D276)+2,IFERROR(SEARCH("h ",D276)+2,1)),SEARCH("s",D276)-IFERROR(SEARCH("m ",D276)+2,IFERROR(SEARCH("h ",D276)+2,1)))),0)</x:f>
        <x:v>4491</x:v>
      </x:c>
      <x:c r="R276" t="str">
        <x:f>IF(P276="","No",IF(COUNTIF('Employee Attendance'!$D$2:$D$670,P276)&gt;0,"Yes","No"))</x:f>
        <x:v>Yes</x:v>
      </x:c>
    </x:row>
    <x:row r="277">
      <x:c r="A277" t="s">
        <x:v>1199</x:v>
      </x:c>
      <x:c r="B277" t="s">
        <x:v>1200</x:v>
      </x:c>
      <x:c r="C277" t="s">
        <x:v>493</x:v>
      </x:c>
      <x:c r="D277" t="s">
        <x:v>1201</x:v>
      </x:c>
      <x:c r="E277" t="s">
        <x:v>1202</x:v>
      </x:c>
      <x:c r="F277" t="s">
        <x:v>1202</x:v>
      </x:c>
      <x:c r="G277" t="s">
        <x:v>59</x:v>
      </x:c>
      <x:c r="O277">
        <x:v>1</x:v>
      </x:c>
      <x:c r="P277" t="str">
        <x:f>LOWER(TRIM(SUBSTITUTE(E277,CHAR(160)," ")))</x:f>
        <x:v>kelly.shema@pwc.com</x:v>
      </x:c>
      <x:c r="Q277" t="n">
        <x:f>IFERROR(VALUE(LEFT(D277,SEARCH("h",D277)-1)),0)*3600+IFERROR(VALUE(MID(D277,IFERROR(SEARCH("h ",D277)+2,1),SEARCH("m",D277)-IFERROR(SEARCH("h ",D277)+2,1))),0)*60+IFERROR(VALUE(MID(D277,IFERROR(SEARCH("m ",D277)+2,IFERROR(SEARCH("h ",D277)+2,1)),SEARCH("s",D277)-IFERROR(SEARCH("m ",D277)+2,IFERROR(SEARCH("h ",D277)+2,1)))),0)</x:f>
        <x:v>2700</x:v>
      </x:c>
      <x:c r="R277" t="str">
        <x:f>IF(P277="","No",IF(COUNTIF('Employee Attendance'!$D$2:$D$670,P277)&gt;0,"Yes","No"))</x:f>
        <x:v>Yes</x:v>
      </x:c>
    </x:row>
    <x:row r="278">
      <x:c r="A278" t="s">
        <x:v>1203</x:v>
      </x:c>
      <x:c r="B278" t="s">
        <x:v>1204</x:v>
      </x:c>
      <x:c r="C278" t="s">
        <x:v>138</x:v>
      </x:c>
      <x:c r="D278" t="s">
        <x:v>1205</x:v>
      </x:c>
      <x:c r="E278" t="s">
        <x:v>1206</x:v>
      </x:c>
      <x:c r="F278" t="s">
        <x:v>1206</x:v>
      </x:c>
      <x:c r="G278" t="s">
        <x:v>59</x:v>
      </x:c>
      <x:c r="P278" t="str">
        <x:f>LOWER(TRIM(SUBSTITUTE(E278,CHAR(160)," ")))</x:f>
        <x:v>esther.mulaisho@pwc.com</x:v>
      </x:c>
      <x:c r="Q278" t="n">
        <x:f>IFERROR(VALUE(LEFT(D278,SEARCH("h",D278)-1)),0)*3600+IFERROR(VALUE(MID(D278,IFERROR(SEARCH("h ",D278)+2,1),SEARCH("m",D278)-IFERROR(SEARCH("h ",D278)+2,1))),0)*60+IFERROR(VALUE(MID(D278,IFERROR(SEARCH("m ",D278)+2,IFERROR(SEARCH("h ",D278)+2,1)),SEARCH("s",D278)-IFERROR(SEARCH("m ",D278)+2,IFERROR(SEARCH("h ",D278)+2,1)))),0)</x:f>
        <x:v>4496</x:v>
      </x:c>
      <x:c r="R278" t="str">
        <x:f>IF(P278="","No",IF(COUNTIF('Employee Attendance'!$D$2:$D$670,P278)&gt;0,"Yes","No"))</x:f>
        <x:v>Yes</x:v>
      </x:c>
    </x:row>
    <x:row r="279">
      <x:c r="A279" t="s">
        <x:v>1207</x:v>
      </x:c>
      <x:c r="B279" t="s">
        <x:v>1208</x:v>
      </x:c>
      <x:c r="C279" t="s">
        <x:v>98</x:v>
      </x:c>
      <x:c r="D279" t="s">
        <x:v>1209</x:v>
      </x:c>
      <x:c r="E279" t="s">
        <x:v>1210</x:v>
      </x:c>
      <x:c r="F279" t="s">
        <x:v>1210</x:v>
      </x:c>
      <x:c r="G279" t="s">
        <x:v>59</x:v>
      </x:c>
      <x:c r="O279">
        <x:v>1</x:v>
      </x:c>
      <x:c r="P279" t="str">
        <x:f>LOWER(TRIM(SUBSTITUTE(E279,CHAR(160)," ")))</x:f>
        <x:v>joan.maina@pwc.com</x:v>
      </x:c>
      <x:c r="Q279" t="n">
        <x:f>IFERROR(VALUE(LEFT(D279,SEARCH("h",D279)-1)),0)*3600+IFERROR(VALUE(MID(D279,IFERROR(SEARCH("h ",D279)+2,1),SEARCH("m",D279)-IFERROR(SEARCH("h ",D279)+2,1))),0)*60+IFERROR(VALUE(MID(D279,IFERROR(SEARCH("m ",D279)+2,IFERROR(SEARCH("h ",D279)+2,1)),SEARCH("s",D279)-IFERROR(SEARCH("m ",D279)+2,IFERROR(SEARCH("h ",D279)+2,1)))),0)</x:f>
        <x:v>4467</x:v>
      </x:c>
      <x:c r="R279" t="str">
        <x:f>IF(P279="","No",IF(COUNTIF('Employee Attendance'!$D$2:$D$670,P279)&gt;0,"Yes","No"))</x:f>
        <x:v>Yes</x:v>
      </x:c>
    </x:row>
    <x:row r="280">
      <x:c r="A280" t="s">
        <x:v>1211</x:v>
      </x:c>
      <x:c r="B280" t="s">
        <x:v>1212</x:v>
      </x:c>
      <x:c r="C280" t="s">
        <x:v>339</x:v>
      </x:c>
      <x:c r="D280" t="s">
        <x:v>1213</x:v>
      </x:c>
      <x:c r="E280" t="s">
        <x:v>1214</x:v>
      </x:c>
      <x:c r="F280" t="s">
        <x:v>1214</x:v>
      </x:c>
      <x:c r="G280" t="s">
        <x:v>59</x:v>
      </x:c>
      <x:c r="O280">
        <x:v>1</x:v>
      </x:c>
      <x:c r="P280" t="str">
        <x:f>LOWER(TRIM(SUBSTITUTE(E280,CHAR(160)," ")))</x:f>
        <x:v>georginah.ayebare@pwc.com</x:v>
      </x:c>
      <x:c r="Q280" t="n">
        <x:f>IFERROR(VALUE(LEFT(D280,SEARCH("h",D280)-1)),0)*3600+IFERROR(VALUE(MID(D280,IFERROR(SEARCH("h ",D280)+2,1),SEARCH("m",D280)-IFERROR(SEARCH("h ",D280)+2,1))),0)*60+IFERROR(VALUE(MID(D280,IFERROR(SEARCH("m ",D280)+2,IFERROR(SEARCH("h ",D280)+2,1)),SEARCH("s",D280)-IFERROR(SEARCH("m ",D280)+2,IFERROR(SEARCH("h ",D280)+2,1)))),0)</x:f>
        <x:v>4431</x:v>
      </x:c>
      <x:c r="R280" t="str">
        <x:f>IF(P280="","No",IF(COUNTIF('Employee Attendance'!$D$2:$D$670,P280)&gt;0,"Yes","No"))</x:f>
        <x:v>Yes</x:v>
      </x:c>
    </x:row>
    <x:row r="281">
      <x:c r="A281" t="s">
        <x:v>1215</x:v>
      </x:c>
      <x:c r="B281" t="s">
        <x:v>1216</x:v>
      </x:c>
      <x:c r="C281" t="s">
        <x:v>507</x:v>
      </x:c>
      <x:c r="D281" t="s">
        <x:v>1217</x:v>
      </x:c>
      <x:c r="E281" t="s">
        <x:v>1218</x:v>
      </x:c>
      <x:c r="F281" t="s">
        <x:v>1218</x:v>
      </x:c>
      <x:c r="G281" t="s">
        <x:v>59</x:v>
      </x:c>
      <x:c r="O281">
        <x:v>1</x:v>
      </x:c>
      <x:c r="P281" t="str">
        <x:f>LOWER(TRIM(SUBSTITUTE(E281,CHAR(160)," ")))</x:f>
        <x:v>irene.m.mtebe@pwc.com</x:v>
      </x:c>
      <x:c r="Q281" t="n">
        <x:f>IFERROR(VALUE(LEFT(D281,SEARCH("h",D281)-1)),0)*3600+IFERROR(VALUE(MID(D281,IFERROR(SEARCH("h ",D281)+2,1),SEARCH("m",D281)-IFERROR(SEARCH("h ",D281)+2,1))),0)*60+IFERROR(VALUE(MID(D281,IFERROR(SEARCH("m ",D281)+2,IFERROR(SEARCH("h ",D281)+2,1)),SEARCH("s",D281)-IFERROR(SEARCH("m ",D281)+2,IFERROR(SEARCH("h ",D281)+2,1)))),0)</x:f>
        <x:v>4404</x:v>
      </x:c>
      <x:c r="R281" t="str">
        <x:f>IF(P281="","No",IF(COUNTIF('Employee Attendance'!$D$2:$D$670,P281)&gt;0,"Yes","No"))</x:f>
        <x:v>Yes</x:v>
      </x:c>
    </x:row>
    <x:row r="282">
      <x:c r="A282" t="s">
        <x:v>1219</x:v>
      </x:c>
      <x:c r="B282" t="s">
        <x:v>1220</x:v>
      </x:c>
      <x:c r="C282" t="s">
        <x:v>1221</x:v>
      </x:c>
      <x:c r="D282" t="s">
        <x:v>1222</x:v>
      </x:c>
      <x:c r="E282" t="s">
        <x:v>1223</x:v>
      </x:c>
      <x:c r="F282" t="s">
        <x:v>1223</x:v>
      </x:c>
      <x:c r="G282" t="s">
        <x:v>59</x:v>
      </x:c>
      <x:c r="P282" t="str">
        <x:f>LOWER(TRIM(SUBSTITUTE(E282,CHAR(160)," ")))</x:f>
        <x:v>joshua.massawe@pwc.com</x:v>
      </x:c>
      <x:c r="Q282" t="n">
        <x:f>IFERROR(VALUE(LEFT(D282,SEARCH("h",D282)-1)),0)*3600+IFERROR(VALUE(MID(D282,IFERROR(SEARCH("h ",D282)+2,1),SEARCH("m",D282)-IFERROR(SEARCH("h ",D282)+2,1))),0)*60+IFERROR(VALUE(MID(D282,IFERROR(SEARCH("m ",D282)+2,IFERROR(SEARCH("h ",D282)+2,1)),SEARCH("s",D282)-IFERROR(SEARCH("m ",D282)+2,IFERROR(SEARCH("h ",D282)+2,1)))),0)</x:f>
        <x:v>5129</x:v>
      </x:c>
      <x:c r="R282" t="str">
        <x:f>IF(P282="","No",IF(COUNTIF('Employee Attendance'!$D$2:$D$670,P282)&gt;0,"Yes","No"))</x:f>
        <x:v>Yes</x:v>
      </x:c>
    </x:row>
    <x:row r="283">
      <x:c r="A283" t="s">
        <x:v>1224</x:v>
      </x:c>
      <x:c r="B283" t="s">
        <x:v>1225</x:v>
      </x:c>
      <x:c r="C283" t="s">
        <x:v>684</x:v>
      </x:c>
      <x:c r="D283" t="s">
        <x:v>1226</x:v>
      </x:c>
      <x:c r="E283" t="s">
        <x:v>1227</x:v>
      </x:c>
      <x:c r="F283" t="s">
        <x:v>1227</x:v>
      </x:c>
      <x:c r="G283" t="s">
        <x:v>59</x:v>
      </x:c>
      <x:c r="P283" t="str">
        <x:f>LOWER(TRIM(SUBSTITUTE(E283,CHAR(160)," ")))</x:f>
        <x:v>faith.kessy@pwc.com</x:v>
      </x:c>
      <x:c r="Q283" t="n">
        <x:f>IFERROR(VALUE(LEFT(D283,SEARCH("h",D283)-1)),0)*3600+IFERROR(VALUE(MID(D283,IFERROR(SEARCH("h ",D283)+2,1),SEARCH("m",D283)-IFERROR(SEARCH("h ",D283)+2,1))),0)*60+IFERROR(VALUE(MID(D283,IFERROR(SEARCH("m ",D283)+2,IFERROR(SEARCH("h ",D283)+2,1)),SEARCH("s",D283)-IFERROR(SEARCH("m ",D283)+2,IFERROR(SEARCH("h ",D283)+2,1)))),0)</x:f>
        <x:v>4357</x:v>
      </x:c>
      <x:c r="R283" t="str">
        <x:f>IF(P283="","No",IF(COUNTIF('Employee Attendance'!$D$2:$D$670,P283)&gt;0,"Yes","No"))</x:f>
        <x:v>Yes</x:v>
      </x:c>
    </x:row>
    <x:row r="284">
      <x:c r="A284" t="s">
        <x:v>1228</x:v>
      </x:c>
      <x:c r="B284" t="s">
        <x:v>1229</x:v>
      </x:c>
      <x:c r="C284" t="s">
        <x:v>1230</x:v>
      </x:c>
      <x:c r="D284" t="s">
        <x:v>1231</x:v>
      </x:c>
      <x:c r="E284" t="s">
        <x:v>1232</x:v>
      </x:c>
      <x:c r="F284" t="s">
        <x:v>1232</x:v>
      </x:c>
      <x:c r="G284" t="s">
        <x:v>59</x:v>
      </x:c>
      <x:c r="P284" t="str">
        <x:f>LOWER(TRIM(SUBSTITUTE(E284,CHAR(160)," ")))</x:f>
        <x:v>peter.placid@pwc.com</x:v>
      </x:c>
      <x:c r="Q284" t="n">
        <x:f>IFERROR(VALUE(LEFT(D284,SEARCH("h",D284)-1)),0)*3600+IFERROR(VALUE(MID(D284,IFERROR(SEARCH("h ",D284)+2,1),SEARCH("m",D284)-IFERROR(SEARCH("h ",D284)+2,1))),0)*60+IFERROR(VALUE(MID(D284,IFERROR(SEARCH("m ",D284)+2,IFERROR(SEARCH("h ",D284)+2,1)),SEARCH("s",D284)-IFERROR(SEARCH("m ",D284)+2,IFERROR(SEARCH("h ",D284)+2,1)))),0)</x:f>
        <x:v>4830</x:v>
      </x:c>
      <x:c r="R284" t="str">
        <x:f>IF(P284="","No",IF(COUNTIF('Employee Attendance'!$D$2:$D$670,P284)&gt;0,"Yes","No"))</x:f>
        <x:v>Yes</x:v>
      </x:c>
    </x:row>
    <x:row r="285">
      <x:c r="A285" t="s">
        <x:v>1233</x:v>
      </x:c>
      <x:c r="B285" t="s">
        <x:v>1234</x:v>
      </x:c>
      <x:c r="C285" t="s">
        <x:v>1055</x:v>
      </x:c>
      <x:c r="D285" t="s">
        <x:v>1235</x:v>
      </x:c>
      <x:c r="E285" t="s">
        <x:v>1236</x:v>
      </x:c>
      <x:c r="F285" t="s">
        <x:v>1236</x:v>
      </x:c>
      <x:c r="G285" t="s">
        <x:v>59</x:v>
      </x:c>
      <x:c r="P285" t="str">
        <x:f>LOWER(TRIM(SUBSTITUTE(E285,CHAR(160)," ")))</x:f>
        <x:v>mercy.kosta@pwc.com</x:v>
      </x:c>
      <x:c r="Q285" t="n">
        <x:f>IFERROR(VALUE(LEFT(D285,SEARCH("h",D285)-1)),0)*3600+IFERROR(VALUE(MID(D285,IFERROR(SEARCH("h ",D285)+2,1),SEARCH("m",D285)-IFERROR(SEARCH("h ",D285)+2,1))),0)*60+IFERROR(VALUE(MID(D285,IFERROR(SEARCH("m ",D285)+2,IFERROR(SEARCH("h ",D285)+2,1)),SEARCH("s",D285)-IFERROR(SEARCH("m ",D285)+2,IFERROR(SEARCH("h ",D285)+2,1)))),0)</x:f>
        <x:v>4292</x:v>
      </x:c>
      <x:c r="R285" t="str">
        <x:f>IF(P285="","No",IF(COUNTIF('Employee Attendance'!$D$2:$D$670,P285)&gt;0,"Yes","No"))</x:f>
        <x:v>Yes</x:v>
      </x:c>
    </x:row>
    <x:row r="286">
      <x:c r="A286" t="s">
        <x:v>1237</x:v>
      </x:c>
      <x:c r="B286" t="s">
        <x:v>1238</x:v>
      </x:c>
      <x:c r="C286" t="s">
        <x:v>222</x:v>
      </x:c>
      <x:c r="D286" t="s">
        <x:v>1239</x:v>
      </x:c>
      <x:c r="E286" t="s">
        <x:v>1240</x:v>
      </x:c>
      <x:c r="F286" t="s">
        <x:v>1240</x:v>
      </x:c>
      <x:c r="G286" t="s">
        <x:v>59</x:v>
      </x:c>
      <x:c r="P286" t="str">
        <x:f>LOWER(TRIM(SUBSTITUTE(E286,CHAR(160)," ")))</x:f>
        <x:v>charity.mrinji@pwc.com</x:v>
      </x:c>
      <x:c r="Q286" t="n">
        <x:f>IFERROR(VALUE(LEFT(D286,SEARCH("h",D286)-1)),0)*3600+IFERROR(VALUE(MID(D286,IFERROR(SEARCH("h ",D286)+2,1),SEARCH("m",D286)-IFERROR(SEARCH("h ",D286)+2,1))),0)*60+IFERROR(VALUE(MID(D286,IFERROR(SEARCH("m ",D286)+2,IFERROR(SEARCH("h ",D286)+2,1)),SEARCH("s",D286)-IFERROR(SEARCH("m ",D286)+2,IFERROR(SEARCH("h ",D286)+2,1)))),0)</x:f>
        <x:v>4271</x:v>
      </x:c>
      <x:c r="R286" t="str">
        <x:f>IF(P286="","No",IF(COUNTIF('Employee Attendance'!$D$2:$D$670,P286)&gt;0,"Yes","No"))</x:f>
        <x:v>Yes</x:v>
      </x:c>
    </x:row>
    <x:row r="287">
      <x:c r="A287" t="s">
        <x:v>1241</x:v>
      </x:c>
      <x:c r="B287" t="s">
        <x:v>1242</x:v>
      </x:c>
      <x:c r="C287" t="s">
        <x:v>1243</x:v>
      </x:c>
      <x:c r="D287" t="s">
        <x:v>1244</x:v>
      </x:c>
      <x:c r="E287" t="s">
        <x:v>1245</x:v>
      </x:c>
      <x:c r="F287" t="s">
        <x:v>1245</x:v>
      </x:c>
      <x:c r="G287" t="s">
        <x:v>59</x:v>
      </x:c>
      <x:c r="P287" t="str">
        <x:f>LOWER(TRIM(SUBSTITUTE(E287,CHAR(160)," ")))</x:f>
        <x:v>judith.okoyo@pwc.com</x:v>
      </x:c>
      <x:c r="Q287" t="n">
        <x:f>IFERROR(VALUE(LEFT(D287,SEARCH("h",D287)-1)),0)*3600+IFERROR(VALUE(MID(D287,IFERROR(SEARCH("h ",D287)+2,1),SEARCH("m",D287)-IFERROR(SEARCH("h ",D287)+2,1))),0)*60+IFERROR(VALUE(MID(D287,IFERROR(SEARCH("m ",D287)+2,IFERROR(SEARCH("h ",D287)+2,1)),SEARCH("s",D287)-IFERROR(SEARCH("m ",D287)+2,IFERROR(SEARCH("h ",D287)+2,1)))),0)</x:f>
        <x:v>4183</x:v>
      </x:c>
      <x:c r="R287" t="str">
        <x:f>IF(P287="","No",IF(COUNTIF('Employee Attendance'!$D$2:$D$670,P287)&gt;0,"Yes","No"))</x:f>
        <x:v>Yes</x:v>
      </x:c>
    </x:row>
    <x:row r="288">
      <x:c r="A288" t="s">
        <x:v>1246</x:v>
      </x:c>
      <x:c r="B288" t="s">
        <x:v>1247</x:v>
      </x:c>
      <x:c r="C288" t="s">
        <x:v>280</x:v>
      </x:c>
      <x:c r="D288" t="s">
        <x:v>1248</x:v>
      </x:c>
      <x:c r="E288" t="s">
        <x:v>1249</x:v>
      </x:c>
      <x:c r="F288" t="s">
        <x:v>1249</x:v>
      </x:c>
      <x:c r="G288" t="s">
        <x:v>59</x:v>
      </x:c>
      <x:c r="P288" t="str">
        <x:f>LOWER(TRIM(SUBSTITUTE(E288,CHAR(160)," ")))</x:f>
        <x:v>luc.meunier@pwc.com</x:v>
      </x:c>
      <x:c r="Q288" t="n">
        <x:f>IFERROR(VALUE(LEFT(D288,SEARCH("h",D288)-1)),0)*3600+IFERROR(VALUE(MID(D288,IFERROR(SEARCH("h ",D288)+2,1),SEARCH("m",D288)-IFERROR(SEARCH("h ",D288)+2,1))),0)*60+IFERROR(VALUE(MID(D288,IFERROR(SEARCH("m ",D288)+2,IFERROR(SEARCH("h ",D288)+2,1)),SEARCH("s",D288)-IFERROR(SEARCH("m ",D288)+2,IFERROR(SEARCH("h ",D288)+2,1)))),0)</x:f>
        <x:v>1574</x:v>
      </x:c>
      <x:c r="R288" t="str">
        <x:f>IF(P288="","No",IF(COUNTIF('Employee Attendance'!$D$2:$D$670,P288)&gt;0,"Yes","No"))</x:f>
        <x:v>Yes</x:v>
      </x:c>
    </x:row>
    <x:row r="289">
      <x:c r="A289" t="s">
        <x:v>1250</x:v>
      </x:c>
      <x:c r="B289" t="s">
        <x:v>1251</x:v>
      </x:c>
      <x:c r="C289" t="s">
        <x:v>1252</x:v>
      </x:c>
      <x:c r="D289" t="s">
        <x:v>1253</x:v>
      </x:c>
      <x:c r="E289" t="s">
        <x:v>1254</x:v>
      </x:c>
      <x:c r="F289" t="s">
        <x:v>1254</x:v>
      </x:c>
      <x:c r="G289" t="s">
        <x:v>59</x:v>
      </x:c>
      <x:c r="P289" t="str">
        <x:f>LOWER(TRIM(SUBSTITUTE(E289,CHAR(160)," ")))</x:f>
        <x:v>prisca.lifasi@pwc.com</x:v>
      </x:c>
      <x:c r="Q289" t="n">
        <x:f>IFERROR(VALUE(LEFT(D289,SEARCH("h",D289)-1)),0)*3600+IFERROR(VALUE(MID(D289,IFERROR(SEARCH("h ",D289)+2,1),SEARCH("m",D289)-IFERROR(SEARCH("h ",D289)+2,1))),0)*60+IFERROR(VALUE(MID(D289,IFERROR(SEARCH("m ",D289)+2,IFERROR(SEARCH("h ",D289)+2,1)),SEARCH("s",D289)-IFERROR(SEARCH("m ",D289)+2,IFERROR(SEARCH("h ",D289)+2,1)))),0)</x:f>
        <x:v>2137</x:v>
      </x:c>
      <x:c r="R289" t="str">
        <x:f>IF(P289="","No",IF(COUNTIF('Employee Attendance'!$D$2:$D$670,P289)&gt;0,"Yes","No"))</x:f>
        <x:v>Yes</x:v>
      </x:c>
    </x:row>
    <x:row r="290">
      <x:c r="A290" t="s">
        <x:v>1255</x:v>
      </x:c>
      <x:c r="B290" t="s">
        <x:v>1256</x:v>
      </x:c>
      <x:c r="C290" t="s">
        <x:v>1257</x:v>
      </x:c>
      <x:c r="D290" t="s">
        <x:v>1258</x:v>
      </x:c>
      <x:c r="E290" t="s">
        <x:v>1259</x:v>
      </x:c>
      <x:c r="F290" t="s">
        <x:v>1259</x:v>
      </x:c>
      <x:c r="G290" t="s">
        <x:v>59</x:v>
      </x:c>
      <x:c r="P290" t="str">
        <x:f>LOWER(TRIM(SUBSTITUTE(E290,CHAR(160)," ")))</x:f>
        <x:v>vivek.nuckcheddee@pwc.com</x:v>
      </x:c>
      <x:c r="Q290" t="n">
        <x:f>IFERROR(VALUE(LEFT(D290,SEARCH("h",D290)-1)),0)*3600+IFERROR(VALUE(MID(D290,IFERROR(SEARCH("h ",D290)+2,1),SEARCH("m",D290)-IFERROR(SEARCH("h ",D290)+2,1))),0)*60+IFERROR(VALUE(MID(D290,IFERROR(SEARCH("m ",D290)+2,IFERROR(SEARCH("h ",D290)+2,1)),SEARCH("s",D290)-IFERROR(SEARCH("m ",D290)+2,IFERROR(SEARCH("h ",D290)+2,1)))),0)</x:f>
        <x:v>4074</x:v>
      </x:c>
      <x:c r="R290" t="str">
        <x:f>IF(P290="","No",IF(COUNTIF('Employee Attendance'!$D$2:$D$670,P290)&gt;0,"Yes","No"))</x:f>
        <x:v>Yes</x:v>
      </x:c>
    </x:row>
    <x:row r="291">
      <x:c r="A291" t="s">
        <x:v>1260</x:v>
      </x:c>
      <x:c r="B291" t="s">
        <x:v>1261</x:v>
      </x:c>
      <x:c r="C291" t="s">
        <x:v>339</x:v>
      </x:c>
      <x:c r="D291" t="s">
        <x:v>1262</x:v>
      </x:c>
      <x:c r="E291" t="s">
        <x:v>1263</x:v>
      </x:c>
      <x:c r="F291" t="s">
        <x:v>1263</x:v>
      </x:c>
      <x:c r="G291" t="s">
        <x:v>59</x:v>
      </x:c>
      <x:c r="P291" t="str">
        <x:f>LOWER(TRIM(SUBSTITUTE(E291,CHAR(160)," ")))</x:f>
        <x:v>mutale.chibwe@pwc.com</x:v>
      </x:c>
      <x:c r="Q291" t="n">
        <x:f>IFERROR(VALUE(LEFT(D291,SEARCH("h",D291)-1)),0)*3600+IFERROR(VALUE(MID(D291,IFERROR(SEARCH("h ",D291)+2,1),SEARCH("m",D291)-IFERROR(SEARCH("h ",D291)+2,1))),0)*60+IFERROR(VALUE(MID(D291,IFERROR(SEARCH("m ",D291)+2,IFERROR(SEARCH("h ",D291)+2,1)),SEARCH("s",D291)-IFERROR(SEARCH("m ",D291)+2,IFERROR(SEARCH("h ",D291)+2,1)))),0)</x:f>
        <x:v>3928</x:v>
      </x:c>
      <x:c r="R291" t="str">
        <x:f>IF(P291="","No",IF(COUNTIF('Employee Attendance'!$D$2:$D$670,P291)&gt;0,"Yes","No"))</x:f>
        <x:v>Yes</x:v>
      </x:c>
    </x:row>
    <x:row r="292">
      <x:c r="A292" t="s">
        <x:v>1264</x:v>
      </x:c>
      <x:c r="B292" t="s">
        <x:v>1265</x:v>
      </x:c>
      <x:c r="C292" t="s">
        <x:v>1266</x:v>
      </x:c>
      <x:c r="D292" t="s">
        <x:v>1267</x:v>
      </x:c>
      <x:c r="E292" t="s">
        <x:v>1268</x:v>
      </x:c>
      <x:c r="F292" t="s">
        <x:v>1268</x:v>
      </x:c>
      <x:c r="G292" t="s">
        <x:v>59</x:v>
      </x:c>
      <x:c r="P292" t="str">
        <x:f>LOWER(TRIM(SUBSTITUTE(E292,CHAR(160)," ")))</x:f>
        <x:v>ndanji.simukoko@pwc.com</x:v>
      </x:c>
      <x:c r="Q292" t="n">
        <x:f>IFERROR(VALUE(LEFT(D292,SEARCH("h",D292)-1)),0)*3600+IFERROR(VALUE(MID(D292,IFERROR(SEARCH("h ",D292)+2,1),SEARCH("m",D292)-IFERROR(SEARCH("h ",D292)+2,1))),0)*60+IFERROR(VALUE(MID(D292,IFERROR(SEARCH("m ",D292)+2,IFERROR(SEARCH("h ",D292)+2,1)),SEARCH("s",D292)-IFERROR(SEARCH("m ",D292)+2,IFERROR(SEARCH("h ",D292)+2,1)))),0)</x:f>
        <x:v>3906</x:v>
      </x:c>
      <x:c r="R292" t="str">
        <x:f>IF(P292="","No",IF(COUNTIF('Employee Attendance'!$D$2:$D$670,P292)&gt;0,"Yes","No"))</x:f>
        <x:v>Yes</x:v>
      </x:c>
    </x:row>
    <x:row r="293">
      <x:c r="A293" t="s">
        <x:v>1269</x:v>
      </x:c>
      <x:c r="B293" t="s">
        <x:v>1270</x:v>
      </x:c>
      <x:c r="C293" t="s">
        <x:v>1271</x:v>
      </x:c>
      <x:c r="D293" t="s">
        <x:v>1272</x:v>
      </x:c>
      <x:c r="E293" t="s">
        <x:v>1273</x:v>
      </x:c>
      <x:c r="F293" t="s">
        <x:v>1273</x:v>
      </x:c>
      <x:c r="G293" t="s">
        <x:v>59</x:v>
      </x:c>
      <x:c r="P293" t="str">
        <x:f>LOWER(TRIM(SUBSTITUTE(E293,CHAR(160)," ")))</x:f>
        <x:v>ruth.uwera@pwc.com</x:v>
      </x:c>
      <x:c r="Q293" t="n">
        <x:f>IFERROR(VALUE(LEFT(D293,SEARCH("h",D293)-1)),0)*3600+IFERROR(VALUE(MID(D293,IFERROR(SEARCH("h ",D293)+2,1),SEARCH("m",D293)-IFERROR(SEARCH("h ",D293)+2,1))),0)*60+IFERROR(VALUE(MID(D293,IFERROR(SEARCH("m ",D293)+2,IFERROR(SEARCH("h ",D293)+2,1)),SEARCH("s",D293)-IFERROR(SEARCH("m ",D293)+2,IFERROR(SEARCH("h ",D293)+2,1)))),0)</x:f>
        <x:v>3785</x:v>
      </x:c>
      <x:c r="R293" t="str">
        <x:f>IF(P293="","No",IF(COUNTIF('Employee Attendance'!$D$2:$D$670,P293)&gt;0,"Yes","No"))</x:f>
        <x:v>Yes</x:v>
      </x:c>
    </x:row>
    <x:row r="294">
      <x:c r="A294" t="s">
        <x:v>1274</x:v>
      </x:c>
      <x:c r="B294" t="s">
        <x:v>1275</x:v>
      </x:c>
      <x:c r="C294" t="s">
        <x:v>67</x:v>
      </x:c>
      <x:c r="D294" t="s">
        <x:v>1276</x:v>
      </x:c>
      <x:c r="E294" t="s">
        <x:v>1277</x:v>
      </x:c>
      <x:c r="F294" t="s">
        <x:v>1277</x:v>
      </x:c>
      <x:c r="G294" t="s">
        <x:v>59</x:v>
      </x:c>
      <x:c r="P294" t="str">
        <x:f>LOWER(TRIM(SUBSTITUTE(E294,CHAR(160)," ")))</x:f>
        <x:v>eddie.wachira@pwc.com</x:v>
      </x:c>
      <x:c r="Q294" t="n">
        <x:f>IFERROR(VALUE(LEFT(D294,SEARCH("h",D294)-1)),0)*3600+IFERROR(VALUE(MID(D294,IFERROR(SEARCH("h ",D294)+2,1),SEARCH("m",D294)-IFERROR(SEARCH("h ",D294)+2,1))),0)*60+IFERROR(VALUE(MID(D294,IFERROR(SEARCH("m ",D294)+2,IFERROR(SEARCH("h ",D294)+2,1)),SEARCH("s",D294)-IFERROR(SEARCH("m ",D294)+2,IFERROR(SEARCH("h ",D294)+2,1)))),0)</x:f>
        <x:v>3695</x:v>
      </x:c>
      <x:c r="R294" t="str">
        <x:f>IF(P294="","No",IF(COUNTIF('Employee Attendance'!$D$2:$D$670,P294)&gt;0,"Yes","No"))</x:f>
        <x:v>Yes</x:v>
      </x:c>
    </x:row>
    <x:row r="295">
      <x:c r="A295" t="s">
        <x:v>1278</x:v>
      </x:c>
      <x:c r="B295" t="s">
        <x:v>1279</x:v>
      </x:c>
      <x:c r="C295" t="s">
        <x:v>759</x:v>
      </x:c>
      <x:c r="D295" t="s">
        <x:v>1280</x:v>
      </x:c>
      <x:c r="E295" t="s">
        <x:v>1281</x:v>
      </x:c>
      <x:c r="F295" t="s">
        <x:v>1281</x:v>
      </x:c>
      <x:c r="G295" t="s">
        <x:v>59</x:v>
      </x:c>
      <x:c r="O295">
        <x:v>1</x:v>
      </x:c>
      <x:c r="P295" t="str">
        <x:f>LOWER(TRIM(SUBSTITUTE(E295,CHAR(160)," ")))</x:f>
        <x:v>benita.ndakebuka@pwc.com</x:v>
      </x:c>
      <x:c r="Q295" t="n">
        <x:f>IFERROR(VALUE(LEFT(D295,SEARCH("h",D295)-1)),0)*3600+IFERROR(VALUE(MID(D295,IFERROR(SEARCH("h ",D295)+2,1),SEARCH("m",D295)-IFERROR(SEARCH("h ",D295)+2,1))),0)*60+IFERROR(VALUE(MID(D295,IFERROR(SEARCH("m ",D295)+2,IFERROR(SEARCH("h ",D295)+2,1)),SEARCH("s",D295)-IFERROR(SEARCH("m ",D295)+2,IFERROR(SEARCH("h ",D295)+2,1)))),0)</x:f>
        <x:v>3710</x:v>
      </x:c>
      <x:c r="R295" t="str">
        <x:f>IF(P295="","No",IF(COUNTIF('Employee Attendance'!$D$2:$D$670,P295)&gt;0,"Yes","No"))</x:f>
        <x:v>Yes</x:v>
      </x:c>
    </x:row>
    <x:row r="296">
      <x:c r="A296" t="s">
        <x:v>1282</x:v>
      </x:c>
      <x:c r="B296" t="s">
        <x:v>1283</x:v>
      </x:c>
      <x:c r="C296" t="s">
        <x:v>1284</x:v>
      </x:c>
      <x:c r="D296" t="s">
        <x:v>1285</x:v>
      </x:c>
      <x:c r="E296" t="s">
        <x:v>1286</x:v>
      </x:c>
      <x:c r="F296" t="s">
        <x:v>1286</x:v>
      </x:c>
      <x:c r="G296" t="s">
        <x:v>59</x:v>
      </x:c>
      <x:c r="P296" t="str">
        <x:f>LOWER(TRIM(SUBSTITUTE(E296,CHAR(160)," ")))</x:f>
        <x:v>derick.muhire@pwc.com</x:v>
      </x:c>
      <x:c r="Q296" t="n">
        <x:f>IFERROR(VALUE(LEFT(D296,SEARCH("h",D296)-1)),0)*3600+IFERROR(VALUE(MID(D296,IFERROR(SEARCH("h ",D296)+2,1),SEARCH("m",D296)-IFERROR(SEARCH("h ",D296)+2,1))),0)*60+IFERROR(VALUE(MID(D296,IFERROR(SEARCH("m ",D296)+2,IFERROR(SEARCH("h ",D296)+2,1)),SEARCH("s",D296)-IFERROR(SEARCH("m ",D296)+2,IFERROR(SEARCH("h ",D296)+2,1)))),0)</x:f>
        <x:v>3966</x:v>
      </x:c>
      <x:c r="R296" t="str">
        <x:f>IF(P296="","No",IF(COUNTIF('Employee Attendance'!$D$2:$D$670,P296)&gt;0,"Yes","No"))</x:f>
        <x:v>Yes</x:v>
      </x:c>
    </x:row>
    <x:row r="297">
      <x:c r="A297" t="s">
        <x:v>1287</x:v>
      </x:c>
      <x:c r="B297" t="s">
        <x:v>1288</x:v>
      </x:c>
      <x:c r="C297" t="s">
        <x:v>1289</x:v>
      </x:c>
      <x:c r="D297" t="s">
        <x:v>1290</x:v>
      </x:c>
      <x:c r="E297" t="s">
        <x:v>1291</x:v>
      </x:c>
      <x:c r="F297" t="s">
        <x:v>1291</x:v>
      </x:c>
      <x:c r="G297" t="s">
        <x:v>59</x:v>
      </x:c>
      <x:c r="P297" t="str">
        <x:f>LOWER(TRIM(SUBSTITUTE(E297,CHAR(160)," ")))</x:f>
        <x:v>nicholas.mahero@pwc.com</x:v>
      </x:c>
      <x:c r="Q297" t="n">
        <x:f>IFERROR(VALUE(LEFT(D297,SEARCH("h",D297)-1)),0)*3600+IFERROR(VALUE(MID(D297,IFERROR(SEARCH("h ",D297)+2,1),SEARCH("m",D297)-IFERROR(SEARCH("h ",D297)+2,1))),0)*60+IFERROR(VALUE(MID(D297,IFERROR(SEARCH("m ",D297)+2,IFERROR(SEARCH("h ",D297)+2,1)),SEARCH("s",D297)-IFERROR(SEARCH("m ",D297)+2,IFERROR(SEARCH("h ",D297)+2,1)))),0)</x:f>
        <x:v>3675</x:v>
      </x:c>
      <x:c r="R297" t="str">
        <x:f>IF(P297="","No",IF(COUNTIF('Employee Attendance'!$D$2:$D$670,P297)&gt;0,"Yes","No"))</x:f>
        <x:v>Yes</x:v>
      </x:c>
    </x:row>
    <x:row r="298">
      <x:c r="A298" t="s">
        <x:v>1292</x:v>
      </x:c>
      <x:c r="B298" t="s">
        <x:v>1293</x:v>
      </x:c>
      <x:c r="C298" t="s">
        <x:v>896</x:v>
      </x:c>
      <x:c r="D298" t="s">
        <x:v>1294</x:v>
      </x:c>
      <x:c r="E298" t="s">
        <x:v>1295</x:v>
      </x:c>
      <x:c r="F298" t="s">
        <x:v>1295</x:v>
      </x:c>
      <x:c r="G298" t="s">
        <x:v>59</x:v>
      </x:c>
      <x:c r="P298" t="str">
        <x:f>LOWER(TRIM(SUBSTITUTE(E298,CHAR(160)," ")))</x:f>
        <x:v>yasiirah.peerbux@pwc.com</x:v>
      </x:c>
      <x:c r="Q298" t="n">
        <x:f>IFERROR(VALUE(LEFT(D298,SEARCH("h",D298)-1)),0)*3600+IFERROR(VALUE(MID(D298,IFERROR(SEARCH("h ",D298)+2,1),SEARCH("m",D298)-IFERROR(SEARCH("h ",D298)+2,1))),0)*60+IFERROR(VALUE(MID(D298,IFERROR(SEARCH("m ",D298)+2,IFERROR(SEARCH("h ",D298)+2,1)),SEARCH("s",D298)-IFERROR(SEARCH("m ",D298)+2,IFERROR(SEARCH("h ",D298)+2,1)))),0)</x:f>
        <x:v>3318</x:v>
      </x:c>
      <x:c r="R298" t="str">
        <x:f>IF(P298="","No",IF(COUNTIF('Employee Attendance'!$D$2:$D$670,P298)&gt;0,"Yes","No"))</x:f>
        <x:v>Yes</x:v>
      </x:c>
    </x:row>
    <x:row r="299">
      <x:c r="A299" t="s">
        <x:v>1296</x:v>
      </x:c>
      <x:c r="B299" t="s">
        <x:v>1297</x:v>
      </x:c>
      <x:c r="C299" t="s">
        <x:v>1298</x:v>
      </x:c>
      <x:c r="D299" t="s">
        <x:v>1299</x:v>
      </x:c>
      <x:c r="E299" t="s">
        <x:v>1300</x:v>
      </x:c>
      <x:c r="F299" t="s">
        <x:v>1300</x:v>
      </x:c>
      <x:c r="G299" t="s">
        <x:v>59</x:v>
      </x:c>
      <x:c r="P299" t="str">
        <x:f>LOWER(TRIM(SUBSTITUTE(E299,CHAR(160)," ")))</x:f>
        <x:v>chengetai.choopa@pwc.com</x:v>
      </x:c>
      <x:c r="Q299" t="n">
        <x:f>IFERROR(VALUE(LEFT(D299,SEARCH("h",D299)-1)),0)*3600+IFERROR(VALUE(MID(D299,IFERROR(SEARCH("h ",D299)+2,1),SEARCH("m",D299)-IFERROR(SEARCH("h ",D299)+2,1))),0)*60+IFERROR(VALUE(MID(D299,IFERROR(SEARCH("m ",D299)+2,IFERROR(SEARCH("h ",D299)+2,1)),SEARCH("s",D299)-IFERROR(SEARCH("m ",D299)+2,IFERROR(SEARCH("h ",D299)+2,1)))),0)</x:f>
        <x:v>3231</x:v>
      </x:c>
      <x:c r="R299" t="str">
        <x:f>IF(P299="","No",IF(COUNTIF('Employee Attendance'!$D$2:$D$670,P299)&gt;0,"Yes","No"))</x:f>
        <x:v>Yes</x:v>
      </x:c>
    </x:row>
    <x:row r="300">
      <x:c r="A300" t="s">
        <x:v>1301</x:v>
      </x:c>
      <x:c r="B300" t="s">
        <x:v>1302</x:v>
      </x:c>
      <x:c r="C300" t="s">
        <x:v>1303</x:v>
      </x:c>
      <x:c r="D300" t="s">
        <x:v>1304</x:v>
      </x:c>
      <x:c r="E300" t="s">
        <x:v>1305</x:v>
      </x:c>
      <x:c r="F300" t="s">
        <x:v>1305</x:v>
      </x:c>
      <x:c r="G300" t="s">
        <x:v>59</x:v>
      </x:c>
      <x:c r="P300" t="str">
        <x:f>LOWER(TRIM(SUBSTITUTE(E300,CHAR(160)," ")))</x:f>
        <x:v>bhavish.bhunjun@pwc.com</x:v>
      </x:c>
      <x:c r="Q300" t="n">
        <x:f>IFERROR(VALUE(LEFT(D300,SEARCH("h",D300)-1)),0)*3600+IFERROR(VALUE(MID(D300,IFERROR(SEARCH("h ",D300)+2,1),SEARCH("m",D300)-IFERROR(SEARCH("h ",D300)+2,1))),0)*60+IFERROR(VALUE(MID(D300,IFERROR(SEARCH("m ",D300)+2,IFERROR(SEARCH("h ",D300)+2,1)),SEARCH("s",D300)-IFERROR(SEARCH("m ",D300)+2,IFERROR(SEARCH("h ",D300)+2,1)))),0)</x:f>
        <x:v>3103</x:v>
      </x:c>
      <x:c r="R300" t="str">
        <x:f>IF(P300="","No",IF(COUNTIF('Employee Attendance'!$D$2:$D$670,P300)&gt;0,"Yes","No"))</x:f>
        <x:v>Yes</x:v>
      </x:c>
    </x:row>
    <x:row r="301">
      <x:c r="A301" t="s">
        <x:v>1306</x:v>
      </x:c>
      <x:c r="B301" t="s">
        <x:v>1307</x:v>
      </x:c>
      <x:c r="C301" t="s">
        <x:v>30</x:v>
      </x:c>
      <x:c r="D301" t="s">
        <x:v>1308</x:v>
      </x:c>
      <x:c r="E301" t="s">
        <x:v>1309</x:v>
      </x:c>
      <x:c r="F301" t="s">
        <x:v>1309</x:v>
      </x:c>
      <x:c r="G301" t="s">
        <x:v>59</x:v>
      </x:c>
      <x:c r="P301" t="str">
        <x:f>LOWER(TRIM(SUBSTITUTE(E301,CHAR(160)," ")))</x:f>
        <x:v>dominic.ocharo@pwc.com</x:v>
      </x:c>
      <x:c r="Q301" t="n">
        <x:f>IFERROR(VALUE(LEFT(D301,SEARCH("h",D301)-1)),0)*3600+IFERROR(VALUE(MID(D301,IFERROR(SEARCH("h ",D301)+2,1),SEARCH("m",D301)-IFERROR(SEARCH("h ",D301)+2,1))),0)*60+IFERROR(VALUE(MID(D301,IFERROR(SEARCH("m ",D301)+2,IFERROR(SEARCH("h ",D301)+2,1)),SEARCH("s",D301)-IFERROR(SEARCH("m ",D301)+2,IFERROR(SEARCH("h ",D301)+2,1)))),0)</x:f>
        <x:v>2561</x:v>
      </x:c>
      <x:c r="R301" t="str">
        <x:f>IF(P301="","No",IF(COUNTIF('Employee Attendance'!$D$2:$D$670,P301)&gt;0,"Yes","No"))</x:f>
        <x:v>Yes</x:v>
      </x:c>
    </x:row>
    <x:row r="302">
      <x:c r="A302" t="s">
        <x:v>1310</x:v>
      </x:c>
      <x:c r="B302" t="s">
        <x:v>1311</x:v>
      </x:c>
      <x:c r="C302" t="s">
        <x:v>1312</x:v>
      </x:c>
      <x:c r="D302" t="s">
        <x:v>1313</x:v>
      </x:c>
      <x:c r="E302" t="s">
        <x:v>1314</x:v>
      </x:c>
      <x:c r="F302" t="s">
        <x:v>1314</x:v>
      </x:c>
      <x:c r="G302" t="s">
        <x:v>59</x:v>
      </x:c>
      <x:c r="O302">
        <x:v>1</x:v>
      </x:c>
      <x:c r="P302" t="str">
        <x:f>LOWER(TRIM(SUBSTITUTE(E302,CHAR(160)," ")))</x:f>
        <x:v>davidson.a.ringo@pwc.com</x:v>
      </x:c>
      <x:c r="Q302" t="n">
        <x:f>IFERROR(VALUE(LEFT(D302,SEARCH("h",D302)-1)),0)*3600+IFERROR(VALUE(MID(D302,IFERROR(SEARCH("h ",D302)+2,1),SEARCH("m",D302)-IFERROR(SEARCH("h ",D302)+2,1))),0)*60+IFERROR(VALUE(MID(D302,IFERROR(SEARCH("m ",D302)+2,IFERROR(SEARCH("h ",D302)+2,1)),SEARCH("s",D302)-IFERROR(SEARCH("m ",D302)+2,IFERROR(SEARCH("h ",D302)+2,1)))),0)</x:f>
        <x:v>2996</x:v>
      </x:c>
      <x:c r="R302" t="str">
        <x:f>IF(P302="","No",IF(COUNTIF('Employee Attendance'!$D$2:$D$670,P302)&gt;0,"Yes","No"))</x:f>
        <x:v>Yes</x:v>
      </x:c>
    </x:row>
    <x:row r="303">
      <x:c r="A303" t="s">
        <x:v>1315</x:v>
      </x:c>
      <x:c r="B303" t="s">
        <x:v>1316</x:v>
      </x:c>
      <x:c r="C303" t="s">
        <x:v>1317</x:v>
      </x:c>
      <x:c r="D303" t="s">
        <x:v>1318</x:v>
      </x:c>
      <x:c r="E303" t="s">
        <x:v>1319</x:v>
      </x:c>
      <x:c r="F303" t="s">
        <x:v>1319</x:v>
      </x:c>
      <x:c r="G303" t="s">
        <x:v>59</x:v>
      </x:c>
      <x:c r="P303" t="str">
        <x:f>LOWER(TRIM(SUBSTITUTE(E303,CHAR(160)," ")))</x:f>
        <x:v>isabella.mayeku@pwc.com</x:v>
      </x:c>
      <x:c r="Q303" t="n">
        <x:f>IFERROR(VALUE(LEFT(D303,SEARCH("h",D303)-1)),0)*3600+IFERROR(VALUE(MID(D303,IFERROR(SEARCH("h ",D303)+2,1),SEARCH("m",D303)-IFERROR(SEARCH("h ",D303)+2,1))),0)*60+IFERROR(VALUE(MID(D303,IFERROR(SEARCH("m ",D303)+2,IFERROR(SEARCH("h ",D303)+2,1)),SEARCH("s",D303)-IFERROR(SEARCH("m ",D303)+2,IFERROR(SEARCH("h ",D303)+2,1)))),0)</x:f>
        <x:v>128</x:v>
      </x:c>
      <x:c r="R303" t="str">
        <x:f>IF(P303="","No",IF(COUNTIF('Employee Attendance'!$D$2:$D$670,P303)&gt;0,"Yes","No"))</x:f>
        <x:v>Yes</x:v>
      </x:c>
    </x:row>
    <x:row r="304">
      <x:c r="A304" t="s">
        <x:v>1320</x:v>
      </x:c>
      <x:c r="B304" t="s">
        <x:v>1321</x:v>
      </x:c>
      <x:c r="C304" t="s">
        <x:v>1322</x:v>
      </x:c>
      <x:c r="D304" t="s">
        <x:v>1323</x:v>
      </x:c>
      <x:c r="E304" t="s">
        <x:v>1324</x:v>
      </x:c>
      <x:c r="F304" t="s">
        <x:v>1324</x:v>
      </x:c>
      <x:c r="G304" t="s">
        <x:v>59</x:v>
      </x:c>
      <x:c r="H304">
        <x:v>1</x:v>
      </x:c>
      <x:c r="P304" t="str">
        <x:f>LOWER(TRIM(SUBSTITUTE(E304,CHAR(160)," ")))</x:f>
        <x:v>aime.niyokwizerwa@pwc.com</x:v>
      </x:c>
      <x:c r="Q304" t="n">
        <x:f>IFERROR(VALUE(LEFT(D304,SEARCH("h",D304)-1)),0)*3600+IFERROR(VALUE(MID(D304,IFERROR(SEARCH("h ",D304)+2,1),SEARCH("m",D304)-IFERROR(SEARCH("h ",D304)+2,1))),0)*60+IFERROR(VALUE(MID(D304,IFERROR(SEARCH("m ",D304)+2,IFERROR(SEARCH("h ",D304)+2,1)),SEARCH("s",D304)-IFERROR(SEARCH("m ",D304)+2,IFERROR(SEARCH("h ",D304)+2,1)))),0)</x:f>
        <x:v>2450</x:v>
      </x:c>
      <x:c r="R304" t="str">
        <x:f>IF(P304="","No",IF(COUNTIF('Employee Attendance'!$D$2:$D$670,P304)&gt;0,"Yes","No"))</x:f>
        <x:v>Yes</x:v>
      </x:c>
    </x:row>
    <x:row r="305">
      <x:c r="A305" t="s">
        <x:v>1325</x:v>
      </x:c>
      <x:c r="B305" t="s">
        <x:v>1326</x:v>
      </x:c>
      <x:c r="C305" t="s">
        <x:v>1327</x:v>
      </x:c>
      <x:c r="D305" t="s">
        <x:v>104</x:v>
      </x:c>
      <x:c r="E305" t="s">
        <x:v>1328</x:v>
      </x:c>
      <x:c r="F305" t="s">
        <x:v>1328</x:v>
      </x:c>
      <x:c r="G305" t="s">
        <x:v>59</x:v>
      </x:c>
      <x:c r="P305" t="str">
        <x:f>LOWER(TRIM(SUBSTITUTE(E305,CHAR(160)," ")))</x:f>
        <x:v>peter.ndaki@pwc.com</x:v>
      </x:c>
      <x:c r="Q305" t="n">
        <x:f>IFERROR(VALUE(LEFT(D305,SEARCH("h",D305)-1)),0)*3600+IFERROR(VALUE(MID(D305,IFERROR(SEARCH("h ",D305)+2,1),SEARCH("m",D305)-IFERROR(SEARCH("h ",D305)+2,1))),0)*60+IFERROR(VALUE(MID(D305,IFERROR(SEARCH("m ",D305)+2,IFERROR(SEARCH("h ",D305)+2,1)),SEARCH("s",D305)-IFERROR(SEARCH("m ",D305)+2,IFERROR(SEARCH("h ",D305)+2,1)))),0)</x:f>
        <x:v>24</x:v>
      </x:c>
      <x:c r="R305" t="str">
        <x:f>IF(P305="","No",IF(COUNTIF('Employee Attendance'!$D$2:$D$670,P305)&gt;0,"Yes","No"))</x:f>
        <x:v>Yes</x:v>
      </x:c>
    </x:row>
    <x:row r="306">
      <x:c r="A306" t="s">
        <x:v>1329</x:v>
      </x:c>
      <x:c r="B306" t="s">
        <x:v>1330</x:v>
      </x:c>
      <x:c r="C306" t="s">
        <x:v>1331</x:v>
      </x:c>
      <x:c r="D306" t="s">
        <x:v>1332</x:v>
      </x:c>
      <x:c r="E306" t="s">
        <x:v>1333</x:v>
      </x:c>
      <x:c r="F306" t="s">
        <x:v>1333</x:v>
      </x:c>
      <x:c r="G306" t="s">
        <x:v>59</x:v>
      </x:c>
      <x:c r="P306" t="str">
        <x:f>LOWER(TRIM(SUBSTITUTE(E306,CHAR(160)," ")))</x:f>
        <x:v>leeshikha.boodhoo@pwc.com</x:v>
      </x:c>
      <x:c r="Q306" t="n">
        <x:f>IFERROR(VALUE(LEFT(D306,SEARCH("h",D306)-1)),0)*3600+IFERROR(VALUE(MID(D306,IFERROR(SEARCH("h ",D306)+2,1),SEARCH("m",D306)-IFERROR(SEARCH("h ",D306)+2,1))),0)*60+IFERROR(VALUE(MID(D306,IFERROR(SEARCH("m ",D306)+2,IFERROR(SEARCH("h ",D306)+2,1)),SEARCH("s",D306)-IFERROR(SEARCH("m ",D306)+2,IFERROR(SEARCH("h ",D306)+2,1)))),0)</x:f>
        <x:v>1810</x:v>
      </x:c>
      <x:c r="R306" t="str">
        <x:f>IF(P306="","No",IF(COUNTIF('Employee Attendance'!$D$2:$D$670,P306)&gt;0,"Yes","No"))</x:f>
        <x:v>Yes</x:v>
      </x:c>
    </x:row>
    <x:row r="307">
      <x:c r="A307" t="s">
        <x:v>1334</x:v>
      </x:c>
      <x:c r="B307" t="s">
        <x:v>1335</x:v>
      </x:c>
      <x:c r="C307" t="s">
        <x:v>170</x:v>
      </x:c>
      <x:c r="D307" t="s">
        <x:v>1336</x:v>
      </x:c>
      <x:c r="E307" t="s">
        <x:v>1337</x:v>
      </x:c>
      <x:c r="F307" t="s">
        <x:v>1337</x:v>
      </x:c>
      <x:c r="G307" t="s">
        <x:v>59</x:v>
      </x:c>
      <x:c r="P307" t="str">
        <x:f>LOWER(TRIM(SUBSTITUTE(E307,CHAR(160)," ")))</x:f>
        <x:v>ndana.simataa@pwc.com</x:v>
      </x:c>
      <x:c r="Q307" t="n">
        <x:f>IFERROR(VALUE(LEFT(D307,SEARCH("h",D307)-1)),0)*3600+IFERROR(VALUE(MID(D307,IFERROR(SEARCH("h ",D307)+2,1),SEARCH("m",D307)-IFERROR(SEARCH("h ",D307)+2,1))),0)*60+IFERROR(VALUE(MID(D307,IFERROR(SEARCH("m ",D307)+2,IFERROR(SEARCH("h ",D307)+2,1)),SEARCH("s",D307)-IFERROR(SEARCH("m ",D307)+2,IFERROR(SEARCH("h ",D307)+2,1)))),0)</x:f>
        <x:v>1507</x:v>
      </x:c>
      <x:c r="R307" t="str">
        <x:f>IF(P307="","No",IF(COUNTIF('Employee Attendance'!$D$2:$D$670,P307)&gt;0,"Yes","No"))</x:f>
        <x:v>Yes</x:v>
      </x:c>
    </x:row>
    <x:row r="308">
      <x:c r="A308" t="s">
        <x:v>1338</x:v>
      </x:c>
      <x:c r="B308" t="s">
        <x:v>1339</x:v>
      </x:c>
      <x:c r="C308" t="s">
        <x:v>98</x:v>
      </x:c>
      <x:c r="D308" t="s">
        <x:v>1340</x:v>
      </x:c>
      <x:c r="E308" t="s">
        <x:v>1341</x:v>
      </x:c>
      <x:c r="F308" t="s">
        <x:v>1341</x:v>
      </x:c>
      <x:c r="G308" t="s">
        <x:v>59</x:v>
      </x:c>
      <x:c r="P308" t="str">
        <x:f>LOWER(TRIM(SUBSTITUTE(E308,CHAR(160)," ")))</x:f>
        <x:v>diana.c.chege@pwc.com</x:v>
      </x:c>
      <x:c r="Q308" t="n">
        <x:f>IFERROR(VALUE(LEFT(D308,SEARCH("h",D308)-1)),0)*3600+IFERROR(VALUE(MID(D308,IFERROR(SEARCH("h ",D308)+2,1),SEARCH("m",D308)-IFERROR(SEARCH("h ",D308)+2,1))),0)*60+IFERROR(VALUE(MID(D308,IFERROR(SEARCH("m ",D308)+2,IFERROR(SEARCH("h ",D308)+2,1)),SEARCH("s",D308)-IFERROR(SEARCH("m ",D308)+2,IFERROR(SEARCH("h ",D308)+2,1)))),0)</x:f>
        <x:v>1356</x:v>
      </x:c>
      <x:c r="R308" t="str">
        <x:f>IF(P308="","No",IF(COUNTIF('Employee Attendance'!$D$2:$D$670,P308)&gt;0,"Yes","No"))</x:f>
        <x:v>Yes</x:v>
      </x:c>
    </x:row>
    <x:row r="309">
      <x:c r="A309" t="s">
        <x:v>1342</x:v>
      </x:c>
      <x:c r="B309" t="s">
        <x:v>1343</x:v>
      </x:c>
      <x:c r="C309" t="s">
        <x:v>1344</x:v>
      </x:c>
      <x:c r="D309" t="s">
        <x:v>1345</x:v>
      </x:c>
      <x:c r="E309" t="s">
        <x:v>1346</x:v>
      </x:c>
      <x:c r="F309" t="s">
        <x:v>1346</x:v>
      </x:c>
      <x:c r="G309" t="s">
        <x:v>59</x:v>
      </x:c>
      <x:c r="P309" t="str">
        <x:f>LOWER(TRIM(SUBSTITUTE(E309,CHAR(160)," ")))</x:f>
        <x:v>eric.shumbusha@pwc.com</x:v>
      </x:c>
      <x:c r="Q309" t="n">
        <x:f>IFERROR(VALUE(LEFT(D309,SEARCH("h",D309)-1)),0)*3600+IFERROR(VALUE(MID(D309,IFERROR(SEARCH("h ",D309)+2,1),SEARCH("m",D309)-IFERROR(SEARCH("h ",D309)+2,1))),0)*60+IFERROR(VALUE(MID(D309,IFERROR(SEARCH("m ",D309)+2,IFERROR(SEARCH("h ",D309)+2,1)),SEARCH("s",D309)-IFERROR(SEARCH("m ",D309)+2,IFERROR(SEARCH("h ",D309)+2,1)))),0)</x:f>
        <x:v>1929</x:v>
      </x:c>
      <x:c r="R309" t="str">
        <x:f>IF(P309="","No",IF(COUNTIF('Employee Attendance'!$D$2:$D$670,P309)&gt;0,"Yes","No"))</x:f>
        <x:v>Yes</x:v>
      </x:c>
    </x:row>
    <x:row r="310">
      <x:c r="A310" t="s">
        <x:v>1347</x:v>
      </x:c>
      <x:c r="B310" t="s">
        <x:v>1348</x:v>
      </x:c>
      <x:c r="C310" t="s">
        <x:v>970</x:v>
      </x:c>
      <x:c r="D310" t="s">
        <x:v>1349</x:v>
      </x:c>
      <x:c r="E310" t="s">
        <x:v>1350</x:v>
      </x:c>
      <x:c r="F310" t="s">
        <x:v>1350</x:v>
      </x:c>
      <x:c r="G310" t="s">
        <x:v>59</x:v>
      </x:c>
      <x:c r="P310" t="str">
        <x:f>LOWER(TRIM(SUBSTITUTE(E310,CHAR(160)," ")))</x:f>
        <x:v>chali.ngulube@pwc.com</x:v>
      </x:c>
      <x:c r="Q310" t="n">
        <x:f>IFERROR(VALUE(LEFT(D310,SEARCH("h",D310)-1)),0)*3600+IFERROR(VALUE(MID(D310,IFERROR(SEARCH("h ",D310)+2,1),SEARCH("m",D310)-IFERROR(SEARCH("h ",D310)+2,1))),0)*60+IFERROR(VALUE(MID(D310,IFERROR(SEARCH("m ",D310)+2,IFERROR(SEARCH("h ",D310)+2,1)),SEARCH("s",D310)-IFERROR(SEARCH("m ",D310)+2,IFERROR(SEARCH("h ",D310)+2,1)))),0)</x:f>
        <x:v>1274</x:v>
      </x:c>
      <x:c r="R310" t="str">
        <x:f>IF(P310="","No",IF(COUNTIF('Employee Attendance'!$D$2:$D$670,P310)&gt;0,"Yes","No"))</x:f>
        <x:v>Yes</x:v>
      </x:c>
    </x:row>
    <x:row r="311">
      <x:c r="A311" t="s">
        <x:v>1351</x:v>
      </x:c>
      <x:c r="B311" t="s">
        <x:v>1352</x:v>
      </x:c>
      <x:c r="C311" t="s">
        <x:v>1353</x:v>
      </x:c>
      <x:c r="D311" t="s">
        <x:v>1354</x:v>
      </x:c>
      <x:c r="E311" t="s">
        <x:v>1355</x:v>
      </x:c>
      <x:c r="F311" t="s">
        <x:v>1355</x:v>
      </x:c>
      <x:c r="G311" t="s">
        <x:v>59</x:v>
      </x:c>
      <x:c r="P311" t="str">
        <x:f>LOWER(TRIM(SUBSTITUTE(E311,CHAR(160)," ")))</x:f>
        <x:v>cyrus.muturi@pwc.com</x:v>
      </x:c>
      <x:c r="Q311" t="n">
        <x:f>IFERROR(VALUE(LEFT(D311,SEARCH("h",D311)-1)),0)*3600+IFERROR(VALUE(MID(D311,IFERROR(SEARCH("h ",D311)+2,1),SEARCH("m",D311)-IFERROR(SEARCH("h ",D311)+2,1))),0)*60+IFERROR(VALUE(MID(D311,IFERROR(SEARCH("m ",D311)+2,IFERROR(SEARCH("h ",D311)+2,1)),SEARCH("s",D311)-IFERROR(SEARCH("m ",D311)+2,IFERROR(SEARCH("h ",D311)+2,1)))),0)</x:f>
        <x:v>1254</x:v>
      </x:c>
      <x:c r="R311" t="str">
        <x:f>IF(P311="","No",IF(COUNTIF('Employee Attendance'!$D$2:$D$670,P311)&gt;0,"Yes","No"))</x:f>
        <x:v>Yes</x:v>
      </x:c>
    </x:row>
    <x:row r="312">
      <x:c r="A312" t="s">
        <x:v>1356</x:v>
      </x:c>
      <x:c r="B312" t="s">
        <x:v>1357</x:v>
      </x:c>
      <x:c r="C312" t="s">
        <x:v>1358</x:v>
      </x:c>
      <x:c r="D312" t="s">
        <x:v>1359</x:v>
      </x:c>
      <x:c r="E312" t="s">
        <x:v>1360</x:v>
      </x:c>
      <x:c r="F312" t="s">
        <x:v>1360</x:v>
      </x:c>
      <x:c r="G312" t="s">
        <x:v>59</x:v>
      </x:c>
      <x:c r="P312" t="str">
        <x:f>LOWER(TRIM(SUBSTITUTE(E312,CHAR(160)," ")))</x:f>
        <x:v>joshua.maloba@pwc.com</x:v>
      </x:c>
      <x:c r="Q312" t="n">
        <x:f>IFERROR(VALUE(LEFT(D312,SEARCH("h",D312)-1)),0)*3600+IFERROR(VALUE(MID(D312,IFERROR(SEARCH("h ",D312)+2,1),SEARCH("m",D312)-IFERROR(SEARCH("h ",D312)+2,1))),0)*60+IFERROR(VALUE(MID(D312,IFERROR(SEARCH("m ",D312)+2,IFERROR(SEARCH("h ",D312)+2,1)),SEARCH("s",D312)-IFERROR(SEARCH("m ",D312)+2,IFERROR(SEARCH("h ",D312)+2,1)))),0)</x:f>
        <x:v>1316</x:v>
      </x:c>
      <x:c r="R312" t="str">
        <x:f>IF(P312="","No",IF(COUNTIF('Employee Attendance'!$D$2:$D$670,P312)&gt;0,"Yes","No"))</x:f>
        <x:v>Yes</x:v>
      </x:c>
    </x:row>
    <x:row r="313">
      <x:c r="A313" t="s">
        <x:v>1361</x:v>
      </x:c>
      <x:c r="B313" t="s">
        <x:v>1362</x:v>
      </x:c>
      <x:c r="C313" t="s">
        <x:v>1022</x:v>
      </x:c>
      <x:c r="D313" t="s">
        <x:v>1363</x:v>
      </x:c>
      <x:c r="E313" t="s">
        <x:v>1364</x:v>
      </x:c>
      <x:c r="F313" t="s">
        <x:v>1364</x:v>
      </x:c>
      <x:c r="G313" t="s">
        <x:v>59</x:v>
      </x:c>
      <x:c r="O313">
        <x:v>1</x:v>
      </x:c>
      <x:c r="P313" t="str">
        <x:f>LOWER(TRIM(SUBSTITUTE(E313,CHAR(160)," ")))</x:f>
        <x:v>kelvin.mukaria@pwc.com</x:v>
      </x:c>
      <x:c r="Q313" t="n">
        <x:f>IFERROR(VALUE(LEFT(D313,SEARCH("h",D313)-1)),0)*3600+IFERROR(VALUE(MID(D313,IFERROR(SEARCH("h ",D313)+2,1),SEARCH("m",D313)-IFERROR(SEARCH("h ",D313)+2,1))),0)*60+IFERROR(VALUE(MID(D313,IFERROR(SEARCH("m ",D313)+2,IFERROR(SEARCH("h ",D313)+2,1)),SEARCH("s",D313)-IFERROR(SEARCH("m ",D313)+2,IFERROR(SEARCH("h ",D313)+2,1)))),0)</x:f>
        <x:v>1112</x:v>
      </x:c>
      <x:c r="R313" t="str">
        <x:f>IF(P313="","No",IF(COUNTIF('Employee Attendance'!$D$2:$D$670,P313)&gt;0,"Yes","No"))</x:f>
        <x:v>Yes</x:v>
      </x:c>
    </x:row>
    <x:row r="314">
      <x:c r="A314" t="s">
        <x:v>1365</x:v>
      </x:c>
      <x:c r="B314" t="s">
        <x:v>1366</x:v>
      </x:c>
      <x:c r="C314" t="s">
        <x:v>170</x:v>
      </x:c>
      <x:c r="D314" t="s">
        <x:v>1367</x:v>
      </x:c>
      <x:c r="E314" t="s">
        <x:v>1368</x:v>
      </x:c>
      <x:c r="F314" t="s">
        <x:v>1368</x:v>
      </x:c>
      <x:c r="G314" t="s">
        <x:v>59</x:v>
      </x:c>
      <x:c r="P314" t="str">
        <x:f>LOWER(TRIM(SUBSTITUTE(E314,CHAR(160)," ")))</x:f>
        <x:v>safia.abdulkadir@pwc.com</x:v>
      </x:c>
      <x:c r="Q314" t="n">
        <x:f>IFERROR(VALUE(LEFT(D314,SEARCH("h",D314)-1)),0)*3600+IFERROR(VALUE(MID(D314,IFERROR(SEARCH("h ",D314)+2,1),SEARCH("m",D314)-IFERROR(SEARCH("h ",D314)+2,1))),0)*60+IFERROR(VALUE(MID(D314,IFERROR(SEARCH("m ",D314)+2,IFERROR(SEARCH("h ",D314)+2,1)),SEARCH("s",D314)-IFERROR(SEARCH("m ",D314)+2,IFERROR(SEARCH("h ",D314)+2,1)))),0)</x:f>
        <x:v>937</x:v>
      </x:c>
      <x:c r="R314" t="str">
        <x:f>IF(P314="","No",IF(COUNTIF('Employee Attendance'!$D$2:$D$670,P314)&gt;0,"Yes","No"))</x:f>
        <x:v>Yes</x:v>
      </x:c>
    </x:row>
    <x:row r="315">
      <x:c r="A315" t="s">
        <x:v>1369</x:v>
      </x:c>
      <x:c r="B315" t="s">
        <x:v>787</x:v>
      </x:c>
      <x:c r="C315" t="s">
        <x:v>1138</x:v>
      </x:c>
      <x:c r="D315" t="s">
        <x:v>1370</x:v>
      </x:c>
      <x:c r="E315" t="s">
        <x:v>1371</x:v>
      </x:c>
      <x:c r="F315" t="s">
        <x:v>1371</x:v>
      </x:c>
      <x:c r="G315" t="s">
        <x:v>59</x:v>
      </x:c>
      <x:c r="P315" t="str">
        <x:f>LOWER(TRIM(SUBSTITUTE(E315,CHAR(160)," ")))</x:f>
        <x:v>steffi.s.hong@pwc.com</x:v>
      </x:c>
      <x:c r="Q315" t="n">
        <x:f>IFERROR(VALUE(LEFT(D315,SEARCH("h",D315)-1)),0)*3600+IFERROR(VALUE(MID(D315,IFERROR(SEARCH("h ",D315)+2,1),SEARCH("m",D315)-IFERROR(SEARCH("h ",D315)+2,1))),0)*60+IFERROR(VALUE(MID(D315,IFERROR(SEARCH("m ",D315)+2,IFERROR(SEARCH("h ",D315)+2,1)),SEARCH("s",D315)-IFERROR(SEARCH("m ",D315)+2,IFERROR(SEARCH("h ",D315)+2,1)))),0)</x:f>
        <x:v>6</x:v>
      </x:c>
      <x:c r="R315" t="str">
        <x:f>IF(P315="","No",IF(COUNTIF('Employee Attendance'!$D$2:$D$670,P315)&gt;0,"Yes","No"))</x:f>
        <x:v>Yes</x:v>
      </x:c>
    </x:row>
    <x:row r="317">
      <x:c r="A317" s="1" t="s">
        <x:v>1372</x:v>
      </x:c>
    </x:row>
    <x:row r="318">
      <x:c r="A318" t="s">
        <x:v>13</x:v>
      </x:c>
      <x:c r="B318" t="s">
        <x:v>1373</x:v>
      </x:c>
      <x:c r="C318" t="s">
        <x:v>1374</x:v>
      </x:c>
      <x:c r="D318" t="s">
        <x:v>1375</x:v>
      </x:c>
      <x:c r="E318" t="s">
        <x:v>17</x:v>
      </x:c>
      <x:c r="F318" t="s">
        <x:v>19</x:v>
      </x:c>
    </x:row>
    <x:row r="319">
      <x:c r="A319" t="s">
        <x:v>28</x:v>
      </x:c>
      <x:c r="B319" t="s">
        <x:v>29</x:v>
      </x:c>
      <x:c r="C319" t="s">
        <x:v>30</x:v>
      </x:c>
      <x:c r="D319" t="s">
        <x:v>31</x:v>
      </x:c>
      <x:c r="E319" t="s">
        <x:v>32</x:v>
      </x:c>
      <x:c r="F319" t="s">
        <x:v>33</x:v>
      </x:c>
    </x:row>
    <x:row r="320">
      <x:c r="A320" t="s">
        <x:v>34</x:v>
      </x:c>
      <x:c r="B320" t="s">
        <x:v>35</x:v>
      </x:c>
      <x:c r="C320" t="s">
        <x:v>584</x:v>
      </x:c>
      <x:c r="D320" t="s">
        <x:v>1376</x:v>
      </x:c>
      <x:c r="E320" t="s">
        <x:v>38</x:v>
      </x:c>
      <x:c r="F320" t="s">
        <x:v>33</x:v>
      </x:c>
    </x:row>
    <x:row r="321">
      <x:c r="A321" t="s">
        <x:v>34</x:v>
      </x:c>
      <x:c r="B321" t="s">
        <x:v>1377</x:v>
      </x:c>
      <x:c r="C321" t="s">
        <x:v>36</x:v>
      </x:c>
      <x:c r="D321" t="s">
        <x:v>1378</x:v>
      </x:c>
      <x:c r="E321" t="s">
        <x:v>38</x:v>
      </x:c>
      <x:c r="F321" t="s">
        <x:v>33</x:v>
      </x:c>
    </x:row>
    <x:row r="322">
      <x:c r="A322" t="s">
        <x:v>39</x:v>
      </x:c>
      <x:c r="B322" t="s">
        <x:v>40</x:v>
      </x:c>
      <x:c r="C322" t="s">
        <x:v>41</x:v>
      </x:c>
      <x:c r="D322" t="s">
        <x:v>42</x:v>
      </x:c>
      <x:c r="E322" t="s">
        <x:v>43</x:v>
      </x:c>
      <x:c r="F322" t="s">
        <x:v>33</x:v>
      </x:c>
    </x:row>
    <x:row r="323">
      <x:c r="A323" t="s">
        <x:v>44</x:v>
      </x:c>
      <x:c r="B323" t="s">
        <x:v>45</x:v>
      </x:c>
      <x:c r="C323" t="s">
        <x:v>1379</x:v>
      </x:c>
      <x:c r="D323" t="s">
        <x:v>130</x:v>
      </x:c>
      <x:c r="E323" t="s">
        <x:v>48</x:v>
      </x:c>
      <x:c r="F323" t="s">
        <x:v>33</x:v>
      </x:c>
    </x:row>
    <x:row r="324">
      <x:c r="A324" t="s">
        <x:v>44</x:v>
      </x:c>
      <x:c r="B324" t="s">
        <x:v>777</x:v>
      </x:c>
      <x:c r="C324" t="s">
        <x:v>46</x:v>
      </x:c>
      <x:c r="D324" t="s">
        <x:v>1380</x:v>
      </x:c>
      <x:c r="E324" t="s">
        <x:v>48</x:v>
      </x:c>
      <x:c r="F324" t="s">
        <x:v>33</x:v>
      </x:c>
    </x:row>
    <x:row r="325">
      <x:c r="A325" t="s">
        <x:v>49</x:v>
      </x:c>
      <x:c r="B325" t="s">
        <x:v>50</x:v>
      </x:c>
      <x:c r="C325" t="s">
        <x:v>51</x:v>
      </x:c>
      <x:c r="D325" t="s">
        <x:v>52</x:v>
      </x:c>
      <x:c r="E325" t="s">
        <x:v>53</x:v>
      </x:c>
      <x:c r="F325" t="s">
        <x:v>33</x:v>
      </x:c>
    </x:row>
    <x:row r="326">
      <x:c r="A326" t="s">
        <x:v>54</x:v>
      </x:c>
      <x:c r="B326" t="s">
        <x:v>55</x:v>
      </x:c>
      <x:c r="C326" t="s">
        <x:v>56</x:v>
      </x:c>
      <x:c r="D326" t="s">
        <x:v>57</x:v>
      </x:c>
      <x:c r="E326" t="s">
        <x:v>58</x:v>
      </x:c>
      <x:c r="F326" t="s">
        <x:v>59</x:v>
      </x:c>
    </x:row>
    <x:row r="327">
      <x:c r="A327" t="s">
        <x:v>60</x:v>
      </x:c>
      <x:c r="B327" t="s">
        <x:v>61</x:v>
      </x:c>
      <x:c r="C327" t="s">
        <x:v>62</x:v>
      </x:c>
      <x:c r="D327" t="s">
        <x:v>63</x:v>
      </x:c>
      <x:c r="E327" t="s">
        <x:v>64</x:v>
      </x:c>
      <x:c r="F327" t="s">
        <x:v>59</x:v>
      </x:c>
    </x:row>
    <x:row r="328">
      <x:c r="A328" t="s">
        <x:v>65</x:v>
      </x:c>
      <x:c r="B328" t="s">
        <x:v>66</x:v>
      </x:c>
      <x:c r="C328" t="s">
        <x:v>1381</x:v>
      </x:c>
      <x:c r="D328" t="s">
        <x:v>1382</x:v>
      </x:c>
      <x:c r="E328" t="s">
        <x:v>69</x:v>
      </x:c>
      <x:c r="F328" t="s">
        <x:v>59</x:v>
      </x:c>
    </x:row>
    <x:row r="329">
      <x:c r="A329" t="s">
        <x:v>65</x:v>
      </x:c>
      <x:c r="B329" t="s">
        <x:v>1383</x:v>
      </x:c>
      <x:c r="C329" t="s">
        <x:v>67</x:v>
      </x:c>
      <x:c r="D329" t="s">
        <x:v>1384</x:v>
      </x:c>
      <x:c r="E329" t="s">
        <x:v>69</x:v>
      </x:c>
      <x:c r="F329" t="s">
        <x:v>59</x:v>
      </x:c>
    </x:row>
    <x:row r="330">
      <x:c r="A330" t="s">
        <x:v>70</x:v>
      </x:c>
      <x:c r="B330" t="s">
        <x:v>66</x:v>
      </x:c>
      <x:c r="C330" t="s">
        <x:v>1385</x:v>
      </x:c>
      <x:c r="D330" t="s">
        <x:v>130</x:v>
      </x:c>
      <x:c r="E330" t="s">
        <x:v>73</x:v>
      </x:c>
      <x:c r="F330" t="s">
        <x:v>59</x:v>
      </x:c>
    </x:row>
    <x:row r="331">
      <x:c r="A331" t="s">
        <x:v>70</x:v>
      </x:c>
      <x:c r="B331" t="s">
        <x:v>1386</x:v>
      </x:c>
      <x:c r="C331" t="s">
        <x:v>1387</x:v>
      </x:c>
      <x:c r="D331" t="s">
        <x:v>1388</x:v>
      </x:c>
      <x:c r="E331" t="s">
        <x:v>73</x:v>
      </x:c>
      <x:c r="F331" t="s">
        <x:v>59</x:v>
      </x:c>
    </x:row>
    <x:row r="332">
      <x:c r="A332" t="s">
        <x:v>70</x:v>
      </x:c>
      <x:c r="B332" t="s">
        <x:v>1389</x:v>
      </x:c>
      <x:c r="C332" t="s">
        <x:v>71</x:v>
      </x:c>
      <x:c r="D332" t="s">
        <x:v>1390</x:v>
      </x:c>
      <x:c r="E332" t="s">
        <x:v>73</x:v>
      </x:c>
      <x:c r="F332" t="s">
        <x:v>59</x:v>
      </x:c>
    </x:row>
    <x:row r="333">
      <x:c r="A333" t="s">
        <x:v>74</x:v>
      </x:c>
      <x:c r="B333" t="s">
        <x:v>75</x:v>
      </x:c>
      <x:c r="C333" t="s">
        <x:v>76</x:v>
      </x:c>
      <x:c r="D333" t="s">
        <x:v>77</x:v>
      </x:c>
      <x:c r="E333" t="s">
        <x:v>78</x:v>
      </x:c>
      <x:c r="F333" t="s">
        <x:v>59</x:v>
      </x:c>
    </x:row>
    <x:row r="334">
      <x:c r="A334" t="s">
        <x:v>79</x:v>
      </x:c>
      <x:c r="B334" t="s">
        <x:v>80</x:v>
      </x:c>
      <x:c r="C334" t="s">
        <x:v>81</x:v>
      </x:c>
      <x:c r="D334" t="s">
        <x:v>82</x:v>
      </x:c>
      <x:c r="E334" t="s">
        <x:v>83</x:v>
      </x:c>
      <x:c r="F334" t="s">
        <x:v>59</x:v>
      </x:c>
    </x:row>
    <x:row r="335">
      <x:c r="A335" t="s">
        <x:v>84</x:v>
      </x:c>
      <x:c r="B335" t="s">
        <x:v>80</x:v>
      </x:c>
      <x:c r="C335" t="s">
        <x:v>85</x:v>
      </x:c>
      <x:c r="D335" t="s">
        <x:v>86</x:v>
      </x:c>
      <x:c r="E335" t="s">
        <x:v>87</x:v>
      </x:c>
      <x:c r="F335" t="s">
        <x:v>59</x:v>
      </x:c>
    </x:row>
    <x:row r="336">
      <x:c r="A336" t="s">
        <x:v>88</x:v>
      </x:c>
      <x:c r="B336" t="s">
        <x:v>89</x:v>
      </x:c>
      <x:c r="C336" t="s">
        <x:v>90</x:v>
      </x:c>
      <x:c r="D336" t="s">
        <x:v>91</x:v>
      </x:c>
      <x:c r="E336" t="s">
        <x:v>92</x:v>
      </x:c>
      <x:c r="F336" t="s">
        <x:v>59</x:v>
      </x:c>
    </x:row>
    <x:row r="337">
      <x:c r="A337" t="s">
        <x:v>93</x:v>
      </x:c>
      <x:c r="B337" t="s">
        <x:v>89</x:v>
      </x:c>
      <x:c r="C337" t="s">
        <x:v>94</x:v>
      </x:c>
      <x:c r="D337" t="s">
        <x:v>95</x:v>
      </x:c>
      <x:c r="E337" t="s">
        <x:v>96</x:v>
      </x:c>
      <x:c r="F337" t="s">
        <x:v>59</x:v>
      </x:c>
    </x:row>
    <x:row r="338">
      <x:c r="A338" t="s">
        <x:v>97</x:v>
      </x:c>
      <x:c r="B338" t="s">
        <x:v>89</x:v>
      </x:c>
      <x:c r="C338" t="s">
        <x:v>35</x:v>
      </x:c>
      <x:c r="D338" t="s">
        <x:v>125</x:v>
      </x:c>
      <x:c r="E338" t="s">
        <x:v>100</x:v>
      </x:c>
      <x:c r="F338" t="s">
        <x:v>59</x:v>
      </x:c>
    </x:row>
    <x:row r="339">
      <x:c r="A339" t="s">
        <x:v>97</x:v>
      </x:c>
      <x:c r="B339" t="s">
        <x:v>1391</x:v>
      </x:c>
      <x:c r="C339" t="s">
        <x:v>98</x:v>
      </x:c>
      <x:c r="D339" t="s">
        <x:v>1392</x:v>
      </x:c>
      <x:c r="E339" t="s">
        <x:v>100</x:v>
      </x:c>
      <x:c r="F339" t="s">
        <x:v>59</x:v>
      </x:c>
    </x:row>
    <x:row r="340">
      <x:c r="A340" t="s">
        <x:v>101</x:v>
      </x:c>
      <x:c r="B340" t="s">
        <x:v>102</x:v>
      </x:c>
      <x:c r="C340" t="s">
        <x:v>103</x:v>
      </x:c>
      <x:c r="D340" t="s">
        <x:v>104</x:v>
      </x:c>
      <x:c r="E340" t="s">
        <x:v>105</x:v>
      </x:c>
      <x:c r="F340" t="s">
        <x:v>59</x:v>
      </x:c>
    </x:row>
    <x:row r="341">
      <x:c r="A341" t="s">
        <x:v>106</x:v>
      </x:c>
      <x:c r="B341" t="s">
        <x:v>102</x:v>
      </x:c>
      <x:c r="C341" t="s">
        <x:v>107</x:v>
      </x:c>
      <x:c r="D341" t="s">
        <x:v>108</x:v>
      </x:c>
      <x:c r="E341" t="s">
        <x:v>109</x:v>
      </x:c>
      <x:c r="F341" t="s">
        <x:v>59</x:v>
      </x:c>
    </x:row>
    <x:row r="342">
      <x:c r="A342" t="s">
        <x:v>110</x:v>
      </x:c>
      <x:c r="B342" t="s">
        <x:v>102</x:v>
      </x:c>
      <x:c r="C342" t="s">
        <x:v>111</x:v>
      </x:c>
      <x:c r="D342" t="s">
        <x:v>112</x:v>
      </x:c>
      <x:c r="E342" t="s">
        <x:v>113</x:v>
      </x:c>
      <x:c r="F342" t="s">
        <x:v>59</x:v>
      </x:c>
    </x:row>
    <x:row r="343">
      <x:c r="A343" t="s">
        <x:v>114</x:v>
      </x:c>
      <x:c r="B343" t="s">
        <x:v>115</x:v>
      </x:c>
      <x:c r="C343" t="s">
        <x:v>116</x:v>
      </x:c>
      <x:c r="D343" t="s">
        <x:v>117</x:v>
      </x:c>
      <x:c r="E343" t="s">
        <x:v>118</x:v>
      </x:c>
      <x:c r="F343" t="s">
        <x:v>59</x:v>
      </x:c>
    </x:row>
    <x:row r="344">
      <x:c r="A344" t="s">
        <x:v>119</x:v>
      </x:c>
      <x:c r="B344" t="s">
        <x:v>115</x:v>
      </x:c>
      <x:c r="C344" t="s">
        <x:v>120</x:v>
      </x:c>
      <x:c r="D344" t="s">
        <x:v>121</x:v>
      </x:c>
      <x:c r="E344" t="s">
        <x:v>122</x:v>
      </x:c>
      <x:c r="F344" t="s">
        <x:v>59</x:v>
      </x:c>
    </x:row>
    <x:row r="345">
      <x:c r="A345" t="s">
        <x:v>123</x:v>
      </x:c>
      <x:c r="B345" t="s">
        <x:v>115</x:v>
      </x:c>
      <x:c r="C345" t="s">
        <x:v>124</x:v>
      </x:c>
      <x:c r="D345" t="s">
        <x:v>125</x:v>
      </x:c>
      <x:c r="E345" t="s">
        <x:v>126</x:v>
      </x:c>
      <x:c r="F345" t="s">
        <x:v>59</x:v>
      </x:c>
    </x:row>
    <x:row r="346">
      <x:c r="A346" t="s">
        <x:v>127</x:v>
      </x:c>
      <x:c r="B346" t="s">
        <x:v>128</x:v>
      </x:c>
      <x:c r="C346" t="s">
        <x:v>129</x:v>
      </x:c>
      <x:c r="D346" t="s">
        <x:v>130</x:v>
      </x:c>
      <x:c r="E346" t="s">
        <x:v>131</x:v>
      </x:c>
      <x:c r="F346" t="s">
        <x:v>59</x:v>
      </x:c>
    </x:row>
    <x:row r="347">
      <x:c r="A347" t="s">
        <x:v>132</x:v>
      </x:c>
      <x:c r="B347" t="s">
        <x:v>133</x:v>
      </x:c>
      <x:c r="C347" t="s">
        <x:v>98</x:v>
      </x:c>
      <x:c r="D347" t="s">
        <x:v>134</x:v>
      </x:c>
      <x:c r="E347" t="s">
        <x:v>135</x:v>
      </x:c>
      <x:c r="F347" t="s">
        <x:v>59</x:v>
      </x:c>
    </x:row>
    <x:row r="348">
      <x:c r="A348" t="s">
        <x:v>136</x:v>
      </x:c>
      <x:c r="B348" t="s">
        <x:v>137</x:v>
      </x:c>
      <x:c r="C348" t="s">
        <x:v>138</x:v>
      </x:c>
      <x:c r="D348" t="s">
        <x:v>139</x:v>
      </x:c>
      <x:c r="E348" t="s">
        <x:v>140</x:v>
      </x:c>
      <x:c r="F348" t="s">
        <x:v>59</x:v>
      </x:c>
    </x:row>
    <x:row r="349">
      <x:c r="A349" t="s">
        <x:v>141</x:v>
      </x:c>
      <x:c r="B349" t="s">
        <x:v>137</x:v>
      </x:c>
      <x:c r="C349" t="s">
        <x:v>142</x:v>
      </x:c>
      <x:c r="D349" t="s">
        <x:v>143</x:v>
      </x:c>
      <x:c r="E349" t="s">
        <x:v>144</x:v>
      </x:c>
      <x:c r="F349" t="s">
        <x:v>59</x:v>
      </x:c>
    </x:row>
    <x:row r="350">
      <x:c r="A350" t="s">
        <x:v>145</x:v>
      </x:c>
      <x:c r="B350" t="s">
        <x:v>137</x:v>
      </x:c>
      <x:c r="C350" t="s">
        <x:v>146</x:v>
      </x:c>
      <x:c r="D350" t="s">
        <x:v>147</x:v>
      </x:c>
      <x:c r="E350" t="s">
        <x:v>148</x:v>
      </x:c>
      <x:c r="F350" t="s">
        <x:v>59</x:v>
      </x:c>
    </x:row>
    <x:row r="351">
      <x:c r="A351" t="s">
        <x:v>149</x:v>
      </x:c>
      <x:c r="B351" t="s">
        <x:v>137</x:v>
      </x:c>
      <x:c r="C351" t="s">
        <x:v>1393</x:v>
      </x:c>
      <x:c r="D351" t="s">
        <x:v>1209</x:v>
      </x:c>
      <x:c r="E351" t="s">
        <x:v>152</x:v>
      </x:c>
      <x:c r="F351" t="s">
        <x:v>59</x:v>
      </x:c>
    </x:row>
    <x:row r="352">
      <x:c r="A352" t="s">
        <x:v>149</x:v>
      </x:c>
      <x:c r="B352" t="s">
        <x:v>1394</x:v>
      </x:c>
      <x:c r="C352" t="s">
        <x:v>1395</x:v>
      </x:c>
      <x:c r="D352" t="s">
        <x:v>1396</x:v>
      </x:c>
      <x:c r="E352" t="s">
        <x:v>152</x:v>
      </x:c>
      <x:c r="F352" t="s">
        <x:v>59</x:v>
      </x:c>
    </x:row>
    <x:row r="353">
      <x:c r="A353" t="s">
        <x:v>149</x:v>
      </x:c>
      <x:c r="B353" t="s">
        <x:v>1397</x:v>
      </x:c>
      <x:c r="C353" t="s">
        <x:v>150</x:v>
      </x:c>
      <x:c r="D353" t="s">
        <x:v>1370</x:v>
      </x:c>
      <x:c r="E353" t="s">
        <x:v>152</x:v>
      </x:c>
      <x:c r="F353" t="s">
        <x:v>59</x:v>
      </x:c>
    </x:row>
    <x:row r="354">
      <x:c r="A354" t="s">
        <x:v>153</x:v>
      </x:c>
      <x:c r="B354" t="s">
        <x:v>154</x:v>
      </x:c>
      <x:c r="C354" t="s">
        <x:v>155</x:v>
      </x:c>
      <x:c r="D354" t="s">
        <x:v>156</x:v>
      </x:c>
      <x:c r="E354" t="s">
        <x:v>157</x:v>
      </x:c>
      <x:c r="F354" t="s">
        <x:v>59</x:v>
      </x:c>
    </x:row>
    <x:row r="355">
      <x:c r="A355" t="s">
        <x:v>158</x:v>
      </x:c>
      <x:c r="B355" t="s">
        <x:v>159</x:v>
      </x:c>
      <x:c r="C355" t="s">
        <x:v>160</x:v>
      </x:c>
      <x:c r="D355" t="s">
        <x:v>161</x:v>
      </x:c>
      <x:c r="E355" t="s">
        <x:v>162</x:v>
      </x:c>
      <x:c r="F355" t="s">
        <x:v>59</x:v>
      </x:c>
    </x:row>
    <x:row r="356">
      <x:c r="A356" t="s">
        <x:v>163</x:v>
      </x:c>
      <x:c r="B356" t="s">
        <x:v>164</x:v>
      </x:c>
      <x:c r="C356" t="s">
        <x:v>165</x:v>
      </x:c>
      <x:c r="D356" t="s">
        <x:v>166</x:v>
      </x:c>
      <x:c r="E356" t="s">
        <x:v>167</x:v>
      </x:c>
      <x:c r="F356" t="s">
        <x:v>59</x:v>
      </x:c>
    </x:row>
    <x:row r="357">
      <x:c r="A357" t="s">
        <x:v>168</x:v>
      </x:c>
      <x:c r="B357" t="s">
        <x:v>169</x:v>
      </x:c>
      <x:c r="C357" t="s">
        <x:v>170</x:v>
      </x:c>
      <x:c r="D357" t="s">
        <x:v>171</x:v>
      </x:c>
      <x:c r="E357" t="s">
        <x:v>172</x:v>
      </x:c>
      <x:c r="F357" t="s">
        <x:v>59</x:v>
      </x:c>
    </x:row>
    <x:row r="358">
      <x:c r="A358" t="s">
        <x:v>173</x:v>
      </x:c>
      <x:c r="B358" t="s">
        <x:v>169</x:v>
      </x:c>
      <x:c r="C358" t="s">
        <x:v>174</x:v>
      </x:c>
      <x:c r="D358" t="s">
        <x:v>125</x:v>
      </x:c>
      <x:c r="E358" t="s">
        <x:v>175</x:v>
      </x:c>
      <x:c r="F358" t="s">
        <x:v>59</x:v>
      </x:c>
    </x:row>
    <x:row r="359">
      <x:c r="A359" t="s">
        <x:v>176</x:v>
      </x:c>
      <x:c r="B359" t="s">
        <x:v>169</x:v>
      </x:c>
      <x:c r="C359" t="s">
        <x:v>1398</x:v>
      </x:c>
      <x:c r="D359" t="s">
        <x:v>1399</x:v>
      </x:c>
      <x:c r="E359" t="s">
        <x:v>179</x:v>
      </x:c>
      <x:c r="F359" t="s">
        <x:v>59</x:v>
      </x:c>
    </x:row>
    <x:row r="360">
      <x:c r="A360" t="s">
        <x:v>176</x:v>
      </x:c>
      <x:c r="B360" t="s">
        <x:v>1400</x:v>
      </x:c>
      <x:c r="C360" t="s">
        <x:v>1401</x:v>
      </x:c>
      <x:c r="D360" t="s">
        <x:v>1402</x:v>
      </x:c>
      <x:c r="E360" t="s">
        <x:v>179</x:v>
      </x:c>
      <x:c r="F360" t="s">
        <x:v>59</x:v>
      </x:c>
    </x:row>
    <x:row r="361">
      <x:c r="A361" t="s">
        <x:v>176</x:v>
      </x:c>
      <x:c r="B361" t="s">
        <x:v>1403</x:v>
      </x:c>
      <x:c r="C361" t="s">
        <x:v>177</x:v>
      </x:c>
      <x:c r="D361" t="s">
        <x:v>1404</x:v>
      </x:c>
      <x:c r="E361" t="s">
        <x:v>179</x:v>
      </x:c>
      <x:c r="F361" t="s">
        <x:v>59</x:v>
      </x:c>
    </x:row>
    <x:row r="362">
      <x:c r="A362" t="s">
        <x:v>180</x:v>
      </x:c>
      <x:c r="B362" t="s">
        <x:v>169</x:v>
      </x:c>
      <x:c r="C362" t="s">
        <x:v>181</x:v>
      </x:c>
      <x:c r="D362" t="s">
        <x:v>182</x:v>
      </x:c>
      <x:c r="E362" t="s">
        <x:v>183</x:v>
      </x:c>
      <x:c r="F362" t="s">
        <x:v>59</x:v>
      </x:c>
    </x:row>
    <x:row r="363">
      <x:c r="A363" t="s">
        <x:v>184</x:v>
      </x:c>
      <x:c r="B363" t="s">
        <x:v>85</x:v>
      </x:c>
      <x:c r="C363" t="s">
        <x:v>185</x:v>
      </x:c>
      <x:c r="D363" t="s">
        <x:v>186</x:v>
      </x:c>
      <x:c r="E363" t="s">
        <x:v>187</x:v>
      </x:c>
      <x:c r="F363" t="s">
        <x:v>59</x:v>
      </x:c>
    </x:row>
    <x:row r="364">
      <x:c r="A364" t="s">
        <x:v>188</x:v>
      </x:c>
      <x:c r="B364" t="s">
        <x:v>85</x:v>
      </x:c>
      <x:c r="C364" t="s">
        <x:v>189</x:v>
      </x:c>
      <x:c r="D364" t="s">
        <x:v>190</x:v>
      </x:c>
      <x:c r="E364" t="s">
        <x:v>191</x:v>
      </x:c>
      <x:c r="F364" t="s">
        <x:v>59</x:v>
      </x:c>
    </x:row>
    <x:row r="365">
      <x:c r="A365" t="s">
        <x:v>192</x:v>
      </x:c>
      <x:c r="B365" t="s">
        <x:v>85</x:v>
      </x:c>
      <x:c r="C365" t="s">
        <x:v>170</x:v>
      </x:c>
      <x:c r="D365" t="s">
        <x:v>147</x:v>
      </x:c>
      <x:c r="E365" t="s">
        <x:v>193</x:v>
      </x:c>
      <x:c r="F365" t="s">
        <x:v>59</x:v>
      </x:c>
    </x:row>
    <x:row r="366">
      <x:c r="A366" t="s">
        <x:v>194</x:v>
      </x:c>
      <x:c r="B366" t="s">
        <x:v>195</x:v>
      </x:c>
      <x:c r="C366" t="s">
        <x:v>1405</x:v>
      </x:c>
      <x:c r="D366" t="s">
        <x:v>1406</x:v>
      </x:c>
      <x:c r="E366" t="s">
        <x:v>198</x:v>
      </x:c>
      <x:c r="F366" t="s">
        <x:v>59</x:v>
      </x:c>
    </x:row>
    <x:row r="367">
      <x:c r="A367" t="s">
        <x:v>194</x:v>
      </x:c>
      <x:c r="B367" t="s">
        <x:v>1407</x:v>
      </x:c>
      <x:c r="C367" t="s">
        <x:v>196</x:v>
      </x:c>
      <x:c r="D367" t="s">
        <x:v>1408</x:v>
      </x:c>
      <x:c r="E367" t="s">
        <x:v>198</x:v>
      </x:c>
      <x:c r="F367" t="s">
        <x:v>59</x:v>
      </x:c>
    </x:row>
    <x:row r="368">
      <x:c r="A368" t="s">
        <x:v>199</x:v>
      </x:c>
      <x:c r="B368" t="s">
        <x:v>195</x:v>
      </x:c>
      <x:c r="C368" t="s">
        <x:v>1409</x:v>
      </x:c>
      <x:c r="D368" t="s">
        <x:v>1410</x:v>
      </x:c>
      <x:c r="E368" t="s">
        <x:v>202</x:v>
      </x:c>
      <x:c r="F368" t="s">
        <x:v>59</x:v>
      </x:c>
    </x:row>
    <x:row r="369">
      <x:c r="A369" t="s">
        <x:v>199</x:v>
      </x:c>
      <x:c r="B369" t="s">
        <x:v>1411</x:v>
      </x:c>
      <x:c r="C369" t="s">
        <x:v>200</x:v>
      </x:c>
      <x:c r="D369" t="s">
        <x:v>1412</x:v>
      </x:c>
      <x:c r="E369" t="s">
        <x:v>202</x:v>
      </x:c>
      <x:c r="F369" t="s">
        <x:v>59</x:v>
      </x:c>
    </x:row>
    <x:row r="370">
      <x:c r="A370" t="s">
        <x:v>203</x:v>
      </x:c>
      <x:c r="B370" t="s">
        <x:v>204</x:v>
      </x:c>
      <x:c r="C370" t="s">
        <x:v>205</x:v>
      </x:c>
      <x:c r="D370" t="s">
        <x:v>206</x:v>
      </x:c>
      <x:c r="E370" t="s">
        <x:v>207</x:v>
      </x:c>
      <x:c r="F370" t="s">
        <x:v>59</x:v>
      </x:c>
    </x:row>
    <x:row r="371">
      <x:c r="A371" t="s">
        <x:v>208</x:v>
      </x:c>
      <x:c r="B371" t="s">
        <x:v>204</x:v>
      </x:c>
      <x:c r="C371" t="s">
        <x:v>30</x:v>
      </x:c>
      <x:c r="D371" t="s">
        <x:v>209</x:v>
      </x:c>
      <x:c r="E371" t="s">
        <x:v>210</x:v>
      </x:c>
      <x:c r="F371" t="s">
        <x:v>59</x:v>
      </x:c>
    </x:row>
    <x:row r="372">
      <x:c r="A372" t="s">
        <x:v>211</x:v>
      </x:c>
      <x:c r="B372" t="s">
        <x:v>212</x:v>
      </x:c>
      <x:c r="C372" t="s">
        <x:v>213</x:v>
      </x:c>
      <x:c r="D372" t="s">
        <x:v>214</x:v>
      </x:c>
      <x:c r="E372" t="s">
        <x:v>215</x:v>
      </x:c>
      <x:c r="F372" t="s">
        <x:v>59</x:v>
      </x:c>
    </x:row>
    <x:row r="373">
      <x:c r="A373" t="s">
        <x:v>216</x:v>
      </x:c>
      <x:c r="B373" t="s">
        <x:v>217</x:v>
      </x:c>
      <x:c r="C373" t="s">
        <x:v>218</x:v>
      </x:c>
      <x:c r="D373" t="s">
        <x:v>219</x:v>
      </x:c>
      <x:c r="E373" t="s">
        <x:v>220</x:v>
      </x:c>
      <x:c r="F373" t="s">
        <x:v>59</x:v>
      </x:c>
    </x:row>
    <x:row r="374">
      <x:c r="A374" t="s">
        <x:v>221</x:v>
      </x:c>
      <x:c r="B374" t="s">
        <x:v>217</x:v>
      </x:c>
      <x:c r="C374" t="s">
        <x:v>222</x:v>
      </x:c>
      <x:c r="D374" t="s">
        <x:v>223</x:v>
      </x:c>
      <x:c r="E374" t="s">
        <x:v>224</x:v>
      </x:c>
      <x:c r="F374" t="s">
        <x:v>59</x:v>
      </x:c>
    </x:row>
    <x:row r="375">
      <x:c r="A375" t="s">
        <x:v>225</x:v>
      </x:c>
      <x:c r="B375" t="s">
        <x:v>217</x:v>
      </x:c>
      <x:c r="C375" t="s">
        <x:v>226</x:v>
      </x:c>
      <x:c r="D375" t="s">
        <x:v>227</x:v>
      </x:c>
      <x:c r="E375" t="s">
        <x:v>228</x:v>
      </x:c>
      <x:c r="F375" t="s">
        <x:v>59</x:v>
      </x:c>
    </x:row>
    <x:row r="376">
      <x:c r="A376" t="s">
        <x:v>229</x:v>
      </x:c>
      <x:c r="B376" t="s">
        <x:v>230</x:v>
      </x:c>
      <x:c r="C376" t="s">
        <x:v>231</x:v>
      </x:c>
      <x:c r="D376" t="s">
        <x:v>232</x:v>
      </x:c>
      <x:c r="E376" t="s">
        <x:v>233</x:v>
      </x:c>
      <x:c r="F376" t="s">
        <x:v>59</x:v>
      </x:c>
    </x:row>
    <x:row r="377">
      <x:c r="A377" t="s">
        <x:v>234</x:v>
      </x:c>
      <x:c r="B377" t="s">
        <x:v>230</x:v>
      </x:c>
      <x:c r="C377" t="s">
        <x:v>235</x:v>
      </x:c>
      <x:c r="D377" t="s">
        <x:v>236</x:v>
      </x:c>
      <x:c r="E377" t="s">
        <x:v>237</x:v>
      </x:c>
      <x:c r="F377" t="s">
        <x:v>59</x:v>
      </x:c>
    </x:row>
    <x:row r="378">
      <x:c r="A378" t="s">
        <x:v>238</x:v>
      </x:c>
      <x:c r="B378" t="s">
        <x:v>239</x:v>
      </x:c>
      <x:c r="C378" t="s">
        <x:v>174</x:v>
      </x:c>
      <x:c r="D378" t="s">
        <x:v>240</x:v>
      </x:c>
      <x:c r="E378" t="s">
        <x:v>241</x:v>
      </x:c>
      <x:c r="F378" t="s">
        <x:v>59</x:v>
      </x:c>
    </x:row>
    <x:row r="379">
      <x:c r="A379" t="s">
        <x:v>242</x:v>
      </x:c>
      <x:c r="B379" t="s">
        <x:v>239</x:v>
      </x:c>
      <x:c r="C379" t="s">
        <x:v>243</x:v>
      </x:c>
      <x:c r="D379" t="s">
        <x:v>244</x:v>
      </x:c>
      <x:c r="E379" t="s">
        <x:v>245</x:v>
      </x:c>
      <x:c r="F379" t="s">
        <x:v>59</x:v>
      </x:c>
    </x:row>
    <x:row r="380">
      <x:c r="A380" t="s">
        <x:v>246</x:v>
      </x:c>
      <x:c r="B380" t="s">
        <x:v>247</x:v>
      </x:c>
      <x:c r="C380" t="s">
        <x:v>248</x:v>
      </x:c>
      <x:c r="D380" t="s">
        <x:v>249</x:v>
      </x:c>
      <x:c r="E380" t="s">
        <x:v>250</x:v>
      </x:c>
      <x:c r="F380" t="s">
        <x:v>59</x:v>
      </x:c>
    </x:row>
    <x:row r="381">
      <x:c r="A381" t="s">
        <x:v>251</x:v>
      </x:c>
      <x:c r="B381" t="s">
        <x:v>252</x:v>
      </x:c>
      <x:c r="C381" t="s">
        <x:v>170</x:v>
      </x:c>
      <x:c r="D381" t="s">
        <x:v>253</x:v>
      </x:c>
      <x:c r="E381" t="s">
        <x:v>254</x:v>
      </x:c>
      <x:c r="F381" t="s">
        <x:v>59</x:v>
      </x:c>
    </x:row>
    <x:row r="382">
      <x:c r="A382" t="s">
        <x:v>255</x:v>
      </x:c>
      <x:c r="B382" t="s">
        <x:v>256</x:v>
      </x:c>
      <x:c r="C382" t="s">
        <x:v>1413</x:v>
      </x:c>
      <x:c r="D382" t="s">
        <x:v>130</x:v>
      </x:c>
      <x:c r="E382" t="s">
        <x:v>259</x:v>
      </x:c>
      <x:c r="F382" t="s">
        <x:v>59</x:v>
      </x:c>
    </x:row>
    <x:row r="383">
      <x:c r="A383" t="s">
        <x:v>255</x:v>
      </x:c>
      <x:c r="B383" t="s">
        <x:v>1414</x:v>
      </x:c>
      <x:c r="C383" t="s">
        <x:v>257</x:v>
      </x:c>
      <x:c r="D383" t="s">
        <x:v>1415</x:v>
      </x:c>
      <x:c r="E383" t="s">
        <x:v>259</x:v>
      </x:c>
      <x:c r="F383" t="s">
        <x:v>59</x:v>
      </x:c>
    </x:row>
    <x:row r="384">
      <x:c r="A384" t="s">
        <x:v>260</x:v>
      </x:c>
      <x:c r="B384" t="s">
        <x:v>261</x:v>
      </x:c>
      <x:c r="C384" t="s">
        <x:v>262</x:v>
      </x:c>
      <x:c r="D384" t="s">
        <x:v>263</x:v>
      </x:c>
      <x:c r="E384" t="s">
        <x:v>264</x:v>
      </x:c>
      <x:c r="F384" t="s">
        <x:v>59</x:v>
      </x:c>
    </x:row>
    <x:row r="385">
      <x:c r="A385" t="s">
        <x:v>265</x:v>
      </x:c>
      <x:c r="B385" t="s">
        <x:v>266</x:v>
      </x:c>
      <x:c r="C385" t="s">
        <x:v>777</x:v>
      </x:c>
      <x:c r="D385" t="s">
        <x:v>1416</x:v>
      </x:c>
      <x:c r="E385" t="s">
        <x:v>269</x:v>
      </x:c>
      <x:c r="F385" t="s">
        <x:v>59</x:v>
      </x:c>
    </x:row>
    <x:row r="386">
      <x:c r="A386" t="s">
        <x:v>265</x:v>
      </x:c>
      <x:c r="B386" t="s">
        <x:v>1417</x:v>
      </x:c>
      <x:c r="C386" t="s">
        <x:v>267</x:v>
      </x:c>
      <x:c r="D386" t="s">
        <x:v>1418</x:v>
      </x:c>
      <x:c r="E386" t="s">
        <x:v>269</x:v>
      </x:c>
      <x:c r="F386" t="s">
        <x:v>59</x:v>
      </x:c>
    </x:row>
    <x:row r="387">
      <x:c r="A387" t="s">
        <x:v>270</x:v>
      </x:c>
      <x:c r="B387" t="s">
        <x:v>266</x:v>
      </x:c>
      <x:c r="C387" t="s">
        <x:v>271</x:v>
      </x:c>
      <x:c r="D387" t="s">
        <x:v>272</x:v>
      </x:c>
      <x:c r="E387" t="s">
        <x:v>273</x:v>
      </x:c>
      <x:c r="F387" t="s">
        <x:v>59</x:v>
      </x:c>
    </x:row>
    <x:row r="388">
      <x:c r="A388" t="s">
        <x:v>274</x:v>
      </x:c>
      <x:c r="B388" t="s">
        <x:v>275</x:v>
      </x:c>
      <x:c r="C388" t="s">
        <x:v>160</x:v>
      </x:c>
      <x:c r="D388" t="s">
        <x:v>276</x:v>
      </x:c>
      <x:c r="E388" t="s">
        <x:v>277</x:v>
      </x:c>
      <x:c r="F388" t="s">
        <x:v>59</x:v>
      </x:c>
    </x:row>
    <x:row r="389">
      <x:c r="A389" t="s">
        <x:v>278</x:v>
      </x:c>
      <x:c r="B389" t="s">
        <x:v>279</x:v>
      </x:c>
      <x:c r="C389" t="s">
        <x:v>1419</x:v>
      </x:c>
      <x:c r="D389" t="s">
        <x:v>1420</x:v>
      </x:c>
      <x:c r="E389" t="s">
        <x:v>282</x:v>
      </x:c>
      <x:c r="F389" t="s">
        <x:v>59</x:v>
      </x:c>
    </x:row>
    <x:row r="390">
      <x:c r="A390" t="s">
        <x:v>278</x:v>
      </x:c>
      <x:c r="B390" t="s">
        <x:v>1421</x:v>
      </x:c>
      <x:c r="C390" t="s">
        <x:v>1422</x:v>
      </x:c>
      <x:c r="D390" t="s">
        <x:v>1423</x:v>
      </x:c>
      <x:c r="E390" t="s">
        <x:v>282</x:v>
      </x:c>
      <x:c r="F390" t="s">
        <x:v>59</x:v>
      </x:c>
    </x:row>
    <x:row r="391">
      <x:c r="A391" t="s">
        <x:v>278</x:v>
      </x:c>
      <x:c r="B391" t="s">
        <x:v>1424</x:v>
      </x:c>
      <x:c r="C391" t="s">
        <x:v>280</x:v>
      </x:c>
      <x:c r="D391" t="s">
        <x:v>1425</x:v>
      </x:c>
      <x:c r="E391" t="s">
        <x:v>282</x:v>
      </x:c>
      <x:c r="F391" t="s">
        <x:v>59</x:v>
      </x:c>
    </x:row>
    <x:row r="392">
      <x:c r="A392" t="s">
        <x:v>283</x:v>
      </x:c>
      <x:c r="B392" t="s">
        <x:v>284</x:v>
      </x:c>
      <x:c r="C392" t="s">
        <x:v>285</x:v>
      </x:c>
      <x:c r="D392" t="s">
        <x:v>286</x:v>
      </x:c>
      <x:c r="E392" t="s">
        <x:v>287</x:v>
      </x:c>
      <x:c r="F392" t="s">
        <x:v>59</x:v>
      </x:c>
    </x:row>
    <x:row r="393">
      <x:c r="A393" t="s">
        <x:v>288</x:v>
      </x:c>
      <x:c r="B393" t="s">
        <x:v>289</x:v>
      </x:c>
      <x:c r="C393" t="s">
        <x:v>1426</x:v>
      </x:c>
      <x:c r="D393" t="s">
        <x:v>1427</x:v>
      </x:c>
      <x:c r="E393" t="s">
        <x:v>292</x:v>
      </x:c>
      <x:c r="F393" t="s">
        <x:v>59</x:v>
      </x:c>
    </x:row>
    <x:row r="394">
      <x:c r="A394" t="s">
        <x:v>288</x:v>
      </x:c>
      <x:c r="B394" t="s">
        <x:v>1428</x:v>
      </x:c>
      <x:c r="C394" t="s">
        <x:v>1429</x:v>
      </x:c>
      <x:c r="D394" t="s">
        <x:v>1430</x:v>
      </x:c>
      <x:c r="E394" t="s">
        <x:v>292</x:v>
      </x:c>
      <x:c r="F394" t="s">
        <x:v>59</x:v>
      </x:c>
    </x:row>
    <x:row r="395">
      <x:c r="A395" t="s">
        <x:v>288</x:v>
      </x:c>
      <x:c r="B395" t="s">
        <x:v>1431</x:v>
      </x:c>
      <x:c r="C395" t="s">
        <x:v>1432</x:v>
      </x:c>
      <x:c r="D395" t="s">
        <x:v>1433</x:v>
      </x:c>
      <x:c r="E395" t="s">
        <x:v>292</x:v>
      </x:c>
      <x:c r="F395" t="s">
        <x:v>59</x:v>
      </x:c>
    </x:row>
    <x:row r="396">
      <x:c r="A396" t="s">
        <x:v>288</x:v>
      </x:c>
      <x:c r="B396" t="s">
        <x:v>1434</x:v>
      </x:c>
      <x:c r="C396" t="s">
        <x:v>290</x:v>
      </x:c>
      <x:c r="D396" t="s">
        <x:v>1435</x:v>
      </x:c>
      <x:c r="E396" t="s">
        <x:v>292</x:v>
      </x:c>
      <x:c r="F396" t="s">
        <x:v>59</x:v>
      </x:c>
    </x:row>
    <x:row r="397">
      <x:c r="A397" t="s">
        <x:v>293</x:v>
      </x:c>
      <x:c r="B397" t="s">
        <x:v>294</x:v>
      </x:c>
      <x:c r="C397" t="s">
        <x:v>146</x:v>
      </x:c>
      <x:c r="D397" t="s">
        <x:v>295</x:v>
      </x:c>
      <x:c r="E397" t="s">
        <x:v>296</x:v>
      </x:c>
      <x:c r="F397" t="s">
        <x:v>59</x:v>
      </x:c>
    </x:row>
    <x:row r="398">
      <x:c r="A398" t="s">
        <x:v>297</x:v>
      </x:c>
      <x:c r="B398" t="s">
        <x:v>298</x:v>
      </x:c>
      <x:c r="C398" t="s">
        <x:v>299</x:v>
      </x:c>
      <x:c r="D398" t="s">
        <x:v>300</x:v>
      </x:c>
      <x:c r="E398" t="s">
        <x:v>301</x:v>
      </x:c>
      <x:c r="F398" t="s">
        <x:v>59</x:v>
      </x:c>
    </x:row>
    <x:row r="399">
      <x:c r="A399" t="s">
        <x:v>302</x:v>
      </x:c>
      <x:c r="B399" t="s">
        <x:v>303</x:v>
      </x:c>
      <x:c r="C399" t="s">
        <x:v>304</x:v>
      </x:c>
      <x:c r="D399" t="s">
        <x:v>305</x:v>
      </x:c>
      <x:c r="E399" t="s">
        <x:v>306</x:v>
      </x:c>
      <x:c r="F399" t="s">
        <x:v>59</x:v>
      </x:c>
    </x:row>
    <x:row r="400">
      <x:c r="A400" t="s">
        <x:v>307</x:v>
      </x:c>
      <x:c r="B400" t="s">
        <x:v>308</x:v>
      </x:c>
      <x:c r="C400" t="s">
        <x:v>309</x:v>
      </x:c>
      <x:c r="D400" t="s">
        <x:v>310</x:v>
      </x:c>
      <x:c r="E400" t="s">
        <x:v>311</x:v>
      </x:c>
      <x:c r="F400" t="s">
        <x:v>59</x:v>
      </x:c>
    </x:row>
    <x:row r="401">
      <x:c r="A401" t="s">
        <x:v>312</x:v>
      </x:c>
      <x:c r="B401" t="s">
        <x:v>313</x:v>
      </x:c>
      <x:c r="C401" t="s">
        <x:v>314</x:v>
      </x:c>
      <x:c r="D401" t="s">
        <x:v>315</x:v>
      </x:c>
      <x:c r="E401" t="s">
        <x:v>316</x:v>
      </x:c>
      <x:c r="F401" t="s">
        <x:v>59</x:v>
      </x:c>
    </x:row>
    <x:row r="402">
      <x:c r="A402" t="s">
        <x:v>317</x:v>
      </x:c>
      <x:c r="B402" t="s">
        <x:v>318</x:v>
      </x:c>
      <x:c r="C402" t="s">
        <x:v>319</x:v>
      </x:c>
      <x:c r="D402" t="s">
        <x:v>320</x:v>
      </x:c>
      <x:c r="E402" t="s">
        <x:v>321</x:v>
      </x:c>
      <x:c r="F402" t="s">
        <x:v>59</x:v>
      </x:c>
    </x:row>
    <x:row r="403">
      <x:c r="A403" t="s">
        <x:v>322</x:v>
      </x:c>
      <x:c r="B403" t="s">
        <x:v>323</x:v>
      </x:c>
      <x:c r="C403" t="s">
        <x:v>1436</x:v>
      </x:c>
      <x:c r="D403" t="s">
        <x:v>1437</x:v>
      </x:c>
      <x:c r="E403" t="s">
        <x:v>326</x:v>
      </x:c>
      <x:c r="F403" t="s">
        <x:v>59</x:v>
      </x:c>
    </x:row>
    <x:row r="404">
      <x:c r="A404" t="s">
        <x:v>322</x:v>
      </x:c>
      <x:c r="B404" t="s">
        <x:v>1438</x:v>
      </x:c>
      <x:c r="C404" t="s">
        <x:v>324</x:v>
      </x:c>
      <x:c r="D404" t="s">
        <x:v>1439</x:v>
      </x:c>
      <x:c r="E404" t="s">
        <x:v>326</x:v>
      </x:c>
      <x:c r="F404" t="s">
        <x:v>59</x:v>
      </x:c>
    </x:row>
    <x:row r="405">
      <x:c r="A405" t="s">
        <x:v>327</x:v>
      </x:c>
      <x:c r="B405" t="s">
        <x:v>328</x:v>
      </x:c>
      <x:c r="C405" t="s">
        <x:v>329</x:v>
      </x:c>
      <x:c r="D405" t="s">
        <x:v>330</x:v>
      </x:c>
      <x:c r="E405" t="s">
        <x:v>331</x:v>
      </x:c>
      <x:c r="F405" t="s">
        <x:v>59</x:v>
      </x:c>
    </x:row>
    <x:row r="406">
      <x:c r="A406" t="s">
        <x:v>332</x:v>
      </x:c>
      <x:c r="B406" t="s">
        <x:v>333</x:v>
      </x:c>
      <x:c r="C406" t="s">
        <x:v>334</x:v>
      </x:c>
      <x:c r="D406" t="s">
        <x:v>335</x:v>
      </x:c>
      <x:c r="E406" t="s">
        <x:v>336</x:v>
      </x:c>
      <x:c r="F406" t="s">
        <x:v>59</x:v>
      </x:c>
    </x:row>
    <x:row r="407">
      <x:c r="A407" t="s">
        <x:v>337</x:v>
      </x:c>
      <x:c r="B407" t="s">
        <x:v>338</x:v>
      </x:c>
      <x:c r="C407" t="s">
        <x:v>339</x:v>
      </x:c>
      <x:c r="D407" t="s">
        <x:v>340</x:v>
      </x:c>
      <x:c r="E407" t="s">
        <x:v>341</x:v>
      </x:c>
      <x:c r="F407" t="s">
        <x:v>59</x:v>
      </x:c>
    </x:row>
    <x:row r="408">
      <x:c r="A408" t="s">
        <x:v>342</x:v>
      </x:c>
      <x:c r="B408" t="s">
        <x:v>343</x:v>
      </x:c>
      <x:c r="C408" t="s">
        <x:v>344</x:v>
      </x:c>
      <x:c r="D408" t="s">
        <x:v>345</x:v>
      </x:c>
      <x:c r="E408" t="s">
        <x:v>346</x:v>
      </x:c>
      <x:c r="F408" t="s">
        <x:v>59</x:v>
      </x:c>
    </x:row>
    <x:row r="409">
      <x:c r="A409" t="s">
        <x:v>347</x:v>
      </x:c>
      <x:c r="B409" t="s">
        <x:v>29</x:v>
      </x:c>
      <x:c r="C409" t="s">
        <x:v>348</x:v>
      </x:c>
      <x:c r="D409" t="s">
        <x:v>166</x:v>
      </x:c>
      <x:c r="E409" t="s">
        <x:v>349</x:v>
      </x:c>
      <x:c r="F409" t="s">
        <x:v>59</x:v>
      </x:c>
    </x:row>
    <x:row r="410">
      <x:c r="A410" t="s">
        <x:v>350</x:v>
      </x:c>
      <x:c r="B410" t="s">
        <x:v>351</x:v>
      </x:c>
      <x:c r="C410" t="s">
        <x:v>352</x:v>
      </x:c>
      <x:c r="D410" t="s">
        <x:v>353</x:v>
      </x:c>
      <x:c r="E410" t="s">
        <x:v>354</x:v>
      </x:c>
      <x:c r="F410" t="s">
        <x:v>59</x:v>
      </x:c>
    </x:row>
    <x:row r="411">
      <x:c r="A411" t="s">
        <x:v>355</x:v>
      </x:c>
      <x:c r="B411" t="s">
        <x:v>356</x:v>
      </x:c>
      <x:c r="C411" t="s">
        <x:v>1440</x:v>
      </x:c>
      <x:c r="D411" t="s">
        <x:v>1441</x:v>
      </x:c>
      <x:c r="E411" t="s">
        <x:v>358</x:v>
      </x:c>
      <x:c r="F411" t="s">
        <x:v>59</x:v>
      </x:c>
    </x:row>
    <x:row r="412">
      <x:c r="A412" t="s">
        <x:v>355</x:v>
      </x:c>
      <x:c r="B412" t="s">
        <x:v>830</x:v>
      </x:c>
      <x:c r="C412" t="s">
        <x:v>170</x:v>
      </x:c>
      <x:c r="D412" t="s">
        <x:v>1442</x:v>
      </x:c>
      <x:c r="E412" t="s">
        <x:v>358</x:v>
      </x:c>
      <x:c r="F412" t="s">
        <x:v>59</x:v>
      </x:c>
    </x:row>
    <x:row r="413">
      <x:c r="A413" t="s">
        <x:v>359</x:v>
      </x:c>
      <x:c r="B413" t="s">
        <x:v>360</x:v>
      </x:c>
      <x:c r="C413" t="s">
        <x:v>361</x:v>
      </x:c>
      <x:c r="D413" t="s">
        <x:v>362</x:v>
      </x:c>
      <x:c r="E413" t="s">
        <x:v>363</x:v>
      </x:c>
      <x:c r="F413" t="s">
        <x:v>59</x:v>
      </x:c>
    </x:row>
    <x:row r="414">
      <x:c r="A414" t="s">
        <x:v>364</x:v>
      </x:c>
      <x:c r="B414" t="s">
        <x:v>365</x:v>
      </x:c>
      <x:c r="C414" t="s">
        <x:v>67</x:v>
      </x:c>
      <x:c r="D414" t="s">
        <x:v>366</x:v>
      </x:c>
      <x:c r="E414" t="s">
        <x:v>367</x:v>
      </x:c>
      <x:c r="F414" t="s">
        <x:v>59</x:v>
      </x:c>
    </x:row>
    <x:row r="415">
      <x:c r="A415" t="s">
        <x:v>368</x:v>
      </x:c>
      <x:c r="B415" t="s">
        <x:v>369</x:v>
      </x:c>
      <x:c r="C415" t="s">
        <x:v>51</x:v>
      </x:c>
      <x:c r="D415" t="s">
        <x:v>370</x:v>
      </x:c>
      <x:c r="E415" t="s">
        <x:v>371</x:v>
      </x:c>
      <x:c r="F415" t="s">
        <x:v>59</x:v>
      </x:c>
    </x:row>
    <x:row r="416">
      <x:c r="A416" t="s">
        <x:v>372</x:v>
      </x:c>
      <x:c r="B416" t="s">
        <x:v>373</x:v>
      </x:c>
      <x:c r="C416" t="s">
        <x:v>339</x:v>
      </x:c>
      <x:c r="D416" t="s">
        <x:v>374</x:v>
      </x:c>
      <x:c r="E416" t="s">
        <x:v>375</x:v>
      </x:c>
      <x:c r="F416" t="s">
        <x:v>59</x:v>
      </x:c>
    </x:row>
    <x:row r="417">
      <x:c r="A417" t="s">
        <x:v>376</x:v>
      </x:c>
      <x:c r="B417" t="s">
        <x:v>377</x:v>
      </x:c>
      <x:c r="C417" t="s">
        <x:v>196</x:v>
      </x:c>
      <x:c r="D417" t="s">
        <x:v>378</x:v>
      </x:c>
      <x:c r="E417" t="s">
        <x:v>379</x:v>
      </x:c>
      <x:c r="F417" t="s">
        <x:v>59</x:v>
      </x:c>
    </x:row>
    <x:row r="418">
      <x:c r="A418" t="s">
        <x:v>380</x:v>
      </x:c>
      <x:c r="B418" t="s">
        <x:v>381</x:v>
      </x:c>
      <x:c r="C418" t="s">
        <x:v>382</x:v>
      </x:c>
      <x:c r="D418" t="s">
        <x:v>383</x:v>
      </x:c>
      <x:c r="E418" t="s">
        <x:v>384</x:v>
      </x:c>
      <x:c r="F418" t="s">
        <x:v>59</x:v>
      </x:c>
    </x:row>
    <x:row r="419">
      <x:c r="A419" t="s">
        <x:v>385</x:v>
      </x:c>
      <x:c r="B419" t="s">
        <x:v>386</x:v>
      </x:c>
      <x:c r="C419" t="s">
        <x:v>387</x:v>
      </x:c>
      <x:c r="D419" t="s">
        <x:v>388</x:v>
      </x:c>
      <x:c r="E419" t="s">
        <x:v>389</x:v>
      </x:c>
      <x:c r="F419" t="s">
        <x:v>59</x:v>
      </x:c>
    </x:row>
    <x:row r="420">
      <x:c r="A420" t="s">
        <x:v>390</x:v>
      </x:c>
      <x:c r="B420" t="s">
        <x:v>391</x:v>
      </x:c>
      <x:c r="C420" t="s">
        <x:v>392</x:v>
      </x:c>
      <x:c r="D420" t="s">
        <x:v>393</x:v>
      </x:c>
      <x:c r="E420" t="s">
        <x:v>394</x:v>
      </x:c>
      <x:c r="F420" t="s">
        <x:v>59</x:v>
      </x:c>
    </x:row>
    <x:row r="421">
      <x:c r="A421" t="s">
        <x:v>395</x:v>
      </x:c>
      <x:c r="B421" t="s">
        <x:v>396</x:v>
      </x:c>
      <x:c r="C421" t="s">
        <x:v>98</x:v>
      </x:c>
      <x:c r="D421" t="s">
        <x:v>151</x:v>
      </x:c>
      <x:c r="E421" t="s">
        <x:v>397</x:v>
      </x:c>
      <x:c r="F421" t="s">
        <x:v>59</x:v>
      </x:c>
    </x:row>
    <x:row r="422">
      <x:c r="A422" t="s">
        <x:v>398</x:v>
      </x:c>
      <x:c r="B422" t="s">
        <x:v>399</x:v>
      </x:c>
      <x:c r="C422" t="s">
        <x:v>1443</x:v>
      </x:c>
      <x:c r="D422" t="s">
        <x:v>1444</x:v>
      </x:c>
      <x:c r="E422" t="s">
        <x:v>402</x:v>
      </x:c>
      <x:c r="F422" t="s">
        <x:v>59</x:v>
      </x:c>
    </x:row>
    <x:row r="423">
      <x:c r="A423" t="s">
        <x:v>398</x:v>
      </x:c>
      <x:c r="B423" t="s">
        <x:v>1445</x:v>
      </x:c>
      <x:c r="C423" t="s">
        <x:v>400</x:v>
      </x:c>
      <x:c r="D423" t="s">
        <x:v>1446</x:v>
      </x:c>
      <x:c r="E423" t="s">
        <x:v>402</x:v>
      </x:c>
      <x:c r="F423" t="s">
        <x:v>59</x:v>
      </x:c>
    </x:row>
    <x:row r="424">
      <x:c r="A424" t="s">
        <x:v>403</x:v>
      </x:c>
      <x:c r="B424" t="s">
        <x:v>404</x:v>
      </x:c>
      <x:c r="C424" t="s">
        <x:v>67</x:v>
      </x:c>
      <x:c r="D424" t="s">
        <x:v>405</x:v>
      </x:c>
      <x:c r="E424" t="s">
        <x:v>406</x:v>
      </x:c>
      <x:c r="F424" t="s">
        <x:v>59</x:v>
      </x:c>
    </x:row>
    <x:row r="425">
      <x:c r="A425" t="s">
        <x:v>407</x:v>
      </x:c>
      <x:c r="B425" t="s">
        <x:v>408</x:v>
      </x:c>
      <x:c r="C425" t="s">
        <x:v>409</x:v>
      </x:c>
      <x:c r="D425" t="s">
        <x:v>410</x:v>
      </x:c>
      <x:c r="E425" t="s">
        <x:v>411</x:v>
      </x:c>
      <x:c r="F425" t="s">
        <x:v>59</x:v>
      </x:c>
    </x:row>
    <x:row r="426">
      <x:c r="A426" t="s">
        <x:v>412</x:v>
      </x:c>
      <x:c r="B426" t="s">
        <x:v>413</x:v>
      </x:c>
      <x:c r="C426" t="s">
        <x:v>196</x:v>
      </x:c>
      <x:c r="D426" t="s">
        <x:v>414</x:v>
      </x:c>
      <x:c r="E426" t="s">
        <x:v>415</x:v>
      </x:c>
      <x:c r="F426" t="s">
        <x:v>59</x:v>
      </x:c>
    </x:row>
    <x:row r="427">
      <x:c r="A427" t="s">
        <x:v>416</x:v>
      </x:c>
      <x:c r="B427" t="s">
        <x:v>417</x:v>
      </x:c>
      <x:c r="C427" t="s">
        <x:v>1447</x:v>
      </x:c>
      <x:c r="D427" t="s">
        <x:v>1448</x:v>
      </x:c>
      <x:c r="E427" t="s">
        <x:v>420</x:v>
      </x:c>
      <x:c r="F427" t="s">
        <x:v>59</x:v>
      </x:c>
    </x:row>
    <x:row r="428">
      <x:c r="A428" t="s">
        <x:v>416</x:v>
      </x:c>
      <x:c r="B428" t="s">
        <x:v>1449</x:v>
      </x:c>
      <x:c r="C428" t="s">
        <x:v>418</x:v>
      </x:c>
      <x:c r="D428" t="s">
        <x:v>1450</x:v>
      </x:c>
      <x:c r="E428" t="s">
        <x:v>420</x:v>
      </x:c>
      <x:c r="F428" t="s">
        <x:v>59</x:v>
      </x:c>
    </x:row>
    <x:row r="429">
      <x:c r="A429" t="s">
        <x:v>421</x:v>
      </x:c>
      <x:c r="B429" t="s">
        <x:v>422</x:v>
      </x:c>
      <x:c r="C429" t="s">
        <x:v>231</x:v>
      </x:c>
      <x:c r="D429" t="s">
        <x:v>357</x:v>
      </x:c>
      <x:c r="E429" t="s">
        <x:v>423</x:v>
      </x:c>
      <x:c r="F429" t="s">
        <x:v>59</x:v>
      </x:c>
    </x:row>
    <x:row r="430">
      <x:c r="A430" t="s">
        <x:v>424</x:v>
      </x:c>
      <x:c r="B430" t="s">
        <x:v>425</x:v>
      </x:c>
      <x:c r="C430" t="s">
        <x:v>426</x:v>
      </x:c>
      <x:c r="D430" t="s">
        <x:v>427</x:v>
      </x:c>
      <x:c r="E430" t="s">
        <x:v>428</x:v>
      </x:c>
      <x:c r="F430" t="s">
        <x:v>59</x:v>
      </x:c>
    </x:row>
    <x:row r="431">
      <x:c r="A431" t="s">
        <x:v>429</x:v>
      </x:c>
      <x:c r="B431" t="s">
        <x:v>430</x:v>
      </x:c>
      <x:c r="C431" t="s">
        <x:v>231</x:v>
      </x:c>
      <x:c r="D431" t="s">
        <x:v>431</x:v>
      </x:c>
      <x:c r="E431" t="s">
        <x:v>432</x:v>
      </x:c>
      <x:c r="F431" t="s">
        <x:v>59</x:v>
      </x:c>
    </x:row>
    <x:row r="432">
      <x:c r="A432" t="s">
        <x:v>433</x:v>
      </x:c>
      <x:c r="B432" t="s">
        <x:v>434</x:v>
      </x:c>
      <x:c r="C432" t="s">
        <x:v>1451</x:v>
      </x:c>
      <x:c r="D432" t="s">
        <x:v>1452</x:v>
      </x:c>
      <x:c r="E432" t="s">
        <x:v>437</x:v>
      </x:c>
      <x:c r="F432" t="s">
        <x:v>59</x:v>
      </x:c>
    </x:row>
    <x:row r="433">
      <x:c r="A433" t="s">
        <x:v>433</x:v>
      </x:c>
      <x:c r="B433" t="s">
        <x:v>1453</x:v>
      </x:c>
      <x:c r="C433" t="s">
        <x:v>435</x:v>
      </x:c>
      <x:c r="D433" t="s">
        <x:v>1454</x:v>
      </x:c>
      <x:c r="E433" t="s">
        <x:v>437</x:v>
      </x:c>
      <x:c r="F433" t="s">
        <x:v>59</x:v>
      </x:c>
    </x:row>
    <x:row r="434">
      <x:c r="A434" t="s">
        <x:v>438</x:v>
      </x:c>
      <x:c r="B434" t="s">
        <x:v>439</x:v>
      </x:c>
      <x:c r="C434" t="s">
        <x:v>440</x:v>
      </x:c>
      <x:c r="D434" t="s">
        <x:v>441</x:v>
      </x:c>
      <x:c r="E434" t="s">
        <x:v>442</x:v>
      </x:c>
      <x:c r="F434" t="s">
        <x:v>59</x:v>
      </x:c>
    </x:row>
    <x:row r="435">
      <x:c r="A435" t="s">
        <x:v>443</x:v>
      </x:c>
      <x:c r="B435" t="s">
        <x:v>444</x:v>
      </x:c>
      <x:c r="C435" t="s">
        <x:v>231</x:v>
      </x:c>
      <x:c r="D435" t="s">
        <x:v>445</x:v>
      </x:c>
      <x:c r="E435" t="s">
        <x:v>446</x:v>
      </x:c>
      <x:c r="F435" t="s">
        <x:v>59</x:v>
      </x:c>
    </x:row>
    <x:row r="436">
      <x:c r="A436" t="s">
        <x:v>447</x:v>
      </x:c>
      <x:c r="B436" t="s">
        <x:v>448</x:v>
      </x:c>
      <x:c r="C436" t="s">
        <x:v>449</x:v>
      </x:c>
      <x:c r="D436" t="s">
        <x:v>450</x:v>
      </x:c>
      <x:c r="E436" t="s">
        <x:v>451</x:v>
      </x:c>
      <x:c r="F436" t="s">
        <x:v>59</x:v>
      </x:c>
    </x:row>
    <x:row r="437">
      <x:c r="A437" t="s">
        <x:v>452</x:v>
      </x:c>
      <x:c r="B437" t="s">
        <x:v>453</x:v>
      </x:c>
      <x:c r="C437" t="s">
        <x:v>454</x:v>
      </x:c>
      <x:c r="D437" t="s">
        <x:v>455</x:v>
      </x:c>
      <x:c r="E437" t="s">
        <x:v>456</x:v>
      </x:c>
      <x:c r="F437" t="s">
        <x:v>59</x:v>
      </x:c>
    </x:row>
    <x:row r="438">
      <x:c r="A438" t="s">
        <x:v>457</x:v>
      </x:c>
      <x:c r="B438" t="s">
        <x:v>458</x:v>
      </x:c>
      <x:c r="C438" t="s">
        <x:v>51</x:v>
      </x:c>
      <x:c r="D438" t="s">
        <x:v>459</x:v>
      </x:c>
      <x:c r="E438" t="s">
        <x:v>460</x:v>
      </x:c>
      <x:c r="F438" t="s">
        <x:v>59</x:v>
      </x:c>
    </x:row>
    <x:row r="439">
      <x:c r="A439" t="s">
        <x:v>461</x:v>
      </x:c>
      <x:c r="B439" t="s">
        <x:v>462</x:v>
      </x:c>
      <x:c r="C439" t="s">
        <x:v>463</x:v>
      </x:c>
      <x:c r="D439" t="s">
        <x:v>464</x:v>
      </x:c>
      <x:c r="E439" t="s">
        <x:v>465</x:v>
      </x:c>
      <x:c r="F439" t="s">
        <x:v>59</x:v>
      </x:c>
    </x:row>
    <x:row r="440">
      <x:c r="A440" t="s">
        <x:v>466</x:v>
      </x:c>
      <x:c r="B440" t="s">
        <x:v>467</x:v>
      </x:c>
      <x:c r="C440" t="s">
        <x:v>231</x:v>
      </x:c>
      <x:c r="D440" t="s">
        <x:v>468</x:v>
      </x:c>
      <x:c r="E440" t="s">
        <x:v>469</x:v>
      </x:c>
      <x:c r="F440" t="s">
        <x:v>59</x:v>
      </x:c>
    </x:row>
    <x:row r="441">
      <x:c r="A441" t="s">
        <x:v>470</x:v>
      </x:c>
      <x:c r="B441" t="s">
        <x:v>471</x:v>
      </x:c>
      <x:c r="C441" t="s">
        <x:v>472</x:v>
      </x:c>
      <x:c r="D441" t="s">
        <x:v>473</x:v>
      </x:c>
      <x:c r="E441" t="s">
        <x:v>474</x:v>
      </x:c>
      <x:c r="F441" t="s">
        <x:v>59</x:v>
      </x:c>
    </x:row>
    <x:row r="442">
      <x:c r="A442" t="s">
        <x:v>475</x:v>
      </x:c>
      <x:c r="B442" t="s">
        <x:v>440</x:v>
      </x:c>
      <x:c r="C442" t="s">
        <x:v>231</x:v>
      </x:c>
      <x:c r="D442" t="s">
        <x:v>476</x:v>
      </x:c>
      <x:c r="E442" t="s">
        <x:v>477</x:v>
      </x:c>
      <x:c r="F442" t="s">
        <x:v>59</x:v>
      </x:c>
    </x:row>
    <x:row r="443">
      <x:c r="A443" t="s">
        <x:v>478</x:v>
      </x:c>
      <x:c r="B443" t="s">
        <x:v>440</x:v>
      </x:c>
      <x:c r="C443" t="s">
        <x:v>46</x:v>
      </x:c>
      <x:c r="D443" t="s">
        <x:v>479</x:v>
      </x:c>
      <x:c r="E443" t="s">
        <x:v>480</x:v>
      </x:c>
      <x:c r="F443" t="s">
        <x:v>59</x:v>
      </x:c>
    </x:row>
    <x:row r="444">
      <x:c r="A444" t="s">
        <x:v>481</x:v>
      </x:c>
      <x:c r="B444" t="s">
        <x:v>482</x:v>
      </x:c>
      <x:c r="C444" t="s">
        <x:v>483</x:v>
      </x:c>
      <x:c r="D444" t="s">
        <x:v>484</x:v>
      </x:c>
      <x:c r="E444" t="s">
        <x:v>485</x:v>
      </x:c>
      <x:c r="F444" t="s">
        <x:v>59</x:v>
      </x:c>
    </x:row>
    <x:row r="445">
      <x:c r="A445" t="s">
        <x:v>486</x:v>
      </x:c>
      <x:c r="B445" t="s">
        <x:v>487</x:v>
      </x:c>
      <x:c r="C445" t="s">
        <x:v>488</x:v>
      </x:c>
      <x:c r="D445" t="s">
        <x:v>489</x:v>
      </x:c>
      <x:c r="E445" t="s">
        <x:v>490</x:v>
      </x:c>
      <x:c r="F445" t="s">
        <x:v>59</x:v>
      </x:c>
    </x:row>
    <x:row r="446">
      <x:c r="A446" t="s">
        <x:v>491</x:v>
      </x:c>
      <x:c r="B446" t="s">
        <x:v>492</x:v>
      </x:c>
      <x:c r="C446" t="s">
        <x:v>493</x:v>
      </x:c>
      <x:c r="D446" t="s">
        <x:v>494</x:v>
      </x:c>
      <x:c r="E446" t="s">
        <x:v>495</x:v>
      </x:c>
      <x:c r="F446" t="s">
        <x:v>59</x:v>
      </x:c>
    </x:row>
    <x:row r="447">
      <x:c r="A447" t="s">
        <x:v>496</x:v>
      </x:c>
      <x:c r="B447" t="s">
        <x:v>497</x:v>
      </x:c>
      <x:c r="C447" t="s">
        <x:v>382</x:v>
      </x:c>
      <x:c r="D447" t="s">
        <x:v>498</x:v>
      </x:c>
      <x:c r="E447" t="s">
        <x:v>499</x:v>
      </x:c>
      <x:c r="F447" t="s">
        <x:v>59</x:v>
      </x:c>
    </x:row>
    <x:row r="448">
      <x:c r="A448" t="s">
        <x:v>500</x:v>
      </x:c>
      <x:c r="B448" t="s">
        <x:v>501</x:v>
      </x:c>
      <x:c r="C448" t="s">
        <x:v>502</x:v>
      </x:c>
      <x:c r="D448" t="s">
        <x:v>503</x:v>
      </x:c>
      <x:c r="E448" t="s">
        <x:v>504</x:v>
      </x:c>
      <x:c r="F448" t="s">
        <x:v>59</x:v>
      </x:c>
    </x:row>
    <x:row r="449">
      <x:c r="A449" t="s">
        <x:v>505</x:v>
      </x:c>
      <x:c r="B449" t="s">
        <x:v>506</x:v>
      </x:c>
      <x:c r="C449" t="s">
        <x:v>507</x:v>
      </x:c>
      <x:c r="D449" t="s">
        <x:v>508</x:v>
      </x:c>
      <x:c r="E449" t="s">
        <x:v>509</x:v>
      </x:c>
      <x:c r="F449" t="s">
        <x:v>59</x:v>
      </x:c>
    </x:row>
    <x:row r="450">
      <x:c r="A450" t="s">
        <x:v>510</x:v>
      </x:c>
      <x:c r="B450" t="s">
        <x:v>511</x:v>
      </x:c>
      <x:c r="C450" t="s">
        <x:v>196</x:v>
      </x:c>
      <x:c r="D450" t="s">
        <x:v>512</x:v>
      </x:c>
      <x:c r="E450" t="s">
        <x:v>513</x:v>
      </x:c>
      <x:c r="F450" t="s">
        <x:v>59</x:v>
      </x:c>
    </x:row>
    <x:row r="451">
      <x:c r="A451" t="s">
        <x:v>514</x:v>
      </x:c>
      <x:c r="B451" t="s">
        <x:v>515</x:v>
      </x:c>
      <x:c r="C451" t="s">
        <x:v>516</x:v>
      </x:c>
      <x:c r="D451" t="s">
        <x:v>517</x:v>
      </x:c>
      <x:c r="E451" t="s">
        <x:v>518</x:v>
      </x:c>
      <x:c r="F451" t="s">
        <x:v>59</x:v>
      </x:c>
    </x:row>
    <x:row r="452">
      <x:c r="A452" t="s">
        <x:v>519</x:v>
      </x:c>
      <x:c r="B452" t="s">
        <x:v>520</x:v>
      </x:c>
      <x:c r="C452" t="s">
        <x:v>235</x:v>
      </x:c>
      <x:c r="D452" t="s">
        <x:v>521</x:v>
      </x:c>
      <x:c r="E452" t="s">
        <x:v>522</x:v>
      </x:c>
      <x:c r="F452" t="s">
        <x:v>59</x:v>
      </x:c>
    </x:row>
    <x:row r="453">
      <x:c r="A453" t="s">
        <x:v>523</x:v>
      </x:c>
      <x:c r="B453" t="s">
        <x:v>524</x:v>
      </x:c>
      <x:c r="C453" t="s">
        <x:v>170</x:v>
      </x:c>
      <x:c r="D453" t="s">
        <x:v>525</x:v>
      </x:c>
      <x:c r="E453" t="s">
        <x:v>526</x:v>
      </x:c>
      <x:c r="F453" t="s">
        <x:v>59</x:v>
      </x:c>
    </x:row>
    <x:row r="454">
      <x:c r="A454" t="s">
        <x:v>527</x:v>
      </x:c>
      <x:c r="B454" t="s">
        <x:v>528</x:v>
      </x:c>
      <x:c r="C454" t="s">
        <x:v>529</x:v>
      </x:c>
      <x:c r="D454" t="s">
        <x:v>530</x:v>
      </x:c>
      <x:c r="E454" t="s">
        <x:v>531</x:v>
      </x:c>
      <x:c r="F454" t="s">
        <x:v>59</x:v>
      </x:c>
    </x:row>
    <x:row r="455">
      <x:c r="A455" t="s">
        <x:v>532</x:v>
      </x:c>
      <x:c r="B455" t="s">
        <x:v>533</x:v>
      </x:c>
      <x:c r="C455" t="s">
        <x:v>30</x:v>
      </x:c>
      <x:c r="D455" t="s">
        <x:v>534</x:v>
      </x:c>
      <x:c r="E455" t="s">
        <x:v>535</x:v>
      </x:c>
      <x:c r="F455" t="s">
        <x:v>59</x:v>
      </x:c>
    </x:row>
    <x:row r="456">
      <x:c r="A456" t="s">
        <x:v>536</x:v>
      </x:c>
      <x:c r="B456" t="s">
        <x:v>537</x:v>
      </x:c>
      <x:c r="C456" t="s">
        <x:v>352</x:v>
      </x:c>
      <x:c r="D456" t="s">
        <x:v>538</x:v>
      </x:c>
      <x:c r="E456" t="s">
        <x:v>539</x:v>
      </x:c>
      <x:c r="F456" t="s">
        <x:v>59</x:v>
      </x:c>
    </x:row>
    <x:row r="457">
      <x:c r="A457" t="s">
        <x:v>540</x:v>
      </x:c>
      <x:c r="B457" t="s">
        <x:v>541</x:v>
      </x:c>
      <x:c r="C457" t="s">
        <x:v>339</x:v>
      </x:c>
      <x:c r="D457" t="s">
        <x:v>525</x:v>
      </x:c>
      <x:c r="E457" t="s">
        <x:v>542</x:v>
      </x:c>
      <x:c r="F457" t="s">
        <x:v>59</x:v>
      </x:c>
    </x:row>
    <x:row r="458">
      <x:c r="A458" t="s">
        <x:v>543</x:v>
      </x:c>
      <x:c r="B458" t="s">
        <x:v>40</x:v>
      </x:c>
      <x:c r="C458" t="s">
        <x:v>170</x:v>
      </x:c>
      <x:c r="D458" t="s">
        <x:v>544</x:v>
      </x:c>
      <x:c r="E458" t="s">
        <x:v>545</x:v>
      </x:c>
      <x:c r="F458" t="s">
        <x:v>59</x:v>
      </x:c>
    </x:row>
    <x:row r="459">
      <x:c r="A459" t="s">
        <x:v>546</x:v>
      </x:c>
      <x:c r="B459" t="s">
        <x:v>547</x:v>
      </x:c>
      <x:c r="C459" t="s">
        <x:v>548</x:v>
      </x:c>
      <x:c r="D459" t="s">
        <x:v>549</x:v>
      </x:c>
      <x:c r="E459" t="s">
        <x:v>550</x:v>
      </x:c>
      <x:c r="F459" t="s">
        <x:v>59</x:v>
      </x:c>
    </x:row>
    <x:row r="460">
      <x:c r="A460" t="s">
        <x:v>551</x:v>
      </x:c>
      <x:c r="B460" t="s">
        <x:v>552</x:v>
      </x:c>
      <x:c r="C460" t="s">
        <x:v>553</x:v>
      </x:c>
      <x:c r="D460" t="s">
        <x:v>554</x:v>
      </x:c>
      <x:c r="E460" t="s">
        <x:v>555</x:v>
      </x:c>
      <x:c r="F460" t="s">
        <x:v>59</x:v>
      </x:c>
    </x:row>
    <x:row r="461">
      <x:c r="A461" t="s">
        <x:v>556</x:v>
      </x:c>
      <x:c r="B461" t="s">
        <x:v>557</x:v>
      </x:c>
      <x:c r="C461" t="s">
        <x:v>558</x:v>
      </x:c>
      <x:c r="D461" t="s">
        <x:v>559</x:v>
      </x:c>
      <x:c r="E461" t="s">
        <x:v>560</x:v>
      </x:c>
      <x:c r="F461" t="s">
        <x:v>59</x:v>
      </x:c>
    </x:row>
    <x:row r="462">
      <x:c r="A462" t="s">
        <x:v>561</x:v>
      </x:c>
      <x:c r="B462" t="s">
        <x:v>562</x:v>
      </x:c>
      <x:c r="C462" t="s">
        <x:v>1455</x:v>
      </x:c>
      <x:c r="D462" t="s">
        <x:v>1456</x:v>
      </x:c>
      <x:c r="E462" t="s">
        <x:v>565</x:v>
      </x:c>
      <x:c r="F462" t="s">
        <x:v>59</x:v>
      </x:c>
    </x:row>
    <x:row r="463">
      <x:c r="A463" t="s">
        <x:v>561</x:v>
      </x:c>
      <x:c r="B463" t="s">
        <x:v>1457</x:v>
      </x:c>
      <x:c r="C463" t="s">
        <x:v>563</x:v>
      </x:c>
      <x:c r="D463" t="s">
        <x:v>1458</x:v>
      </x:c>
      <x:c r="E463" t="s">
        <x:v>565</x:v>
      </x:c>
      <x:c r="F463" t="s">
        <x:v>59</x:v>
      </x:c>
    </x:row>
    <x:row r="464">
      <x:c r="A464" t="s">
        <x:v>566</x:v>
      </x:c>
      <x:c r="B464" t="s">
        <x:v>567</x:v>
      </x:c>
      <x:c r="C464" t="s">
        <x:v>334</x:v>
      </x:c>
      <x:c r="D464" t="s">
        <x:v>568</x:v>
      </x:c>
      <x:c r="E464" t="s">
        <x:v>569</x:v>
      </x:c>
      <x:c r="F464" t="s">
        <x:v>59</x:v>
      </x:c>
    </x:row>
    <x:row r="465">
      <x:c r="A465" t="s">
        <x:v>570</x:v>
      </x:c>
      <x:c r="B465" t="s">
        <x:v>571</x:v>
      </x:c>
      <x:c r="C465" t="s">
        <x:v>572</x:v>
      </x:c>
      <x:c r="D465" t="s">
        <x:v>573</x:v>
      </x:c>
      <x:c r="E465" t="s">
        <x:v>574</x:v>
      </x:c>
      <x:c r="F465" t="s">
        <x:v>59</x:v>
      </x:c>
    </x:row>
    <x:row r="466">
      <x:c r="A466" t="s">
        <x:v>575</x:v>
      </x:c>
      <x:c r="B466" t="s">
        <x:v>571</x:v>
      </x:c>
      <x:c r="C466" t="s">
        <x:v>418</x:v>
      </x:c>
      <x:c r="D466" t="s">
        <x:v>576</x:v>
      </x:c>
      <x:c r="E466" t="s">
        <x:v>577</x:v>
      </x:c>
      <x:c r="F466" t="s">
        <x:v>59</x:v>
      </x:c>
    </x:row>
    <x:row r="467">
      <x:c r="A467" t="s">
        <x:v>578</x:v>
      </x:c>
      <x:c r="B467" t="s">
        <x:v>579</x:v>
      </x:c>
      <x:c r="C467" t="s">
        <x:v>67</x:v>
      </x:c>
      <x:c r="D467" t="s">
        <x:v>580</x:v>
      </x:c>
      <x:c r="E467" t="s">
        <x:v>581</x:v>
      </x:c>
      <x:c r="F467" t="s">
        <x:v>59</x:v>
      </x:c>
    </x:row>
    <x:row r="468">
      <x:c r="A468" t="s">
        <x:v>582</x:v>
      </x:c>
      <x:c r="B468" t="s">
        <x:v>583</x:v>
      </x:c>
      <x:c r="C468" t="s">
        <x:v>584</x:v>
      </x:c>
      <x:c r="D468" t="s">
        <x:v>585</x:v>
      </x:c>
      <x:c r="E468" t="s">
        <x:v>586</x:v>
      </x:c>
      <x:c r="F468" t="s">
        <x:v>59</x:v>
      </x:c>
    </x:row>
    <x:row r="469">
      <x:c r="A469" t="s">
        <x:v>587</x:v>
      </x:c>
      <x:c r="B469" t="s">
        <x:v>588</x:v>
      </x:c>
      <x:c r="C469" t="s">
        <x:v>589</x:v>
      </x:c>
      <x:c r="D469" t="s">
        <x:v>232</x:v>
      </x:c>
      <x:c r="E469" t="s">
        <x:v>590</x:v>
      </x:c>
      <x:c r="F469" t="s">
        <x:v>59</x:v>
      </x:c>
    </x:row>
    <x:row r="470">
      <x:c r="A470" t="s">
        <x:v>591</x:v>
      </x:c>
      <x:c r="B470" t="s">
        <x:v>592</x:v>
      </x:c>
      <x:c r="C470" t="s">
        <x:v>584</x:v>
      </x:c>
      <x:c r="D470" t="s">
        <x:v>593</x:v>
      </x:c>
      <x:c r="E470" t="s">
        <x:v>594</x:v>
      </x:c>
      <x:c r="F470" t="s">
        <x:v>59</x:v>
      </x:c>
    </x:row>
    <x:row r="471">
      <x:c r="A471" t="s">
        <x:v>595</x:v>
      </x:c>
      <x:c r="B471" t="s">
        <x:v>592</x:v>
      </x:c>
      <x:c r="C471" t="s">
        <x:v>596</x:v>
      </x:c>
      <x:c r="D471" t="s">
        <x:v>597</x:v>
      </x:c>
      <x:c r="E471" t="s">
        <x:v>598</x:v>
      </x:c>
      <x:c r="F471" t="s">
        <x:v>59</x:v>
      </x:c>
    </x:row>
    <x:row r="472">
      <x:c r="A472" t="s">
        <x:v>599</x:v>
      </x:c>
      <x:c r="B472" t="s">
        <x:v>600</x:v>
      </x:c>
      <x:c r="C472" t="s">
        <x:v>516</x:v>
      </x:c>
      <x:c r="D472" t="s">
        <x:v>601</x:v>
      </x:c>
      <x:c r="E472" t="s">
        <x:v>602</x:v>
      </x:c>
      <x:c r="F472" t="s">
        <x:v>59</x:v>
      </x:c>
    </x:row>
    <x:row r="473">
      <x:c r="A473" t="s">
        <x:v>603</x:v>
      </x:c>
      <x:c r="B473" t="s">
        <x:v>600</x:v>
      </x:c>
      <x:c r="C473" t="s">
        <x:v>1459</x:v>
      </x:c>
      <x:c r="D473" t="s">
        <x:v>1460</x:v>
      </x:c>
      <x:c r="E473" t="s">
        <x:v>606</x:v>
      </x:c>
      <x:c r="F473" t="s">
        <x:v>59</x:v>
      </x:c>
    </x:row>
    <x:row r="474">
      <x:c r="A474" t="s">
        <x:v>603</x:v>
      </x:c>
      <x:c r="B474" t="s">
        <x:v>1461</x:v>
      </x:c>
      <x:c r="C474" t="s">
        <x:v>604</x:v>
      </x:c>
      <x:c r="D474" t="s">
        <x:v>1010</x:v>
      </x:c>
      <x:c r="E474" t="s">
        <x:v>606</x:v>
      </x:c>
      <x:c r="F474" t="s">
        <x:v>59</x:v>
      </x:c>
    </x:row>
    <x:row r="475">
      <x:c r="A475" t="s">
        <x:v>607</x:v>
      </x:c>
      <x:c r="B475" t="s">
        <x:v>608</x:v>
      </x:c>
      <x:c r="C475" t="s">
        <x:v>51</x:v>
      </x:c>
      <x:c r="D475" t="s">
        <x:v>609</x:v>
      </x:c>
      <x:c r="E475" t="s">
        <x:v>610</x:v>
      </x:c>
      <x:c r="F475" t="s">
        <x:v>59</x:v>
      </x:c>
    </x:row>
    <x:row r="476">
      <x:c r="A476" t="s">
        <x:v>611</x:v>
      </x:c>
      <x:c r="B476" t="s">
        <x:v>612</x:v>
      </x:c>
      <x:c r="C476" t="s">
        <x:v>46</x:v>
      </x:c>
      <x:c r="D476" t="s">
        <x:v>601</x:v>
      </x:c>
      <x:c r="E476" t="s">
        <x:v>613</x:v>
      </x:c>
      <x:c r="F476" t="s">
        <x:v>59</x:v>
      </x:c>
    </x:row>
    <x:row r="477">
      <x:c r="A477" t="s">
        <x:v>614</x:v>
      </x:c>
      <x:c r="B477" t="s">
        <x:v>615</x:v>
      </x:c>
      <x:c r="C477" t="s">
        <x:v>616</x:v>
      </x:c>
      <x:c r="D477" t="s">
        <x:v>617</x:v>
      </x:c>
      <x:c r="E477" t="s">
        <x:v>618</x:v>
      </x:c>
      <x:c r="F477" t="s">
        <x:v>59</x:v>
      </x:c>
    </x:row>
    <x:row r="478">
      <x:c r="A478" t="s">
        <x:v>619</x:v>
      </x:c>
      <x:c r="B478" t="s">
        <x:v>620</x:v>
      </x:c>
      <x:c r="C478" t="s">
        <x:v>621</x:v>
      </x:c>
      <x:c r="D478" t="s">
        <x:v>622</x:v>
      </x:c>
      <x:c r="E478" t="s">
        <x:v>623</x:v>
      </x:c>
      <x:c r="F478" t="s">
        <x:v>59</x:v>
      </x:c>
    </x:row>
    <x:row r="479">
      <x:c r="A479" t="s">
        <x:v>624</x:v>
      </x:c>
      <x:c r="B479" t="s">
        <x:v>45</x:v>
      </x:c>
      <x:c r="C479" t="s">
        <x:v>1462</x:v>
      </x:c>
      <x:c r="D479" t="s">
        <x:v>1463</x:v>
      </x:c>
      <x:c r="E479" t="s">
        <x:v>626</x:v>
      </x:c>
      <x:c r="F479" t="s">
        <x:v>59</x:v>
      </x:c>
    </x:row>
    <x:row r="480">
      <x:c r="A480" t="s">
        <x:v>624</x:v>
      </x:c>
      <x:c r="B480" t="s">
        <x:v>1464</x:v>
      </x:c>
      <x:c r="C480" t="s">
        <x:v>170</x:v>
      </x:c>
      <x:c r="D480" t="s">
        <x:v>1465</x:v>
      </x:c>
      <x:c r="E480" t="s">
        <x:v>626</x:v>
      </x:c>
      <x:c r="F480" t="s">
        <x:v>59</x:v>
      </x:c>
    </x:row>
    <x:row r="481">
      <x:c r="A481" t="s">
        <x:v>627</x:v>
      </x:c>
      <x:c r="B481" t="s">
        <x:v>628</x:v>
      </x:c>
      <x:c r="C481" t="s">
        <x:v>629</x:v>
      </x:c>
      <x:c r="D481" t="s">
        <x:v>630</x:v>
      </x:c>
      <x:c r="E481" t="s">
        <x:v>631</x:v>
      </x:c>
      <x:c r="F481" t="s">
        <x:v>59</x:v>
      </x:c>
    </x:row>
    <x:row r="482">
      <x:c r="A482" t="s">
        <x:v>632</x:v>
      </x:c>
      <x:c r="B482" t="s">
        <x:v>628</x:v>
      </x:c>
      <x:c r="C482" t="s">
        <x:v>1466</x:v>
      </x:c>
      <x:c r="D482" t="s">
        <x:v>1467</x:v>
      </x:c>
      <x:c r="E482" t="s">
        <x:v>634</x:v>
      </x:c>
      <x:c r="F482" t="s">
        <x:v>59</x:v>
      </x:c>
    </x:row>
    <x:row r="483">
      <x:c r="A483" t="s">
        <x:v>632</x:v>
      </x:c>
      <x:c r="B483" t="s">
        <x:v>1468</x:v>
      </x:c>
      <x:c r="C483" t="s">
        <x:v>67</x:v>
      </x:c>
      <x:c r="D483" t="s">
        <x:v>1469</x:v>
      </x:c>
      <x:c r="E483" t="s">
        <x:v>634</x:v>
      </x:c>
      <x:c r="F483" t="s">
        <x:v>59</x:v>
      </x:c>
    </x:row>
    <x:row r="484">
      <x:c r="A484" t="s">
        <x:v>635</x:v>
      </x:c>
      <x:c r="B484" t="s">
        <x:v>636</x:v>
      </x:c>
      <x:c r="C484" t="s">
        <x:v>1470</x:v>
      </x:c>
      <x:c r="D484" t="s">
        <x:v>1471</x:v>
      </x:c>
      <x:c r="E484" t="s">
        <x:v>638</x:v>
      </x:c>
      <x:c r="F484" t="s">
        <x:v>59</x:v>
      </x:c>
    </x:row>
    <x:row r="485">
      <x:c r="A485" t="s">
        <x:v>635</x:v>
      </x:c>
      <x:c r="B485" t="s">
        <x:v>1472</x:v>
      </x:c>
      <x:c r="C485" t="s">
        <x:v>231</x:v>
      </x:c>
      <x:c r="D485" t="s">
        <x:v>1473</x:v>
      </x:c>
      <x:c r="E485" t="s">
        <x:v>638</x:v>
      </x:c>
      <x:c r="F485" t="s">
        <x:v>59</x:v>
      </x:c>
    </x:row>
    <x:row r="486">
      <x:c r="A486" t="s">
        <x:v>639</x:v>
      </x:c>
      <x:c r="B486" t="s">
        <x:v>636</x:v>
      </x:c>
      <x:c r="C486" t="s">
        <x:v>640</x:v>
      </x:c>
      <x:c r="D486" t="s">
        <x:v>641</x:v>
      </x:c>
      <x:c r="E486" t="s">
        <x:v>642</x:v>
      </x:c>
      <x:c r="F486" t="s">
        <x:v>59</x:v>
      </x:c>
    </x:row>
    <x:row r="487">
      <x:c r="A487" t="s">
        <x:v>643</x:v>
      </x:c>
      <x:c r="B487" t="s">
        <x:v>636</x:v>
      </x:c>
      <x:c r="C487" t="s">
        <x:v>334</x:v>
      </x:c>
      <x:c r="D487" t="s">
        <x:v>644</x:v>
      </x:c>
      <x:c r="E487" t="s">
        <x:v>645</x:v>
      </x:c>
      <x:c r="F487" t="s">
        <x:v>59</x:v>
      </x:c>
    </x:row>
    <x:row r="488">
      <x:c r="A488" t="s">
        <x:v>646</x:v>
      </x:c>
      <x:c r="B488" t="s">
        <x:v>647</x:v>
      </x:c>
      <x:c r="C488" t="s">
        <x:v>648</x:v>
      </x:c>
      <x:c r="D488" t="s">
        <x:v>649</x:v>
      </x:c>
      <x:c r="E488" t="s">
        <x:v>650</x:v>
      </x:c>
      <x:c r="F488" t="s">
        <x:v>59</x:v>
      </x:c>
    </x:row>
    <x:row r="489">
      <x:c r="A489" t="s">
        <x:v>651</x:v>
      </x:c>
      <x:c r="B489" t="s">
        <x:v>652</x:v>
      </x:c>
      <x:c r="C489" t="s">
        <x:v>653</x:v>
      </x:c>
      <x:c r="D489" t="s">
        <x:v>654</x:v>
      </x:c>
      <x:c r="E489" t="s">
        <x:v>655</x:v>
      </x:c>
      <x:c r="F489" t="s">
        <x:v>59</x:v>
      </x:c>
    </x:row>
    <x:row r="490">
      <x:c r="A490" t="s">
        <x:v>656</x:v>
      </x:c>
      <x:c r="B490" t="s">
        <x:v>657</x:v>
      </x:c>
      <x:c r="C490" t="s">
        <x:v>231</x:v>
      </x:c>
      <x:c r="D490" t="s">
        <x:v>658</x:v>
      </x:c>
      <x:c r="E490" t="s">
        <x:v>659</x:v>
      </x:c>
      <x:c r="F490" t="s">
        <x:v>59</x:v>
      </x:c>
    </x:row>
    <x:row r="491">
      <x:c r="A491" t="s">
        <x:v>660</x:v>
      </x:c>
      <x:c r="B491" t="s">
        <x:v>661</x:v>
      </x:c>
      <x:c r="C491" t="s">
        <x:v>516</x:v>
      </x:c>
      <x:c r="D491" t="s">
        <x:v>662</x:v>
      </x:c>
      <x:c r="E491" t="s">
        <x:v>663</x:v>
      </x:c>
      <x:c r="F491" t="s">
        <x:v>59</x:v>
      </x:c>
    </x:row>
    <x:row r="492">
      <x:c r="A492" t="s">
        <x:v>664</x:v>
      </x:c>
      <x:c r="B492" t="s">
        <x:v>665</x:v>
      </x:c>
      <x:c r="C492" t="s">
        <x:v>56</x:v>
      </x:c>
      <x:c r="D492" t="s">
        <x:v>666</x:v>
      </x:c>
      <x:c r="E492" t="s">
        <x:v>667</x:v>
      </x:c>
      <x:c r="F492" t="s">
        <x:v>59</x:v>
      </x:c>
    </x:row>
    <x:row r="493">
      <x:c r="A493" t="s">
        <x:v>668</x:v>
      </x:c>
      <x:c r="B493" t="s">
        <x:v>669</x:v>
      </x:c>
      <x:c r="C493" t="s">
        <x:v>670</x:v>
      </x:c>
      <x:c r="D493" t="s">
        <x:v>671</x:v>
      </x:c>
      <x:c r="E493" t="s">
        <x:v>672</x:v>
      </x:c>
      <x:c r="F493" t="s">
        <x:v>59</x:v>
      </x:c>
    </x:row>
    <x:row r="494">
      <x:c r="A494" t="s">
        <x:v>673</x:v>
      </x:c>
      <x:c r="B494" t="s">
        <x:v>674</x:v>
      </x:c>
      <x:c r="C494" t="s">
        <x:v>138</x:v>
      </x:c>
      <x:c r="D494" t="s">
        <x:v>675</x:v>
      </x:c>
      <x:c r="E494" t="s">
        <x:v>676</x:v>
      </x:c>
      <x:c r="F494" t="s">
        <x:v>59</x:v>
      </x:c>
    </x:row>
    <x:row r="495">
      <x:c r="A495" t="s">
        <x:v>677</x:v>
      </x:c>
      <x:c r="B495" t="s">
        <x:v>678</x:v>
      </x:c>
      <x:c r="C495" t="s">
        <x:v>679</x:v>
      </x:c>
      <x:c r="D495" t="s">
        <x:v>680</x:v>
      </x:c>
      <x:c r="E495" t="s">
        <x:v>681</x:v>
      </x:c>
      <x:c r="F495" t="s">
        <x:v>59</x:v>
      </x:c>
    </x:row>
    <x:row r="496">
      <x:c r="A496" t="s">
        <x:v>682</x:v>
      </x:c>
      <x:c r="B496" t="s">
        <x:v>683</x:v>
      </x:c>
      <x:c r="C496" t="s">
        <x:v>684</x:v>
      </x:c>
      <x:c r="D496" t="s">
        <x:v>685</x:v>
      </x:c>
      <x:c r="E496" t="s">
        <x:v>686</x:v>
      </x:c>
      <x:c r="F496" t="s">
        <x:v>59</x:v>
      </x:c>
    </x:row>
    <x:row r="497">
      <x:c r="A497" t="s">
        <x:v>687</x:v>
      </x:c>
      <x:c r="B497" t="s">
        <x:v>683</x:v>
      </x:c>
      <x:c r="C497" t="s">
        <x:v>572</x:v>
      </x:c>
      <x:c r="D497" t="s">
        <x:v>688</x:v>
      </x:c>
      <x:c r="E497" t="s">
        <x:v>689</x:v>
      </x:c>
      <x:c r="F497" t="s">
        <x:v>59</x:v>
      </x:c>
    </x:row>
    <x:row r="498">
      <x:c r="A498" t="s">
        <x:v>690</x:v>
      </x:c>
      <x:c r="B498" t="s">
        <x:v>691</x:v>
      </x:c>
      <x:c r="C498" t="s">
        <x:v>692</x:v>
      </x:c>
      <x:c r="D498" t="s">
        <x:v>693</x:v>
      </x:c>
      <x:c r="E498" t="s">
        <x:v>694</x:v>
      </x:c>
      <x:c r="F498" t="s">
        <x:v>59</x:v>
      </x:c>
    </x:row>
    <x:row r="499">
      <x:c r="A499" t="s">
        <x:v>695</x:v>
      </x:c>
      <x:c r="B499" t="s">
        <x:v>696</x:v>
      </x:c>
      <x:c r="C499" t="s">
        <x:v>67</x:v>
      </x:c>
      <x:c r="D499" t="s">
        <x:v>697</x:v>
      </x:c>
      <x:c r="E499" t="s">
        <x:v>698</x:v>
      </x:c>
      <x:c r="F499" t="s">
        <x:v>59</x:v>
      </x:c>
    </x:row>
    <x:row r="500">
      <x:c r="A500" t="s">
        <x:v>699</x:v>
      </x:c>
      <x:c r="B500" t="s">
        <x:v>700</x:v>
      </x:c>
      <x:c r="C500" t="s">
        <x:v>170</x:v>
      </x:c>
      <x:c r="D500" t="s">
        <x:v>701</x:v>
      </x:c>
      <x:c r="E500" t="s">
        <x:v>702</x:v>
      </x:c>
      <x:c r="F500" t="s">
        <x:v>59</x:v>
      </x:c>
    </x:row>
    <x:row r="501">
      <x:c r="A501" t="s">
        <x:v>703</x:v>
      </x:c>
      <x:c r="B501" t="s">
        <x:v>704</x:v>
      </x:c>
      <x:c r="C501" t="s">
        <x:v>1474</x:v>
      </x:c>
      <x:c r="D501" t="s">
        <x:v>1475</x:v>
      </x:c>
      <x:c r="E501" t="s">
        <x:v>706</x:v>
      </x:c>
      <x:c r="F501" t="s">
        <x:v>59</x:v>
      </x:c>
    </x:row>
    <x:row r="502">
      <x:c r="A502" t="s">
        <x:v>703</x:v>
      </x:c>
      <x:c r="B502" t="s">
        <x:v>1476</x:v>
      </x:c>
      <x:c r="C502" t="s">
        <x:v>1477</x:v>
      </x:c>
      <x:c r="D502" t="s">
        <x:v>1478</x:v>
      </x:c>
      <x:c r="E502" t="s">
        <x:v>706</x:v>
      </x:c>
      <x:c r="F502" t="s">
        <x:v>59</x:v>
      </x:c>
    </x:row>
    <x:row r="503">
      <x:c r="A503" t="s">
        <x:v>703</x:v>
      </x:c>
      <x:c r="B503" t="s">
        <x:v>1479</x:v>
      </x:c>
      <x:c r="C503" t="s">
        <x:v>1480</x:v>
      </x:c>
      <x:c r="D503" t="s">
        <x:v>1481</x:v>
      </x:c>
      <x:c r="E503" t="s">
        <x:v>706</x:v>
      </x:c>
      <x:c r="F503" t="s">
        <x:v>59</x:v>
      </x:c>
    </x:row>
    <x:row r="504">
      <x:c r="A504" t="s">
        <x:v>703</x:v>
      </x:c>
      <x:c r="B504" t="s">
        <x:v>1482</x:v>
      </x:c>
      <x:c r="C504" t="s">
        <x:v>67</x:v>
      </x:c>
      <x:c r="D504" t="s">
        <x:v>1483</x:v>
      </x:c>
      <x:c r="E504" t="s">
        <x:v>706</x:v>
      </x:c>
      <x:c r="F504" t="s">
        <x:v>59</x:v>
      </x:c>
    </x:row>
    <x:row r="505">
      <x:c r="A505" t="s">
        <x:v>707</x:v>
      </x:c>
      <x:c r="B505" t="s">
        <x:v>704</x:v>
      </x:c>
      <x:c r="C505" t="s">
        <x:v>146</x:v>
      </x:c>
      <x:c r="D505" t="s">
        <x:v>708</x:v>
      </x:c>
      <x:c r="E505" t="s">
        <x:v>709</x:v>
      </x:c>
      <x:c r="F505" t="s">
        <x:v>59</x:v>
      </x:c>
    </x:row>
    <x:row r="506">
      <x:c r="A506" t="s">
        <x:v>710</x:v>
      </x:c>
      <x:c r="B506" t="s">
        <x:v>711</x:v>
      </x:c>
      <x:c r="C506" t="s">
        <x:v>1484</x:v>
      </x:c>
      <x:c r="D506" t="s">
        <x:v>1485</x:v>
      </x:c>
      <x:c r="E506" t="s">
        <x:v>714</x:v>
      </x:c>
      <x:c r="F506" t="s">
        <x:v>59</x:v>
      </x:c>
    </x:row>
    <x:row r="507">
      <x:c r="A507" t="s">
        <x:v>710</x:v>
      </x:c>
      <x:c r="B507" t="s">
        <x:v>1486</x:v>
      </x:c>
      <x:c r="C507" t="s">
        <x:v>712</x:v>
      </x:c>
      <x:c r="D507" t="s">
        <x:v>1487</x:v>
      </x:c>
      <x:c r="E507" t="s">
        <x:v>714</x:v>
      </x:c>
      <x:c r="F507" t="s">
        <x:v>59</x:v>
      </x:c>
    </x:row>
    <x:row r="508">
      <x:c r="A508" t="s">
        <x:v>715</x:v>
      </x:c>
      <x:c r="B508" t="s">
        <x:v>711</x:v>
      </x:c>
      <x:c r="C508" t="s">
        <x:v>716</x:v>
      </x:c>
      <x:c r="D508" t="s">
        <x:v>717</x:v>
      </x:c>
      <x:c r="E508" t="s">
        <x:v>718</x:v>
      </x:c>
      <x:c r="F508" t="s">
        <x:v>59</x:v>
      </x:c>
    </x:row>
    <x:row r="509">
      <x:c r="A509" t="s">
        <x:v>719</x:v>
      </x:c>
      <x:c r="B509" t="s">
        <x:v>720</x:v>
      </x:c>
      <x:c r="C509" t="s">
        <x:v>721</x:v>
      </x:c>
      <x:c r="D509" t="s">
        <x:v>722</x:v>
      </x:c>
      <x:c r="E509" t="s">
        <x:v>723</x:v>
      </x:c>
      <x:c r="F509" t="s">
        <x:v>59</x:v>
      </x:c>
    </x:row>
    <x:row r="510">
      <x:c r="A510" t="s">
        <x:v>724</x:v>
      </x:c>
      <x:c r="B510" t="s">
        <x:v>725</x:v>
      </x:c>
      <x:c r="C510" t="s">
        <x:v>726</x:v>
      </x:c>
      <x:c r="D510" t="s">
        <x:v>727</x:v>
      </x:c>
      <x:c r="E510" t="s">
        <x:v>728</x:v>
      </x:c>
      <x:c r="F510" t="s">
        <x:v>59</x:v>
      </x:c>
    </x:row>
    <x:row r="511">
      <x:c r="A511" t="s">
        <x:v>729</x:v>
      </x:c>
      <x:c r="B511" t="s">
        <x:v>730</x:v>
      </x:c>
      <x:c r="C511" t="s">
        <x:v>170</x:v>
      </x:c>
      <x:c r="D511" t="s">
        <x:v>731</x:v>
      </x:c>
      <x:c r="E511" t="s">
        <x:v>732</x:v>
      </x:c>
      <x:c r="F511" t="s">
        <x:v>59</x:v>
      </x:c>
    </x:row>
    <x:row r="512">
      <x:c r="A512" t="s">
        <x:v>733</x:v>
      </x:c>
      <x:c r="B512" t="s">
        <x:v>734</x:v>
      </x:c>
      <x:c r="C512" t="s">
        <x:v>231</x:v>
      </x:c>
      <x:c r="D512" t="s">
        <x:v>735</x:v>
      </x:c>
      <x:c r="E512" t="s">
        <x:v>736</x:v>
      </x:c>
      <x:c r="F512" t="s">
        <x:v>59</x:v>
      </x:c>
    </x:row>
    <x:row r="513">
      <x:c r="A513" t="s">
        <x:v>737</x:v>
      </x:c>
      <x:c r="B513" t="s">
        <x:v>738</x:v>
      </x:c>
      <x:c r="C513" t="s">
        <x:v>1488</x:v>
      </x:c>
      <x:c r="D513" t="s">
        <x:v>713</x:v>
      </x:c>
      <x:c r="E513" t="s">
        <x:v>740</x:v>
      </x:c>
      <x:c r="F513" t="s">
        <x:v>59</x:v>
      </x:c>
    </x:row>
    <x:row r="514">
      <x:c r="A514" t="s">
        <x:v>737</x:v>
      </x:c>
      <x:c r="B514" t="s">
        <x:v>1489</x:v>
      </x:c>
      <x:c r="C514" t="s">
        <x:v>46</x:v>
      </x:c>
      <x:c r="D514" t="s">
        <x:v>1490</x:v>
      </x:c>
      <x:c r="E514" t="s">
        <x:v>740</x:v>
      </x:c>
      <x:c r="F514" t="s">
        <x:v>59</x:v>
      </x:c>
    </x:row>
    <x:row r="515">
      <x:c r="A515" t="s">
        <x:v>741</x:v>
      </x:c>
      <x:c r="B515" t="s">
        <x:v>742</x:v>
      </x:c>
      <x:c r="C515" t="s">
        <x:v>67</x:v>
      </x:c>
      <x:c r="D515" t="s">
        <x:v>743</x:v>
      </x:c>
      <x:c r="E515" t="s">
        <x:v>744</x:v>
      </x:c>
      <x:c r="F515" t="s">
        <x:v>59</x:v>
      </x:c>
    </x:row>
    <x:row r="516">
      <x:c r="A516" t="s">
        <x:v>745</x:v>
      </x:c>
      <x:c r="B516" t="s">
        <x:v>746</x:v>
      </x:c>
      <x:c r="C516" t="s">
        <x:v>1491</x:v>
      </x:c>
      <x:c r="D516" t="s">
        <x:v>1492</x:v>
      </x:c>
      <x:c r="E516" t="s">
        <x:v>748</x:v>
      </x:c>
      <x:c r="F516" t="s">
        <x:v>59</x:v>
      </x:c>
    </x:row>
    <x:row r="517">
      <x:c r="A517" t="s">
        <x:v>745</x:v>
      </x:c>
      <x:c r="B517" t="s">
        <x:v>1493</x:v>
      </x:c>
      <x:c r="C517" t="s">
        <x:v>98</x:v>
      </x:c>
      <x:c r="D517" t="s">
        <x:v>1494</x:v>
      </x:c>
      <x:c r="E517" t="s">
        <x:v>748</x:v>
      </x:c>
      <x:c r="F517" t="s">
        <x:v>59</x:v>
      </x:c>
    </x:row>
    <x:row r="518">
      <x:c r="A518" t="s">
        <x:v>749</x:v>
      </x:c>
      <x:c r="B518" t="s">
        <x:v>750</x:v>
      </x:c>
      <x:c r="C518" t="s">
        <x:v>751</x:v>
      </x:c>
      <x:c r="D518" t="s">
        <x:v>752</x:v>
      </x:c>
      <x:c r="E518" t="s">
        <x:v>753</x:v>
      </x:c>
      <x:c r="F518" t="s">
        <x:v>59</x:v>
      </x:c>
    </x:row>
    <x:row r="519">
      <x:c r="A519" t="s">
        <x:v>754</x:v>
      </x:c>
      <x:c r="B519" t="s">
        <x:v>755</x:v>
      </x:c>
      <x:c r="C519" t="s">
        <x:v>502</x:v>
      </x:c>
      <x:c r="D519" t="s">
        <x:v>756</x:v>
      </x:c>
      <x:c r="E519" t="s">
        <x:v>757</x:v>
      </x:c>
      <x:c r="F519" t="s">
        <x:v>59</x:v>
      </x:c>
    </x:row>
    <x:row r="520">
      <x:c r="A520" t="s">
        <x:v>758</x:v>
      </x:c>
      <x:c r="B520" t="s">
        <x:v>755</x:v>
      </x:c>
      <x:c r="C520" t="s">
        <x:v>759</x:v>
      </x:c>
      <x:c r="D520" t="s">
        <x:v>760</x:v>
      </x:c>
      <x:c r="E520" t="s">
        <x:v>761</x:v>
      </x:c>
      <x:c r="F520" t="s">
        <x:v>59</x:v>
      </x:c>
    </x:row>
    <x:row r="521">
      <x:c r="A521" t="s">
        <x:v>762</x:v>
      </x:c>
      <x:c r="B521" t="s">
        <x:v>755</x:v>
      </x:c>
      <x:c r="C521" t="s">
        <x:v>213</x:v>
      </x:c>
      <x:c r="D521" t="s">
        <x:v>1495</x:v>
      </x:c>
      <x:c r="E521" t="s">
        <x:v>765</x:v>
      </x:c>
      <x:c r="F521" t="s">
        <x:v>59</x:v>
      </x:c>
    </x:row>
    <x:row r="522">
      <x:c r="A522" t="s">
        <x:v>762</x:v>
      </x:c>
      <x:c r="B522" t="s">
        <x:v>1496</x:v>
      </x:c>
      <x:c r="C522" t="s">
        <x:v>763</x:v>
      </x:c>
      <x:c r="D522" t="s">
        <x:v>1497</x:v>
      </x:c>
      <x:c r="E522" t="s">
        <x:v>765</x:v>
      </x:c>
      <x:c r="F522" t="s">
        <x:v>59</x:v>
      </x:c>
    </x:row>
    <x:row r="523">
      <x:c r="A523" t="s">
        <x:v>766</x:v>
      </x:c>
      <x:c r="B523" t="s">
        <x:v>767</x:v>
      </x:c>
      <x:c r="C523" t="s">
        <x:v>768</x:v>
      </x:c>
      <x:c r="D523" t="s">
        <x:v>769</x:v>
      </x:c>
      <x:c r="E523" t="s">
        <x:v>770</x:v>
      </x:c>
      <x:c r="F523" t="s">
        <x:v>59</x:v>
      </x:c>
    </x:row>
    <x:row r="524">
      <x:c r="A524" t="s">
        <x:v>771</x:v>
      </x:c>
      <x:c r="B524" t="s">
        <x:v>772</x:v>
      </x:c>
      <x:c r="C524" t="s">
        <x:v>773</x:v>
      </x:c>
      <x:c r="D524" t="s">
        <x:v>774</x:v>
      </x:c>
      <x:c r="E524" t="s">
        <x:v>775</x:v>
      </x:c>
      <x:c r="F524" t="s">
        <x:v>59</x:v>
      </x:c>
    </x:row>
    <x:row r="525">
      <x:c r="A525" t="s">
        <x:v>776</x:v>
      </x:c>
      <x:c r="B525" t="s">
        <x:v>777</x:v>
      </x:c>
      <x:c r="C525" t="s">
        <x:v>778</x:v>
      </x:c>
      <x:c r="D525" t="s">
        <x:v>779</x:v>
      </x:c>
      <x:c r="E525" t="s">
        <x:v>780</x:v>
      </x:c>
      <x:c r="F525" t="s">
        <x:v>59</x:v>
      </x:c>
    </x:row>
    <x:row r="526">
      <x:c r="A526" t="s">
        <x:v>781</x:v>
      </x:c>
      <x:c r="B526" t="s">
        <x:v>782</x:v>
      </x:c>
      <x:c r="C526" t="s">
        <x:v>51</x:v>
      </x:c>
      <x:c r="D526" t="s">
        <x:v>783</x:v>
      </x:c>
      <x:c r="E526" t="s">
        <x:v>784</x:v>
      </x:c>
      <x:c r="F526" t="s">
        <x:v>59</x:v>
      </x:c>
    </x:row>
    <x:row r="527">
      <x:c r="A527" t="s">
        <x:v>785</x:v>
      </x:c>
      <x:c r="B527" t="s">
        <x:v>786</x:v>
      </x:c>
      <x:c r="C527" t="s">
        <x:v>787</x:v>
      </x:c>
      <x:c r="D527" t="s">
        <x:v>788</x:v>
      </x:c>
      <x:c r="E527" t="s">
        <x:v>789</x:v>
      </x:c>
      <x:c r="F527" t="s">
        <x:v>59</x:v>
      </x:c>
    </x:row>
    <x:row r="528">
      <x:c r="A528" t="s">
        <x:v>790</x:v>
      </x:c>
      <x:c r="B528" t="s">
        <x:v>791</x:v>
      </x:c>
      <x:c r="C528" t="s">
        <x:v>454</x:v>
      </x:c>
      <x:c r="D528" t="s">
        <x:v>792</x:v>
      </x:c>
      <x:c r="E528" t="s">
        <x:v>793</x:v>
      </x:c>
      <x:c r="F528" t="s">
        <x:v>59</x:v>
      </x:c>
    </x:row>
    <x:row r="529">
      <x:c r="A529" t="s">
        <x:v>794</x:v>
      </x:c>
      <x:c r="B529" t="s">
        <x:v>795</x:v>
      </x:c>
      <x:c r="C529" t="s">
        <x:v>30</x:v>
      </x:c>
      <x:c r="D529" t="s">
        <x:v>796</x:v>
      </x:c>
      <x:c r="E529" t="s">
        <x:v>797</x:v>
      </x:c>
      <x:c r="F529" t="s">
        <x:v>59</x:v>
      </x:c>
    </x:row>
    <x:row r="530">
      <x:c r="A530" t="s">
        <x:v>798</x:v>
      </x:c>
      <x:c r="B530" t="s">
        <x:v>795</x:v>
      </x:c>
      <x:c r="C530" t="s">
        <x:v>799</x:v>
      </x:c>
      <x:c r="D530" t="s">
        <x:v>800</x:v>
      </x:c>
      <x:c r="E530" t="s">
        <x:v>801</x:v>
      </x:c>
      <x:c r="F530" t="s">
        <x:v>59</x:v>
      </x:c>
    </x:row>
    <x:row r="531">
      <x:c r="A531" t="s">
        <x:v>802</x:v>
      </x:c>
      <x:c r="B531" t="s">
        <x:v>803</x:v>
      </x:c>
      <x:c r="C531" t="s">
        <x:v>339</x:v>
      </x:c>
      <x:c r="D531" t="s">
        <x:v>804</x:v>
      </x:c>
      <x:c r="E531" t="s">
        <x:v>805</x:v>
      </x:c>
      <x:c r="F531" t="s">
        <x:v>59</x:v>
      </x:c>
    </x:row>
    <x:row r="532">
      <x:c r="A532" t="s">
        <x:v>806</x:v>
      </x:c>
      <x:c r="B532" t="s">
        <x:v>807</x:v>
      </x:c>
      <x:c r="C532" t="s">
        <x:v>1498</x:v>
      </x:c>
      <x:c r="D532" t="s">
        <x:v>1499</x:v>
      </x:c>
      <x:c r="E532" t="s">
        <x:v>810</x:v>
      </x:c>
      <x:c r="F532" t="s">
        <x:v>59</x:v>
      </x:c>
    </x:row>
    <x:row r="533">
      <x:c r="A533" t="s">
        <x:v>806</x:v>
      </x:c>
      <x:c r="B533" t="s">
        <x:v>1500</x:v>
      </x:c>
      <x:c r="C533" t="s">
        <x:v>1501</x:v>
      </x:c>
      <x:c r="D533" t="s">
        <x:v>1201</x:v>
      </x:c>
      <x:c r="E533" t="s">
        <x:v>810</x:v>
      </x:c>
      <x:c r="F533" t="s">
        <x:v>59</x:v>
      </x:c>
    </x:row>
    <x:row r="534">
      <x:c r="A534" t="s">
        <x:v>806</x:v>
      </x:c>
      <x:c r="B534" t="s">
        <x:v>1502</x:v>
      </x:c>
      <x:c r="C534" t="s">
        <x:v>808</x:v>
      </x:c>
      <x:c r="D534" t="s">
        <x:v>1503</x:v>
      </x:c>
      <x:c r="E534" t="s">
        <x:v>810</x:v>
      </x:c>
      <x:c r="F534" t="s">
        <x:v>59</x:v>
      </x:c>
    </x:row>
    <x:row r="535">
      <x:c r="A535" t="s">
        <x:v>811</x:v>
      </x:c>
      <x:c r="B535" t="s">
        <x:v>812</x:v>
      </x:c>
      <x:c r="C535" t="s">
        <x:v>813</x:v>
      </x:c>
      <x:c r="D535" t="s">
        <x:v>814</x:v>
      </x:c>
      <x:c r="E535" t="s">
        <x:v>815</x:v>
      </x:c>
      <x:c r="F535" t="s">
        <x:v>59</x:v>
      </x:c>
    </x:row>
    <x:row r="536">
      <x:c r="A536" t="s">
        <x:v>816</x:v>
      </x:c>
      <x:c r="B536" t="s">
        <x:v>817</x:v>
      </x:c>
      <x:c r="C536" t="s">
        <x:v>818</x:v>
      </x:c>
      <x:c r="D536" t="s">
        <x:v>819</x:v>
      </x:c>
      <x:c r="E536" t="s">
        <x:v>820</x:v>
      </x:c>
      <x:c r="F536" t="s">
        <x:v>59</x:v>
      </x:c>
    </x:row>
    <x:row r="537">
      <x:c r="A537" t="s">
        <x:v>821</x:v>
      </x:c>
      <x:c r="B537" t="s">
        <x:v>822</x:v>
      </x:c>
      <x:c r="C537" t="s">
        <x:v>280</x:v>
      </x:c>
      <x:c r="D537" t="s">
        <x:v>823</x:v>
      </x:c>
      <x:c r="E537" t="s">
        <x:v>824</x:v>
      </x:c>
      <x:c r="F537" t="s">
        <x:v>59</x:v>
      </x:c>
    </x:row>
    <x:row r="538">
      <x:c r="A538" t="s">
        <x:v>825</x:v>
      </x:c>
      <x:c r="B538" t="s">
        <x:v>826</x:v>
      </x:c>
      <x:c r="C538" t="s">
        <x:v>170</x:v>
      </x:c>
      <x:c r="D538" t="s">
        <x:v>827</x:v>
      </x:c>
      <x:c r="E538" t="s">
        <x:v>828</x:v>
      </x:c>
      <x:c r="F538" t="s">
        <x:v>59</x:v>
      </x:c>
    </x:row>
    <x:row r="539">
      <x:c r="A539" t="s">
        <x:v>829</x:v>
      </x:c>
      <x:c r="B539" t="s">
        <x:v>830</x:v>
      </x:c>
      <x:c r="C539" t="s">
        <x:v>146</x:v>
      </x:c>
      <x:c r="D539" t="s">
        <x:v>831</x:v>
      </x:c>
      <x:c r="E539" t="s">
        <x:v>832</x:v>
      </x:c>
      <x:c r="F539" t="s">
        <x:v>59</x:v>
      </x:c>
    </x:row>
    <x:row r="540">
      <x:c r="A540" t="s">
        <x:v>833</x:v>
      </x:c>
      <x:c r="B540" t="s">
        <x:v>834</x:v>
      </x:c>
      <x:c r="C540" t="s">
        <x:v>507</x:v>
      </x:c>
      <x:c r="D540" t="s">
        <x:v>835</x:v>
      </x:c>
      <x:c r="E540" t="s">
        <x:v>836</x:v>
      </x:c>
      <x:c r="F540" t="s">
        <x:v>59</x:v>
      </x:c>
    </x:row>
    <x:row r="541">
      <x:c r="A541" t="s">
        <x:v>837</x:v>
      </x:c>
      <x:c r="B541" t="s">
        <x:v>838</x:v>
      </x:c>
      <x:c r="C541" t="s">
        <x:v>1504</x:v>
      </x:c>
      <x:c r="D541" t="s">
        <x:v>1505</x:v>
      </x:c>
      <x:c r="E541" t="s">
        <x:v>840</x:v>
      </x:c>
      <x:c r="F541" t="s">
        <x:v>59</x:v>
      </x:c>
    </x:row>
    <x:row r="542">
      <x:c r="A542" t="s">
        <x:v>837</x:v>
      </x:c>
      <x:c r="B542" t="s">
        <x:v>1506</x:v>
      </x:c>
      <x:c r="C542" t="s">
        <x:v>418</x:v>
      </x:c>
      <x:c r="D542" t="s">
        <x:v>1507</x:v>
      </x:c>
      <x:c r="E542" t="s">
        <x:v>840</x:v>
      </x:c>
      <x:c r="F542" t="s">
        <x:v>59</x:v>
      </x:c>
    </x:row>
    <x:row r="543">
      <x:c r="A543" t="s">
        <x:v>841</x:v>
      </x:c>
      <x:c r="B543" t="s">
        <x:v>842</x:v>
      </x:c>
      <x:c r="C543" t="s">
        <x:v>1508</x:v>
      </x:c>
      <x:c r="D543" t="s">
        <x:v>1509</x:v>
      </x:c>
      <x:c r="E543" t="s">
        <x:v>845</x:v>
      </x:c>
      <x:c r="F543" t="s">
        <x:v>59</x:v>
      </x:c>
    </x:row>
    <x:row r="544">
      <x:c r="A544" t="s">
        <x:v>841</x:v>
      </x:c>
      <x:c r="B544" t="s">
        <x:v>1510</x:v>
      </x:c>
      <x:c r="C544" t="s">
        <x:v>843</x:v>
      </x:c>
      <x:c r="D544" t="s">
        <x:v>1511</x:v>
      </x:c>
      <x:c r="E544" t="s">
        <x:v>845</x:v>
      </x:c>
      <x:c r="F544" t="s">
        <x:v>59</x:v>
      </x:c>
    </x:row>
    <x:row r="545">
      <x:c r="A545" t="s">
        <x:v>846</x:v>
      </x:c>
      <x:c r="B545" t="s">
        <x:v>842</x:v>
      </x:c>
      <x:c r="C545" t="s">
        <x:v>231</x:v>
      </x:c>
      <x:c r="D545" t="s">
        <x:v>847</x:v>
      </x:c>
      <x:c r="E545" t="s">
        <x:v>848</x:v>
      </x:c>
      <x:c r="F545" t="s">
        <x:v>59</x:v>
      </x:c>
    </x:row>
    <x:row r="546">
      <x:c r="A546" t="s">
        <x:v>849</x:v>
      </x:c>
      <x:c r="B546" t="s">
        <x:v>850</x:v>
      </x:c>
      <x:c r="C546" t="s">
        <x:v>851</x:v>
      </x:c>
      <x:c r="D546" t="s">
        <x:v>852</x:v>
      </x:c>
      <x:c r="E546" t="s">
        <x:v>853</x:v>
      </x:c>
      <x:c r="F546" t="s">
        <x:v>59</x:v>
      </x:c>
    </x:row>
    <x:row r="547">
      <x:c r="A547" t="s">
        <x:v>854</x:v>
      </x:c>
      <x:c r="B547" t="s">
        <x:v>855</x:v>
      </x:c>
      <x:c r="C547" t="s">
        <x:v>463</x:v>
      </x:c>
      <x:c r="D547" t="s">
        <x:v>856</x:v>
      </x:c>
      <x:c r="E547" t="s">
        <x:v>857</x:v>
      </x:c>
      <x:c r="F547" t="s">
        <x:v>59</x:v>
      </x:c>
    </x:row>
    <x:row r="548">
      <x:c r="A548" t="s">
        <x:v>858</x:v>
      </x:c>
      <x:c r="B548" t="s">
        <x:v>859</x:v>
      </x:c>
      <x:c r="C548" t="s">
        <x:v>1512</x:v>
      </x:c>
      <x:c r="D548" t="s">
        <x:v>1513</x:v>
      </x:c>
      <x:c r="E548" t="s">
        <x:v>861</x:v>
      </x:c>
      <x:c r="F548" t="s">
        <x:v>59</x:v>
      </x:c>
    </x:row>
    <x:row r="549">
      <x:c r="A549" t="s">
        <x:v>858</x:v>
      </x:c>
      <x:c r="B549" t="s">
        <x:v>1514</x:v>
      </x:c>
      <x:c r="C549" t="s">
        <x:v>334</x:v>
      </x:c>
      <x:c r="D549" t="s">
        <x:v>1515</x:v>
      </x:c>
      <x:c r="E549" t="s">
        <x:v>861</x:v>
      </x:c>
      <x:c r="F549" t="s">
        <x:v>59</x:v>
      </x:c>
    </x:row>
    <x:row r="550">
      <x:c r="A550" t="s">
        <x:v>862</x:v>
      </x:c>
      <x:c r="B550" t="s">
        <x:v>863</x:v>
      </x:c>
      <x:c r="C550" t="s">
        <x:v>1516</x:v>
      </x:c>
      <x:c r="D550" t="s">
        <x:v>1517</x:v>
      </x:c>
      <x:c r="E550" t="s">
        <x:v>866</x:v>
      </x:c>
      <x:c r="F550" t="s">
        <x:v>59</x:v>
      </x:c>
    </x:row>
    <x:row r="551">
      <x:c r="A551" t="s">
        <x:v>862</x:v>
      </x:c>
      <x:c r="B551" t="s">
        <x:v>1518</x:v>
      </x:c>
      <x:c r="C551" t="s">
        <x:v>864</x:v>
      </x:c>
      <x:c r="D551" t="s">
        <x:v>1519</x:v>
      </x:c>
      <x:c r="E551" t="s">
        <x:v>866</x:v>
      </x:c>
      <x:c r="F551" t="s">
        <x:v>59</x:v>
      </x:c>
    </x:row>
    <x:row r="552">
      <x:c r="A552" t="s">
        <x:v>867</x:v>
      </x:c>
      <x:c r="B552" t="s">
        <x:v>868</x:v>
      </x:c>
      <x:c r="C552" t="s">
        <x:v>869</x:v>
      </x:c>
      <x:c r="D552" t="s">
        <x:v>870</x:v>
      </x:c>
      <x:c r="E552" t="s">
        <x:v>871</x:v>
      </x:c>
      <x:c r="F552" t="s">
        <x:v>59</x:v>
      </x:c>
    </x:row>
    <x:row r="553">
      <x:c r="A553" t="s">
        <x:v>872</x:v>
      </x:c>
      <x:c r="B553" t="s">
        <x:v>873</x:v>
      </x:c>
      <x:c r="C553" t="s">
        <x:v>231</x:v>
      </x:c>
      <x:c r="D553" t="s">
        <x:v>874</x:v>
      </x:c>
      <x:c r="E553" t="s">
        <x:v>875</x:v>
      </x:c>
      <x:c r="F553" t="s">
        <x:v>59</x:v>
      </x:c>
    </x:row>
    <x:row r="554">
      <x:c r="A554" t="s">
        <x:v>876</x:v>
      </x:c>
      <x:c r="B554" t="s">
        <x:v>877</x:v>
      </x:c>
      <x:c r="C554" t="s">
        <x:v>878</x:v>
      </x:c>
      <x:c r="D554" t="s">
        <x:v>879</x:v>
      </x:c>
      <x:c r="E554" t="s">
        <x:v>880</x:v>
      </x:c>
      <x:c r="F554" t="s">
        <x:v>59</x:v>
      </x:c>
    </x:row>
    <x:row r="555">
      <x:c r="A555" t="s">
        <x:v>881</x:v>
      </x:c>
      <x:c r="B555" t="s">
        <x:v>877</x:v>
      </x:c>
      <x:c r="C555" t="s">
        <x:v>882</x:v>
      </x:c>
      <x:c r="D555" t="s">
        <x:v>883</x:v>
      </x:c>
      <x:c r="E555" t="s">
        <x:v>884</x:v>
      </x:c>
      <x:c r="F555" t="s">
        <x:v>59</x:v>
      </x:c>
    </x:row>
    <x:row r="556">
      <x:c r="A556" t="s">
        <x:v>885</x:v>
      </x:c>
      <x:c r="B556" t="s">
        <x:v>886</x:v>
      </x:c>
      <x:c r="C556" t="s">
        <x:v>887</x:v>
      </x:c>
      <x:c r="D556" t="s">
        <x:v>888</x:v>
      </x:c>
      <x:c r="E556" t="s">
        <x:v>889</x:v>
      </x:c>
      <x:c r="F556" t="s">
        <x:v>59</x:v>
      </x:c>
    </x:row>
    <x:row r="557">
      <x:c r="A557" t="s">
        <x:v>890</x:v>
      </x:c>
      <x:c r="B557" t="s">
        <x:v>891</x:v>
      </x:c>
      <x:c r="C557" t="s">
        <x:v>56</x:v>
      </x:c>
      <x:c r="D557" t="s">
        <x:v>892</x:v>
      </x:c>
      <x:c r="E557" t="s">
        <x:v>893</x:v>
      </x:c>
      <x:c r="F557" t="s">
        <x:v>59</x:v>
      </x:c>
    </x:row>
    <x:row r="558">
      <x:c r="A558" t="s">
        <x:v>894</x:v>
      </x:c>
      <x:c r="B558" t="s">
        <x:v>895</x:v>
      </x:c>
      <x:c r="C558" t="s">
        <x:v>896</x:v>
      </x:c>
      <x:c r="D558" t="s">
        <x:v>897</x:v>
      </x:c>
      <x:c r="E558" t="s">
        <x:v>898</x:v>
      </x:c>
      <x:c r="F558" t="s">
        <x:v>59</x:v>
      </x:c>
    </x:row>
    <x:row r="559">
      <x:c r="A559" t="s">
        <x:v>899</x:v>
      </x:c>
      <x:c r="B559" t="s">
        <x:v>895</x:v>
      </x:c>
      <x:c r="C559" t="s">
        <x:v>604</x:v>
      </x:c>
      <x:c r="D559" t="s">
        <x:v>900</x:v>
      </x:c>
      <x:c r="E559" t="s">
        <x:v>901</x:v>
      </x:c>
      <x:c r="F559" t="s">
        <x:v>59</x:v>
      </x:c>
    </x:row>
    <x:row r="560">
      <x:c r="A560" t="s">
        <x:v>902</x:v>
      </x:c>
      <x:c r="B560" t="s">
        <x:v>903</x:v>
      </x:c>
      <x:c r="C560" t="s">
        <x:v>1520</x:v>
      </x:c>
      <x:c r="D560" t="s">
        <x:v>1521</x:v>
      </x:c>
      <x:c r="E560" t="s">
        <x:v>906</x:v>
      </x:c>
      <x:c r="F560" t="s">
        <x:v>59</x:v>
      </x:c>
    </x:row>
    <x:row r="561">
      <x:c r="A561" t="s">
        <x:v>902</x:v>
      </x:c>
      <x:c r="B561" t="s">
        <x:v>319</x:v>
      </x:c>
      <x:c r="C561" t="s">
        <x:v>1522</x:v>
      </x:c>
      <x:c r="D561" t="s">
        <x:v>1523</x:v>
      </x:c>
      <x:c r="E561" t="s">
        <x:v>906</x:v>
      </x:c>
      <x:c r="F561" t="s">
        <x:v>59</x:v>
      </x:c>
    </x:row>
    <x:row r="562">
      <x:c r="A562" t="s">
        <x:v>902</x:v>
      </x:c>
      <x:c r="B562" t="s">
        <x:v>1524</x:v>
      </x:c>
      <x:c r="C562" t="s">
        <x:v>1525</x:v>
      </x:c>
      <x:c r="D562" t="s">
        <x:v>1526</x:v>
      </x:c>
      <x:c r="E562" t="s">
        <x:v>906</x:v>
      </x:c>
      <x:c r="F562" t="s">
        <x:v>59</x:v>
      </x:c>
    </x:row>
    <x:row r="563">
      <x:c r="A563" t="s">
        <x:v>902</x:v>
      </x:c>
      <x:c r="B563" t="s">
        <x:v>1527</x:v>
      </x:c>
      <x:c r="C563" t="s">
        <x:v>904</x:v>
      </x:c>
      <x:c r="D563" t="s">
        <x:v>1528</x:v>
      </x:c>
      <x:c r="E563" t="s">
        <x:v>906</x:v>
      </x:c>
      <x:c r="F563" t="s">
        <x:v>59</x:v>
      </x:c>
    </x:row>
    <x:row r="564">
      <x:c r="A564" t="s">
        <x:v>907</x:v>
      </x:c>
      <x:c r="B564" t="s">
        <x:v>908</x:v>
      </x:c>
      <x:c r="C564" t="s">
        <x:v>1529</x:v>
      </x:c>
      <x:c r="D564" t="s">
        <x:v>1530</x:v>
      </x:c>
      <x:c r="E564" t="s">
        <x:v>911</x:v>
      </x:c>
      <x:c r="F564" t="s">
        <x:v>59</x:v>
      </x:c>
    </x:row>
    <x:row r="565">
      <x:c r="A565" t="s">
        <x:v>907</x:v>
      </x:c>
      <x:c r="B565" t="s">
        <x:v>1531</x:v>
      </x:c>
      <x:c r="C565" t="s">
        <x:v>200</x:v>
      </x:c>
      <x:c r="D565" t="s">
        <x:v>1532</x:v>
      </x:c>
      <x:c r="E565" t="s">
        <x:v>911</x:v>
      </x:c>
      <x:c r="F565" t="s">
        <x:v>59</x:v>
      </x:c>
    </x:row>
    <x:row r="566">
      <x:c r="A566" t="s">
        <x:v>907</x:v>
      </x:c>
      <x:c r="B566" t="s">
        <x:v>1533</x:v>
      </x:c>
      <x:c r="C566" t="s">
        <x:v>909</x:v>
      </x:c>
      <x:c r="D566" t="s">
        <x:v>1509</x:v>
      </x:c>
      <x:c r="E566" t="s">
        <x:v>911</x:v>
      </x:c>
      <x:c r="F566" t="s">
        <x:v>59</x:v>
      </x:c>
    </x:row>
    <x:row r="567">
      <x:c r="A567" t="s">
        <x:v>912</x:v>
      </x:c>
      <x:c r="B567" t="s">
        <x:v>908</x:v>
      </x:c>
      <x:c r="C567" t="s">
        <x:v>913</x:v>
      </x:c>
      <x:c r="D567" t="s">
        <x:v>914</x:v>
      </x:c>
      <x:c r="E567" t="s">
        <x:v>915</x:v>
      </x:c>
      <x:c r="F567" t="s">
        <x:v>59</x:v>
      </x:c>
    </x:row>
    <x:row r="568">
      <x:c r="A568" t="s">
        <x:v>916</x:v>
      </x:c>
      <x:c r="B568" t="s">
        <x:v>917</x:v>
      </x:c>
      <x:c r="C568" t="s">
        <x:v>918</x:v>
      </x:c>
      <x:c r="D568" t="s">
        <x:v>919</x:v>
      </x:c>
      <x:c r="E568" t="s">
        <x:v>920</x:v>
      </x:c>
      <x:c r="F568" t="s">
        <x:v>59</x:v>
      </x:c>
    </x:row>
    <x:row r="569">
      <x:c r="A569" t="s">
        <x:v>921</x:v>
      </x:c>
      <x:c r="B569" t="s">
        <x:v>922</x:v>
      </x:c>
      <x:c r="C569" t="s">
        <x:v>56</x:v>
      </x:c>
      <x:c r="D569" t="s">
        <x:v>923</x:v>
      </x:c>
      <x:c r="E569" t="s">
        <x:v>924</x:v>
      </x:c>
      <x:c r="F569" t="s">
        <x:v>59</x:v>
      </x:c>
    </x:row>
    <x:row r="570">
      <x:c r="A570" t="s">
        <x:v>925</x:v>
      </x:c>
      <x:c r="B570" t="s">
        <x:v>926</x:v>
      </x:c>
      <x:c r="C570" t="s">
        <x:v>927</x:v>
      </x:c>
      <x:c r="D570" t="s">
        <x:v>928</x:v>
      </x:c>
      <x:c r="E570" t="s">
        <x:v>929</x:v>
      </x:c>
      <x:c r="F570" t="s">
        <x:v>59</x:v>
      </x:c>
    </x:row>
    <x:row r="571">
      <x:c r="A571" t="s">
        <x:v>930</x:v>
      </x:c>
      <x:c r="B571" t="s">
        <x:v>931</x:v>
      </x:c>
      <x:c r="C571" t="s">
        <x:v>584</x:v>
      </x:c>
      <x:c r="D571" t="s">
        <x:v>932</x:v>
      </x:c>
      <x:c r="E571" t="s">
        <x:v>933</x:v>
      </x:c>
      <x:c r="F571" t="s">
        <x:v>59</x:v>
      </x:c>
    </x:row>
    <x:row r="572">
      <x:c r="A572" t="s">
        <x:v>934</x:v>
      </x:c>
      <x:c r="B572" t="s">
        <x:v>935</x:v>
      </x:c>
      <x:c r="C572" t="s">
        <x:v>936</x:v>
      </x:c>
      <x:c r="D572" t="s">
        <x:v>937</x:v>
      </x:c>
      <x:c r="E572" t="s">
        <x:v>938</x:v>
      </x:c>
      <x:c r="F572" t="s">
        <x:v>59</x:v>
      </x:c>
    </x:row>
    <x:row r="573">
      <x:c r="A573" t="s">
        <x:v>939</x:v>
      </x:c>
      <x:c r="B573" t="s">
        <x:v>940</x:v>
      </x:c>
      <x:c r="C573" t="s">
        <x:v>941</x:v>
      </x:c>
      <x:c r="D573" t="s">
        <x:v>942</x:v>
      </x:c>
      <x:c r="E573" t="s">
        <x:v>943</x:v>
      </x:c>
      <x:c r="F573" t="s">
        <x:v>59</x:v>
      </x:c>
    </x:row>
    <x:row r="574">
      <x:c r="A574" t="s">
        <x:v>944</x:v>
      </x:c>
      <x:c r="B574" t="s">
        <x:v>945</x:v>
      </x:c>
      <x:c r="C574" t="s">
        <x:v>946</x:v>
      </x:c>
      <x:c r="D574" t="s">
        <x:v>947</x:v>
      </x:c>
      <x:c r="E574" t="s">
        <x:v>948</x:v>
      </x:c>
      <x:c r="F574" t="s">
        <x:v>59</x:v>
      </x:c>
    </x:row>
    <x:row r="575">
      <x:c r="A575" t="s">
        <x:v>949</x:v>
      </x:c>
      <x:c r="B575" t="s">
        <x:v>950</x:v>
      </x:c>
      <x:c r="C575" t="s">
        <x:v>951</x:v>
      </x:c>
      <x:c r="D575" t="s">
        <x:v>952</x:v>
      </x:c>
      <x:c r="E575" t="s">
        <x:v>953</x:v>
      </x:c>
      <x:c r="F575" t="s">
        <x:v>59</x:v>
      </x:c>
    </x:row>
    <x:row r="576">
      <x:c r="A576" t="s">
        <x:v>954</x:v>
      </x:c>
      <x:c r="B576" t="s">
        <x:v>955</x:v>
      </x:c>
      <x:c r="C576" t="s">
        <x:v>196</x:v>
      </x:c>
      <x:c r="D576" t="s">
        <x:v>956</x:v>
      </x:c>
      <x:c r="E576" t="s">
        <x:v>957</x:v>
      </x:c>
      <x:c r="F576" t="s">
        <x:v>59</x:v>
      </x:c>
    </x:row>
    <x:row r="577">
      <x:c r="A577" t="s">
        <x:v>958</x:v>
      </x:c>
      <x:c r="B577" t="s">
        <x:v>959</x:v>
      </x:c>
      <x:c r="C577" t="s">
        <x:v>1534</x:v>
      </x:c>
      <x:c r="D577" t="s">
        <x:v>1535</x:v>
      </x:c>
      <x:c r="E577" t="s">
        <x:v>962</x:v>
      </x:c>
      <x:c r="F577" t="s">
        <x:v>59</x:v>
      </x:c>
    </x:row>
    <x:row r="578">
      <x:c r="A578" t="s">
        <x:v>958</x:v>
      </x:c>
      <x:c r="B578" t="s">
        <x:v>1536</x:v>
      </x:c>
      <x:c r="C578" t="s">
        <x:v>960</x:v>
      </x:c>
      <x:c r="D578" t="s">
        <x:v>1537</x:v>
      </x:c>
      <x:c r="E578" t="s">
        <x:v>962</x:v>
      </x:c>
      <x:c r="F578" t="s">
        <x:v>59</x:v>
      </x:c>
    </x:row>
    <x:row r="579">
      <x:c r="A579" t="s">
        <x:v>963</x:v>
      </x:c>
      <x:c r="B579" t="s">
        <x:v>964</x:v>
      </x:c>
      <x:c r="C579" t="s">
        <x:v>965</x:v>
      </x:c>
      <x:c r="D579" t="s">
        <x:v>966</x:v>
      </x:c>
      <x:c r="E579" t="s">
        <x:v>967</x:v>
      </x:c>
      <x:c r="F579" t="s">
        <x:v>59</x:v>
      </x:c>
    </x:row>
    <x:row r="580">
      <x:c r="A580" t="s">
        <x:v>968</x:v>
      </x:c>
      <x:c r="B580" t="s">
        <x:v>969</x:v>
      </x:c>
      <x:c r="C580" t="s">
        <x:v>1538</x:v>
      </x:c>
      <x:c r="D580" t="s">
        <x:v>1539</x:v>
      </x:c>
      <x:c r="E580" t="s">
        <x:v>972</x:v>
      </x:c>
      <x:c r="F580" t="s">
        <x:v>59</x:v>
      </x:c>
    </x:row>
    <x:row r="581">
      <x:c r="A581" t="s">
        <x:v>968</x:v>
      </x:c>
      <x:c r="B581" t="s">
        <x:v>1540</x:v>
      </x:c>
      <x:c r="C581" t="s">
        <x:v>1541</x:v>
      </x:c>
      <x:c r="D581" t="s">
        <x:v>1370</x:v>
      </x:c>
      <x:c r="E581" t="s">
        <x:v>972</x:v>
      </x:c>
      <x:c r="F581" t="s">
        <x:v>59</x:v>
      </x:c>
    </x:row>
    <x:row r="582">
      <x:c r="A582" t="s">
        <x:v>968</x:v>
      </x:c>
      <x:c r="B582" t="s">
        <x:v>1542</x:v>
      </x:c>
      <x:c r="C582" t="s">
        <x:v>1543</x:v>
      </x:c>
      <x:c r="D582" t="s">
        <x:v>1544</x:v>
      </x:c>
      <x:c r="E582" t="s">
        <x:v>972</x:v>
      </x:c>
      <x:c r="F582" t="s">
        <x:v>59</x:v>
      </x:c>
    </x:row>
    <x:row r="583">
      <x:c r="A583" t="s">
        <x:v>968</x:v>
      </x:c>
      <x:c r="B583" t="s">
        <x:v>1545</x:v>
      </x:c>
      <x:c r="C583" t="s">
        <x:v>970</x:v>
      </x:c>
      <x:c r="D583" t="s">
        <x:v>1546</x:v>
      </x:c>
      <x:c r="E583" t="s">
        <x:v>972</x:v>
      </x:c>
      <x:c r="F583" t="s">
        <x:v>59</x:v>
      </x:c>
    </x:row>
    <x:row r="584">
      <x:c r="A584" t="s">
        <x:v>973</x:v>
      </x:c>
      <x:c r="B584" t="s">
        <x:v>974</x:v>
      </x:c>
      <x:c r="C584" t="s">
        <x:v>502</x:v>
      </x:c>
      <x:c r="D584" t="s">
        <x:v>975</x:v>
      </x:c>
      <x:c r="E584" t="s">
        <x:v>976</x:v>
      </x:c>
      <x:c r="F584" t="s">
        <x:v>59</x:v>
      </x:c>
    </x:row>
    <x:row r="585">
      <x:c r="A585" t="s">
        <x:v>977</x:v>
      </x:c>
      <x:c r="B585" t="s">
        <x:v>978</x:v>
      </x:c>
      <x:c r="C585" t="s">
        <x:v>979</x:v>
      </x:c>
      <x:c r="D585" t="s">
        <x:v>633</x:v>
      </x:c>
      <x:c r="E585" t="s">
        <x:v>980</x:v>
      </x:c>
      <x:c r="F585" t="s">
        <x:v>59</x:v>
      </x:c>
    </x:row>
    <x:row r="586">
      <x:c r="A586" t="s">
        <x:v>981</x:v>
      </x:c>
      <x:c r="B586" t="s">
        <x:v>982</x:v>
      </x:c>
      <x:c r="C586" t="s">
        <x:v>983</x:v>
      </x:c>
      <x:c r="D586" t="s">
        <x:v>984</x:v>
      </x:c>
      <x:c r="E586" t="s">
        <x:v>985</x:v>
      </x:c>
      <x:c r="F586" t="s">
        <x:v>59</x:v>
      </x:c>
    </x:row>
    <x:row r="587">
      <x:c r="A587" t="s">
        <x:v>986</x:v>
      </x:c>
      <x:c r="B587" t="s">
        <x:v>982</x:v>
      </x:c>
      <x:c r="C587" t="s">
        <x:v>987</x:v>
      </x:c>
      <x:c r="D587" t="s">
        <x:v>988</x:v>
      </x:c>
      <x:c r="E587" t="s">
        <x:v>989</x:v>
      </x:c>
      <x:c r="F587" t="s">
        <x:v>59</x:v>
      </x:c>
    </x:row>
    <x:row r="588">
      <x:c r="A588" t="s">
        <x:v>990</x:v>
      </x:c>
      <x:c r="B588" t="s">
        <x:v>991</x:v>
      </x:c>
      <x:c r="C588" t="s">
        <x:v>992</x:v>
      </x:c>
      <x:c r="D588" t="s">
        <x:v>993</x:v>
      </x:c>
      <x:c r="E588" t="s">
        <x:v>994</x:v>
      </x:c>
      <x:c r="F588" t="s">
        <x:v>59</x:v>
      </x:c>
    </x:row>
    <x:row r="589">
      <x:c r="A589" t="s">
        <x:v>995</x:v>
      </x:c>
      <x:c r="B589" t="s">
        <x:v>996</x:v>
      </x:c>
      <x:c r="C589" t="s">
        <x:v>507</x:v>
      </x:c>
      <x:c r="D589" t="s">
        <x:v>997</x:v>
      </x:c>
      <x:c r="E589" t="s">
        <x:v>998</x:v>
      </x:c>
      <x:c r="F589" t="s">
        <x:v>59</x:v>
      </x:c>
    </x:row>
    <x:row r="590">
      <x:c r="A590" t="s">
        <x:v>999</x:v>
      </x:c>
      <x:c r="B590" t="s">
        <x:v>1000</x:v>
      </x:c>
      <x:c r="C590" t="s">
        <x:v>887</x:v>
      </x:c>
      <x:c r="D590" t="s">
        <x:v>1001</x:v>
      </x:c>
      <x:c r="E590" t="s">
        <x:v>1002</x:v>
      </x:c>
      <x:c r="F590" t="s">
        <x:v>59</x:v>
      </x:c>
    </x:row>
    <x:row r="591">
      <x:c r="A591" t="s">
        <x:v>1003</x:v>
      </x:c>
      <x:c r="B591" t="s">
        <x:v>1004</x:v>
      </x:c>
      <x:c r="C591" t="s">
        <x:v>7</x:v>
      </x:c>
      <x:c r="D591" t="s">
        <x:v>1005</x:v>
      </x:c>
      <x:c r="E591" t="s">
        <x:v>1006</x:v>
      </x:c>
      <x:c r="F591" t="s">
        <x:v>59</x:v>
      </x:c>
    </x:row>
    <x:row r="592">
      <x:c r="A592" t="s">
        <x:v>1007</x:v>
      </x:c>
      <x:c r="B592" t="s">
        <x:v>1008</x:v>
      </x:c>
      <x:c r="C592" t="s">
        <x:v>1009</x:v>
      </x:c>
      <x:c r="D592" t="s">
        <x:v>1010</x:v>
      </x:c>
      <x:c r="E592" t="s">
        <x:v>1011</x:v>
      </x:c>
      <x:c r="F592" t="s">
        <x:v>59</x:v>
      </x:c>
    </x:row>
    <x:row r="593">
      <x:c r="A593" t="s">
        <x:v>1012</x:v>
      </x:c>
      <x:c r="B593" t="s">
        <x:v>1013</x:v>
      </x:c>
      <x:c r="C593" t="s">
        <x:v>196</x:v>
      </x:c>
      <x:c r="D593" t="s">
        <x:v>1014</x:v>
      </x:c>
      <x:c r="E593" t="s">
        <x:v>1015</x:v>
      </x:c>
      <x:c r="F593" t="s">
        <x:v>59</x:v>
      </x:c>
    </x:row>
    <x:row r="594">
      <x:c r="A594" t="s">
        <x:v>1016</x:v>
      </x:c>
      <x:c r="B594" t="s">
        <x:v>1017</x:v>
      </x:c>
      <x:c r="C594" t="s">
        <x:v>1547</x:v>
      </x:c>
      <x:c r="D594" t="s">
        <x:v>1548</x:v>
      </x:c>
      <x:c r="E594" t="s">
        <x:v>1019</x:v>
      </x:c>
      <x:c r="F594" t="s">
        <x:v>59</x:v>
      </x:c>
    </x:row>
    <x:row r="595">
      <x:c r="A595" t="s">
        <x:v>1016</x:v>
      </x:c>
      <x:c r="B595" t="s">
        <x:v>1549</x:v>
      </x:c>
      <x:c r="C595" t="s">
        <x:v>56</x:v>
      </x:c>
      <x:c r="D595" t="s">
        <x:v>1550</x:v>
      </x:c>
      <x:c r="E595" t="s">
        <x:v>1019</x:v>
      </x:c>
      <x:c r="F595" t="s">
        <x:v>59</x:v>
      </x:c>
    </x:row>
    <x:row r="596">
      <x:c r="A596" t="s">
        <x:v>1020</x:v>
      </x:c>
      <x:c r="B596" t="s">
        <x:v>1021</x:v>
      </x:c>
      <x:c r="C596" t="s">
        <x:v>1551</x:v>
      </x:c>
      <x:c r="D596" t="s">
        <x:v>1552</x:v>
      </x:c>
      <x:c r="E596" t="s">
        <x:v>1024</x:v>
      </x:c>
      <x:c r="F596" t="s">
        <x:v>59</x:v>
      </x:c>
    </x:row>
    <x:row r="597">
      <x:c r="A597" t="s">
        <x:v>1020</x:v>
      </x:c>
      <x:c r="B597" t="s">
        <x:v>1553</x:v>
      </x:c>
      <x:c r="C597" t="s">
        <x:v>1554</x:v>
      </x:c>
      <x:c r="D597" t="s">
        <x:v>1555</x:v>
      </x:c>
      <x:c r="E597" t="s">
        <x:v>1024</x:v>
      </x:c>
      <x:c r="F597" t="s">
        <x:v>59</x:v>
      </x:c>
    </x:row>
    <x:row r="598">
      <x:c r="A598" t="s">
        <x:v>1020</x:v>
      </x:c>
      <x:c r="B598" t="s">
        <x:v>146</x:v>
      </x:c>
      <x:c r="C598" t="s">
        <x:v>1022</x:v>
      </x:c>
      <x:c r="D598" t="s">
        <x:v>1556</x:v>
      </x:c>
      <x:c r="E598" t="s">
        <x:v>1024</x:v>
      </x:c>
      <x:c r="F598" t="s">
        <x:v>59</x:v>
      </x:c>
    </x:row>
    <x:row r="599">
      <x:c r="A599" t="s">
        <x:v>1025</x:v>
      </x:c>
      <x:c r="B599" t="s">
        <x:v>1026</x:v>
      </x:c>
      <x:c r="C599" t="s">
        <x:v>1027</x:v>
      </x:c>
      <x:c r="D599" t="s">
        <x:v>1028</x:v>
      </x:c>
      <x:c r="E599" t="s">
        <x:v>1029</x:v>
      </x:c>
      <x:c r="F599" t="s">
        <x:v>59</x:v>
      </x:c>
    </x:row>
    <x:row r="600">
      <x:c r="A600" t="s">
        <x:v>1030</x:v>
      </x:c>
      <x:c r="B600" t="s">
        <x:v>1031</x:v>
      </x:c>
      <x:c r="C600" t="s">
        <x:v>502</x:v>
      </x:c>
      <x:c r="D600" t="s">
        <x:v>1032</x:v>
      </x:c>
      <x:c r="E600" t="s">
        <x:v>1033</x:v>
      </x:c>
      <x:c r="F600" t="s">
        <x:v>59</x:v>
      </x:c>
    </x:row>
    <x:row r="601">
      <x:c r="A601" t="s">
        <x:v>1034</x:v>
      </x:c>
      <x:c r="B601" t="s">
        <x:v>1031</x:v>
      </x:c>
      <x:c r="C601" t="s">
        <x:v>213</x:v>
      </x:c>
      <x:c r="D601" t="s">
        <x:v>1035</x:v>
      </x:c>
      <x:c r="E601" t="s">
        <x:v>1036</x:v>
      </x:c>
      <x:c r="F601" t="s">
        <x:v>59</x:v>
      </x:c>
    </x:row>
    <x:row r="602">
      <x:c r="A602" t="s">
        <x:v>1037</x:v>
      </x:c>
      <x:c r="B602" t="s">
        <x:v>1038</x:v>
      </x:c>
      <x:c r="C602" t="s">
        <x:v>1009</x:v>
      </x:c>
      <x:c r="D602" t="s">
        <x:v>1039</x:v>
      </x:c>
      <x:c r="E602" t="s">
        <x:v>1040</x:v>
      </x:c>
      <x:c r="F602" t="s">
        <x:v>59</x:v>
      </x:c>
    </x:row>
    <x:row r="603">
      <x:c r="A603" t="s">
        <x:v>1041</x:v>
      </x:c>
      <x:c r="B603" t="s">
        <x:v>1042</x:v>
      </x:c>
      <x:c r="C603" t="s">
        <x:v>213</x:v>
      </x:c>
      <x:c r="D603" t="s">
        <x:v>1043</x:v>
      </x:c>
      <x:c r="E603" t="s">
        <x:v>1044</x:v>
      </x:c>
      <x:c r="F603" t="s">
        <x:v>59</x:v>
      </x:c>
    </x:row>
    <x:row r="604">
      <x:c r="A604" t="s">
        <x:v>1045</x:v>
      </x:c>
      <x:c r="B604" t="s">
        <x:v>1046</x:v>
      </x:c>
      <x:c r="C604" t="s">
        <x:v>98</x:v>
      </x:c>
      <x:c r="D604" t="s">
        <x:v>1047</x:v>
      </x:c>
      <x:c r="E604" t="s">
        <x:v>1048</x:v>
      </x:c>
      <x:c r="F604" t="s">
        <x:v>59</x:v>
      </x:c>
    </x:row>
    <x:row r="605">
      <x:c r="A605" t="s">
        <x:v>1049</x:v>
      </x:c>
      <x:c r="B605" t="s">
        <x:v>1050</x:v>
      </x:c>
      <x:c r="C605" t="s">
        <x:v>493</x:v>
      </x:c>
      <x:c r="D605" t="s">
        <x:v>1051</x:v>
      </x:c>
      <x:c r="E605" t="s">
        <x:v>1052</x:v>
      </x:c>
      <x:c r="F605" t="s">
        <x:v>59</x:v>
      </x:c>
    </x:row>
    <x:row r="606">
      <x:c r="A606" t="s">
        <x:v>1053</x:v>
      </x:c>
      <x:c r="B606" t="s">
        <x:v>1054</x:v>
      </x:c>
      <x:c r="C606" t="s">
        <x:v>1055</x:v>
      </x:c>
      <x:c r="D606" t="s">
        <x:v>1056</x:v>
      </x:c>
      <x:c r="E606" t="s">
        <x:v>1057</x:v>
      </x:c>
      <x:c r="F606" t="s">
        <x:v>59</x:v>
      </x:c>
    </x:row>
    <x:row r="607">
      <x:c r="A607" t="s">
        <x:v>1058</x:v>
      </x:c>
      <x:c r="B607" t="s">
        <x:v>1059</x:v>
      </x:c>
      <x:c r="C607" t="s">
        <x:v>896</x:v>
      </x:c>
      <x:c r="D607" t="s">
        <x:v>1060</x:v>
      </x:c>
      <x:c r="E607" t="s">
        <x:v>1061</x:v>
      </x:c>
      <x:c r="F607" t="s">
        <x:v>59</x:v>
      </x:c>
    </x:row>
    <x:row r="608">
      <x:c r="A608" t="s">
        <x:v>1062</x:v>
      </x:c>
      <x:c r="B608" t="s">
        <x:v>1063</x:v>
      </x:c>
      <x:c r="C608" t="s">
        <x:v>1557</x:v>
      </x:c>
      <x:c r="D608" t="s">
        <x:v>1558</x:v>
      </x:c>
      <x:c r="E608" t="s">
        <x:v>1066</x:v>
      </x:c>
      <x:c r="F608" t="s">
        <x:v>59</x:v>
      </x:c>
    </x:row>
    <x:row r="609">
      <x:c r="A609" t="s">
        <x:v>1062</x:v>
      </x:c>
      <x:c r="B609" t="s">
        <x:v>1559</x:v>
      </x:c>
      <x:c r="C609" t="s">
        <x:v>1064</x:v>
      </x:c>
      <x:c r="D609" t="s">
        <x:v>1560</x:v>
      </x:c>
      <x:c r="E609" t="s">
        <x:v>1066</x:v>
      </x:c>
      <x:c r="F609" t="s">
        <x:v>59</x:v>
      </x:c>
    </x:row>
    <x:row r="610">
      <x:c r="A610" t="s">
        <x:v>1067</x:v>
      </x:c>
      <x:c r="B610" t="s">
        <x:v>1068</x:v>
      </x:c>
      <x:c r="C610" t="s">
        <x:v>502</x:v>
      </x:c>
      <x:c r="D610" t="s">
        <x:v>1069</x:v>
      </x:c>
      <x:c r="E610" t="s">
        <x:v>1070</x:v>
      </x:c>
      <x:c r="F610" t="s">
        <x:v>59</x:v>
      </x:c>
    </x:row>
    <x:row r="611">
      <x:c r="A611" t="s">
        <x:v>1071</x:v>
      </x:c>
      <x:c r="B611" t="s">
        <x:v>1072</x:v>
      </x:c>
      <x:c r="C611" t="s">
        <x:v>1561</x:v>
      </x:c>
      <x:c r="D611" t="s">
        <x:v>1562</x:v>
      </x:c>
      <x:c r="E611" t="s">
        <x:v>1074</x:v>
      </x:c>
      <x:c r="F611" t="s">
        <x:v>59</x:v>
      </x:c>
    </x:row>
    <x:row r="612">
      <x:c r="A612" t="s">
        <x:v>1071</x:v>
      </x:c>
      <x:c r="B612" t="s">
        <x:v>1545</x:v>
      </x:c>
      <x:c r="C612" t="s">
        <x:v>200</x:v>
      </x:c>
      <x:c r="D612" t="s">
        <x:v>1563</x:v>
      </x:c>
      <x:c r="E612" t="s">
        <x:v>1074</x:v>
      </x:c>
      <x:c r="F612" t="s">
        <x:v>59</x:v>
      </x:c>
    </x:row>
    <x:row r="613">
      <x:c r="A613" t="s">
        <x:v>1075</x:v>
      </x:c>
      <x:c r="B613" t="s">
        <x:v>1076</x:v>
      </x:c>
      <x:c r="C613" t="s">
        <x:v>46</x:v>
      </x:c>
      <x:c r="D613" t="s">
        <x:v>1077</x:v>
      </x:c>
      <x:c r="E613" t="s">
        <x:v>1078</x:v>
      </x:c>
      <x:c r="F613" t="s">
        <x:v>59</x:v>
      </x:c>
    </x:row>
    <x:row r="614">
      <x:c r="A614" t="s">
        <x:v>1079</x:v>
      </x:c>
      <x:c r="B614" t="s">
        <x:v>1076</x:v>
      </x:c>
      <x:c r="C614" t="s">
        <x:v>56</x:v>
      </x:c>
      <x:c r="D614" t="s">
        <x:v>1080</x:v>
      </x:c>
      <x:c r="E614" t="s">
        <x:v>1081</x:v>
      </x:c>
      <x:c r="F614" t="s">
        <x:v>59</x:v>
      </x:c>
    </x:row>
    <x:row r="615">
      <x:c r="A615" t="s">
        <x:v>1082</x:v>
      </x:c>
      <x:c r="B615" t="s">
        <x:v>1083</x:v>
      </x:c>
      <x:c r="C615" t="s">
        <x:v>1084</x:v>
      </x:c>
      <x:c r="D615" t="s">
        <x:v>1085</x:v>
      </x:c>
      <x:c r="F615" t="s">
        <x:v>59</x:v>
      </x:c>
    </x:row>
    <x:row r="616">
      <x:c r="A616" t="s">
        <x:v>1086</x:v>
      </x:c>
      <x:c r="B616" t="s">
        <x:v>1087</x:v>
      </x:c>
      <x:c r="C616" t="s">
        <x:v>98</x:v>
      </x:c>
      <x:c r="D616" t="s">
        <x:v>1088</x:v>
      </x:c>
      <x:c r="E616" t="s">
        <x:v>1089</x:v>
      </x:c>
      <x:c r="F616" t="s">
        <x:v>59</x:v>
      </x:c>
    </x:row>
    <x:row r="617">
      <x:c r="A617" t="s">
        <x:v>1090</x:v>
      </x:c>
      <x:c r="B617" t="s">
        <x:v>1091</x:v>
      </x:c>
      <x:c r="C617" t="s">
        <x:v>1092</x:v>
      </x:c>
      <x:c r="D617" t="s">
        <x:v>1093</x:v>
      </x:c>
      <x:c r="E617" t="s">
        <x:v>1094</x:v>
      </x:c>
      <x:c r="F617" t="s">
        <x:v>59</x:v>
      </x:c>
    </x:row>
    <x:row r="618">
      <x:c r="A618" t="s">
        <x:v>1095</x:v>
      </x:c>
      <x:c r="B618" t="s">
        <x:v>1096</x:v>
      </x:c>
      <x:c r="C618" t="s">
        <x:v>970</x:v>
      </x:c>
      <x:c r="D618" t="s">
        <x:v>1097</x:v>
      </x:c>
      <x:c r="E618" t="s">
        <x:v>1098</x:v>
      </x:c>
      <x:c r="F618" t="s">
        <x:v>59</x:v>
      </x:c>
    </x:row>
    <x:row r="619">
      <x:c r="A619" t="s">
        <x:v>1099</x:v>
      </x:c>
      <x:c r="B619" t="s">
        <x:v>1100</x:v>
      </x:c>
      <x:c r="C619" t="s">
        <x:v>1101</x:v>
      </x:c>
      <x:c r="D619" t="s">
        <x:v>1102</x:v>
      </x:c>
      <x:c r="E619" t="s">
        <x:v>1103</x:v>
      </x:c>
      <x:c r="F619" t="s">
        <x:v>59</x:v>
      </x:c>
    </x:row>
    <x:row r="620">
      <x:c r="A620" t="s">
        <x:v>1104</x:v>
      </x:c>
      <x:c r="B620" t="s">
        <x:v>1105</x:v>
      </x:c>
      <x:c r="C620" t="s">
        <x:v>1106</x:v>
      </x:c>
      <x:c r="D620" t="s">
        <x:v>1107</x:v>
      </x:c>
      <x:c r="E620" t="s">
        <x:v>1108</x:v>
      </x:c>
      <x:c r="F620" t="s">
        <x:v>59</x:v>
      </x:c>
    </x:row>
    <x:row r="621">
      <x:c r="A621" t="s">
        <x:v>1109</x:v>
      </x:c>
      <x:c r="B621" t="s">
        <x:v>1110</x:v>
      </x:c>
      <x:c r="C621" t="s">
        <x:v>1111</x:v>
      </x:c>
      <x:c r="D621" t="s">
        <x:v>1112</x:v>
      </x:c>
      <x:c r="E621" t="s">
        <x:v>1113</x:v>
      </x:c>
      <x:c r="F621" t="s">
        <x:v>59</x:v>
      </x:c>
    </x:row>
    <x:row r="622">
      <x:c r="A622" t="s">
        <x:v>1114</x:v>
      </x:c>
      <x:c r="B622" t="s">
        <x:v>1115</x:v>
      </x:c>
      <x:c r="C622" t="s">
        <x:v>1116</x:v>
      </x:c>
      <x:c r="D622" t="s">
        <x:v>1117</x:v>
      </x:c>
      <x:c r="E622" t="s">
        <x:v>1118</x:v>
      </x:c>
      <x:c r="F622" t="s">
        <x:v>59</x:v>
      </x:c>
    </x:row>
    <x:row r="623">
      <x:c r="A623" t="s">
        <x:v>1119</x:v>
      </x:c>
      <x:c r="B623" t="s">
        <x:v>1120</x:v>
      </x:c>
      <x:c r="C623" t="s">
        <x:v>493</x:v>
      </x:c>
      <x:c r="D623" t="s">
        <x:v>1121</x:v>
      </x:c>
      <x:c r="E623" t="s">
        <x:v>1122</x:v>
      </x:c>
      <x:c r="F623" t="s">
        <x:v>59</x:v>
      </x:c>
    </x:row>
    <x:row r="624">
      <x:c r="A624" t="s">
        <x:v>1123</x:v>
      </x:c>
      <x:c r="B624" t="s">
        <x:v>1124</x:v>
      </x:c>
      <x:c r="C624" t="s">
        <x:v>138</x:v>
      </x:c>
      <x:c r="D624" t="s">
        <x:v>1125</x:v>
      </x:c>
      <x:c r="E624" t="s">
        <x:v>1126</x:v>
      </x:c>
      <x:c r="F624" t="s">
        <x:v>59</x:v>
      </x:c>
    </x:row>
    <x:row r="625">
      <x:c r="A625" t="s">
        <x:v>1127</x:v>
      </x:c>
      <x:c r="B625" t="s">
        <x:v>1128</x:v>
      </x:c>
      <x:c r="C625" t="s">
        <x:v>502</x:v>
      </x:c>
      <x:c r="D625" t="s">
        <x:v>1129</x:v>
      </x:c>
      <x:c r="E625" t="s">
        <x:v>1130</x:v>
      </x:c>
      <x:c r="F625" t="s">
        <x:v>59</x:v>
      </x:c>
    </x:row>
    <x:row r="626">
      <x:c r="A626" t="s">
        <x:v>1131</x:v>
      </x:c>
      <x:c r="B626" t="s">
        <x:v>1132</x:v>
      </x:c>
      <x:c r="C626" t="s">
        <x:v>1133</x:v>
      </x:c>
      <x:c r="D626" t="s">
        <x:v>1134</x:v>
      </x:c>
      <x:c r="E626" t="s">
        <x:v>1135</x:v>
      </x:c>
      <x:c r="F626" t="s">
        <x:v>59</x:v>
      </x:c>
    </x:row>
    <x:row r="627">
      <x:c r="A627" t="s">
        <x:v>1136</x:v>
      </x:c>
      <x:c r="B627" t="s">
        <x:v>1137</x:v>
      </x:c>
      <x:c r="C627" t="s">
        <x:v>1138</x:v>
      </x:c>
      <x:c r="D627" t="s">
        <x:v>1139</x:v>
      </x:c>
      <x:c r="E627" t="s">
        <x:v>1140</x:v>
      </x:c>
      <x:c r="F627" t="s">
        <x:v>59</x:v>
      </x:c>
    </x:row>
    <x:row r="628">
      <x:c r="A628" t="s">
        <x:v>1141</x:v>
      </x:c>
      <x:c r="B628" t="s">
        <x:v>1142</x:v>
      </x:c>
      <x:c r="C628" t="s">
        <x:v>1143</x:v>
      </x:c>
      <x:c r="D628" t="s">
        <x:v>1144</x:v>
      </x:c>
      <x:c r="E628" t="s">
        <x:v>1145</x:v>
      </x:c>
      <x:c r="F628" t="s">
        <x:v>59</x:v>
      </x:c>
    </x:row>
    <x:row r="629">
      <x:c r="A629" t="s">
        <x:v>1146</x:v>
      </x:c>
      <x:c r="B629" t="s">
        <x:v>1147</x:v>
      </x:c>
      <x:c r="C629" t="s">
        <x:v>120</x:v>
      </x:c>
      <x:c r="D629" t="s">
        <x:v>1148</x:v>
      </x:c>
      <x:c r="E629" t="s">
        <x:v>1149</x:v>
      </x:c>
      <x:c r="F629" t="s">
        <x:v>59</x:v>
      </x:c>
    </x:row>
    <x:row r="630">
      <x:c r="A630" t="s">
        <x:v>1150</x:v>
      </x:c>
      <x:c r="B630" t="s">
        <x:v>1151</x:v>
      </x:c>
      <x:c r="C630" t="s">
        <x:v>493</x:v>
      </x:c>
      <x:c r="D630" t="s">
        <x:v>1152</x:v>
      </x:c>
      <x:c r="E630" t="s">
        <x:v>1153</x:v>
      </x:c>
      <x:c r="F630" t="s">
        <x:v>59</x:v>
      </x:c>
    </x:row>
    <x:row r="631">
      <x:c r="A631" t="s">
        <x:v>1154</x:v>
      </x:c>
      <x:c r="B631" t="s">
        <x:v>1155</x:v>
      </x:c>
      <x:c r="C631" t="s">
        <x:v>726</x:v>
      </x:c>
      <x:c r="D631" t="s">
        <x:v>1156</x:v>
      </x:c>
      <x:c r="E631" t="s">
        <x:v>1157</x:v>
      </x:c>
      <x:c r="F631" t="s">
        <x:v>59</x:v>
      </x:c>
    </x:row>
    <x:row r="632">
      <x:c r="A632" t="s">
        <x:v>1158</x:v>
      </x:c>
      <x:c r="B632" t="s">
        <x:v>1159</x:v>
      </x:c>
      <x:c r="C632" t="s">
        <x:v>1160</x:v>
      </x:c>
      <x:c r="D632" t="s">
        <x:v>1161</x:v>
      </x:c>
      <x:c r="E632" t="s">
        <x:v>1162</x:v>
      </x:c>
      <x:c r="F632" t="s">
        <x:v>59</x:v>
      </x:c>
    </x:row>
    <x:row r="633">
      <x:c r="A633" t="s">
        <x:v>1163</x:v>
      </x:c>
      <x:c r="B633" t="s">
        <x:v>1164</x:v>
      </x:c>
      <x:c r="C633" t="s">
        <x:v>56</x:v>
      </x:c>
      <x:c r="D633" t="s">
        <x:v>1165</x:v>
      </x:c>
      <x:c r="E633" t="s">
        <x:v>1166</x:v>
      </x:c>
      <x:c r="F633" t="s">
        <x:v>59</x:v>
      </x:c>
    </x:row>
    <x:row r="634">
      <x:c r="A634" t="s">
        <x:v>1167</x:v>
      </x:c>
      <x:c r="B634" t="s">
        <x:v>1168</x:v>
      </x:c>
      <x:c r="C634" t="s">
        <x:v>1169</x:v>
      </x:c>
      <x:c r="D634" t="s">
        <x:v>1170</x:v>
      </x:c>
      <x:c r="E634" t="s">
        <x:v>1171</x:v>
      </x:c>
      <x:c r="F634" t="s">
        <x:v>59</x:v>
      </x:c>
    </x:row>
    <x:row r="635">
      <x:c r="A635" t="s">
        <x:v>1172</x:v>
      </x:c>
      <x:c r="B635" t="s">
        <x:v>1173</x:v>
      </x:c>
      <x:c r="C635" t="s">
        <x:v>1055</x:v>
      </x:c>
      <x:c r="D635" t="s">
        <x:v>1174</x:v>
      </x:c>
      <x:c r="E635" t="s">
        <x:v>1175</x:v>
      </x:c>
      <x:c r="F635" t="s">
        <x:v>59</x:v>
      </x:c>
    </x:row>
    <x:row r="636">
      <x:c r="A636" t="s">
        <x:v>1176</x:v>
      </x:c>
      <x:c r="B636" t="s">
        <x:v>1177</x:v>
      </x:c>
      <x:c r="C636" t="s">
        <x:v>339</x:v>
      </x:c>
      <x:c r="D636" t="s">
        <x:v>1178</x:v>
      </x:c>
      <x:c r="E636" t="s">
        <x:v>1179</x:v>
      </x:c>
      <x:c r="F636" t="s">
        <x:v>59</x:v>
      </x:c>
    </x:row>
    <x:row r="637">
      <x:c r="A637" t="s">
        <x:v>1180</x:v>
      </x:c>
      <x:c r="B637" t="s">
        <x:v>1181</x:v>
      </x:c>
      <x:c r="C637" t="s">
        <x:v>1182</x:v>
      </x:c>
      <x:c r="D637" t="s">
        <x:v>1183</x:v>
      </x:c>
      <x:c r="E637" t="s">
        <x:v>1184</x:v>
      </x:c>
      <x:c r="F637" t="s">
        <x:v>59</x:v>
      </x:c>
    </x:row>
    <x:row r="638">
      <x:c r="A638" t="s">
        <x:v>1185</x:v>
      </x:c>
      <x:c r="B638" t="s">
        <x:v>1186</x:v>
      </x:c>
      <x:c r="C638" t="s">
        <x:v>1187</x:v>
      </x:c>
      <x:c r="D638" t="s">
        <x:v>1188</x:v>
      </x:c>
      <x:c r="E638" t="s">
        <x:v>1189</x:v>
      </x:c>
      <x:c r="F638" t="s">
        <x:v>59</x:v>
      </x:c>
    </x:row>
    <x:row r="639">
      <x:c r="A639" t="s">
        <x:v>1190</x:v>
      </x:c>
      <x:c r="B639" t="s">
        <x:v>1191</x:v>
      </x:c>
      <x:c r="C639" t="s">
        <x:v>1192</x:v>
      </x:c>
      <x:c r="D639" t="s">
        <x:v>1193</x:v>
      </x:c>
      <x:c r="E639" t="s">
        <x:v>1194</x:v>
      </x:c>
      <x:c r="F639" t="s">
        <x:v>59</x:v>
      </x:c>
    </x:row>
    <x:row r="640">
      <x:c r="A640" t="s">
        <x:v>1195</x:v>
      </x:c>
      <x:c r="B640" t="s">
        <x:v>1196</x:v>
      </x:c>
      <x:c r="C640" t="s">
        <x:v>1564</x:v>
      </x:c>
      <x:c r="D640" t="s">
        <x:v>1565</x:v>
      </x:c>
      <x:c r="E640" t="s">
        <x:v>1198</x:v>
      </x:c>
      <x:c r="F640" t="s">
        <x:v>59</x:v>
      </x:c>
    </x:row>
    <x:row r="641">
      <x:c r="A641" t="s">
        <x:v>1195</x:v>
      </x:c>
      <x:c r="B641" t="s">
        <x:v>1566</x:v>
      </x:c>
      <x:c r="C641" t="s">
        <x:v>339</x:v>
      </x:c>
      <x:c r="D641" t="s">
        <x:v>1567</x:v>
      </x:c>
      <x:c r="E641" t="s">
        <x:v>1198</x:v>
      </x:c>
      <x:c r="F641" t="s">
        <x:v>59</x:v>
      </x:c>
    </x:row>
    <x:row r="642">
      <x:c r="A642" t="s">
        <x:v>1199</x:v>
      </x:c>
      <x:c r="B642" t="s">
        <x:v>1200</x:v>
      </x:c>
      <x:c r="C642" t="s">
        <x:v>1568</x:v>
      </x:c>
      <x:c r="D642" t="s">
        <x:v>1569</x:v>
      </x:c>
      <x:c r="E642" t="s">
        <x:v>1202</x:v>
      </x:c>
      <x:c r="F642" t="s">
        <x:v>59</x:v>
      </x:c>
    </x:row>
    <x:row r="643">
      <x:c r="A643" t="s">
        <x:v>1199</x:v>
      </x:c>
      <x:c r="B643" t="s">
        <x:v>1570</x:v>
      </x:c>
      <x:c r="C643" t="s">
        <x:v>1571</x:v>
      </x:c>
      <x:c r="D643" t="s">
        <x:v>1572</x:v>
      </x:c>
      <x:c r="E643" t="s">
        <x:v>1202</x:v>
      </x:c>
      <x:c r="F643" t="s">
        <x:v>59</x:v>
      </x:c>
    </x:row>
    <x:row r="644">
      <x:c r="A644" t="s">
        <x:v>1199</x:v>
      </x:c>
      <x:c r="B644" t="s">
        <x:v>1138</x:v>
      </x:c>
      <x:c r="C644" t="s">
        <x:v>493</x:v>
      </x:c>
      <x:c r="D644" t="s">
        <x:v>1573</x:v>
      </x:c>
      <x:c r="E644" t="s">
        <x:v>1202</x:v>
      </x:c>
      <x:c r="F644" t="s">
        <x:v>59</x:v>
      </x:c>
    </x:row>
    <x:row r="645">
      <x:c r="A645" t="s">
        <x:v>1203</x:v>
      </x:c>
      <x:c r="B645" t="s">
        <x:v>1204</x:v>
      </x:c>
      <x:c r="C645" t="s">
        <x:v>138</x:v>
      </x:c>
      <x:c r="D645" t="s">
        <x:v>1205</x:v>
      </x:c>
      <x:c r="E645" t="s">
        <x:v>1206</x:v>
      </x:c>
      <x:c r="F645" t="s">
        <x:v>59</x:v>
      </x:c>
    </x:row>
    <x:row r="646">
      <x:c r="A646" t="s">
        <x:v>1207</x:v>
      </x:c>
      <x:c r="B646" t="s">
        <x:v>1208</x:v>
      </x:c>
      <x:c r="C646" t="s">
        <x:v>98</x:v>
      </x:c>
      <x:c r="D646" t="s">
        <x:v>1209</x:v>
      </x:c>
      <x:c r="E646" t="s">
        <x:v>1210</x:v>
      </x:c>
      <x:c r="F646" t="s">
        <x:v>59</x:v>
      </x:c>
    </x:row>
    <x:row r="647">
      <x:c r="A647" t="s">
        <x:v>1211</x:v>
      </x:c>
      <x:c r="B647" t="s">
        <x:v>1212</x:v>
      </x:c>
      <x:c r="C647" t="s">
        <x:v>339</x:v>
      </x:c>
      <x:c r="D647" t="s">
        <x:v>1213</x:v>
      </x:c>
      <x:c r="E647" t="s">
        <x:v>1214</x:v>
      </x:c>
      <x:c r="F647" t="s">
        <x:v>59</x:v>
      </x:c>
    </x:row>
    <x:row r="648">
      <x:c r="A648" t="s">
        <x:v>1215</x:v>
      </x:c>
      <x:c r="B648" t="s">
        <x:v>1216</x:v>
      </x:c>
      <x:c r="C648" t="s">
        <x:v>507</x:v>
      </x:c>
      <x:c r="D648" t="s">
        <x:v>1217</x:v>
      </x:c>
      <x:c r="E648" t="s">
        <x:v>1218</x:v>
      </x:c>
      <x:c r="F648" t="s">
        <x:v>59</x:v>
      </x:c>
    </x:row>
    <x:row r="649">
      <x:c r="A649" t="s">
        <x:v>1219</x:v>
      </x:c>
      <x:c r="B649" t="s">
        <x:v>1220</x:v>
      </x:c>
      <x:c r="C649" t="s">
        <x:v>1221</x:v>
      </x:c>
      <x:c r="D649" t="s">
        <x:v>1222</x:v>
      </x:c>
      <x:c r="E649" t="s">
        <x:v>1223</x:v>
      </x:c>
      <x:c r="F649" t="s">
        <x:v>59</x:v>
      </x:c>
    </x:row>
    <x:row r="650">
      <x:c r="A650" t="s">
        <x:v>1224</x:v>
      </x:c>
      <x:c r="B650" t="s">
        <x:v>1225</x:v>
      </x:c>
      <x:c r="C650" t="s">
        <x:v>684</x:v>
      </x:c>
      <x:c r="D650" t="s">
        <x:v>1226</x:v>
      </x:c>
      <x:c r="E650" t="s">
        <x:v>1227</x:v>
      </x:c>
      <x:c r="F650" t="s">
        <x:v>59</x:v>
      </x:c>
    </x:row>
    <x:row r="651">
      <x:c r="A651" t="s">
        <x:v>1228</x:v>
      </x:c>
      <x:c r="B651" t="s">
        <x:v>1229</x:v>
      </x:c>
      <x:c r="C651" t="s">
        <x:v>1230</x:v>
      </x:c>
      <x:c r="D651" t="s">
        <x:v>1231</x:v>
      </x:c>
      <x:c r="E651" t="s">
        <x:v>1232</x:v>
      </x:c>
      <x:c r="F651" t="s">
        <x:v>59</x:v>
      </x:c>
    </x:row>
    <x:row r="652">
      <x:c r="A652" t="s">
        <x:v>1233</x:v>
      </x:c>
      <x:c r="B652" t="s">
        <x:v>1234</x:v>
      </x:c>
      <x:c r="C652" t="s">
        <x:v>1055</x:v>
      </x:c>
      <x:c r="D652" t="s">
        <x:v>1235</x:v>
      </x:c>
      <x:c r="E652" t="s">
        <x:v>1236</x:v>
      </x:c>
      <x:c r="F652" t="s">
        <x:v>59</x:v>
      </x:c>
    </x:row>
    <x:row r="653">
      <x:c r="A653" t="s">
        <x:v>1237</x:v>
      </x:c>
      <x:c r="B653" t="s">
        <x:v>1238</x:v>
      </x:c>
      <x:c r="C653" t="s">
        <x:v>222</x:v>
      </x:c>
      <x:c r="D653" t="s">
        <x:v>1239</x:v>
      </x:c>
      <x:c r="E653" t="s">
        <x:v>1240</x:v>
      </x:c>
      <x:c r="F653" t="s">
        <x:v>59</x:v>
      </x:c>
    </x:row>
    <x:row r="654">
      <x:c r="A654" t="s">
        <x:v>1241</x:v>
      </x:c>
      <x:c r="B654" t="s">
        <x:v>1242</x:v>
      </x:c>
      <x:c r="C654" t="s">
        <x:v>1574</x:v>
      </x:c>
      <x:c r="D654" t="s">
        <x:v>1575</x:v>
      </x:c>
      <x:c r="E654" t="s">
        <x:v>1245</x:v>
      </x:c>
      <x:c r="F654" t="s">
        <x:v>59</x:v>
      </x:c>
    </x:row>
    <x:row r="655">
      <x:c r="A655" t="s">
        <x:v>1241</x:v>
      </x:c>
      <x:c r="B655" t="s">
        <x:v>1576</x:v>
      </x:c>
      <x:c r="C655" t="s">
        <x:v>1243</x:v>
      </x:c>
      <x:c r="D655" t="s">
        <x:v>1577</x:v>
      </x:c>
      <x:c r="E655" t="s">
        <x:v>1245</x:v>
      </x:c>
      <x:c r="F655" t="s">
        <x:v>59</x:v>
      </x:c>
    </x:row>
    <x:row r="656">
      <x:c r="A656" t="s">
        <x:v>1246</x:v>
      </x:c>
      <x:c r="B656" t="s">
        <x:v>1247</x:v>
      </x:c>
      <x:c r="C656" t="s">
        <x:v>1578</x:v>
      </x:c>
      <x:c r="D656" t="s">
        <x:v>1579</x:v>
      </x:c>
      <x:c r="E656" t="s">
        <x:v>1249</x:v>
      </x:c>
      <x:c r="F656" t="s">
        <x:v>59</x:v>
      </x:c>
    </x:row>
    <x:row r="657">
      <x:c r="A657" t="s">
        <x:v>1246</x:v>
      </x:c>
      <x:c r="B657" t="s">
        <x:v>1580</x:v>
      </x:c>
      <x:c r="C657" t="s">
        <x:v>280</x:v>
      </x:c>
      <x:c r="D657" t="s">
        <x:v>1581</x:v>
      </x:c>
      <x:c r="E657" t="s">
        <x:v>1249</x:v>
      </x:c>
      <x:c r="F657" t="s">
        <x:v>59</x:v>
      </x:c>
    </x:row>
    <x:row r="658">
      <x:c r="A658" t="s">
        <x:v>1250</x:v>
      </x:c>
      <x:c r="B658" t="s">
        <x:v>1251</x:v>
      </x:c>
      <x:c r="C658" t="s">
        <x:v>1252</x:v>
      </x:c>
      <x:c r="D658" t="s">
        <x:v>1253</x:v>
      </x:c>
      <x:c r="E658" t="s">
        <x:v>1254</x:v>
      </x:c>
      <x:c r="F658" t="s">
        <x:v>59</x:v>
      </x:c>
    </x:row>
    <x:row r="659">
      <x:c r="A659" t="s">
        <x:v>1255</x:v>
      </x:c>
      <x:c r="B659" t="s">
        <x:v>1256</x:v>
      </x:c>
      <x:c r="C659" t="s">
        <x:v>1257</x:v>
      </x:c>
      <x:c r="D659" t="s">
        <x:v>1258</x:v>
      </x:c>
      <x:c r="E659" t="s">
        <x:v>1259</x:v>
      </x:c>
      <x:c r="F659" t="s">
        <x:v>59</x:v>
      </x:c>
    </x:row>
    <x:row r="660">
      <x:c r="A660" t="s">
        <x:v>1260</x:v>
      </x:c>
      <x:c r="B660" t="s">
        <x:v>1261</x:v>
      </x:c>
      <x:c r="C660" t="s">
        <x:v>339</x:v>
      </x:c>
      <x:c r="D660" t="s">
        <x:v>1262</x:v>
      </x:c>
      <x:c r="E660" t="s">
        <x:v>1263</x:v>
      </x:c>
      <x:c r="F660" t="s">
        <x:v>59</x:v>
      </x:c>
    </x:row>
    <x:row r="661">
      <x:c r="A661" t="s">
        <x:v>1264</x:v>
      </x:c>
      <x:c r="B661" t="s">
        <x:v>1265</x:v>
      </x:c>
      <x:c r="C661" t="s">
        <x:v>1266</x:v>
      </x:c>
      <x:c r="D661" t="s">
        <x:v>1267</x:v>
      </x:c>
      <x:c r="E661" t="s">
        <x:v>1268</x:v>
      </x:c>
      <x:c r="F661" t="s">
        <x:v>59</x:v>
      </x:c>
    </x:row>
    <x:row r="662">
      <x:c r="A662" t="s">
        <x:v>1269</x:v>
      </x:c>
      <x:c r="B662" t="s">
        <x:v>1270</x:v>
      </x:c>
      <x:c r="C662" t="s">
        <x:v>1271</x:v>
      </x:c>
      <x:c r="D662" t="s">
        <x:v>1272</x:v>
      </x:c>
      <x:c r="E662" t="s">
        <x:v>1273</x:v>
      </x:c>
      <x:c r="F662" t="s">
        <x:v>59</x:v>
      </x:c>
    </x:row>
    <x:row r="663">
      <x:c r="A663" t="s">
        <x:v>1274</x:v>
      </x:c>
      <x:c r="B663" t="s">
        <x:v>1275</x:v>
      </x:c>
      <x:c r="C663" t="s">
        <x:v>67</x:v>
      </x:c>
      <x:c r="D663" t="s">
        <x:v>1276</x:v>
      </x:c>
      <x:c r="E663" t="s">
        <x:v>1277</x:v>
      </x:c>
      <x:c r="F663" t="s">
        <x:v>59</x:v>
      </x:c>
    </x:row>
    <x:row r="664">
      <x:c r="A664" t="s">
        <x:v>1278</x:v>
      </x:c>
      <x:c r="B664" t="s">
        <x:v>1279</x:v>
      </x:c>
      <x:c r="C664" t="s">
        <x:v>759</x:v>
      </x:c>
      <x:c r="D664" t="s">
        <x:v>1280</x:v>
      </x:c>
      <x:c r="E664" t="s">
        <x:v>1281</x:v>
      </x:c>
      <x:c r="F664" t="s">
        <x:v>59</x:v>
      </x:c>
    </x:row>
    <x:row r="665">
      <x:c r="A665" t="s">
        <x:v>1282</x:v>
      </x:c>
      <x:c r="B665" t="s">
        <x:v>1283</x:v>
      </x:c>
      <x:c r="C665" t="s">
        <x:v>1284</x:v>
      </x:c>
      <x:c r="D665" t="s">
        <x:v>1285</x:v>
      </x:c>
      <x:c r="E665" t="s">
        <x:v>1286</x:v>
      </x:c>
      <x:c r="F665" t="s">
        <x:v>59</x:v>
      </x:c>
    </x:row>
    <x:row r="666">
      <x:c r="A666" t="s">
        <x:v>1287</x:v>
      </x:c>
      <x:c r="B666" t="s">
        <x:v>1288</x:v>
      </x:c>
      <x:c r="C666" t="s">
        <x:v>1289</x:v>
      </x:c>
      <x:c r="D666" t="s">
        <x:v>1290</x:v>
      </x:c>
      <x:c r="E666" t="s">
        <x:v>1291</x:v>
      </x:c>
      <x:c r="F666" t="s">
        <x:v>59</x:v>
      </x:c>
    </x:row>
    <x:row r="667">
      <x:c r="A667" t="s">
        <x:v>1292</x:v>
      </x:c>
      <x:c r="B667" t="s">
        <x:v>1293</x:v>
      </x:c>
      <x:c r="C667" t="s">
        <x:v>896</x:v>
      </x:c>
      <x:c r="D667" t="s">
        <x:v>1294</x:v>
      </x:c>
      <x:c r="E667" t="s">
        <x:v>1295</x:v>
      </x:c>
      <x:c r="F667" t="s">
        <x:v>59</x:v>
      </x:c>
    </x:row>
    <x:row r="668">
      <x:c r="A668" t="s">
        <x:v>1296</x:v>
      </x:c>
      <x:c r="B668" t="s">
        <x:v>1297</x:v>
      </x:c>
      <x:c r="C668" t="s">
        <x:v>1298</x:v>
      </x:c>
      <x:c r="D668" t="s">
        <x:v>1299</x:v>
      </x:c>
      <x:c r="E668" t="s">
        <x:v>1300</x:v>
      </x:c>
      <x:c r="F668" t="s">
        <x:v>59</x:v>
      </x:c>
    </x:row>
    <x:row r="669">
      <x:c r="A669" t="s">
        <x:v>1301</x:v>
      </x:c>
      <x:c r="B669" t="s">
        <x:v>1302</x:v>
      </x:c>
      <x:c r="C669" t="s">
        <x:v>1303</x:v>
      </x:c>
      <x:c r="D669" t="s">
        <x:v>1304</x:v>
      </x:c>
      <x:c r="E669" t="s">
        <x:v>1305</x:v>
      </x:c>
      <x:c r="F669" t="s">
        <x:v>59</x:v>
      </x:c>
    </x:row>
    <x:row r="670">
      <x:c r="A670" t="s">
        <x:v>1306</x:v>
      </x:c>
      <x:c r="B670" t="s">
        <x:v>1307</x:v>
      </x:c>
      <x:c r="C670" t="s">
        <x:v>30</x:v>
      </x:c>
      <x:c r="D670" t="s">
        <x:v>1308</x:v>
      </x:c>
      <x:c r="E670" t="s">
        <x:v>1309</x:v>
      </x:c>
      <x:c r="F670" t="s">
        <x:v>59</x:v>
      </x:c>
    </x:row>
    <x:row r="671">
      <x:c r="A671" t="s">
        <x:v>1310</x:v>
      </x:c>
      <x:c r="B671" t="s">
        <x:v>1311</x:v>
      </x:c>
      <x:c r="C671" t="s">
        <x:v>1312</x:v>
      </x:c>
      <x:c r="D671" t="s">
        <x:v>1313</x:v>
      </x:c>
      <x:c r="E671" t="s">
        <x:v>1314</x:v>
      </x:c>
      <x:c r="F671" t="s">
        <x:v>59</x:v>
      </x:c>
    </x:row>
    <x:row r="672">
      <x:c r="A672" t="s">
        <x:v>1315</x:v>
      </x:c>
      <x:c r="B672" t="s">
        <x:v>1316</x:v>
      </x:c>
      <x:c r="C672" t="s">
        <x:v>1317</x:v>
      </x:c>
      <x:c r="D672" t="s">
        <x:v>1318</x:v>
      </x:c>
      <x:c r="E672" t="s">
        <x:v>1319</x:v>
      </x:c>
      <x:c r="F672" t="s">
        <x:v>59</x:v>
      </x:c>
    </x:row>
    <x:row r="673">
      <x:c r="A673" t="s">
        <x:v>1320</x:v>
      </x:c>
      <x:c r="B673" t="s">
        <x:v>1321</x:v>
      </x:c>
      <x:c r="C673" t="s">
        <x:v>1322</x:v>
      </x:c>
      <x:c r="D673" t="s">
        <x:v>1323</x:v>
      </x:c>
      <x:c r="E673" t="s">
        <x:v>1324</x:v>
      </x:c>
      <x:c r="F673" t="s">
        <x:v>59</x:v>
      </x:c>
    </x:row>
    <x:row r="674">
      <x:c r="A674" t="s">
        <x:v>1325</x:v>
      </x:c>
      <x:c r="B674" t="s">
        <x:v>1326</x:v>
      </x:c>
      <x:c r="C674" t="s">
        <x:v>1327</x:v>
      </x:c>
      <x:c r="D674" t="s">
        <x:v>104</x:v>
      </x:c>
      <x:c r="E674" t="s">
        <x:v>1328</x:v>
      </x:c>
      <x:c r="F674" t="s">
        <x:v>59</x:v>
      </x:c>
    </x:row>
    <x:row r="675">
      <x:c r="A675" t="s">
        <x:v>1329</x:v>
      </x:c>
      <x:c r="B675" t="s">
        <x:v>1330</x:v>
      </x:c>
      <x:c r="C675" t="s">
        <x:v>1331</x:v>
      </x:c>
      <x:c r="D675" t="s">
        <x:v>1332</x:v>
      </x:c>
      <x:c r="E675" t="s">
        <x:v>1333</x:v>
      </x:c>
      <x:c r="F675" t="s">
        <x:v>59</x:v>
      </x:c>
    </x:row>
    <x:row r="676">
      <x:c r="A676" t="s">
        <x:v>1334</x:v>
      </x:c>
      <x:c r="B676" t="s">
        <x:v>1335</x:v>
      </x:c>
      <x:c r="C676" t="s">
        <x:v>170</x:v>
      </x:c>
      <x:c r="D676" t="s">
        <x:v>1336</x:v>
      </x:c>
      <x:c r="E676" t="s">
        <x:v>1337</x:v>
      </x:c>
      <x:c r="F676" t="s">
        <x:v>59</x:v>
      </x:c>
    </x:row>
    <x:row r="677">
      <x:c r="A677" t="s">
        <x:v>1338</x:v>
      </x:c>
      <x:c r="B677" t="s">
        <x:v>1339</x:v>
      </x:c>
      <x:c r="C677" t="s">
        <x:v>98</x:v>
      </x:c>
      <x:c r="D677" t="s">
        <x:v>1340</x:v>
      </x:c>
      <x:c r="E677" t="s">
        <x:v>1341</x:v>
      </x:c>
      <x:c r="F677" t="s">
        <x:v>59</x:v>
      </x:c>
    </x:row>
    <x:row r="678">
      <x:c r="A678" t="s">
        <x:v>1342</x:v>
      </x:c>
      <x:c r="B678" t="s">
        <x:v>1343</x:v>
      </x:c>
      <x:c r="C678" t="s">
        <x:v>1344</x:v>
      </x:c>
      <x:c r="D678" t="s">
        <x:v>1345</x:v>
      </x:c>
      <x:c r="E678" t="s">
        <x:v>1346</x:v>
      </x:c>
      <x:c r="F678" t="s">
        <x:v>59</x:v>
      </x:c>
    </x:row>
    <x:row r="679">
      <x:c r="A679" t="s">
        <x:v>1347</x:v>
      </x:c>
      <x:c r="B679" t="s">
        <x:v>1348</x:v>
      </x:c>
      <x:c r="C679" t="s">
        <x:v>970</x:v>
      </x:c>
      <x:c r="D679" t="s">
        <x:v>1349</x:v>
      </x:c>
      <x:c r="E679" t="s">
        <x:v>1350</x:v>
      </x:c>
      <x:c r="F679" t="s">
        <x:v>59</x:v>
      </x:c>
    </x:row>
    <x:row r="680">
      <x:c r="A680" t="s">
        <x:v>1351</x:v>
      </x:c>
      <x:c r="B680" t="s">
        <x:v>1352</x:v>
      </x:c>
      <x:c r="C680" t="s">
        <x:v>231</x:v>
      </x:c>
      <x:c r="D680" t="s">
        <x:v>1582</x:v>
      </x:c>
      <x:c r="E680" t="s">
        <x:v>1355</x:v>
      </x:c>
      <x:c r="F680" t="s">
        <x:v>59</x:v>
      </x:c>
    </x:row>
    <x:row r="681">
      <x:c r="A681" t="s">
        <x:v>1351</x:v>
      </x:c>
      <x:c r="B681" t="s">
        <x:v>1583</x:v>
      </x:c>
      <x:c r="C681" t="s">
        <x:v>1353</x:v>
      </x:c>
      <x:c r="D681" t="s">
        <x:v>1584</x:v>
      </x:c>
      <x:c r="E681" t="s">
        <x:v>1355</x:v>
      </x:c>
      <x:c r="F681" t="s">
        <x:v>59</x:v>
      </x:c>
    </x:row>
    <x:row r="682">
      <x:c r="A682" t="s">
        <x:v>1356</x:v>
      </x:c>
      <x:c r="B682" t="s">
        <x:v>1357</x:v>
      </x:c>
      <x:c r="C682" t="s">
        <x:v>1358</x:v>
      </x:c>
      <x:c r="D682" t="s">
        <x:v>1359</x:v>
      </x:c>
      <x:c r="E682" t="s">
        <x:v>1360</x:v>
      </x:c>
      <x:c r="F682" t="s">
        <x:v>59</x:v>
      </x:c>
    </x:row>
    <x:row r="683">
      <x:c r="A683" t="s">
        <x:v>1361</x:v>
      </x:c>
      <x:c r="B683" t="s">
        <x:v>1362</x:v>
      </x:c>
      <x:c r="C683" t="s">
        <x:v>1022</x:v>
      </x:c>
      <x:c r="D683" t="s">
        <x:v>1363</x:v>
      </x:c>
      <x:c r="E683" t="s">
        <x:v>1364</x:v>
      </x:c>
      <x:c r="F683" t="s">
        <x:v>59</x:v>
      </x:c>
    </x:row>
    <x:row r="684">
      <x:c r="A684" t="s">
        <x:v>1365</x:v>
      </x:c>
      <x:c r="B684" t="s">
        <x:v>1366</x:v>
      </x:c>
      <x:c r="C684" t="s">
        <x:v>170</x:v>
      </x:c>
      <x:c r="D684" t="s">
        <x:v>1367</x:v>
      </x:c>
      <x:c r="E684" t="s">
        <x:v>1368</x:v>
      </x:c>
      <x:c r="F684" t="s">
        <x:v>59</x:v>
      </x:c>
    </x:row>
    <x:row r="685">
      <x:c r="A685" t="s">
        <x:v>1369</x:v>
      </x:c>
      <x:c r="B685" t="s">
        <x:v>787</x:v>
      </x:c>
      <x:c r="C685" t="s">
        <x:v>1138</x:v>
      </x:c>
      <x:c r="D685" t="s">
        <x:v>1370</x:v>
      </x:c>
      <x:c r="E685" t="s">
        <x:v>1371</x:v>
      </x:c>
      <x:c r="F685" t="s">
        <x:v>59</x:v>
      </x:c>
    </x:row>
    <x:row r="687">
      <x:c r="A687" s="1" t="s">
        <x:v>1585</x:v>
      </x:c>
    </x:row>
    <x:row r="688">
      <x:c r="A688" t="s">
        <x:v>13</x:v>
      </x:c>
      <x:c r="B688" t="s">
        <x:v>1586</x:v>
      </x:c>
      <x:c r="C688" t="s">
        <x:v>1587</x:v>
      </x:c>
    </x:row>
    <x:row r="689">
      <x:c r="A689" t="s">
        <x:v>28</x:v>
      </x:c>
      <x:c r="B689" t="s">
        <x:v>1588</x:v>
      </x:c>
      <x:c r="C689" t="s">
        <x:v>524</x:v>
      </x:c>
    </x:row>
    <x:row r="690">
      <x:c r="A690" t="s">
        <x:v>28</x:v>
      </x:c>
      <x:c r="B690" t="s">
        <x:v>1588</x:v>
      </x:c>
      <x:c r="C690" t="s">
        <x:v>1589</x:v>
      </x:c>
    </x:row>
    <x:row r="691">
      <x:c r="A691" t="s">
        <x:v>28</x:v>
      </x:c>
      <x:c r="B691" t="s">
        <x:v>1590</x:v>
      </x:c>
      <x:c r="C691" t="s">
        <x:v>1591</x:v>
      </x:c>
    </x:row>
    <x:row r="692">
      <x:c r="A692" t="s">
        <x:v>28</x:v>
      </x:c>
      <x:c r="B692" t="s">
        <x:v>1590</x:v>
      </x:c>
      <x:c r="C692" t="s">
        <x:v>1592</x:v>
      </x:c>
    </x:row>
    <x:row r="693">
      <x:c r="A693" t="s">
        <x:v>28</x:v>
      </x:c>
      <x:c r="B693" t="s">
        <x:v>1588</x:v>
      </x:c>
      <x:c r="C693" t="s">
        <x:v>1593</x:v>
      </x:c>
    </x:row>
    <x:row r="694">
      <x:c r="A694" t="s">
        <x:v>28</x:v>
      </x:c>
      <x:c r="B694" t="s">
        <x:v>1588</x:v>
      </x:c>
      <x:c r="C694" t="s">
        <x:v>1594</x:v>
      </x:c>
    </x:row>
    <x:row r="695">
      <x:c r="A695" t="s">
        <x:v>28</x:v>
      </x:c>
      <x:c r="B695" t="s">
        <x:v>1588</x:v>
      </x:c>
      <x:c r="C695" t="s">
        <x:v>1595</x:v>
      </x:c>
    </x:row>
    <x:row r="696">
      <x:c r="A696" t="s">
        <x:v>34</x:v>
      </x:c>
      <x:c r="B696" t="s">
        <x:v>1590</x:v>
      </x:c>
      <x:c r="C696" t="s">
        <x:v>1596</x:v>
      </x:c>
    </x:row>
    <x:row r="697">
      <x:c r="A697" t="s">
        <x:v>34</x:v>
      </x:c>
      <x:c r="B697" t="s">
        <x:v>1590</x:v>
      </x:c>
      <x:c r="C697" t="s">
        <x:v>1597</x:v>
      </x:c>
    </x:row>
    <x:row r="698">
      <x:c r="A698" t="s">
        <x:v>39</x:v>
      </x:c>
      <x:c r="B698" t="s">
        <x:v>1590</x:v>
      </x:c>
      <x:c r="C698" t="s">
        <x:v>1598</x:v>
      </x:c>
    </x:row>
    <x:row r="699">
      <x:c r="A699" t="s">
        <x:v>39</x:v>
      </x:c>
      <x:c r="B699" t="s">
        <x:v>1590</x:v>
      </x:c>
      <x:c r="C699" t="s">
        <x:v>1599</x:v>
      </x:c>
    </x:row>
    <x:row r="700">
      <x:c r="A700" t="s">
        <x:v>39</x:v>
      </x:c>
      <x:c r="B700" t="s">
        <x:v>1590</x:v>
      </x:c>
      <x:c r="C700" t="s">
        <x:v>1600</x:v>
      </x:c>
    </x:row>
    <x:row r="701">
      <x:c r="A701" t="s">
        <x:v>39</x:v>
      </x:c>
      <x:c r="B701" t="s">
        <x:v>1588</x:v>
      </x:c>
      <x:c r="C701" t="s">
        <x:v>1601</x:v>
      </x:c>
    </x:row>
    <x:row r="702">
      <x:c r="A702" t="s">
        <x:v>44</x:v>
      </x:c>
      <x:c r="B702" t="s">
        <x:v>1602</x:v>
      </x:c>
      <x:c r="C702" t="s">
        <x:v>1087</x:v>
      </x:c>
    </x:row>
    <x:row r="703">
      <x:c r="A703" t="s">
        <x:v>44</x:v>
      </x:c>
      <x:c r="B703" t="s">
        <x:v>1588</x:v>
      </x:c>
      <x:c r="C703" t="s">
        <x:v>1603</x:v>
      </x:c>
    </x:row>
    <x:row r="704">
      <x:c r="A704" t="s">
        <x:v>44</x:v>
      </x:c>
      <x:c r="B704" t="s">
        <x:v>1590</x:v>
      </x:c>
      <x:c r="C704" t="s">
        <x:v>1604</x:v>
      </x:c>
    </x:row>
    <x:row r="705">
      <x:c r="A705" t="s">
        <x:v>44</x:v>
      </x:c>
      <x:c r="B705" t="s">
        <x:v>1602</x:v>
      </x:c>
      <x:c r="C705" t="s">
        <x:v>1605</x:v>
      </x:c>
    </x:row>
    <x:row r="706">
      <x:c r="A706" t="s">
        <x:v>49</x:v>
      </x:c>
      <x:c r="B706" t="s">
        <x:v>1588</x:v>
      </x:c>
      <x:c r="C706" t="s">
        <x:v>1606</x:v>
      </x:c>
    </x:row>
    <x:row r="707">
      <x:c r="A707" t="s">
        <x:v>49</x:v>
      </x:c>
      <x:c r="B707" t="s">
        <x:v>1588</x:v>
      </x:c>
      <x:c r="C707" t="s">
        <x:v>1607</x:v>
      </x:c>
    </x:row>
    <x:row r="708">
      <x:c r="A708" t="s">
        <x:v>49</x:v>
      </x:c>
      <x:c r="B708" t="s">
        <x:v>1590</x:v>
      </x:c>
      <x:c r="C708" t="s">
        <x:v>1608</x:v>
      </x:c>
    </x:row>
    <x:row r="709">
      <x:c r="A709" t="s">
        <x:v>49</x:v>
      </x:c>
      <x:c r="B709" t="s">
        <x:v>1590</x:v>
      </x:c>
      <x:c r="C709" t="s">
        <x:v>1609</x:v>
      </x:c>
    </x:row>
    <x:row r="710">
      <x:c r="A710" t="s">
        <x:v>54</x:v>
      </x:c>
      <x:c r="B710" t="s">
        <x:v>1590</x:v>
      </x:c>
      <x:c r="C710" t="s">
        <x:v>55</x:v>
      </x:c>
    </x:row>
    <x:row r="711">
      <x:c r="A711" t="s">
        <x:v>54</x:v>
      </x:c>
      <x:c r="B711" t="s">
        <x:v>1590</x:v>
      </x:c>
      <x:c r="C711" t="s">
        <x:v>51</x:v>
      </x:c>
    </x:row>
    <x:row r="712">
      <x:c r="A712" t="s">
        <x:v>65</x:v>
      </x:c>
      <x:c r="B712" t="s">
        <x:v>1590</x:v>
      </x:c>
      <x:c r="C712" t="s">
        <x:v>1383</x:v>
      </x:c>
    </x:row>
    <x:row r="713">
      <x:c r="A713" t="s">
        <x:v>79</x:v>
      </x:c>
      <x:c r="B713" t="s">
        <x:v>1590</x:v>
      </x:c>
      <x:c r="C713" t="s">
        <x:v>102</x:v>
      </x:c>
    </x:row>
    <x:row r="714">
      <x:c r="A714" t="s">
        <x:v>158</x:v>
      </x:c>
      <x:c r="B714" t="s">
        <x:v>1590</x:v>
      </x:c>
      <x:c r="C714" t="s">
        <x:v>212</x:v>
      </x:c>
    </x:row>
    <x:row r="715">
      <x:c r="A715" t="s">
        <x:v>176</x:v>
      </x:c>
      <x:c r="B715" t="s">
        <x:v>1590</x:v>
      </x:c>
      <x:c r="C715" t="s">
        <x:v>1403</x:v>
      </x:c>
    </x:row>
    <x:row r="716">
      <x:c r="A716" t="s">
        <x:v>176</x:v>
      </x:c>
      <x:c r="B716" t="s">
        <x:v>1590</x:v>
      </x:c>
      <x:c r="C716" t="s">
        <x:v>1610</x:v>
      </x:c>
    </x:row>
    <x:row r="717">
      <x:c r="A717" t="s">
        <x:v>176</x:v>
      </x:c>
      <x:c r="B717" t="s">
        <x:v>1590</x:v>
      </x:c>
      <x:c r="C717" t="s">
        <x:v>1611</x:v>
      </x:c>
    </x:row>
    <x:row r="718">
      <x:c r="A718" t="s">
        <x:v>194</x:v>
      </x:c>
      <x:c r="B718" t="s">
        <x:v>1590</x:v>
      </x:c>
      <x:c r="C718" t="s">
        <x:v>1612</x:v>
      </x:c>
    </x:row>
    <x:row r="719">
      <x:c r="A719" t="s">
        <x:v>199</x:v>
      </x:c>
      <x:c r="B719" t="s">
        <x:v>1590</x:v>
      </x:c>
      <x:c r="C719" t="s">
        <x:v>1411</x:v>
      </x:c>
    </x:row>
    <x:row r="720">
      <x:c r="A720" t="s">
        <x:v>199</x:v>
      </x:c>
      <x:c r="B720" t="s">
        <x:v>1602</x:v>
      </x:c>
      <x:c r="C720" t="s">
        <x:v>1613</x:v>
      </x:c>
    </x:row>
    <x:row r="721">
      <x:c r="A721" t="s">
        <x:v>208</x:v>
      </x:c>
      <x:c r="B721" t="s">
        <x:v>1590</x:v>
      </x:c>
      <x:c r="C721" t="s">
        <x:v>313</x:v>
      </x:c>
    </x:row>
    <x:row r="722">
      <x:c r="A722" t="s">
        <x:v>208</x:v>
      </x:c>
      <x:c r="B722" t="s">
        <x:v>1590</x:v>
      </x:c>
      <x:c r="C722" t="s">
        <x:v>1614</x:v>
      </x:c>
    </x:row>
    <x:row r="723">
      <x:c r="A723" t="s">
        <x:v>211</x:v>
      </x:c>
      <x:c r="B723" t="s">
        <x:v>1615</x:v>
      </x:c>
      <x:c r="C723" t="s">
        <x:v>1616</x:v>
      </x:c>
    </x:row>
    <x:row r="724">
      <x:c r="A724" t="s">
        <x:v>251</x:v>
      </x:c>
      <x:c r="B724" t="s">
        <x:v>1615</x:v>
      </x:c>
      <x:c r="C724" t="s">
        <x:v>46</x:v>
      </x:c>
    </x:row>
    <x:row r="725">
      <x:c r="A725" t="s">
        <x:v>278</x:v>
      </x:c>
      <x:c r="B725" t="s">
        <x:v>1590</x:v>
      </x:c>
      <x:c r="C725" t="s">
        <x:v>1424</x:v>
      </x:c>
    </x:row>
    <x:row r="726">
      <x:c r="A726" t="s">
        <x:v>283</x:v>
      </x:c>
      <x:c r="B726" t="s">
        <x:v>1590</x:v>
      </x:c>
      <x:c r="C726" t="s">
        <x:v>1617</x:v>
      </x:c>
    </x:row>
    <x:row r="727">
      <x:c r="A727" t="s">
        <x:v>288</x:v>
      </x:c>
      <x:c r="B727" t="s">
        <x:v>1590</x:v>
      </x:c>
      <x:c r="C727" t="s">
        <x:v>1431</x:v>
      </x:c>
    </x:row>
    <x:row r="728">
      <x:c r="A728" t="s">
        <x:v>288</x:v>
      </x:c>
      <x:c r="B728" t="s">
        <x:v>1590</x:v>
      </x:c>
      <x:c r="C728" t="s">
        <x:v>1434</x:v>
      </x:c>
    </x:row>
    <x:row r="729">
      <x:c r="A729" t="s">
        <x:v>322</x:v>
      </x:c>
      <x:c r="B729" t="s">
        <x:v>1590</x:v>
      </x:c>
      <x:c r="C729" t="s">
        <x:v>1438</x:v>
      </x:c>
    </x:row>
    <x:row r="730">
      <x:c r="A730" t="s">
        <x:v>364</x:v>
      </x:c>
      <x:c r="B730" t="s">
        <x:v>1590</x:v>
      </x:c>
      <x:c r="C730" t="s">
        <x:v>1618</x:v>
      </x:c>
    </x:row>
    <x:row r="731">
      <x:c r="A731" t="s">
        <x:v>364</x:v>
      </x:c>
      <x:c r="B731" t="s">
        <x:v>1590</x:v>
      </x:c>
      <x:c r="C731" t="s">
        <x:v>1083</x:v>
      </x:c>
    </x:row>
    <x:row r="732">
      <x:c r="A732" t="s">
        <x:v>368</x:v>
      </x:c>
      <x:c r="B732" t="s">
        <x:v>1602</x:v>
      </x:c>
      <x:c r="C732" t="s">
        <x:v>1087</x:v>
      </x:c>
    </x:row>
    <x:row r="733">
      <x:c r="A733" t="s">
        <x:v>368</x:v>
      </x:c>
      <x:c r="B733" t="s">
        <x:v>1602</x:v>
      </x:c>
      <x:c r="C733" t="s">
        <x:v>1619</x:v>
      </x:c>
    </x:row>
    <x:row r="734">
      <x:c r="A734" t="s">
        <x:v>368</x:v>
      </x:c>
      <x:c r="B734" t="s">
        <x:v>1602</x:v>
      </x:c>
      <x:c r="C734" t="s">
        <x:v>1620</x:v>
      </x:c>
    </x:row>
    <x:row r="735">
      <x:c r="A735" t="s">
        <x:v>368</x:v>
      </x:c>
      <x:c r="B735" t="s">
        <x:v>1615</x:v>
      </x:c>
      <x:c r="C735" t="s">
        <x:v>516</x:v>
      </x:c>
    </x:row>
    <x:row r="736">
      <x:c r="A736" t="s">
        <x:v>368</x:v>
      </x:c>
      <x:c r="B736" t="s">
        <x:v>1590</x:v>
      </x:c>
      <x:c r="C736" t="s">
        <x:v>30</x:v>
      </x:c>
    </x:row>
    <x:row r="737">
      <x:c r="A737" t="s">
        <x:v>376</x:v>
      </x:c>
      <x:c r="B737" t="s">
        <x:v>1615</x:v>
      </x:c>
      <x:c r="C737" t="s">
        <x:v>334</x:v>
      </x:c>
    </x:row>
    <x:row r="738">
      <x:c r="A738" t="s">
        <x:v>398</x:v>
      </x:c>
      <x:c r="B738" t="s">
        <x:v>1590</x:v>
      </x:c>
      <x:c r="C738" t="s">
        <x:v>1621</x:v>
      </x:c>
    </x:row>
    <x:row r="739">
      <x:c r="A739" t="s">
        <x:v>421</x:v>
      </x:c>
      <x:c r="B739" t="s">
        <x:v>1615</x:v>
      </x:c>
      <x:c r="C739" t="s">
        <x:v>970</x:v>
      </x:c>
    </x:row>
    <x:row r="740">
      <x:c r="A740" t="s">
        <x:v>429</x:v>
      </x:c>
      <x:c r="B740" t="s">
        <x:v>1590</x:v>
      </x:c>
      <x:c r="C740" t="s">
        <x:v>970</x:v>
      </x:c>
    </x:row>
    <x:row r="741">
      <x:c r="A741" t="s">
        <x:v>443</x:v>
      </x:c>
      <x:c r="B741" t="s">
        <x:v>1590</x:v>
      </x:c>
      <x:c r="C741" t="s">
        <x:v>1622</x:v>
      </x:c>
    </x:row>
    <x:row r="742">
      <x:c r="A742" t="s">
        <x:v>443</x:v>
      </x:c>
      <x:c r="B742" t="s">
        <x:v>1590</x:v>
      </x:c>
      <x:c r="C742" t="s">
        <x:v>1623</x:v>
      </x:c>
    </x:row>
    <x:row r="743">
      <x:c r="A743" t="s">
        <x:v>457</x:v>
      </x:c>
      <x:c r="B743" t="s">
        <x:v>1590</x:v>
      </x:c>
      <x:c r="C743" t="s">
        <x:v>1624</x:v>
      </x:c>
    </x:row>
    <x:row r="744">
      <x:c r="A744" t="s">
        <x:v>457</x:v>
      </x:c>
      <x:c r="B744" t="s">
        <x:v>1590</x:v>
      </x:c>
      <x:c r="C744" t="s">
        <x:v>30</x:v>
      </x:c>
    </x:row>
    <x:row r="745">
      <x:c r="A745" t="s">
        <x:v>466</x:v>
      </x:c>
      <x:c r="B745" t="s">
        <x:v>1615</x:v>
      </x:c>
      <x:c r="C745" t="s">
        <x:v>67</x:v>
      </x:c>
    </x:row>
    <x:row r="746">
      <x:c r="A746" t="s">
        <x:v>475</x:v>
      </x:c>
      <x:c r="B746" t="s">
        <x:v>1590</x:v>
      </x:c>
      <x:c r="C746" t="s">
        <x:v>1625</x:v>
      </x:c>
    </x:row>
    <x:row r="747">
      <x:c r="A747" t="s">
        <x:v>478</x:v>
      </x:c>
      <x:c r="B747" t="s">
        <x:v>1588</x:v>
      </x:c>
      <x:c r="C747" t="s">
        <x:v>1626</x:v>
      </x:c>
    </x:row>
    <x:row r="748">
      <x:c r="A748" t="s">
        <x:v>500</x:v>
      </x:c>
      <x:c r="B748" t="s">
        <x:v>1615</x:v>
      </x:c>
      <x:c r="C748" t="s">
        <x:v>334</x:v>
      </x:c>
    </x:row>
    <x:row r="749">
      <x:c r="A749" t="s">
        <x:v>514</x:v>
      </x:c>
      <x:c r="B749" t="s">
        <x:v>1588</x:v>
      </x:c>
      <x:c r="C749" t="s">
        <x:v>524</x:v>
      </x:c>
    </x:row>
    <x:row r="750">
      <x:c r="A750" t="s">
        <x:v>514</x:v>
      </x:c>
      <x:c r="B750" t="s">
        <x:v>1602</x:v>
      </x:c>
      <x:c r="C750" t="s">
        <x:v>1627</x:v>
      </x:c>
    </x:row>
    <x:row r="751">
      <x:c r="A751" t="s">
        <x:v>527</x:v>
      </x:c>
      <x:c r="B751" t="s">
        <x:v>1590</x:v>
      </x:c>
      <x:c r="C751" t="s">
        <x:v>1628</x:v>
      </x:c>
    </x:row>
    <x:row r="752">
      <x:c r="A752" t="s">
        <x:v>536</x:v>
      </x:c>
      <x:c r="B752" t="s">
        <x:v>1590</x:v>
      </x:c>
      <x:c r="C752" t="s">
        <x:v>1629</x:v>
      </x:c>
    </x:row>
    <x:row r="753">
      <x:c r="A753" t="s">
        <x:v>536</x:v>
      </x:c>
      <x:c r="B753" t="s">
        <x:v>1630</x:v>
      </x:c>
      <x:c r="C753" t="s">
        <x:v>67</x:v>
      </x:c>
    </x:row>
    <x:row r="754">
      <x:c r="A754" t="s">
        <x:v>536</x:v>
      </x:c>
      <x:c r="B754" t="s">
        <x:v>1615</x:v>
      </x:c>
      <x:c r="C754" t="s">
        <x:v>502</x:v>
      </x:c>
    </x:row>
    <x:row r="755">
      <x:c r="A755" t="s">
        <x:v>540</x:v>
      </x:c>
      <x:c r="B755" t="s">
        <x:v>1590</x:v>
      </x:c>
      <x:c r="C755" t="s">
        <x:v>1631</x:v>
      </x:c>
    </x:row>
    <x:row r="756">
      <x:c r="A756" t="s">
        <x:v>540</x:v>
      </x:c>
      <x:c r="B756" t="s">
        <x:v>1590</x:v>
      </x:c>
      <x:c r="C756" t="s">
        <x:v>1632</x:v>
      </x:c>
    </x:row>
    <x:row r="757">
      <x:c r="A757" t="s">
        <x:v>543</x:v>
      </x:c>
      <x:c r="B757" t="s">
        <x:v>1588</x:v>
      </x:c>
      <x:c r="C757" t="s">
        <x:v>1633</x:v>
      </x:c>
    </x:row>
    <x:row r="758">
      <x:c r="A758" t="s">
        <x:v>543</x:v>
      </x:c>
      <x:c r="B758" t="s">
        <x:v>1590</x:v>
      </x:c>
      <x:c r="C758" t="s">
        <x:v>1618</x:v>
      </x:c>
    </x:row>
    <x:row r="759">
      <x:c r="A759" t="s">
        <x:v>543</x:v>
      </x:c>
      <x:c r="B759" t="s">
        <x:v>1588</x:v>
      </x:c>
      <x:c r="C759" t="s">
        <x:v>1634</x:v>
      </x:c>
    </x:row>
    <x:row r="760">
      <x:c r="A760" t="s">
        <x:v>543</x:v>
      </x:c>
      <x:c r="B760" t="s">
        <x:v>1590</x:v>
      </x:c>
      <x:c r="C760" t="s">
        <x:v>1635</x:v>
      </x:c>
    </x:row>
    <x:row r="761">
      <x:c r="A761" t="s">
        <x:v>551</x:v>
      </x:c>
      <x:c r="B761" t="s">
        <x:v>1602</x:v>
      </x:c>
      <x:c r="C761" t="s">
        <x:v>1627</x:v>
      </x:c>
    </x:row>
    <x:row r="762">
      <x:c r="A762" t="s">
        <x:v>566</x:v>
      </x:c>
      <x:c r="B762" t="s">
        <x:v>1590</x:v>
      </x:c>
      <x:c r="C762" t="s">
        <x:v>516</x:v>
      </x:c>
    </x:row>
    <x:row r="763">
      <x:c r="A763" t="s">
        <x:v>575</x:v>
      </x:c>
      <x:c r="B763" t="s">
        <x:v>1602</x:v>
      </x:c>
      <x:c r="C763" t="s">
        <x:v>1636</x:v>
      </x:c>
    </x:row>
    <x:row r="764">
      <x:c r="A764" t="s">
        <x:v>575</x:v>
      </x:c>
      <x:c r="B764" t="s">
        <x:v>1602</x:v>
      </x:c>
      <x:c r="C764" t="s">
        <x:v>1637</x:v>
      </x:c>
    </x:row>
    <x:row r="765">
      <x:c r="A765" t="s">
        <x:v>599</x:v>
      </x:c>
      <x:c r="B765" t="s">
        <x:v>1590</x:v>
      </x:c>
      <x:c r="C765" t="s">
        <x:v>1638</x:v>
      </x:c>
    </x:row>
    <x:row r="766">
      <x:c r="A766" t="s">
        <x:v>603</x:v>
      </x:c>
      <x:c r="B766" t="s">
        <x:v>1590</x:v>
      </x:c>
      <x:c r="C766" t="s">
        <x:v>791</x:v>
      </x:c>
    </x:row>
    <x:row r="767">
      <x:c r="A767" t="s">
        <x:v>603</x:v>
      </x:c>
      <x:c r="B767" t="s">
        <x:v>1590</x:v>
      </x:c>
      <x:c r="C767" t="s">
        <x:v>1461</x:v>
      </x:c>
    </x:row>
    <x:row r="768">
      <x:c r="A768" t="s">
        <x:v>611</x:v>
      </x:c>
      <x:c r="B768" t="s">
        <x:v>1590</x:v>
      </x:c>
      <x:c r="C768" t="s">
        <x:v>1618</x:v>
      </x:c>
    </x:row>
    <x:row r="769">
      <x:c r="A769" t="s">
        <x:v>611</x:v>
      </x:c>
      <x:c r="B769" t="s">
        <x:v>1602</x:v>
      </x:c>
      <x:c r="C769" t="s">
        <x:v>1639</x:v>
      </x:c>
    </x:row>
    <x:row r="770">
      <x:c r="A770" t="s">
        <x:v>611</x:v>
      </x:c>
      <x:c r="B770" t="s">
        <x:v>1590</x:v>
      </x:c>
      <x:c r="C770" t="s">
        <x:v>1640</x:v>
      </x:c>
    </x:row>
    <x:row r="771">
      <x:c r="A771" t="s">
        <x:v>611</x:v>
      </x:c>
      <x:c r="B771" t="s">
        <x:v>1615</x:v>
      </x:c>
      <x:c r="C771" t="s">
        <x:v>334</x:v>
      </x:c>
    </x:row>
    <x:row r="772">
      <x:c r="A772" t="s">
        <x:v>624</x:v>
      </x:c>
      <x:c r="B772" t="s">
        <x:v>1590</x:v>
      </x:c>
      <x:c r="C772" t="s">
        <x:v>1641</x:v>
      </x:c>
    </x:row>
    <x:row r="773">
      <x:c r="A773" t="s">
        <x:v>624</x:v>
      </x:c>
      <x:c r="B773" t="s">
        <x:v>1590</x:v>
      </x:c>
      <x:c r="C773" t="s">
        <x:v>1642</x:v>
      </x:c>
    </x:row>
    <x:row r="774">
      <x:c r="A774" t="s">
        <x:v>627</x:v>
      </x:c>
      <x:c r="B774" t="s">
        <x:v>1590</x:v>
      </x:c>
      <x:c r="C774" t="s">
        <x:v>1643</x:v>
      </x:c>
    </x:row>
    <x:row r="775">
      <x:c r="A775" t="s">
        <x:v>632</x:v>
      </x:c>
      <x:c r="B775" t="s">
        <x:v>1590</x:v>
      </x:c>
      <x:c r="C775" t="s">
        <x:v>1468</x:v>
      </x:c>
    </x:row>
    <x:row r="776">
      <x:c r="A776" t="s">
        <x:v>632</x:v>
      </x:c>
      <x:c r="B776" t="s">
        <x:v>1615</x:v>
      </x:c>
      <x:c r="C776" t="s">
        <x:v>1644</x:v>
      </x:c>
    </x:row>
    <x:row r="777">
      <x:c r="A777" t="s">
        <x:v>646</x:v>
      </x:c>
      <x:c r="B777" t="s">
        <x:v>1590</x:v>
      </x:c>
      <x:c r="C777" t="s">
        <x:v>1645</x:v>
      </x:c>
    </x:row>
    <x:row r="778">
      <x:c r="A778" t="s">
        <x:v>695</x:v>
      </x:c>
      <x:c r="B778" t="s">
        <x:v>1602</x:v>
      </x:c>
      <x:c r="C778" t="s">
        <x:v>1646</x:v>
      </x:c>
    </x:row>
    <x:row r="779">
      <x:c r="A779" t="s">
        <x:v>703</x:v>
      </x:c>
      <x:c r="B779" t="s">
        <x:v>1590</x:v>
      </x:c>
      <x:c r="C779" t="s">
        <x:v>1476</x:v>
      </x:c>
    </x:row>
    <x:row r="780">
      <x:c r="A780" t="s">
        <x:v>703</x:v>
      </x:c>
      <x:c r="B780" t="s">
        <x:v>1590</x:v>
      </x:c>
      <x:c r="C780" t="s">
        <x:v>1479</x:v>
      </x:c>
    </x:row>
    <x:row r="781">
      <x:c r="A781" t="s">
        <x:v>703</x:v>
      </x:c>
      <x:c r="B781" t="s">
        <x:v>1590</x:v>
      </x:c>
      <x:c r="C781" t="s">
        <x:v>1482</x:v>
      </x:c>
    </x:row>
    <x:row r="782">
      <x:c r="A782" t="s">
        <x:v>724</x:v>
      </x:c>
      <x:c r="B782" t="s">
        <x:v>1590</x:v>
      </x:c>
      <x:c r="C782" t="s">
        <x:v>1647</x:v>
      </x:c>
    </x:row>
    <x:row r="783">
      <x:c r="A783" t="s">
        <x:v>745</x:v>
      </x:c>
      <x:c r="B783" t="s">
        <x:v>1590</x:v>
      </x:c>
      <x:c r="C783" t="s">
        <x:v>1493</x:v>
      </x:c>
    </x:row>
    <x:row r="784">
      <x:c r="A784" t="s">
        <x:v>749</x:v>
      </x:c>
      <x:c r="B784" t="s">
        <x:v>1615</x:v>
      </x:c>
      <x:c r="C784" t="s">
        <x:v>887</x:v>
      </x:c>
    </x:row>
    <x:row r="785">
      <x:c r="A785" t="s">
        <x:v>754</x:v>
      </x:c>
      <x:c r="B785" t="s">
        <x:v>1590</x:v>
      </x:c>
      <x:c r="C785" t="s">
        <x:v>1648</x:v>
      </x:c>
    </x:row>
    <x:row r="786">
      <x:c r="A786" t="s">
        <x:v>771</x:v>
      </x:c>
      <x:c r="B786" t="s">
        <x:v>1590</x:v>
      </x:c>
      <x:c r="C786" t="s">
        <x:v>772</x:v>
      </x:c>
    </x:row>
    <x:row r="787">
      <x:c r="A787" t="s">
        <x:v>776</x:v>
      </x:c>
      <x:c r="B787" t="s">
        <x:v>1590</x:v>
      </x:c>
      <x:c r="C787" t="s">
        <x:v>777</x:v>
      </x:c>
    </x:row>
    <x:row r="788">
      <x:c r="A788" t="s">
        <x:v>802</x:v>
      </x:c>
      <x:c r="B788" t="s">
        <x:v>1590</x:v>
      </x:c>
      <x:c r="C788" t="s">
        <x:v>803</x:v>
      </x:c>
    </x:row>
    <x:row r="789">
      <x:c r="A789" t="s">
        <x:v>802</x:v>
      </x:c>
      <x:c r="B789" t="s">
        <x:v>1602</x:v>
      </x:c>
      <x:c r="C789" t="s">
        <x:v>1649</x:v>
      </x:c>
    </x:row>
    <x:row r="790">
      <x:c r="A790" t="s">
        <x:v>806</x:v>
      </x:c>
      <x:c r="B790" t="s">
        <x:v>1590</x:v>
      </x:c>
      <x:c r="C790" t="s">
        <x:v>812</x:v>
      </x:c>
    </x:row>
    <x:row r="791">
      <x:c r="A791" t="s">
        <x:v>816</x:v>
      </x:c>
      <x:c r="B791" t="s">
        <x:v>1590</x:v>
      </x:c>
      <x:c r="C791" t="s">
        <x:v>817</x:v>
      </x:c>
    </x:row>
    <x:row r="792">
      <x:c r="A792" t="s">
        <x:v>841</x:v>
      </x:c>
      <x:c r="B792" t="s">
        <x:v>1590</x:v>
      </x:c>
      <x:c r="C792" t="s">
        <x:v>842</x:v>
      </x:c>
    </x:row>
    <x:row r="793">
      <x:c r="A793" t="s">
        <x:v>846</x:v>
      </x:c>
      <x:c r="B793" t="s">
        <x:v>1590</x:v>
      </x:c>
      <x:c r="C793" t="s">
        <x:v>1650</x:v>
      </x:c>
    </x:row>
    <x:row r="794">
      <x:c r="A794" t="s">
        <x:v>849</x:v>
      </x:c>
      <x:c r="B794" t="s">
        <x:v>1590</x:v>
      </x:c>
      <x:c r="C794" t="s">
        <x:v>1651</x:v>
      </x:c>
    </x:row>
    <x:row r="795">
      <x:c r="A795" t="s">
        <x:v>862</x:v>
      </x:c>
      <x:c r="B795" t="s">
        <x:v>1590</x:v>
      </x:c>
      <x:c r="C795" t="s">
        <x:v>1518</x:v>
      </x:c>
    </x:row>
    <x:row r="796">
      <x:c r="A796" t="s">
        <x:v>862</x:v>
      </x:c>
      <x:c r="B796" t="s">
        <x:v>1590</x:v>
      </x:c>
      <x:c r="C796" t="s">
        <x:v>1652</x:v>
      </x:c>
    </x:row>
    <x:row r="797">
      <x:c r="A797" t="s">
        <x:v>872</x:v>
      </x:c>
      <x:c r="B797" t="s">
        <x:v>1615</x:v>
      </x:c>
      <x:c r="C797" t="s">
        <x:v>970</x:v>
      </x:c>
    </x:row>
    <x:row r="798">
      <x:c r="A798" t="s">
        <x:v>902</x:v>
      </x:c>
      <x:c r="B798" t="s">
        <x:v>1590</x:v>
      </x:c>
      <x:c r="C798" t="s">
        <x:v>319</x:v>
      </x:c>
    </x:row>
    <x:row r="799">
      <x:c r="A799" t="s">
        <x:v>902</x:v>
      </x:c>
      <x:c r="B799" t="s">
        <x:v>1590</x:v>
      </x:c>
      <x:c r="C799" t="s">
        <x:v>1524</x:v>
      </x:c>
    </x:row>
    <x:row r="800">
      <x:c r="A800" t="s">
        <x:v>902</x:v>
      </x:c>
      <x:c r="B800" t="s">
        <x:v>1590</x:v>
      </x:c>
      <x:c r="C800" t="s">
        <x:v>1527</x:v>
      </x:c>
    </x:row>
    <x:row r="801">
      <x:c r="A801" t="s">
        <x:v>912</x:v>
      </x:c>
      <x:c r="B801" t="s">
        <x:v>1590</x:v>
      </x:c>
      <x:c r="C801" t="s">
        <x:v>908</x:v>
      </x:c>
    </x:row>
    <x:row r="802">
      <x:c r="A802" t="s">
        <x:v>921</x:v>
      </x:c>
      <x:c r="B802" t="s">
        <x:v>1602</x:v>
      </x:c>
      <x:c r="C802" t="s">
        <x:v>67</x:v>
      </x:c>
    </x:row>
    <x:row r="803">
      <x:c r="A803" t="s">
        <x:v>934</x:v>
      </x:c>
      <x:c r="B803" t="s">
        <x:v>1590</x:v>
      </x:c>
      <x:c r="C803" t="s">
        <x:v>935</x:v>
      </x:c>
    </x:row>
    <x:row r="804">
      <x:c r="A804" t="s">
        <x:v>944</x:v>
      </x:c>
      <x:c r="B804" t="s">
        <x:v>1590</x:v>
      </x:c>
      <x:c r="C804" t="s">
        <x:v>945</x:v>
      </x:c>
    </x:row>
    <x:row r="805">
      <x:c r="A805" t="s">
        <x:v>949</x:v>
      </x:c>
      <x:c r="B805" t="s">
        <x:v>1590</x:v>
      </x:c>
      <x:c r="C805" t="s">
        <x:v>1653</x:v>
      </x:c>
    </x:row>
    <x:row r="806">
      <x:c r="A806" t="s">
        <x:v>977</x:v>
      </x:c>
      <x:c r="B806" t="s">
        <x:v>1615</x:v>
      </x:c>
      <x:c r="C806" t="s">
        <x:v>572</x:v>
      </x:c>
    </x:row>
    <x:row r="807">
      <x:c r="A807" t="s">
        <x:v>990</x:v>
      </x:c>
      <x:c r="B807" t="s">
        <x:v>1590</x:v>
      </x:c>
      <x:c r="C807" t="s">
        <x:v>996</x:v>
      </x:c>
    </x:row>
    <x:row r="808">
      <x:c r="A808" t="s">
        <x:v>995</x:v>
      </x:c>
      <x:c r="B808" t="s">
        <x:v>1654</x:v>
      </x:c>
      <x:c r="C808" t="s">
        <x:v>1655</x:v>
      </x:c>
    </x:row>
    <x:row r="809">
      <x:c r="A809" t="s">
        <x:v>995</x:v>
      </x:c>
      <x:c r="B809" t="s">
        <x:v>1615</x:v>
      </x:c>
      <x:c r="C809" t="s">
        <x:v>1656</x:v>
      </x:c>
    </x:row>
    <x:row r="810">
      <x:c r="A810" t="s">
        <x:v>995</x:v>
      </x:c>
      <x:c r="B810" t="s">
        <x:v>1615</x:v>
      </x:c>
      <x:c r="C810" t="s">
        <x:v>222</x:v>
      </x:c>
    </x:row>
    <x:row r="811">
      <x:c r="A811" t="s">
        <x:v>1003</x:v>
      </x:c>
      <x:c r="B811" t="s">
        <x:v>1590</x:v>
      </x:c>
      <x:c r="C811" t="s">
        <x:v>1004</x:v>
      </x:c>
    </x:row>
    <x:row r="812">
      <x:c r="A812" t="s">
        <x:v>1037</x:v>
      </x:c>
      <x:c r="B812" t="s">
        <x:v>1615</x:v>
      </x:c>
      <x:c r="C812" t="s">
        <x:v>507</x:v>
      </x:c>
    </x:row>
    <x:row r="813">
      <x:c r="A813" t="s">
        <x:v>1041</x:v>
      </x:c>
      <x:c r="B813" t="s">
        <x:v>1590</x:v>
      </x:c>
      <x:c r="C813" t="s">
        <x:v>1657</x:v>
      </x:c>
    </x:row>
    <x:row r="814">
      <x:c r="A814" t="s">
        <x:v>1053</x:v>
      </x:c>
      <x:c r="B814" t="s">
        <x:v>1590</x:v>
      </x:c>
      <x:c r="C814" t="s">
        <x:v>1658</x:v>
      </x:c>
    </x:row>
    <x:row r="815">
      <x:c r="A815" t="s">
        <x:v>1058</x:v>
      </x:c>
      <x:c r="B815" t="s">
        <x:v>1590</x:v>
      </x:c>
      <x:c r="C815" t="s">
        <x:v>1659</x:v>
      </x:c>
    </x:row>
    <x:row r="816">
      <x:c r="A816" t="s">
        <x:v>1062</x:v>
      </x:c>
      <x:c r="B816" t="s">
        <x:v>1590</x:v>
      </x:c>
      <x:c r="C816" t="s">
        <x:v>1559</x:v>
      </x:c>
    </x:row>
    <x:row r="817">
      <x:c r="A817" t="s">
        <x:v>1075</x:v>
      </x:c>
      <x:c r="B817" t="s">
        <x:v>1590</x:v>
      </x:c>
      <x:c r="C817" t="s">
        <x:v>1076</x:v>
      </x:c>
    </x:row>
    <x:row r="818">
      <x:c r="A818" t="s">
        <x:v>1114</x:v>
      </x:c>
      <x:c r="B818" t="s">
        <x:v>1590</x:v>
      </x:c>
      <x:c r="C818" t="s">
        <x:v>1115</x:v>
      </x:c>
    </x:row>
    <x:row r="819">
      <x:c r="A819" t="s">
        <x:v>1123</x:v>
      </x:c>
      <x:c r="B819" t="s">
        <x:v>1615</x:v>
      </x:c>
      <x:c r="C819" t="s">
        <x:v>231</x:v>
      </x:c>
    </x:row>
    <x:row r="820">
      <x:c r="A820" t="s">
        <x:v>1127</x:v>
      </x:c>
      <x:c r="B820" t="s">
        <x:v>1590</x:v>
      </x:c>
      <x:c r="C820" t="s">
        <x:v>1128</x:v>
      </x:c>
    </x:row>
    <x:row r="821">
      <x:c r="A821" t="s">
        <x:v>1146</x:v>
      </x:c>
      <x:c r="B821" t="s">
        <x:v>1590</x:v>
      </x:c>
      <x:c r="C821" t="s">
        <x:v>1147</x:v>
      </x:c>
    </x:row>
    <x:row r="822">
      <x:c r="A822" t="s">
        <x:v>1163</x:v>
      </x:c>
      <x:c r="B822" t="s">
        <x:v>1590</x:v>
      </x:c>
      <x:c r="C822" t="s">
        <x:v>46</x:v>
      </x:c>
    </x:row>
    <x:row r="823">
      <x:c r="A823" t="s">
        <x:v>1180</x:v>
      </x:c>
      <x:c r="B823" t="s">
        <x:v>1590</x:v>
      </x:c>
      <x:c r="C823" t="s">
        <x:v>1660</x:v>
      </x:c>
    </x:row>
    <x:row r="824">
      <x:c r="A824" t="s">
        <x:v>1199</x:v>
      </x:c>
      <x:c r="B824" t="s">
        <x:v>1590</x:v>
      </x:c>
      <x:c r="C824" t="s">
        <x:v>1200</x:v>
      </x:c>
    </x:row>
    <x:row r="825">
      <x:c r="A825" t="s">
        <x:v>1207</x:v>
      </x:c>
      <x:c r="B825" t="s">
        <x:v>1590</x:v>
      </x:c>
      <x:c r="C825" t="s">
        <x:v>1208</x:v>
      </x:c>
    </x:row>
    <x:row r="826">
      <x:c r="A826" t="s">
        <x:v>1211</x:v>
      </x:c>
      <x:c r="B826" t="s">
        <x:v>1590</x:v>
      </x:c>
      <x:c r="C826" t="s">
        <x:v>1661</x:v>
      </x:c>
    </x:row>
    <x:row r="827">
      <x:c r="A827" t="s">
        <x:v>1215</x:v>
      </x:c>
      <x:c r="B827" t="s">
        <x:v>1590</x:v>
      </x:c>
      <x:c r="C827" t="s">
        <x:v>1662</x:v>
      </x:c>
    </x:row>
    <x:row r="828">
      <x:c r="A828" t="s">
        <x:v>1278</x:v>
      </x:c>
      <x:c r="B828" t="s">
        <x:v>1590</x:v>
      </x:c>
      <x:c r="C828" t="s">
        <x:v>1663</x:v>
      </x:c>
    </x:row>
    <x:row r="829">
      <x:c r="A829" t="s">
        <x:v>1310</x:v>
      </x:c>
      <x:c r="B829" t="s">
        <x:v>1590</x:v>
      </x:c>
      <x:c r="C829" t="s">
        <x:v>1311</x:v>
      </x:c>
    </x:row>
    <x:row r="830">
      <x:c r="A830" t="s">
        <x:v>1320</x:v>
      </x:c>
      <x:c r="B830" t="s">
        <x:v>1615</x:v>
      </x:c>
      <x:c r="C830" t="s">
        <x:v>970</x:v>
      </x:c>
    </x:row>
    <x:row r="831">
      <x:c r="A831" t="s">
        <x:v>1361</x:v>
      </x:c>
      <x:c r="B831" t="s">
        <x:v>1590</x:v>
      </x:c>
      <x:c r="C831" t="s">
        <x:v>1362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.28515625" customWidth="1"/>
    <x:col min="2" max="2" width="62.42578125" customWidth="1"/>
    <x:col min="3" max="3" width="20" customWidth="1"/>
    <x:col min="4" max="4" width="18.7109375" customWidth="1"/>
    <x:col min="5" max="6" width="34.140625" customWidth="1"/>
    <x:col min="7" max="7" width="9.5703125" customWidth="1"/>
    <x:col min="8" max="8" width="30.140625" customWidth="1"/>
    <x:col min="9" max="9" width="27" customWidth="1"/>
    <x:col min="10" max="10" width="25" customWidth="1"/>
    <x:col min="11" max="11" width="25.5703125" customWidth="1"/>
    <x:col min="12" max="12" width="30.28515625" customWidth="1"/>
    <x:col min="13" max="13" width="23" customWidth="1"/>
    <x:col min="14" max="14" width="24.140625" customWidth="1"/>
    <x:col min="15" max="15" width="19.85546875" customWidth="1"/>
    <x:col min="16" max="16" width="34" hidden="0" customWidth="1"/>
    <x:col min="17" max="17" width="18" hidden="0" customWidth="1"/>
    <x:col min="18" max="18" width="18" hidden="0" customWidth="1"/>
  </x:cols>
  <x:sheetData>
    <x:row r="1">
      <x:c r="A1" s="1" t="s">
        <x:v>0</x:v>
      </x:c>
    </x:row>
    <x:row r="2">
      <x:c r="A2" t="s">
        <x:v>1</x:v>
      </x:c>
      <x:c r="B2" t="s">
        <x:v>1664</x:v>
      </x:c>
    </x:row>
    <x:row r="3">
      <x:c r="A3" t="s">
        <x:v>3</x:v>
      </x:c>
      <x:c r="B3">
        <x:v>402</x:v>
      </x:c>
    </x:row>
    <x:row r="4">
      <x:c r="A4" t="s">
        <x:v>4</x:v>
      </x:c>
      <x:c r="B4" t="s">
        <x:v>1665</x:v>
      </x:c>
    </x:row>
    <x:row r="5">
      <x:c r="A5" t="s">
        <x:v>6</x:v>
      </x:c>
      <x:c r="B5" t="s">
        <x:v>1666</x:v>
      </x:c>
    </x:row>
    <x:row r="6">
      <x:c r="A6" t="s">
        <x:v>8</x:v>
      </x:c>
      <x:c r="B6" t="s">
        <x:v>1667</x:v>
      </x:c>
    </x:row>
    <x:row r="7">
      <x:c r="A7" t="s">
        <x:v>10</x:v>
      </x:c>
      <x:c r="B7" t="s">
        <x:v>1668</x:v>
      </x:c>
    </x:row>
    <x:row r="9">
      <x:c r="A9" s="1" t="s">
        <x:v>12</x:v>
      </x:c>
    </x:row>
    <x:row r="10">
      <x:c r="A10" t="s">
        <x:v>13</x:v>
      </x:c>
      <x:c r="B10" t="s">
        <x:v>14</x:v>
      </x:c>
      <x:c r="C10" t="s">
        <x:v>15</x:v>
      </x:c>
      <x:c r="D10" t="s">
        <x:v>16</x:v>
      </x:c>
      <x:c r="E10" t="s">
        <x:v>17</x:v>
      </x:c>
      <x:c r="F10" t="s">
        <x:v>18</x:v>
      </x:c>
      <x:c r="G10" t="s">
        <x:v>19</x:v>
      </x:c>
      <x:c r="H10" t="s">
        <x:v>20</x:v>
      </x:c>
      <x:c r="I10" t="s">
        <x:v>21</x:v>
      </x:c>
      <x:c r="J10" t="s">
        <x:v>22</x:v>
      </x:c>
      <x:c r="K10" t="s">
        <x:v>23</x:v>
      </x:c>
      <x:c r="L10" t="s">
        <x:v>24</x:v>
      </x:c>
      <x:c r="M10" t="s">
        <x:v>25</x:v>
      </x:c>
      <x:c r="N10" t="s">
        <x:v>26</x:v>
      </x:c>
      <x:c r="O10" t="s">
        <x:v>27</x:v>
      </x:c>
      <x:c r="P10" s="140" t="str">
        <x:v>Clean Email</x:v>
      </x:c>
      <x:c r="Q10" s="140" t="str">
        <x:v>Duration Seconds</x:v>
      </x:c>
      <x:c r="R10" s="140" t="str">
        <x:v>Roster Match?</x:v>
      </x:c>
    </x:row>
    <x:row r="11">
      <x:c r="A11" t="s">
        <x:v>28</x:v>
      </x:c>
      <x:c r="B11" t="s">
        <x:v>1669</x:v>
      </x:c>
      <x:c r="C11" t="s">
        <x:v>1670</x:v>
      </x:c>
      <x:c r="D11" t="s">
        <x:v>1671</x:v>
      </x:c>
      <x:c r="E11" t="s">
        <x:v>32</x:v>
      </x:c>
      <x:c r="F11" t="s">
        <x:v>32</x:v>
      </x:c>
      <x:c r="G11" t="s">
        <x:v>33</x:v>
      </x:c>
      <x:c r="M11">
        <x:v>3</x:v>
      </x:c>
      <x:c r="O11">
        <x:v>2</x:v>
      </x:c>
      <x:c r="P11" t="str">
        <x:f>LOWER(TRIM(SUBSTITUTE(E11,CHAR(160)," ")))</x:f>
        <x:v>michael.mugasa@pwc.com</x:v>
      </x:c>
      <x:c r="Q11" t="n">
        <x:f>IFERROR(VALUE(LEFT(D11,SEARCH("h",D11)-1)),0)*3600+IFERROR(VALUE(MID(D11,IFERROR(SEARCH("h ",D11)+2,1),SEARCH("m",D11)-IFERROR(SEARCH("h ",D11)+2,1))),0)*60+IFERROR(VALUE(MID(D11,IFERROR(SEARCH("m ",D11)+2,IFERROR(SEARCH("h ",D11)+2,1)),SEARCH("s",D11)-IFERROR(SEARCH("m ",D11)+2,IFERROR(SEARCH("h ",D11)+2,1)))),0)</x:f>
        <x:v>8562</x:v>
      </x:c>
      <x:c r="R11" t="str">
        <x:f>IF(P11="","No",IF(COUNTIF('Employee Attendance'!$D$2:$D$670,P11)&gt;0,"Yes","No"))</x:f>
        <x:v>Yes</x:v>
      </x:c>
    </x:row>
    <x:row r="12">
      <x:c r="A12" t="s">
        <x:v>34</x:v>
      </x:c>
      <x:c r="B12" t="s">
        <x:v>1672</x:v>
      </x:c>
      <x:c r="C12" t="s">
        <x:v>1666</x:v>
      </x:c>
      <x:c r="D12" t="s">
        <x:v>1673</x:v>
      </x:c>
      <x:c r="E12" t="s">
        <x:v>38</x:v>
      </x:c>
      <x:c r="F12" t="s">
        <x:v>38</x:v>
      </x:c>
      <x:c r="G12" t="s">
        <x:v>33</x:v>
      </x:c>
      <x:c r="O12">
        <x:v>3</x:v>
      </x:c>
      <x:c r="P12" t="str">
        <x:f>LOWER(TRIM(SUBSTITUTE(E12,CHAR(160)," ")))</x:f>
        <x:v>roselyne.ogutu@pwc.com</x:v>
      </x:c>
      <x:c r="Q12" t="n">
        <x:f>IFERROR(VALUE(LEFT(D12,SEARCH("h",D12)-1)),0)*3600+IFERROR(VALUE(MID(D12,IFERROR(SEARCH("h ",D12)+2,1),SEARCH("m",D12)-IFERROR(SEARCH("h ",D12)+2,1))),0)*60+IFERROR(VALUE(MID(D12,IFERROR(SEARCH("m ",D12)+2,IFERROR(SEARCH("h ",D12)+2,1)),SEARCH("s",D12)-IFERROR(SEARCH("m ",D12)+2,IFERROR(SEARCH("h ",D12)+2,1)))),0)</x:f>
        <x:v>8561</x:v>
      </x:c>
      <x:c r="R12" t="str">
        <x:f>IF(P12="","No",IF(COUNTIF('Employee Attendance'!$D$2:$D$670,P12)&gt;0,"Yes","No"))</x:f>
        <x:v>Yes</x:v>
      </x:c>
    </x:row>
    <x:row r="13">
      <x:c r="A13" t="s">
        <x:v>39</x:v>
      </x:c>
      <x:c r="B13" t="s">
        <x:v>1674</x:v>
      </x:c>
      <x:c r="C13" t="s">
        <x:v>1675</x:v>
      </x:c>
      <x:c r="D13" t="s">
        <x:v>1676</x:v>
      </x:c>
      <x:c r="E13" t="s">
        <x:v>43</x:v>
      </x:c>
      <x:c r="F13" t="s">
        <x:v>43</x:v>
      </x:c>
      <x:c r="G13" t="s">
        <x:v>33</x:v>
      </x:c>
      <x:c r="M13">
        <x:v>2</x:v>
      </x:c>
      <x:c r="O13">
        <x:v>2</x:v>
      </x:c>
      <x:c r="P13" t="str">
        <x:f>LOWER(TRIM(SUBSTITUTE(E13,CHAR(160)," ")))</x:f>
        <x:v>martin.x.bamukunde@pwc.com</x:v>
      </x:c>
      <x:c r="Q13" t="n">
        <x:f>IFERROR(VALUE(LEFT(D13,SEARCH("h",D13)-1)),0)*3600+IFERROR(VALUE(MID(D13,IFERROR(SEARCH("h ",D13)+2,1),SEARCH("m",D13)-IFERROR(SEARCH("h ",D13)+2,1))),0)*60+IFERROR(VALUE(MID(D13,IFERROR(SEARCH("m ",D13)+2,IFERROR(SEARCH("h ",D13)+2,1)),SEARCH("s",D13)-IFERROR(SEARCH("m ",D13)+2,IFERROR(SEARCH("h ",D13)+2,1)))),0)</x:f>
        <x:v>7798</x:v>
      </x:c>
      <x:c r="R13" t="str">
        <x:f>IF(P13="","No",IF(COUNTIF('Employee Attendance'!$D$2:$D$670,P13)&gt;0,"Yes","No"))</x:f>
        <x:v>Yes</x:v>
      </x:c>
    </x:row>
    <x:row r="14">
      <x:c r="A14" t="s">
        <x:v>443</x:v>
      </x:c>
      <x:c r="B14" t="s">
        <x:v>1677</x:v>
      </x:c>
      <x:c r="C14" t="s">
        <x:v>1678</x:v>
      </x:c>
      <x:c r="D14" t="s">
        <x:v>1679</x:v>
      </x:c>
      <x:c r="E14" t="s">
        <x:v>446</x:v>
      </x:c>
      <x:c r="F14" t="s">
        <x:v>446</x:v>
      </x:c>
      <x:c r="G14" t="s">
        <x:v>33</x:v>
      </x:c>
      <x:c r="M14">
        <x:v>1</x:v>
      </x:c>
      <x:c r="O14">
        <x:v>2</x:v>
      </x:c>
      <x:c r="P14" t="str">
        <x:f>LOWER(TRIM(SUBSTITUTE(E14,CHAR(160)," ")))</x:f>
        <x:v>andrew.chibuye@pwc.com</x:v>
      </x:c>
      <x:c r="Q14" t="n">
        <x:f>IFERROR(VALUE(LEFT(D14,SEARCH("h",D14)-1)),0)*3600+IFERROR(VALUE(MID(D14,IFERROR(SEARCH("h ",D14)+2,1),SEARCH("m",D14)-IFERROR(SEARCH("h ",D14)+2,1))),0)*60+IFERROR(VALUE(MID(D14,IFERROR(SEARCH("m ",D14)+2,IFERROR(SEARCH("h ",D14)+2,1)),SEARCH("s",D14)-IFERROR(SEARCH("m ",D14)+2,IFERROR(SEARCH("h ",D14)+2,1)))),0)</x:f>
        <x:v>6361</x:v>
      </x:c>
      <x:c r="R14" t="str">
        <x:f>IF(P14="","No",IF(COUNTIF('Employee Attendance'!$D$2:$D$670,P14)&gt;0,"Yes","No"))</x:f>
        <x:v>Yes</x:v>
      </x:c>
    </x:row>
    <x:row r="15">
      <x:c r="A15" t="s">
        <x:v>44</x:v>
      </x:c>
      <x:c r="B15" t="s">
        <x:v>1680</x:v>
      </x:c>
      <x:c r="C15" t="s">
        <x:v>1675</x:v>
      </x:c>
      <x:c r="D15" t="s">
        <x:v>1681</x:v>
      </x:c>
      <x:c r="E15" t="s">
        <x:v>48</x:v>
      </x:c>
      <x:c r="F15" t="s">
        <x:v>48</x:v>
      </x:c>
      <x:c r="G15" t="s">
        <x:v>33</x:v>
      </x:c>
      <x:c r="M15">
        <x:v>3</x:v>
      </x:c>
      <x:c r="O15">
        <x:v>2</x:v>
      </x:c>
      <x:c r="P15" t="str">
        <x:f>LOWER(TRIM(SUBSTITUTE(E15,CHAR(160)," ")))</x:f>
        <x:v>anel.eksteen@pwc.com</x:v>
      </x:c>
      <x:c r="Q15" t="n">
        <x:f>IFERROR(VALUE(LEFT(D15,SEARCH("h",D15)-1)),0)*3600+IFERROR(VALUE(MID(D15,IFERROR(SEARCH("h ",D15)+2,1),SEARCH("m",D15)-IFERROR(SEARCH("h ",D15)+2,1))),0)*60+IFERROR(VALUE(MID(D15,IFERROR(SEARCH("m ",D15)+2,IFERROR(SEARCH("h ",D15)+2,1)),SEARCH("s",D15)-IFERROR(SEARCH("m ",D15)+2,IFERROR(SEARCH("h ",D15)+2,1)))),0)</x:f>
        <x:v>7570</x:v>
      </x:c>
      <x:c r="R15" t="str">
        <x:f>IF(P15="","No",IF(COUNTIF('Employee Attendance'!$D$2:$D$670,P15)&gt;0,"Yes","No"))</x:f>
        <x:v>Yes</x:v>
      </x:c>
    </x:row>
    <x:row r="16">
      <x:c r="A16" t="s">
        <x:v>49</x:v>
      </x:c>
      <x:c r="B16" t="s">
        <x:v>1682</x:v>
      </x:c>
      <x:c r="C16" t="s">
        <x:v>1683</x:v>
      </x:c>
      <x:c r="D16" t="s">
        <x:v>1684</x:v>
      </x:c>
      <x:c r="E16" t="s">
        <x:v>53</x:v>
      </x:c>
      <x:c r="F16" t="s">
        <x:v>53</x:v>
      </x:c>
      <x:c r="G16" t="s">
        <x:v>33</x:v>
      </x:c>
      <x:c r="O16">
        <x:v>2</x:v>
      </x:c>
      <x:c r="P16" t="str">
        <x:f>LOWER(TRIM(SUBSTITUTE(E16,CHAR(160)," ")))</x:f>
        <x:v>bernice.kimacia@pwc.com</x:v>
      </x:c>
      <x:c r="Q16" t="n">
        <x:f>IFERROR(VALUE(LEFT(D16,SEARCH("h",D16)-1)),0)*3600+IFERROR(VALUE(MID(D16,IFERROR(SEARCH("h ",D16)+2,1),SEARCH("m",D16)-IFERROR(SEARCH("h ",D16)+2,1))),0)*60+IFERROR(VALUE(MID(D16,IFERROR(SEARCH("m ",D16)+2,IFERROR(SEARCH("h ",D16)+2,1)),SEARCH("s",D16)-IFERROR(SEARCH("m ",D16)+2,IFERROR(SEARCH("h ",D16)+2,1)))),0)</x:f>
        <x:v>7409</x:v>
      </x:c>
      <x:c r="R16" t="str">
        <x:f>IF(P16="","No",IF(COUNTIF('Employee Attendance'!$D$2:$D$670,P16)&gt;0,"Yes","No"))</x:f>
        <x:v>Yes</x:v>
      </x:c>
    </x:row>
    <x:row r="17">
      <x:c r="A17" t="s">
        <x:v>1685</x:v>
      </x:c>
      <x:c r="B17" t="s">
        <x:v>1686</x:v>
      </x:c>
      <x:c r="C17" t="s">
        <x:v>1687</x:v>
      </x:c>
      <x:c r="D17" t="s">
        <x:v>1688</x:v>
      </x:c>
      <x:c r="E17" t="s">
        <x:v>1689</x:v>
      </x:c>
      <x:c r="F17" t="s">
        <x:v>1689</x:v>
      </x:c>
      <x:c r="G17" t="s">
        <x:v>1690</x:v>
      </x:c>
      <x:c r="O17">
        <x:v>1</x:v>
      </x:c>
      <x:c r="P17" t="str">
        <x:f>LOWER(TRIM(SUBSTITUTE(E17,CHAR(160)," ")))</x:f>
        <x:v>kirisha.kasseean@pwc.com</x:v>
      </x:c>
      <x:c r="Q17" t="n">
        <x:f>IFERROR(VALUE(LEFT(D17,SEARCH("h",D17)-1)),0)*3600+IFERROR(VALUE(MID(D17,IFERROR(SEARCH("h ",D17)+2,1),SEARCH("m",D17)-IFERROR(SEARCH("h ",D17)+2,1))),0)*60+IFERROR(VALUE(MID(D17,IFERROR(SEARCH("m ",D17)+2,IFERROR(SEARCH("h ",D17)+2,1)),SEARCH("s",D17)-IFERROR(SEARCH("m ",D17)+2,IFERROR(SEARCH("h ",D17)+2,1)))),0)</x:f>
        <x:v>8458</x:v>
      </x:c>
      <x:c r="R17" t="str">
        <x:f>IF(P17="","No",IF(COUNTIF('Employee Attendance'!$D$2:$D$670,P17)&gt;0,"Yes","No"))</x:f>
        <x:v>Yes</x:v>
      </x:c>
    </x:row>
    <x:row r="18">
      <x:c r="A18" t="s">
        <x:v>1691</x:v>
      </x:c>
      <x:c r="B18" t="s">
        <x:v>1692</x:v>
      </x:c>
      <x:c r="C18" t="s">
        <x:v>1693</x:v>
      </x:c>
      <x:c r="D18" t="s">
        <x:v>1694</x:v>
      </x:c>
      <x:c r="E18" t="s">
        <x:v>1695</x:v>
      </x:c>
      <x:c r="F18" t="s">
        <x:v>1695</x:v>
      </x:c>
      <x:c r="G18" t="s">
        <x:v>1690</x:v>
      </x:c>
      <x:c r="O18">
        <x:v>2</x:v>
      </x:c>
      <x:c r="P18" t="str">
        <x:f>LOWER(TRIM(SUBSTITUTE(E18,CHAR(160)," ")))</x:f>
        <x:v>ubaidullah.r.rasmally@pwc.com</x:v>
      </x:c>
      <x:c r="Q18" t="n">
        <x:f>IFERROR(VALUE(LEFT(D18,SEARCH("h",D18)-1)),0)*3600+IFERROR(VALUE(MID(D18,IFERROR(SEARCH("h ",D18)+2,1),SEARCH("m",D18)-IFERROR(SEARCH("h ",D18)+2,1))),0)*60+IFERROR(VALUE(MID(D18,IFERROR(SEARCH("m ",D18)+2,IFERROR(SEARCH("h ",D18)+2,1)),SEARCH("s",D18)-IFERROR(SEARCH("m ",D18)+2,IFERROR(SEARCH("h ",D18)+2,1)))),0)</x:f>
        <x:v>6156</x:v>
      </x:c>
      <x:c r="R18" t="str">
        <x:f>IF(P18="","No",IF(COUNTIF('Employee Attendance'!$D$2:$D$670,P18)&gt;0,"Yes","No"))</x:f>
        <x:v>Yes</x:v>
      </x:c>
    </x:row>
    <x:row r="19">
      <x:c r="A19" t="s">
        <x:v>1696</x:v>
      </x:c>
      <x:c r="B19" t="s">
        <x:v>1697</x:v>
      </x:c>
      <x:c r="C19" t="s">
        <x:v>1698</x:v>
      </x:c>
      <x:c r="D19" t="s">
        <x:v>1699</x:v>
      </x:c>
      <x:c r="E19" t="s">
        <x:v>1700</x:v>
      </x:c>
      <x:c r="F19" t="s">
        <x:v>1700</x:v>
      </x:c>
      <x:c r="G19" t="s">
        <x:v>1690</x:v>
      </x:c>
      <x:c r="P19" t="str">
        <x:f>LOWER(TRIM(SUBSTITUTE(E19,CHAR(160)," ")))</x:f>
        <x:v>chetna.sembhoo@pwc.com</x:v>
      </x:c>
      <x:c r="Q19" t="n">
        <x:f>IFERROR(VALUE(LEFT(D19,SEARCH("h",D19)-1)),0)*3600+IFERROR(VALUE(MID(D19,IFERROR(SEARCH("h ",D19)+2,1),SEARCH("m",D19)-IFERROR(SEARCH("h ",D19)+2,1))),0)*60+IFERROR(VALUE(MID(D19,IFERROR(SEARCH("m ",D19)+2,IFERROR(SEARCH("h ",D19)+2,1)),SEARCH("s",D19)-IFERROR(SEARCH("m ",D19)+2,IFERROR(SEARCH("h ",D19)+2,1)))),0)</x:f>
        <x:v>7610</x:v>
      </x:c>
      <x:c r="R19" t="str">
        <x:f>IF(P19="","No",IF(COUNTIF('Employee Attendance'!$D$2:$D$670,P19)&gt;0,"Yes","No"))</x:f>
        <x:v>Yes</x:v>
      </x:c>
    </x:row>
    <x:row r="20">
      <x:c r="A20" t="s">
        <x:v>1701</x:v>
      </x:c>
      <x:c r="B20" t="s">
        <x:v>1702</x:v>
      </x:c>
      <x:c r="C20" t="s">
        <x:v>1678</x:v>
      </x:c>
      <x:c r="D20" t="s">
        <x:v>1703</x:v>
      </x:c>
      <x:c r="E20" t="s">
        <x:v>1704</x:v>
      </x:c>
      <x:c r="F20" t="s">
        <x:v>1704</x:v>
      </x:c>
      <x:c r="G20" t="s">
        <x:v>1690</x:v>
      </x:c>
      <x:c r="P20" t="str">
        <x:f>LOWER(TRIM(SUBSTITUTE(E20,CHAR(160)," ")))</x:f>
        <x:v>glory.nnko@pwc.com</x:v>
      </x:c>
      <x:c r="Q20" t="n">
        <x:f>IFERROR(VALUE(LEFT(D20,SEARCH("h",D20)-1)),0)*3600+IFERROR(VALUE(MID(D20,IFERROR(SEARCH("h ",D20)+2,1),SEARCH("m",D20)-IFERROR(SEARCH("h ",D20)+2,1))),0)*60+IFERROR(VALUE(MID(D20,IFERROR(SEARCH("m ",D20)+2,IFERROR(SEARCH("h ",D20)+2,1)),SEARCH("s",D20)-IFERROR(SEARCH("m ",D20)+2,IFERROR(SEARCH("h ",D20)+2,1)))),0)</x:f>
        <x:v>7668</x:v>
      </x:c>
      <x:c r="R20" t="str">
        <x:f>IF(P20="","No",IF(COUNTIF('Employee Attendance'!$D$2:$D$670,P20)&gt;0,"Yes","No"))</x:f>
        <x:v>Yes</x:v>
      </x:c>
    </x:row>
    <x:row r="21">
      <x:c r="A21" t="s">
        <x:v>1705</x:v>
      </x:c>
      <x:c r="B21" t="s">
        <x:v>1706</x:v>
      </x:c>
      <x:c r="C21" t="s">
        <x:v>1670</x:v>
      </x:c>
      <x:c r="D21" t="s">
        <x:v>1707</x:v>
      </x:c>
      <x:c r="E21" t="s">
        <x:v>1708</x:v>
      </x:c>
      <x:c r="F21" t="s">
        <x:v>1708</x:v>
      </x:c>
      <x:c r="G21" t="s">
        <x:v>1690</x:v>
      </x:c>
      <x:c r="O21">
        <x:v>1</x:v>
      </x:c>
      <x:c r="P21" t="str">
        <x:f>LOWER(TRIM(SUBSTITUTE(E21,CHAR(160)," ")))</x:f>
        <x:v>matthew.ddimirire@pwc.com</x:v>
      </x:c>
      <x:c r="Q21" t="n">
        <x:f>IFERROR(VALUE(LEFT(D21,SEARCH("h",D21)-1)),0)*3600+IFERROR(VALUE(MID(D21,IFERROR(SEARCH("h ",D21)+2,1),SEARCH("m",D21)-IFERROR(SEARCH("h ",D21)+2,1))),0)*60+IFERROR(VALUE(MID(D21,IFERROR(SEARCH("m ",D21)+2,IFERROR(SEARCH("h ",D21)+2,1)),SEARCH("s",D21)-IFERROR(SEARCH("m ",D21)+2,IFERROR(SEARCH("h ",D21)+2,1)))),0)</x:f>
        <x:v>8089</x:v>
      </x:c>
      <x:c r="R21" t="str">
        <x:f>IF(P21="","No",IF(COUNTIF('Employee Attendance'!$D$2:$D$670,P21)&gt;0,"Yes","No"))</x:f>
        <x:v>Yes</x:v>
      </x:c>
    </x:row>
    <x:row r="22">
      <x:c r="A22" t="s">
        <x:v>84</x:v>
      </x:c>
      <x:c r="B22" t="s">
        <x:v>1709</x:v>
      </x:c>
      <x:c r="C22" t="s">
        <x:v>1710</x:v>
      </x:c>
      <x:c r="D22" t="s">
        <x:v>1711</x:v>
      </x:c>
      <x:c r="E22" t="s">
        <x:v>87</x:v>
      </x:c>
      <x:c r="F22" t="s">
        <x:v>87</x:v>
      </x:c>
      <x:c r="G22" t="s">
        <x:v>1690</x:v>
      </x:c>
      <x:c r="P22" t="str">
        <x:f>LOWER(TRIM(SUBSTITUTE(E22,CHAR(160)," ")))</x:f>
        <x:v>damien.hong.lin@pwc.com</x:v>
      </x:c>
      <x:c r="Q22" t="n">
        <x:f>IFERROR(VALUE(LEFT(D22,SEARCH("h",D22)-1)),0)*3600+IFERROR(VALUE(MID(D22,IFERROR(SEARCH("h ",D22)+2,1),SEARCH("m",D22)-IFERROR(SEARCH("h ",D22)+2,1))),0)*60+IFERROR(VALUE(MID(D22,IFERROR(SEARCH("m ",D22)+2,IFERROR(SEARCH("h ",D22)+2,1)),SEARCH("s",D22)-IFERROR(SEARCH("m ",D22)+2,IFERROR(SEARCH("h ",D22)+2,1)))),0)</x:f>
        <x:v>8142</x:v>
      </x:c>
      <x:c r="R22" t="str">
        <x:f>IF(P22="","No",IF(COUNTIF('Employee Attendance'!$D$2:$D$670,P22)&gt;0,"Yes","No"))</x:f>
        <x:v>Yes</x:v>
      </x:c>
    </x:row>
    <x:row r="23">
      <x:c r="A23" t="s">
        <x:v>1712</x:v>
      </x:c>
      <x:c r="B23" t="s">
        <x:v>1713</x:v>
      </x:c>
      <x:c r="C23" t="s">
        <x:v>1714</x:v>
      </x:c>
      <x:c r="D23" t="s">
        <x:v>310</x:v>
      </x:c>
      <x:c r="E23" t="s">
        <x:v>1715</x:v>
      </x:c>
      <x:c r="F23" t="s">
        <x:v>1715</x:v>
      </x:c>
      <x:c r="G23" t="s">
        <x:v>1690</x:v>
      </x:c>
      <x:c r="O23">
        <x:v>1</x:v>
      </x:c>
      <x:c r="P23" t="str">
        <x:f>LOWER(TRIM(SUBSTITUTE(E23,CHAR(160)," ")))</x:f>
        <x:v>umair.chaudhry@pwc.com</x:v>
      </x:c>
      <x:c r="Q23" t="n">
        <x:f>IFERROR(VALUE(LEFT(D23,SEARCH("h",D23)-1)),0)*3600+IFERROR(VALUE(MID(D23,IFERROR(SEARCH("h ",D23)+2,1),SEARCH("m",D23)-IFERROR(SEARCH("h ",D23)+2,1))),0)*60+IFERROR(VALUE(MID(D23,IFERROR(SEARCH("m ",D23)+2,IFERROR(SEARCH("h ",D23)+2,1)),SEARCH("s",D23)-IFERROR(SEARCH("m ",D23)+2,IFERROR(SEARCH("h ",D23)+2,1)))),0)</x:f>
        <x:v>8061</x:v>
      </x:c>
      <x:c r="R23" t="str">
        <x:f>IF(P23="","No",IF(COUNTIF('Employee Attendance'!$D$2:$D$670,P23)&gt;0,"Yes","No"))</x:f>
        <x:v>Yes</x:v>
      </x:c>
    </x:row>
    <x:row r="24">
      <x:c r="A24" t="s">
        <x:v>1716</x:v>
      </x:c>
      <x:c r="B24" t="s">
        <x:v>1717</x:v>
      </x:c>
      <x:c r="C24" t="s">
        <x:v>1718</x:v>
      </x:c>
      <x:c r="D24" t="s">
        <x:v>1719</x:v>
      </x:c>
      <x:c r="E24" t="s">
        <x:v>1720</x:v>
      </x:c>
      <x:c r="F24" t="s">
        <x:v>1720</x:v>
      </x:c>
      <x:c r="G24" t="s">
        <x:v>1690</x:v>
      </x:c>
      <x:c r="P24" t="str">
        <x:f>LOWER(TRIM(SUBSTITUTE(E24,CHAR(160)," ")))</x:f>
        <x:v>fardeen.dullull@pwc.com</x:v>
      </x:c>
      <x:c r="Q24" t="n">
        <x:f>IFERROR(VALUE(LEFT(D24,SEARCH("h",D24)-1)),0)*3600+IFERROR(VALUE(MID(D24,IFERROR(SEARCH("h ",D24)+2,1),SEARCH("m",D24)-IFERROR(SEARCH("h ",D24)+2,1))),0)*60+IFERROR(VALUE(MID(D24,IFERROR(SEARCH("m ",D24)+2,IFERROR(SEARCH("h ",D24)+2,1)),SEARCH("s",D24)-IFERROR(SEARCH("m ",D24)+2,IFERROR(SEARCH("h ",D24)+2,1)))),0)</x:f>
        <x:v>6473</x:v>
      </x:c>
      <x:c r="R24" t="str">
        <x:f>IF(P24="","No",IF(COUNTIF('Employee Attendance'!$D$2:$D$670,P24)&gt;0,"Yes","No"))</x:f>
        <x:v>Yes</x:v>
      </x:c>
    </x:row>
    <x:row r="25">
      <x:c r="A25" t="s">
        <x:v>1721</x:v>
      </x:c>
      <x:c r="B25" t="s">
        <x:v>1722</x:v>
      </x:c>
      <x:c r="C25" t="s">
        <x:v>1723</x:v>
      </x:c>
      <x:c r="D25" t="s">
        <x:v>1724</x:v>
      </x:c>
      <x:c r="E25" t="s">
        <x:v>1725</x:v>
      </x:c>
      <x:c r="F25" t="s">
        <x:v>1725</x:v>
      </x:c>
      <x:c r="G25" t="s">
        <x:v>1690</x:v>
      </x:c>
      <x:c r="P25" t="str">
        <x:f>LOWER(TRIM(SUBSTITUTE(E25,CHAR(160)," ")))</x:f>
        <x:v>helen.nganila@pwc.com</x:v>
      </x:c>
      <x:c r="Q25" t="n">
        <x:f>IFERROR(VALUE(LEFT(D25,SEARCH("h",D25)-1)),0)*3600+IFERROR(VALUE(MID(D25,IFERROR(SEARCH("h ",D25)+2,1),SEARCH("m",D25)-IFERROR(SEARCH("h ",D25)+2,1))),0)*60+IFERROR(VALUE(MID(D25,IFERROR(SEARCH("m ",D25)+2,IFERROR(SEARCH("h ",D25)+2,1)),SEARCH("s",D25)-IFERROR(SEARCH("m ",D25)+2,IFERROR(SEARCH("h ",D25)+2,1)))),0)</x:f>
        <x:v>8012</x:v>
      </x:c>
      <x:c r="R25" t="str">
        <x:f>IF(P25="","No",IF(COUNTIF('Employee Attendance'!$D$2:$D$670,P25)&gt;0,"Yes","No"))</x:f>
        <x:v>Yes</x:v>
      </x:c>
    </x:row>
    <x:row r="26">
      <x:c r="A26" t="s">
        <x:v>1726</x:v>
      </x:c>
      <x:c r="B26" t="s">
        <x:v>1727</x:v>
      </x:c>
      <x:c r="C26" t="s">
        <x:v>1670</x:v>
      </x:c>
      <x:c r="D26" t="s">
        <x:v>1728</x:v>
      </x:c>
      <x:c r="E26" t="s">
        <x:v>1729</x:v>
      </x:c>
      <x:c r="F26" t="s">
        <x:v>1729</x:v>
      </x:c>
      <x:c r="G26" t="s">
        <x:v>1690</x:v>
      </x:c>
      <x:c r="P26" t="str">
        <x:f>LOWER(TRIM(SUBSTITUTE(E26,CHAR(160)," ")))</x:f>
        <x:v>nuzhah.beebeejaun@pwc.com</x:v>
      </x:c>
      <x:c r="Q26" t="n">
        <x:f>IFERROR(VALUE(LEFT(D26,SEARCH("h",D26)-1)),0)*3600+IFERROR(VALUE(MID(D26,IFERROR(SEARCH("h ",D26)+2,1),SEARCH("m",D26)-IFERROR(SEARCH("h ",D26)+2,1))),0)*60+IFERROR(VALUE(MID(D26,IFERROR(SEARCH("m ",D26)+2,IFERROR(SEARCH("h ",D26)+2,1)),SEARCH("s",D26)-IFERROR(SEARCH("m ",D26)+2,IFERROR(SEARCH("h ",D26)+2,1)))),0)</x:f>
        <x:v>7864</x:v>
      </x:c>
      <x:c r="R26" t="str">
        <x:f>IF(P26="","No",IF(COUNTIF('Employee Attendance'!$D$2:$D$670,P26)&gt;0,"Yes","No"))</x:f>
        <x:v>Yes</x:v>
      </x:c>
    </x:row>
    <x:row r="27">
      <x:c r="A27" t="s">
        <x:v>1730</x:v>
      </x:c>
      <x:c r="B27" t="s">
        <x:v>1731</x:v>
      </x:c>
      <x:c r="C27" t="s">
        <x:v>1732</x:v>
      </x:c>
      <x:c r="D27" t="s">
        <x:v>1733</x:v>
      </x:c>
      <x:c r="E27" t="s">
        <x:v>1734</x:v>
      </x:c>
      <x:c r="F27" t="s">
        <x:v>1734</x:v>
      </x:c>
      <x:c r="G27" t="s">
        <x:v>1690</x:v>
      </x:c>
      <x:c r="O27">
        <x:v>1</x:v>
      </x:c>
      <x:c r="P27" t="str">
        <x:f>LOWER(TRIM(SUBSTITUTE(E27,CHAR(160)," ")))</x:f>
        <x:v>james.kimani@pwc.com</x:v>
      </x:c>
      <x:c r="Q27" t="n">
        <x:f>IFERROR(VALUE(LEFT(D27,SEARCH("h",D27)-1)),0)*3600+IFERROR(VALUE(MID(D27,IFERROR(SEARCH("h ",D27)+2,1),SEARCH("m",D27)-IFERROR(SEARCH("h ",D27)+2,1))),0)*60+IFERROR(VALUE(MID(D27,IFERROR(SEARCH("m ",D27)+2,IFERROR(SEARCH("h ",D27)+2,1)),SEARCH("s",D27)-IFERROR(SEARCH("m ",D27)+2,IFERROR(SEARCH("h ",D27)+2,1)))),0)</x:f>
        <x:v>7791</x:v>
      </x:c>
      <x:c r="R27" t="str">
        <x:f>IF(P27="","No",IF(COUNTIF('Employee Attendance'!$D$2:$D$670,P27)&gt;0,"Yes","No"))</x:f>
        <x:v>Yes</x:v>
      </x:c>
    </x:row>
    <x:row r="28">
      <x:c r="A28" t="s">
        <x:v>211</x:v>
      </x:c>
      <x:c r="B28" t="s">
        <x:v>1735</x:v>
      </x:c>
      <x:c r="C28" t="s">
        <x:v>1736</x:v>
      </x:c>
      <x:c r="D28" t="s">
        <x:v>1737</x:v>
      </x:c>
      <x:c r="E28" t="s">
        <x:v>215</x:v>
      </x:c>
      <x:c r="F28" t="s">
        <x:v>215</x:v>
      </x:c>
      <x:c r="G28" t="s">
        <x:v>1690</x:v>
      </x:c>
      <x:c r="P28" t="str">
        <x:f>LOWER(TRIM(SUBSTITUTE(E28,CHAR(160)," ")))</x:f>
        <x:v>serah.kiprono@pwc.com</x:v>
      </x:c>
      <x:c r="Q28" t="n">
        <x:f>IFERROR(VALUE(LEFT(D28,SEARCH("h",D28)-1)),0)*3600+IFERROR(VALUE(MID(D28,IFERROR(SEARCH("h ",D28)+2,1),SEARCH("m",D28)-IFERROR(SEARCH("h ",D28)+2,1))),0)*60+IFERROR(VALUE(MID(D28,IFERROR(SEARCH("m ",D28)+2,IFERROR(SEARCH("h ",D28)+2,1)),SEARCH("s",D28)-IFERROR(SEARCH("m ",D28)+2,IFERROR(SEARCH("h ",D28)+2,1)))),0)</x:f>
        <x:v>7879</x:v>
      </x:c>
      <x:c r="R28" t="str">
        <x:f>IF(P28="","No",IF(COUNTIF('Employee Attendance'!$D$2:$D$670,P28)&gt;0,"Yes","No"))</x:f>
        <x:v>Yes</x:v>
      </x:c>
    </x:row>
    <x:row r="29">
      <x:c r="A29" t="s">
        <x:v>1738</x:v>
      </x:c>
      <x:c r="B29" t="s">
        <x:v>1739</x:v>
      </x:c>
      <x:c r="C29" t="s">
        <x:v>1678</x:v>
      </x:c>
      <x:c r="D29" t="s">
        <x:v>1740</x:v>
      </x:c>
      <x:c r="E29" t="s">
        <x:v>1741</x:v>
      </x:c>
      <x:c r="F29" t="s">
        <x:v>1741</x:v>
      </x:c>
      <x:c r="G29" t="s">
        <x:v>1690</x:v>
      </x:c>
      <x:c r="P29" t="str">
        <x:f>LOWER(TRIM(SUBSTITUTE(E29,CHAR(160)," ")))</x:f>
        <x:v>sadishen.vythilingum@pwc.com</x:v>
      </x:c>
      <x:c r="Q29" t="n">
        <x:f>IFERROR(VALUE(LEFT(D29,SEARCH("h",D29)-1)),0)*3600+IFERROR(VALUE(MID(D29,IFERROR(SEARCH("h ",D29)+2,1),SEARCH("m",D29)-IFERROR(SEARCH("h ",D29)+2,1))),0)*60+IFERROR(VALUE(MID(D29,IFERROR(SEARCH("m ",D29)+2,IFERROR(SEARCH("h ",D29)+2,1)),SEARCH("s",D29)-IFERROR(SEARCH("m ",D29)+2,IFERROR(SEARCH("h ",D29)+2,1)))),0)</x:f>
        <x:v>7780</x:v>
      </x:c>
      <x:c r="R29" t="str">
        <x:f>IF(P29="","No",IF(COUNTIF('Employee Attendance'!$D$2:$D$670,P29)&gt;0,"Yes","No"))</x:f>
        <x:v>Yes</x:v>
      </x:c>
    </x:row>
    <x:row r="30">
      <x:c r="A30" t="s">
        <x:v>1742</x:v>
      </x:c>
      <x:c r="B30" t="s">
        <x:v>1743</x:v>
      </x:c>
      <x:c r="C30" t="s">
        <x:v>1744</x:v>
      </x:c>
      <x:c r="D30" t="s">
        <x:v>1745</x:v>
      </x:c>
      <x:c r="E30" t="s">
        <x:v>1746</x:v>
      </x:c>
      <x:c r="F30" t="s">
        <x:v>1746</x:v>
      </x:c>
      <x:c r="G30" t="s">
        <x:v>1690</x:v>
      </x:c>
      <x:c r="P30" t="str">
        <x:f>LOWER(TRIM(SUBSTITUTE(E30,CHAR(160)," ")))</x:f>
        <x:v>izam.joomun@pwc.com</x:v>
      </x:c>
      <x:c r="Q30" t="n">
        <x:f>IFERROR(VALUE(LEFT(D30,SEARCH("h",D30)-1)),0)*3600+IFERROR(VALUE(MID(D30,IFERROR(SEARCH("h ",D30)+2,1),SEARCH("m",D30)-IFERROR(SEARCH("h ",D30)+2,1))),0)*60+IFERROR(VALUE(MID(D30,IFERROR(SEARCH("m ",D30)+2,IFERROR(SEARCH("h ",D30)+2,1)),SEARCH("s",D30)-IFERROR(SEARCH("m ",D30)+2,IFERROR(SEARCH("h ",D30)+2,1)))),0)</x:f>
        <x:v>7666</x:v>
      </x:c>
      <x:c r="R30" t="str">
        <x:f>IF(P30="","No",IF(COUNTIF('Employee Attendance'!$D$2:$D$670,P30)&gt;0,"Yes","No"))</x:f>
        <x:v>Yes</x:v>
      </x:c>
    </x:row>
    <x:row r="31">
      <x:c r="A31" t="s">
        <x:v>766</x:v>
      </x:c>
      <x:c r="B31" t="s">
        <x:v>1747</x:v>
      </x:c>
      <x:c r="C31" t="s">
        <x:v>1748</x:v>
      </x:c>
      <x:c r="D31" t="s">
        <x:v>1749</x:v>
      </x:c>
      <x:c r="E31" t="s">
        <x:v>770</x:v>
      </x:c>
      <x:c r="F31" t="s">
        <x:v>770</x:v>
      </x:c>
      <x:c r="G31" t="s">
        <x:v>1690</x:v>
      </x:c>
      <x:c r="O31">
        <x:v>2</x:v>
      </x:c>
      <x:c r="P31" t="str">
        <x:f>LOWER(TRIM(SUBSTITUTE(E31,CHAR(160)," ")))</x:f>
        <x:v>angel.qamara@pwc.com</x:v>
      </x:c>
      <x:c r="Q31" t="n">
        <x:f>IFERROR(VALUE(LEFT(D31,SEARCH("h",D31)-1)),0)*3600+IFERROR(VALUE(MID(D31,IFERROR(SEARCH("h ",D31)+2,1),SEARCH("m",D31)-IFERROR(SEARCH("h ",D31)+2,1))),0)*60+IFERROR(VALUE(MID(D31,IFERROR(SEARCH("m ",D31)+2,IFERROR(SEARCH("h ",D31)+2,1)),SEARCH("s",D31)-IFERROR(SEARCH("m ",D31)+2,IFERROR(SEARCH("h ",D31)+2,1)))),0)</x:f>
        <x:v>7818</x:v>
      </x:c>
      <x:c r="R31" t="str">
        <x:f>IF(P31="","No",IF(COUNTIF('Employee Attendance'!$D$2:$D$670,P31)&gt;0,"Yes","No"))</x:f>
        <x:v>Yes</x:v>
      </x:c>
    </x:row>
    <x:row r="32">
      <x:c r="A32" t="s">
        <x:v>1750</x:v>
      </x:c>
      <x:c r="B32" t="s">
        <x:v>1751</x:v>
      </x:c>
      <x:c r="C32" t="s">
        <x:v>1687</x:v>
      </x:c>
      <x:c r="D32" t="s">
        <x:v>1752</x:v>
      </x:c>
      <x:c r="E32" t="s">
        <x:v>1753</x:v>
      </x:c>
      <x:c r="F32" t="s">
        <x:v>1753</x:v>
      </x:c>
      <x:c r="G32" t="s">
        <x:v>1690</x:v>
      </x:c>
      <x:c r="P32" t="str">
        <x:f>LOWER(TRIM(SUBSTITUTE(E32,CHAR(160)," ")))</x:f>
        <x:v>gavin.allagapen@pwc.com</x:v>
      </x:c>
      <x:c r="Q32" t="n">
        <x:f>IFERROR(VALUE(LEFT(D32,SEARCH("h",D32)-1)),0)*3600+IFERROR(VALUE(MID(D32,IFERROR(SEARCH("h ",D32)+2,1),SEARCH("m",D32)-IFERROR(SEARCH("h ",D32)+2,1))),0)*60+IFERROR(VALUE(MID(D32,IFERROR(SEARCH("m ",D32)+2,IFERROR(SEARCH("h ",D32)+2,1)),SEARCH("s",D32)-IFERROR(SEARCH("m ",D32)+2,IFERROR(SEARCH("h ",D32)+2,1)))),0)</x:f>
        <x:v>7760</x:v>
      </x:c>
      <x:c r="R32" t="str">
        <x:f>IF(P32="","No",IF(COUNTIF('Employee Attendance'!$D$2:$D$670,P32)&gt;0,"Yes","No"))</x:f>
        <x:v>Yes</x:v>
      </x:c>
    </x:row>
    <x:row r="33">
      <x:c r="A33" t="s">
        <x:v>1754</x:v>
      </x:c>
      <x:c r="B33" t="s">
        <x:v>1755</x:v>
      </x:c>
      <x:c r="C33" t="s">
        <x:v>1756</x:v>
      </x:c>
      <x:c r="D33" t="s">
        <x:v>1757</x:v>
      </x:c>
      <x:c r="E33" t="s">
        <x:v>1758</x:v>
      </x:c>
      <x:c r="F33" t="s">
        <x:v>1758</x:v>
      </x:c>
      <x:c r="G33" t="s">
        <x:v>1690</x:v>
      </x:c>
      <x:c r="P33" t="str">
        <x:f>LOWER(TRIM(SUBSTITUTE(E33,CHAR(160)," ")))</x:f>
        <x:v>hannes.jvrensburg@pwc.com</x:v>
      </x:c>
      <x:c r="Q33" t="n">
        <x:f>IFERROR(VALUE(LEFT(D33,SEARCH("h",D33)-1)),0)*3600+IFERROR(VALUE(MID(D33,IFERROR(SEARCH("h ",D33)+2,1),SEARCH("m",D33)-IFERROR(SEARCH("h ",D33)+2,1))),0)*60+IFERROR(VALUE(MID(D33,IFERROR(SEARCH("m ",D33)+2,IFERROR(SEARCH("h ",D33)+2,1)),SEARCH("s",D33)-IFERROR(SEARCH("m ",D33)+2,IFERROR(SEARCH("h ",D33)+2,1)))),0)</x:f>
        <x:v>7679</x:v>
      </x:c>
      <x:c r="R33" t="str">
        <x:f>IF(P33="","No",IF(COUNTIF('Employee Attendance'!$D$2:$D$670,P33)&gt;0,"Yes","No"))</x:f>
        <x:v>Yes</x:v>
      </x:c>
    </x:row>
    <x:row r="34">
      <x:c r="A34" t="s">
        <x:v>1759</x:v>
      </x:c>
      <x:c r="B34" t="s">
        <x:v>1760</x:v>
      </x:c>
      <x:c r="C34" t="s">
        <x:v>1718</x:v>
      </x:c>
      <x:c r="D34" t="s">
        <x:v>1761</x:v>
      </x:c>
      <x:c r="E34" t="s">
        <x:v>1762</x:v>
      </x:c>
      <x:c r="F34" t="s">
        <x:v>1762</x:v>
      </x:c>
      <x:c r="G34" t="s">
        <x:v>1690</x:v>
      </x:c>
      <x:c r="P34" t="str">
        <x:f>LOWER(TRIM(SUBSTITUTE(E34,CHAR(160)," ")))</x:f>
        <x:v>patience.namugenyi@pwc.com</x:v>
      </x:c>
      <x:c r="Q34" t="n">
        <x:f>IFERROR(VALUE(LEFT(D34,SEARCH("h",D34)-1)),0)*3600+IFERROR(VALUE(MID(D34,IFERROR(SEARCH("h ",D34)+2,1),SEARCH("m",D34)-IFERROR(SEARCH("h ",D34)+2,1))),0)*60+IFERROR(VALUE(MID(D34,IFERROR(SEARCH("m ",D34)+2,IFERROR(SEARCH("h ",D34)+2,1)),SEARCH("s",D34)-IFERROR(SEARCH("m ",D34)+2,IFERROR(SEARCH("h ",D34)+2,1)))),0)</x:f>
        <x:v>7552</x:v>
      </x:c>
      <x:c r="R34" t="str">
        <x:f>IF(P34="","No",IF(COUNTIF('Employee Attendance'!$D$2:$D$670,P34)&gt;0,"Yes","No"))</x:f>
        <x:v>Yes</x:v>
      </x:c>
    </x:row>
    <x:row r="35">
      <x:c r="A35" t="s">
        <x:v>123</x:v>
      </x:c>
      <x:c r="B35" t="s">
        <x:v>1763</x:v>
      </x:c>
      <x:c r="C35" t="s">
        <x:v>1764</x:v>
      </x:c>
      <x:c r="D35" t="s">
        <x:v>1765</x:v>
      </x:c>
      <x:c r="E35" t="s">
        <x:v>126</x:v>
      </x:c>
      <x:c r="F35" t="s">
        <x:v>126</x:v>
      </x:c>
      <x:c r="G35" t="s">
        <x:v>1690</x:v>
      </x:c>
      <x:c r="P35" t="str">
        <x:f>LOWER(TRIM(SUBSTITUTE(E35,CHAR(160)," ")))</x:f>
        <x:v>dolesha.gokhul@pwc.com</x:v>
      </x:c>
      <x:c r="Q35" t="n">
        <x:f>IFERROR(VALUE(LEFT(D35,SEARCH("h",D35)-1)),0)*3600+IFERROR(VALUE(MID(D35,IFERROR(SEARCH("h ",D35)+2,1),SEARCH("m",D35)-IFERROR(SEARCH("h ",D35)+2,1))),0)*60+IFERROR(VALUE(MID(D35,IFERROR(SEARCH("m ",D35)+2,IFERROR(SEARCH("h ",D35)+2,1)),SEARCH("s",D35)-IFERROR(SEARCH("m ",D35)+2,IFERROR(SEARCH("h ",D35)+2,1)))),0)</x:f>
        <x:v>7866</x:v>
      </x:c>
      <x:c r="R35" t="str">
        <x:f>IF(P35="","No",IF(COUNTIF('Employee Attendance'!$D$2:$D$670,P35)&gt;0,"Yes","No"))</x:f>
        <x:v>Yes</x:v>
      </x:c>
    </x:row>
    <x:row r="36">
      <x:c r="A36" t="s">
        <x:v>1766</x:v>
      </x:c>
      <x:c r="B36" t="s">
        <x:v>1767</x:v>
      </x:c>
      <x:c r="C36" t="s">
        <x:v>1768</x:v>
      </x:c>
      <x:c r="D36" t="s">
        <x:v>340</x:v>
      </x:c>
      <x:c r="E36" t="s">
        <x:v>1769</x:v>
      </x:c>
      <x:c r="F36" t="s">
        <x:v>1769</x:v>
      </x:c>
      <x:c r="G36" t="s">
        <x:v>1690</x:v>
      </x:c>
      <x:c r="P36" t="str">
        <x:f>LOWER(TRIM(SUBSTITUTE(E36,CHAR(160)," ")))</x:f>
        <x:v>gerald.aheebwa@pwc.com</x:v>
      </x:c>
      <x:c r="Q36" t="n">
        <x:f>IFERROR(VALUE(LEFT(D36,SEARCH("h",D36)-1)),0)*3600+IFERROR(VALUE(MID(D36,IFERROR(SEARCH("h ",D36)+2,1),SEARCH("m",D36)-IFERROR(SEARCH("h ",D36)+2,1))),0)*60+IFERROR(VALUE(MID(D36,IFERROR(SEARCH("m ",D36)+2,IFERROR(SEARCH("h ",D36)+2,1)),SEARCH("s",D36)-IFERROR(SEARCH("m ",D36)+2,IFERROR(SEARCH("h ",D36)+2,1)))),0)</x:f>
        <x:v>7382</x:v>
      </x:c>
      <x:c r="R36" t="str">
        <x:f>IF(P36="","No",IF(COUNTIF('Employee Attendance'!$D$2:$D$670,P36)&gt;0,"Yes","No"))</x:f>
        <x:v>Yes</x:v>
      </x:c>
    </x:row>
    <x:row r="37">
      <x:c r="A37" t="s">
        <x:v>719</x:v>
      </x:c>
      <x:c r="B37" t="s">
        <x:v>1770</x:v>
      </x:c>
      <x:c r="C37" t="s">
        <x:v>1710</x:v>
      </x:c>
      <x:c r="D37" t="s">
        <x:v>1771</x:v>
      </x:c>
      <x:c r="E37" t="s">
        <x:v>723</x:v>
      </x:c>
      <x:c r="F37" t="s">
        <x:v>723</x:v>
      </x:c>
      <x:c r="G37" t="s">
        <x:v>1690</x:v>
      </x:c>
      <x:c r="P37" t="str">
        <x:f>LOWER(TRIM(SUBSTITUTE(E37,CHAR(160)," ")))</x:f>
        <x:v>keshini.sahadew@pwc.com</x:v>
      </x:c>
      <x:c r="Q37" t="n">
        <x:f>IFERROR(VALUE(LEFT(D37,SEARCH("h",D37)-1)),0)*3600+IFERROR(VALUE(MID(D37,IFERROR(SEARCH("h ",D37)+2,1),SEARCH("m",D37)-IFERROR(SEARCH("h ",D37)+2,1))),0)*60+IFERROR(VALUE(MID(D37,IFERROR(SEARCH("m ",D37)+2,IFERROR(SEARCH("h ",D37)+2,1)),SEARCH("s",D37)-IFERROR(SEARCH("m ",D37)+2,IFERROR(SEARCH("h ",D37)+2,1)))),0)</x:f>
        <x:v>7775</x:v>
      </x:c>
      <x:c r="R37" t="str">
        <x:f>IF(P37="","No",IF(COUNTIF('Employee Attendance'!$D$2:$D$670,P37)&gt;0,"Yes","No"))</x:f>
        <x:v>Yes</x:v>
      </x:c>
    </x:row>
    <x:row r="38">
      <x:c r="A38" t="s">
        <x:v>619</x:v>
      </x:c>
      <x:c r="B38" t="s">
        <x:v>1772</x:v>
      </x:c>
      <x:c r="C38" t="s">
        <x:v>1773</x:v>
      </x:c>
      <x:c r="D38" t="s">
        <x:v>1774</x:v>
      </x:c>
      <x:c r="E38" t="s">
        <x:v>623</x:v>
      </x:c>
      <x:c r="F38" t="s">
        <x:v>623</x:v>
      </x:c>
      <x:c r="G38" t="s">
        <x:v>1690</x:v>
      </x:c>
      <x:c r="P38" t="str">
        <x:f>LOWER(TRIM(SUBSTITUTE(E38,CHAR(160)," ")))</x:f>
        <x:v>suhashinee.kawal@pwc.com</x:v>
      </x:c>
      <x:c r="Q38" t="n">
        <x:f>IFERROR(VALUE(LEFT(D38,SEARCH("h",D38)-1)),0)*3600+IFERROR(VALUE(MID(D38,IFERROR(SEARCH("h ",D38)+2,1),SEARCH("m",D38)-IFERROR(SEARCH("h ",D38)+2,1))),0)*60+IFERROR(VALUE(MID(D38,IFERROR(SEARCH("m ",D38)+2,IFERROR(SEARCH("h ",D38)+2,1)),SEARCH("s",D38)-IFERROR(SEARCH("m ",D38)+2,IFERROR(SEARCH("h ",D38)+2,1)))),0)</x:f>
        <x:v>8001</x:v>
      </x:c>
      <x:c r="R38" t="str">
        <x:f>IF(P38="","No",IF(COUNTIF('Employee Attendance'!$D$2:$D$670,P38)&gt;0,"Yes","No"))</x:f>
        <x:v>Yes</x:v>
      </x:c>
    </x:row>
    <x:row r="39">
      <x:c r="A39" t="s">
        <x:v>1775</x:v>
      </x:c>
      <x:c r="B39" t="s">
        <x:v>1776</x:v>
      </x:c>
      <x:c r="C39" t="s">
        <x:v>1777</x:v>
      </x:c>
      <x:c r="D39" t="s">
        <x:v>1778</x:v>
      </x:c>
      <x:c r="E39" t="s">
        <x:v>1779</x:v>
      </x:c>
      <x:c r="F39" t="s">
        <x:v>1779</x:v>
      </x:c>
      <x:c r="G39" t="s">
        <x:v>1690</x:v>
      </x:c>
      <x:c r="P39" t="str">
        <x:f>LOWER(TRIM(SUBSTITUTE(E39,CHAR(160)," ")))</x:f>
        <x:v>vedsagar.neeraye@pwc.com</x:v>
      </x:c>
      <x:c r="Q39" t="n">
        <x:f>IFERROR(VALUE(LEFT(D39,SEARCH("h",D39)-1)),0)*3600+IFERROR(VALUE(MID(D39,IFERROR(SEARCH("h ",D39)+2,1),SEARCH("m",D39)-IFERROR(SEARCH("h ",D39)+2,1))),0)*60+IFERROR(VALUE(MID(D39,IFERROR(SEARCH("m ",D39)+2,IFERROR(SEARCH("h ",D39)+2,1)),SEARCH("s",D39)-IFERROR(SEARCH("m ",D39)+2,IFERROR(SEARCH("h ",D39)+2,1)))),0)</x:f>
        <x:v>7768</x:v>
      </x:c>
      <x:c r="R39" t="str">
        <x:f>IF(P39="","No",IF(COUNTIF('Employee Attendance'!$D$2:$D$670,P39)&gt;0,"Yes","No"))</x:f>
        <x:v>Yes</x:v>
      </x:c>
    </x:row>
    <x:row r="40">
      <x:c r="A40" t="s">
        <x:v>1780</x:v>
      </x:c>
      <x:c r="B40" t="s">
        <x:v>1781</x:v>
      </x:c>
      <x:c r="C40" t="s">
        <x:v>1670</x:v>
      </x:c>
      <x:c r="D40" t="s">
        <x:v>1782</x:v>
      </x:c>
      <x:c r="E40" t="s">
        <x:v>1783</x:v>
      </x:c>
      <x:c r="F40" t="s">
        <x:v>1783</x:v>
      </x:c>
      <x:c r="G40" t="s">
        <x:v>1690</x:v>
      </x:c>
      <x:c r="P40" t="str">
        <x:f>LOWER(TRIM(SUBSTITUTE(E40,CHAR(160)," ")))</x:f>
        <x:v>samuel.shejamabu@pwc.com</x:v>
      </x:c>
      <x:c r="Q40" t="n">
        <x:f>IFERROR(VALUE(LEFT(D40,SEARCH("h",D40)-1)),0)*3600+IFERROR(VALUE(MID(D40,IFERROR(SEARCH("h ",D40)+2,1),SEARCH("m",D40)-IFERROR(SEARCH("h ",D40)+2,1))),0)*60+IFERROR(VALUE(MID(D40,IFERROR(SEARCH("m ",D40)+2,IFERROR(SEARCH("h ",D40)+2,1)),SEARCH("s",D40)-IFERROR(SEARCH("m ",D40)+2,IFERROR(SEARCH("h ",D40)+2,1)))),0)</x:f>
        <x:v>7720</x:v>
      </x:c>
      <x:c r="R40" t="str">
        <x:f>IF(P40="","No",IF(COUNTIF('Employee Attendance'!$D$2:$D$670,P40)&gt;0,"Yes","No"))</x:f>
        <x:v>Yes</x:v>
      </x:c>
    </x:row>
    <x:row r="41">
      <x:c r="A41" t="s">
        <x:v>607</x:v>
      </x:c>
      <x:c r="B41" t="s">
        <x:v>1784</x:v>
      </x:c>
      <x:c r="C41" t="s">
        <x:v>1683</x:v>
      </x:c>
      <x:c r="D41" t="s">
        <x:v>1785</x:v>
      </x:c>
      <x:c r="E41" t="s">
        <x:v>610</x:v>
      </x:c>
      <x:c r="F41" t="s">
        <x:v>610</x:v>
      </x:c>
      <x:c r="G41" t="s">
        <x:v>1690</x:v>
      </x:c>
      <x:c r="P41" t="str">
        <x:f>LOWER(TRIM(SUBSTITUTE(E41,CHAR(160)," ")))</x:f>
        <x:v>hope.msoffe@pwc.com</x:v>
      </x:c>
      <x:c r="Q41" t="n">
        <x:f>IFERROR(VALUE(LEFT(D41,SEARCH("h",D41)-1)),0)*3600+IFERROR(VALUE(MID(D41,IFERROR(SEARCH("h ",D41)+2,1),SEARCH("m",D41)-IFERROR(SEARCH("h ",D41)+2,1))),0)*60+IFERROR(VALUE(MID(D41,IFERROR(SEARCH("m ",D41)+2,IFERROR(SEARCH("h ",D41)+2,1)),SEARCH("s",D41)-IFERROR(SEARCH("m ",D41)+2,IFERROR(SEARCH("h ",D41)+2,1)))),0)</x:f>
        <x:v>7681</x:v>
      </x:c>
      <x:c r="R41" t="str">
        <x:f>IF(P41="","No",IF(COUNTIF('Employee Attendance'!$D$2:$D$670,P41)&gt;0,"Yes","No"))</x:f>
        <x:v>Yes</x:v>
      </x:c>
    </x:row>
    <x:row r="42">
      <x:c r="A42" t="s">
        <x:v>1786</x:v>
      </x:c>
      <x:c r="B42" t="s">
        <x:v>1787</x:v>
      </x:c>
      <x:c r="C42" t="s">
        <x:v>1687</x:v>
      </x:c>
      <x:c r="D42" t="s">
        <x:v>1788</x:v>
      </x:c>
      <x:c r="E42" t="s">
        <x:v>1789</x:v>
      </x:c>
      <x:c r="F42" t="s">
        <x:v>1789</x:v>
      </x:c>
      <x:c r="G42" t="s">
        <x:v>1690</x:v>
      </x:c>
      <x:c r="P42" t="str">
        <x:f>LOWER(TRIM(SUBSTITUTE(E42,CHAR(160)," ")))</x:f>
        <x:v>zuhura.z.mnyamuru@pwc.com</x:v>
      </x:c>
      <x:c r="Q42" t="n">
        <x:f>IFERROR(VALUE(LEFT(D42,SEARCH("h",D42)-1)),0)*3600+IFERROR(VALUE(MID(D42,IFERROR(SEARCH("h ",D42)+2,1),SEARCH("m",D42)-IFERROR(SEARCH("h ",D42)+2,1))),0)*60+IFERROR(VALUE(MID(D42,IFERROR(SEARCH("m ",D42)+2,IFERROR(SEARCH("h ",D42)+2,1)),SEARCH("s",D42)-IFERROR(SEARCH("m ",D42)+2,IFERROR(SEARCH("h ",D42)+2,1)))),0)</x:f>
        <x:v>7677</x:v>
      </x:c>
      <x:c r="R42" t="str">
        <x:f>IF(P42="","No",IF(COUNTIF('Employee Attendance'!$D$2:$D$670,P42)&gt;0,"Yes","No"))</x:f>
        <x:v>Yes</x:v>
      </x:c>
    </x:row>
    <x:row r="43">
      <x:c r="A43" t="s">
        <x:v>1790</x:v>
      </x:c>
      <x:c r="B43" t="s">
        <x:v>1791</x:v>
      </x:c>
      <x:c r="C43" t="s">
        <x:v>1792</x:v>
      </x:c>
      <x:c r="D43" t="s">
        <x:v>1793</x:v>
      </x:c>
      <x:c r="E43" t="s">
        <x:v>1794</x:v>
      </x:c>
      <x:c r="F43" t="s">
        <x:v>1794</x:v>
      </x:c>
      <x:c r="G43" t="s">
        <x:v>1690</x:v>
      </x:c>
      <x:c r="P43" t="str">
        <x:f>LOWER(TRIM(SUBSTITUTE(E43,CHAR(160)," ")))</x:f>
        <x:v>praxy.kanana@pwc.com</x:v>
      </x:c>
      <x:c r="Q43" t="n">
        <x:f>IFERROR(VALUE(LEFT(D43,SEARCH("h",D43)-1)),0)*3600+IFERROR(VALUE(MID(D43,IFERROR(SEARCH("h ",D43)+2,1),SEARCH("m",D43)-IFERROR(SEARCH("h ",D43)+2,1))),0)*60+IFERROR(VALUE(MID(D43,IFERROR(SEARCH("m ",D43)+2,IFERROR(SEARCH("h ",D43)+2,1)),SEARCH("s",D43)-IFERROR(SEARCH("m ",D43)+2,IFERROR(SEARCH("h ",D43)+2,1)))),0)</x:f>
        <x:v>7095</x:v>
      </x:c>
      <x:c r="R43" t="str">
        <x:f>IF(P43="","No",IF(COUNTIF('Employee Attendance'!$D$2:$D$670,P43)&gt;0,"Yes","No"))</x:f>
        <x:v>Yes</x:v>
      </x:c>
    </x:row>
    <x:row r="44">
      <x:c r="A44" t="s">
        <x:v>1795</x:v>
      </x:c>
      <x:c r="B44" t="s">
        <x:v>1796</x:v>
      </x:c>
      <x:c r="C44" t="s">
        <x:v>1797</x:v>
      </x:c>
      <x:c r="D44" t="s">
        <x:v>1798</x:v>
      </x:c>
      <x:c r="E44" t="s">
        <x:v>1799</x:v>
      </x:c>
      <x:c r="F44" t="s">
        <x:v>1799</x:v>
      </x:c>
      <x:c r="G44" t="s">
        <x:v>1690</x:v>
      </x:c>
      <x:c r="P44" t="str">
        <x:f>LOWER(TRIM(SUBSTITUTE(E44,CHAR(160)," ")))</x:f>
        <x:v>bonita.kilama@pwc.com</x:v>
      </x:c>
      <x:c r="Q44" t="n">
        <x:f>IFERROR(VALUE(LEFT(D44,SEARCH("h",D44)-1)),0)*3600+IFERROR(VALUE(MID(D44,IFERROR(SEARCH("h ",D44)+2,1),SEARCH("m",D44)-IFERROR(SEARCH("h ",D44)+2,1))),0)*60+IFERROR(VALUE(MID(D44,IFERROR(SEARCH("m ",D44)+2,IFERROR(SEARCH("h ",D44)+2,1)),SEARCH("s",D44)-IFERROR(SEARCH("m ",D44)+2,IFERROR(SEARCH("h ",D44)+2,1)))),0)</x:f>
        <x:v>7661</x:v>
      </x:c>
      <x:c r="R44" t="str">
        <x:f>IF(P44="","No",IF(COUNTIF('Employee Attendance'!$D$2:$D$670,P44)&gt;0,"Yes","No"))</x:f>
        <x:v>Yes</x:v>
      </x:c>
    </x:row>
    <x:row r="45">
      <x:c r="A45" t="s">
        <x:v>1800</x:v>
      </x:c>
      <x:c r="B45" t="s">
        <x:v>1801</x:v>
      </x:c>
      <x:c r="C45" t="s">
        <x:v>1802</x:v>
      </x:c>
      <x:c r="D45" t="s">
        <x:v>1803</x:v>
      </x:c>
      <x:c r="E45" t="s">
        <x:v>1804</x:v>
      </x:c>
      <x:c r="F45" t="s">
        <x:v>1804</x:v>
      </x:c>
      <x:c r="G45" t="s">
        <x:v>1690</x:v>
      </x:c>
      <x:c r="O45">
        <x:v>1</x:v>
      </x:c>
      <x:c r="P45" t="str">
        <x:f>LOWER(TRIM(SUBSTITUTE(E45,CHAR(160)," ")))</x:f>
        <x:v>rebecca.kayiteesi@pwc.com</x:v>
      </x:c>
      <x:c r="Q45" t="n">
        <x:f>IFERROR(VALUE(LEFT(D45,SEARCH("h",D45)-1)),0)*3600+IFERROR(VALUE(MID(D45,IFERROR(SEARCH("h ",D45)+2,1),SEARCH("m",D45)-IFERROR(SEARCH("h ",D45)+2,1))),0)*60+IFERROR(VALUE(MID(D45,IFERROR(SEARCH("m ",D45)+2,IFERROR(SEARCH("h ",D45)+2,1)),SEARCH("s",D45)-IFERROR(SEARCH("m ",D45)+2,IFERROR(SEARCH("h ",D45)+2,1)))),0)</x:f>
        <x:v>6801</x:v>
      </x:c>
      <x:c r="R45" t="str">
        <x:f>IF(P45="","No",IF(COUNTIF('Employee Attendance'!$D$2:$D$670,P45)&gt;0,"Yes","No"))</x:f>
        <x:v>Yes</x:v>
      </x:c>
    </x:row>
    <x:row r="46">
      <x:c r="A46" t="s">
        <x:v>1805</x:v>
      </x:c>
      <x:c r="B46" t="s">
        <x:v>1806</x:v>
      </x:c>
      <x:c r="C46" t="s">
        <x:v>1678</x:v>
      </x:c>
      <x:c r="D46" t="s">
        <x:v>1798</x:v>
      </x:c>
      <x:c r="E46" t="s">
        <x:v>1807</x:v>
      </x:c>
      <x:c r="F46" t="s">
        <x:v>1807</x:v>
      </x:c>
      <x:c r="G46" t="s">
        <x:v>1690</x:v>
      </x:c>
      <x:c r="O46">
        <x:v>2</x:v>
      </x:c>
      <x:c r="P46" t="str">
        <x:f>LOWER(TRIM(SUBSTITUTE(E46,CHAR(160)," ")))</x:f>
        <x:v>francis.k.nzau@pwc.com</x:v>
      </x:c>
      <x:c r="Q46" t="n">
        <x:f>IFERROR(VALUE(LEFT(D46,SEARCH("h",D46)-1)),0)*3600+IFERROR(VALUE(MID(D46,IFERROR(SEARCH("h ",D46)+2,1),SEARCH("m",D46)-IFERROR(SEARCH("h ",D46)+2,1))),0)*60+IFERROR(VALUE(MID(D46,IFERROR(SEARCH("m ",D46)+2,IFERROR(SEARCH("h ",D46)+2,1)),SEARCH("s",D46)-IFERROR(SEARCH("m ",D46)+2,IFERROR(SEARCH("h ",D46)+2,1)))),0)</x:f>
        <x:v>7661</x:v>
      </x:c>
      <x:c r="R46" t="str">
        <x:f>IF(P46="","No",IF(COUNTIF('Employee Attendance'!$D$2:$D$670,P46)&gt;0,"Yes","No"))</x:f>
        <x:v>Yes</x:v>
      </x:c>
    </x:row>
    <x:row r="47">
      <x:c r="A47" t="s">
        <x:v>1808</x:v>
      </x:c>
      <x:c r="B47" t="s">
        <x:v>1809</x:v>
      </x:c>
      <x:c r="C47" t="s">
        <x:v>1810</x:v>
      </x:c>
      <x:c r="D47" t="s">
        <x:v>1811</x:v>
      </x:c>
      <x:c r="E47" t="s">
        <x:v>1812</x:v>
      </x:c>
      <x:c r="F47" t="s">
        <x:v>1812</x:v>
      </x:c>
      <x:c r="G47" t="s">
        <x:v>1690</x:v>
      </x:c>
      <x:c r="P47" t="str">
        <x:f>LOWER(TRIM(SUBSTITUTE(E47,CHAR(160)," ")))</x:f>
        <x:v>moheenee.harah@pwc.com</x:v>
      </x:c>
      <x:c r="Q47" t="n">
        <x:f>IFERROR(VALUE(LEFT(D47,SEARCH("h",D47)-1)),0)*3600+IFERROR(VALUE(MID(D47,IFERROR(SEARCH("h ",D47)+2,1),SEARCH("m",D47)-IFERROR(SEARCH("h ",D47)+2,1))),0)*60+IFERROR(VALUE(MID(D47,IFERROR(SEARCH("m ",D47)+2,IFERROR(SEARCH("h ",D47)+2,1)),SEARCH("s",D47)-IFERROR(SEARCH("m ",D47)+2,IFERROR(SEARCH("h ",D47)+2,1)))),0)</x:f>
        <x:v>7655</x:v>
      </x:c>
      <x:c r="R47" t="str">
        <x:f>IF(P47="","No",IF(COUNTIF('Employee Attendance'!$D$2:$D$670,P47)&gt;0,"Yes","No"))</x:f>
        <x:v>Yes</x:v>
      </x:c>
    </x:row>
    <x:row r="48">
      <x:c r="A48" t="s">
        <x:v>1813</x:v>
      </x:c>
      <x:c r="B48" t="s">
        <x:v>1814</x:v>
      </x:c>
      <x:c r="C48" t="s">
        <x:v>1687</x:v>
      </x:c>
      <x:c r="D48" t="s">
        <x:v>1815</x:v>
      </x:c>
      <x:c r="E48" t="s">
        <x:v>1816</x:v>
      </x:c>
      <x:c r="F48" t="s">
        <x:v>1816</x:v>
      </x:c>
      <x:c r="G48" t="s">
        <x:v>1690</x:v>
      </x:c>
      <x:c r="O48">
        <x:v>1</x:v>
      </x:c>
      <x:c r="P48" t="str">
        <x:f>LOWER(TRIM(SUBSTITUTE(E48,CHAR(160)," ")))</x:f>
        <x:v>tarushee.beesoony@pwc.com</x:v>
      </x:c>
      <x:c r="Q48" t="n">
        <x:f>IFERROR(VALUE(LEFT(D48,SEARCH("h",D48)-1)),0)*3600+IFERROR(VALUE(MID(D48,IFERROR(SEARCH("h ",D48)+2,1),SEARCH("m",D48)-IFERROR(SEARCH("h ",D48)+2,1))),0)*60+IFERROR(VALUE(MID(D48,IFERROR(SEARCH("m ",D48)+2,IFERROR(SEARCH("h ",D48)+2,1)),SEARCH("s",D48)-IFERROR(SEARCH("m ",D48)+2,IFERROR(SEARCH("h ",D48)+2,1)))),0)</x:f>
        <x:v>7321</x:v>
      </x:c>
      <x:c r="R48" t="str">
        <x:f>IF(P48="","No",IF(COUNTIF('Employee Attendance'!$D$2:$D$670,P48)&gt;0,"Yes","No"))</x:f>
        <x:v>Yes</x:v>
      </x:c>
    </x:row>
    <x:row r="49">
      <x:c r="A49" t="s">
        <x:v>1817</x:v>
      </x:c>
      <x:c r="B49" t="s">
        <x:v>1818</x:v>
      </x:c>
      <x:c r="C49" t="s">
        <x:v>1819</x:v>
      </x:c>
      <x:c r="D49" t="s">
        <x:v>1820</x:v>
      </x:c>
      <x:c r="E49" t="s">
        <x:v>1821</x:v>
      </x:c>
      <x:c r="F49" t="s">
        <x:v>1821</x:v>
      </x:c>
      <x:c r="G49" t="s">
        <x:v>1690</x:v>
      </x:c>
      <x:c r="P49" t="str">
        <x:f>LOWER(TRIM(SUBSTITUTE(E49,CHAR(160)," ")))</x:f>
        <x:v>how.johanne@pwc.com</x:v>
      </x:c>
      <x:c r="Q49" t="n">
        <x:f>IFERROR(VALUE(LEFT(D49,SEARCH("h",D49)-1)),0)*3600+IFERROR(VALUE(MID(D49,IFERROR(SEARCH("h ",D49)+2,1),SEARCH("m",D49)-IFERROR(SEARCH("h ",D49)+2,1))),0)*60+IFERROR(VALUE(MID(D49,IFERROR(SEARCH("m ",D49)+2,IFERROR(SEARCH("h ",D49)+2,1)),SEARCH("s",D49)-IFERROR(SEARCH("m ",D49)+2,IFERROR(SEARCH("h ",D49)+2,1)))),0)</x:f>
        <x:v>7201</x:v>
      </x:c>
      <x:c r="R49" t="str">
        <x:f>IF(P49="","No",IF(COUNTIF('Employee Attendance'!$D$2:$D$670,P49)&gt;0,"Yes","No"))</x:f>
        <x:v>Yes</x:v>
      </x:c>
    </x:row>
    <x:row r="50">
      <x:c r="A50" t="s">
        <x:v>1822</x:v>
      </x:c>
      <x:c r="B50" t="s">
        <x:v>1823</x:v>
      </x:c>
      <x:c r="C50" t="s">
        <x:v>1675</x:v>
      </x:c>
      <x:c r="D50" t="s">
        <x:v>1824</x:v>
      </x:c>
      <x:c r="E50" t="s">
        <x:v>1825</x:v>
      </x:c>
      <x:c r="F50" t="s">
        <x:v>1825</x:v>
      </x:c>
      <x:c r="G50" t="s">
        <x:v>1690</x:v>
      </x:c>
      <x:c r="P50" t="str">
        <x:f>LOWER(TRIM(SUBSTITUTE(E50,CHAR(160)," ")))</x:f>
        <x:v>roshik.r.rughoonauth@pwc.com</x:v>
      </x:c>
      <x:c r="Q50" t="n">
        <x:f>IFERROR(VALUE(LEFT(D50,SEARCH("h",D50)-1)),0)*3600+IFERROR(VALUE(MID(D50,IFERROR(SEARCH("h ",D50)+2,1),SEARCH("m",D50)-IFERROR(SEARCH("h ",D50)+2,1))),0)*60+IFERROR(VALUE(MID(D50,IFERROR(SEARCH("m ",D50)+2,IFERROR(SEARCH("h ",D50)+2,1)),SEARCH("s",D50)-IFERROR(SEARCH("m ",D50)+2,IFERROR(SEARCH("h ",D50)+2,1)))),0)</x:f>
        <x:v>7548</x:v>
      </x:c>
      <x:c r="R50" t="str">
        <x:f>IF(P50="","No",IF(COUNTIF('Employee Attendance'!$D$2:$D$670,P50)&gt;0,"Yes","No"))</x:f>
        <x:v>Yes</x:v>
      </x:c>
    </x:row>
    <x:row r="51">
      <x:c r="A51" t="s">
        <x:v>1826</x:v>
      </x:c>
      <x:c r="B51" t="s">
        <x:v>1827</x:v>
      </x:c>
      <x:c r="C51" t="s">
        <x:v>1828</x:v>
      </x:c>
      <x:c r="D51" t="s">
        <x:v>1829</x:v>
      </x:c>
      <x:c r="E51" t="s">
        <x:v>1830</x:v>
      </x:c>
      <x:c r="F51" t="s">
        <x:v>1830</x:v>
      </x:c>
      <x:c r="G51" t="s">
        <x:v>1690</x:v>
      </x:c>
      <x:c r="P51" t="str">
        <x:f>LOWER(TRIM(SUBSTITUTE(E51,CHAR(160)," ")))</x:f>
        <x:v>gladness.ngowi@pwc.com</x:v>
      </x:c>
      <x:c r="Q51" t="n">
        <x:f>IFERROR(VALUE(LEFT(D51,SEARCH("h",D51)-1)),0)*3600+IFERROR(VALUE(MID(D51,IFERROR(SEARCH("h ",D51)+2,1),SEARCH("m",D51)-IFERROR(SEARCH("h ",D51)+2,1))),0)*60+IFERROR(VALUE(MID(D51,IFERROR(SEARCH("m ",D51)+2,IFERROR(SEARCH("h ",D51)+2,1)),SEARCH("s",D51)-IFERROR(SEARCH("m ",D51)+2,IFERROR(SEARCH("h ",D51)+2,1)))),0)</x:f>
        <x:v>7641</x:v>
      </x:c>
      <x:c r="R51" t="str">
        <x:f>IF(P51="","No",IF(COUNTIF('Employee Attendance'!$D$2:$D$670,P51)&gt;0,"Yes","No"))</x:f>
        <x:v>Yes</x:v>
      </x:c>
    </x:row>
    <x:row r="52">
      <x:c r="A52" t="s">
        <x:v>1831</x:v>
      </x:c>
      <x:c r="B52" t="s">
        <x:v>1832</x:v>
      </x:c>
      <x:c r="C52" t="s">
        <x:v>1683</x:v>
      </x:c>
      <x:c r="D52" t="s">
        <x:v>1833</x:v>
      </x:c>
      <x:c r="E52" t="s">
        <x:v>1834</x:v>
      </x:c>
      <x:c r="F52" t="s">
        <x:v>1834</x:v>
      </x:c>
      <x:c r="G52" t="s">
        <x:v>1690</x:v>
      </x:c>
      <x:c r="O52">
        <x:v>3</x:v>
      </x:c>
      <x:c r="P52" t="str">
        <x:f>LOWER(TRIM(SUBSTITUTE(E52,CHAR(160)," ")))</x:f>
        <x:v>howary.k.kharbush@pwc.com</x:v>
      </x:c>
      <x:c r="Q52" t="n">
        <x:f>IFERROR(VALUE(LEFT(D52,SEARCH("h",D52)-1)),0)*3600+IFERROR(VALUE(MID(D52,IFERROR(SEARCH("h ",D52)+2,1),SEARCH("m",D52)-IFERROR(SEARCH("h ",D52)+2,1))),0)*60+IFERROR(VALUE(MID(D52,IFERROR(SEARCH("m ",D52)+2,IFERROR(SEARCH("h ",D52)+2,1)),SEARCH("s",D52)-IFERROR(SEARCH("m ",D52)+2,IFERROR(SEARCH("h ",D52)+2,1)))),0)</x:f>
        <x:v>7616</x:v>
      </x:c>
      <x:c r="R52" t="str">
        <x:f>IF(P52="","No",IF(COUNTIF('Employee Attendance'!$D$2:$D$670,P52)&gt;0,"Yes","No"))</x:f>
        <x:v>Yes</x:v>
      </x:c>
    </x:row>
    <x:row r="53">
      <x:c r="A53" t="s">
        <x:v>1835</x:v>
      </x:c>
      <x:c r="B53" t="s">
        <x:v>1836</x:v>
      </x:c>
      <x:c r="C53" t="s">
        <x:v>1837</x:v>
      </x:c>
      <x:c r="D53" t="s">
        <x:v>1838</x:v>
      </x:c>
      <x:c r="E53" t="s">
        <x:v>1839</x:v>
      </x:c>
      <x:c r="F53" t="s">
        <x:v>1839</x:v>
      </x:c>
      <x:c r="G53" t="s">
        <x:v>1690</x:v>
      </x:c>
      <x:c r="P53" t="str">
        <x:f>LOWER(TRIM(SUBSTITUTE(E53,CHAR(160)," ")))</x:f>
        <x:v>meydini.maslamony@pwc.com</x:v>
      </x:c>
      <x:c r="Q53" t="n">
        <x:f>IFERROR(VALUE(LEFT(D53,SEARCH("h",D53)-1)),0)*3600+IFERROR(VALUE(MID(D53,IFERROR(SEARCH("h ",D53)+2,1),SEARCH("m",D53)-IFERROR(SEARCH("h ",D53)+2,1))),0)*60+IFERROR(VALUE(MID(D53,IFERROR(SEARCH("m ",D53)+2,IFERROR(SEARCH("h ",D53)+2,1)),SEARCH("s",D53)-IFERROR(SEARCH("m ",D53)+2,IFERROR(SEARCH("h ",D53)+2,1)))),0)</x:f>
        <x:v>7624</x:v>
      </x:c>
      <x:c r="R53" t="str">
        <x:f>IF(P53="","No",IF(COUNTIF('Employee Attendance'!$D$2:$D$670,P53)&gt;0,"Yes","No"))</x:f>
        <x:v>Yes</x:v>
      </x:c>
    </x:row>
    <x:row r="54">
      <x:c r="A54" t="s">
        <x:v>1840</x:v>
      </x:c>
      <x:c r="B54" t="s">
        <x:v>1841</x:v>
      </x:c>
      <x:c r="C54" t="s">
        <x:v>1842</x:v>
      </x:c>
      <x:c r="D54" t="s">
        <x:v>1843</x:v>
      </x:c>
      <x:c r="E54" t="s">
        <x:v>1844</x:v>
      </x:c>
      <x:c r="F54" t="s">
        <x:v>1844</x:v>
      </x:c>
      <x:c r="G54" t="s">
        <x:v>1690</x:v>
      </x:c>
      <x:c r="O54">
        <x:v>1</x:v>
      </x:c>
      <x:c r="P54" t="str">
        <x:f>LOWER(TRIM(SUBSTITUTE(E54,CHAR(160)," ")))</x:f>
        <x:v>gaurav.seeam@pwc.com</x:v>
      </x:c>
      <x:c r="Q54" t="n">
        <x:f>IFERROR(VALUE(LEFT(D54,SEARCH("h",D54)-1)),0)*3600+IFERROR(VALUE(MID(D54,IFERROR(SEARCH("h ",D54)+2,1),SEARCH("m",D54)-IFERROR(SEARCH("h ",D54)+2,1))),0)*60+IFERROR(VALUE(MID(D54,IFERROR(SEARCH("m ",D54)+2,IFERROR(SEARCH("h ",D54)+2,1)),SEARCH("s",D54)-IFERROR(SEARCH("m ",D54)+2,IFERROR(SEARCH("h ",D54)+2,1)))),0)</x:f>
        <x:v>7645</x:v>
      </x:c>
      <x:c r="R54" t="str">
        <x:f>IF(P54="","No",IF(COUNTIF('Employee Attendance'!$D$2:$D$670,P54)&gt;0,"Yes","No"))</x:f>
        <x:v>Yes</x:v>
      </x:c>
    </x:row>
    <x:row r="55">
      <x:c r="A55" t="s">
        <x:v>1845</x:v>
      </x:c>
      <x:c r="B55" t="s">
        <x:v>1846</x:v>
      </x:c>
      <x:c r="C55" t="s">
        <x:v>1797</x:v>
      </x:c>
      <x:c r="D55" t="s">
        <x:v>1847</x:v>
      </x:c>
      <x:c r="E55" t="s">
        <x:v>1848</x:v>
      </x:c>
      <x:c r="F55" t="s">
        <x:v>1848</x:v>
      </x:c>
      <x:c r="G55" t="s">
        <x:v>1690</x:v>
      </x:c>
      <x:c r="P55" t="str">
        <x:f>LOWER(TRIM(SUBSTITUTE(E55,CHAR(160)," ")))</x:f>
        <x:v>emily.lan.hing.po@pwc.com</x:v>
      </x:c>
      <x:c r="Q55" t="n">
        <x:f>IFERROR(VALUE(LEFT(D55,SEARCH("h",D55)-1)),0)*3600+IFERROR(VALUE(MID(D55,IFERROR(SEARCH("h ",D55)+2,1),SEARCH("m",D55)-IFERROR(SEARCH("h ",D55)+2,1))),0)*60+IFERROR(VALUE(MID(D55,IFERROR(SEARCH("m ",D55)+2,IFERROR(SEARCH("h ",D55)+2,1)),SEARCH("s",D55)-IFERROR(SEARCH("m ",D55)+2,IFERROR(SEARCH("h ",D55)+2,1)))),0)</x:f>
        <x:v>7613</x:v>
      </x:c>
      <x:c r="R55" t="str">
        <x:f>IF(P55="","No",IF(COUNTIF('Employee Attendance'!$D$2:$D$670,P55)&gt;0,"Yes","No"))</x:f>
        <x:v>Yes</x:v>
      </x:c>
    </x:row>
    <x:row r="56">
      <x:c r="A56" t="s">
        <x:v>1849</x:v>
      </x:c>
      <x:c r="B56" t="s">
        <x:v>1850</x:v>
      </x:c>
      <x:c r="C56" t="s">
        <x:v>1851</x:v>
      </x:c>
      <x:c r="D56" t="s">
        <x:v>1852</x:v>
      </x:c>
      <x:c r="E56" t="s">
        <x:v>1853</x:v>
      </x:c>
      <x:c r="F56" t="s">
        <x:v>1853</x:v>
      </x:c>
      <x:c r="G56" t="s">
        <x:v>1690</x:v>
      </x:c>
      <x:c r="O56">
        <x:v>1</x:v>
      </x:c>
      <x:c r="P56" t="str">
        <x:f>LOWER(TRIM(SUBSTITUTE(E56,CHAR(160)," ")))</x:f>
        <x:v>mwangi.j.karanja@pwc.com</x:v>
      </x:c>
      <x:c r="Q56" t="n">
        <x:f>IFERROR(VALUE(LEFT(D56,SEARCH("h",D56)-1)),0)*3600+IFERROR(VALUE(MID(D56,IFERROR(SEARCH("h ",D56)+2,1),SEARCH("m",D56)-IFERROR(SEARCH("h ",D56)+2,1))),0)*60+IFERROR(VALUE(MID(D56,IFERROR(SEARCH("m ",D56)+2,IFERROR(SEARCH("h ",D56)+2,1)),SEARCH("s",D56)-IFERROR(SEARCH("m ",D56)+2,IFERROR(SEARCH("h ",D56)+2,1)))),0)</x:f>
        <x:v>7617</x:v>
      </x:c>
      <x:c r="R56" t="str">
        <x:f>IF(P56="","No",IF(COUNTIF('Employee Attendance'!$D$2:$D$670,P56)&gt;0,"Yes","No"))</x:f>
        <x:v>Yes</x:v>
      </x:c>
    </x:row>
    <x:row r="57">
      <x:c r="A57" t="s">
        <x:v>1854</x:v>
      </x:c>
      <x:c r="B57" t="s">
        <x:v>1855</x:v>
      </x:c>
      <x:c r="C57" t="s">
        <x:v>1675</x:v>
      </x:c>
      <x:c r="D57" t="s">
        <x:v>1856</x:v>
      </x:c>
      <x:c r="E57" t="s">
        <x:v>1857</x:v>
      </x:c>
      <x:c r="F57" t="s">
        <x:v>1857</x:v>
      </x:c>
      <x:c r="G57" t="s">
        <x:v>1690</x:v>
      </x:c>
      <x:c r="P57" t="str">
        <x:f>LOWER(TRIM(SUBSTITUTE(E57,CHAR(160)," ")))</x:f>
        <x:v>derrick.tembo@pwc.com</x:v>
      </x:c>
      <x:c r="Q57" t="n">
        <x:f>IFERROR(VALUE(LEFT(D57,SEARCH("h",D57)-1)),0)*3600+IFERROR(VALUE(MID(D57,IFERROR(SEARCH("h ",D57)+2,1),SEARCH("m",D57)-IFERROR(SEARCH("h ",D57)+2,1))),0)*60+IFERROR(VALUE(MID(D57,IFERROR(SEARCH("m ",D57)+2,IFERROR(SEARCH("h ",D57)+2,1)),SEARCH("s",D57)-IFERROR(SEARCH("m ",D57)+2,IFERROR(SEARCH("h ",D57)+2,1)))),0)</x:f>
        <x:v>7058</x:v>
      </x:c>
      <x:c r="R57" t="str">
        <x:f>IF(P57="","No",IF(COUNTIF('Employee Attendance'!$D$2:$D$670,P57)&gt;0,"Yes","No"))</x:f>
        <x:v>Yes</x:v>
      </x:c>
    </x:row>
    <x:row r="58">
      <x:c r="A58" t="s">
        <x:v>1858</x:v>
      </x:c>
      <x:c r="B58" t="s">
        <x:v>1859</x:v>
      </x:c>
      <x:c r="C58" t="s">
        <x:v>1687</x:v>
      </x:c>
      <x:c r="D58" t="s">
        <x:v>1699</x:v>
      </x:c>
      <x:c r="E58" t="s">
        <x:v>1860</x:v>
      </x:c>
      <x:c r="F58" t="s">
        <x:v>1860</x:v>
      </x:c>
      <x:c r="G58" t="s">
        <x:v>1690</x:v>
      </x:c>
      <x:c r="H58">
        <x:v>1</x:v>
      </x:c>
      <x:c r="P58" t="str">
        <x:f>LOWER(TRIM(SUBSTITUTE(E58,CHAR(160)," ")))</x:f>
        <x:v>joseph.kagiri@pwc.com</x:v>
      </x:c>
      <x:c r="Q58" t="n">
        <x:f>IFERROR(VALUE(LEFT(D58,SEARCH("h",D58)-1)),0)*3600+IFERROR(VALUE(MID(D58,IFERROR(SEARCH("h ",D58)+2,1),SEARCH("m",D58)-IFERROR(SEARCH("h ",D58)+2,1))),0)*60+IFERROR(VALUE(MID(D58,IFERROR(SEARCH("m ",D58)+2,IFERROR(SEARCH("h ",D58)+2,1)),SEARCH("s",D58)-IFERROR(SEARCH("m ",D58)+2,IFERROR(SEARCH("h ",D58)+2,1)))),0)</x:f>
        <x:v>7610</x:v>
      </x:c>
      <x:c r="R58" t="str">
        <x:f>IF(P58="","No",IF(COUNTIF('Employee Attendance'!$D$2:$D$670,P58)&gt;0,"Yes","No"))</x:f>
        <x:v>Yes</x:v>
      </x:c>
    </x:row>
    <x:row r="59">
      <x:c r="A59" t="s">
        <x:v>1861</x:v>
      </x:c>
      <x:c r="B59" t="s">
        <x:v>1859</x:v>
      </x:c>
      <x:c r="C59" t="s">
        <x:v>1862</x:v>
      </x:c>
      <x:c r="D59" t="s">
        <x:v>1863</x:v>
      </x:c>
      <x:c r="E59" t="s">
        <x:v>1864</x:v>
      </x:c>
      <x:c r="F59" t="s">
        <x:v>1864</x:v>
      </x:c>
      <x:c r="G59" t="s">
        <x:v>1690</x:v>
      </x:c>
      <x:c r="P59" t="str">
        <x:f>LOWER(TRIM(SUBSTITUTE(E59,CHAR(160)," ")))</x:f>
        <x:v>jocelyn.batanyita@pwc.com</x:v>
      </x:c>
      <x:c r="Q59" t="n">
        <x:f>IFERROR(VALUE(LEFT(D59,SEARCH("h",D59)-1)),0)*3600+IFERROR(VALUE(MID(D59,IFERROR(SEARCH("h ",D59)+2,1),SEARCH("m",D59)-IFERROR(SEARCH("h ",D59)+2,1))),0)*60+IFERROR(VALUE(MID(D59,IFERROR(SEARCH("m ",D59)+2,IFERROR(SEARCH("h ",D59)+2,1)),SEARCH("s",D59)-IFERROR(SEARCH("m ",D59)+2,IFERROR(SEARCH("h ",D59)+2,1)))),0)</x:f>
        <x:v>7630</x:v>
      </x:c>
      <x:c r="R59" t="str">
        <x:f>IF(P59="","No",IF(COUNTIF('Employee Attendance'!$D$2:$D$670,P59)&gt;0,"Yes","No"))</x:f>
        <x:v>Yes</x:v>
      </x:c>
    </x:row>
    <x:row r="60">
      <x:c r="A60" t="s">
        <x:v>1865</x:v>
      </x:c>
      <x:c r="B60" t="s">
        <x:v>1866</x:v>
      </x:c>
      <x:c r="C60" t="s">
        <x:v>1670</x:v>
      </x:c>
      <x:c r="D60" t="s">
        <x:v>1867</x:v>
      </x:c>
      <x:c r="E60" t="s">
        <x:v>1868</x:v>
      </x:c>
      <x:c r="F60" t="s">
        <x:v>1868</x:v>
      </x:c>
      <x:c r="G60" t="s">
        <x:v>1690</x:v>
      </x:c>
      <x:c r="P60" t="str">
        <x:f>LOWER(TRIM(SUBSTITUTE(E60,CHAR(160)," ")))</x:f>
        <x:v>rehema.muhimbi@pwc.com</x:v>
      </x:c>
      <x:c r="Q60" t="n">
        <x:f>IFERROR(VALUE(LEFT(D60,SEARCH("h",D60)-1)),0)*3600+IFERROR(VALUE(MID(D60,IFERROR(SEARCH("h ",D60)+2,1),SEARCH("m",D60)-IFERROR(SEARCH("h ",D60)+2,1))),0)*60+IFERROR(VALUE(MID(D60,IFERROR(SEARCH("m ",D60)+2,IFERROR(SEARCH("h ",D60)+2,1)),SEARCH("s",D60)-IFERROR(SEARCH("m ",D60)+2,IFERROR(SEARCH("h ",D60)+2,1)))),0)</x:f>
        <x:v>7606</x:v>
      </x:c>
      <x:c r="R60" t="str">
        <x:f>IF(P60="","No",IF(COUNTIF('Employee Attendance'!$D$2:$D$670,P60)&gt;0,"Yes","No"))</x:f>
        <x:v>Yes</x:v>
      </x:c>
    </x:row>
    <x:row r="61">
      <x:c r="A61" t="s">
        <x:v>595</x:v>
      </x:c>
      <x:c r="B61" t="s">
        <x:v>1866</x:v>
      </x:c>
      <x:c r="C61" t="s">
        <x:v>1869</x:v>
      </x:c>
      <x:c r="D61" t="s">
        <x:v>1870</x:v>
      </x:c>
      <x:c r="E61" t="s">
        <x:v>598</x:v>
      </x:c>
      <x:c r="F61" t="s">
        <x:v>598</x:v>
      </x:c>
      <x:c r="G61" t="s">
        <x:v>1690</x:v>
      </x:c>
      <x:c r="O61">
        <x:v>1</x:v>
      </x:c>
      <x:c r="P61" t="str">
        <x:f>LOWER(TRIM(SUBSTITUTE(E61,CHAR(160)," ")))</x:f>
        <x:v>michael.male@pwc.com</x:v>
      </x:c>
      <x:c r="Q61" t="n">
        <x:f>IFERROR(VALUE(LEFT(D61,SEARCH("h",D61)-1)),0)*3600+IFERROR(VALUE(MID(D61,IFERROR(SEARCH("h ",D61)+2,1),SEARCH("m",D61)-IFERROR(SEARCH("h ",D61)+2,1))),0)*60+IFERROR(VALUE(MID(D61,IFERROR(SEARCH("m ",D61)+2,IFERROR(SEARCH("h ",D61)+2,1)),SEARCH("s",D61)-IFERROR(SEARCH("m ",D61)+2,IFERROR(SEARCH("h ",D61)+2,1)))),0)</x:f>
        <x:v>9029</x:v>
      </x:c>
      <x:c r="R61" t="str">
        <x:f>IF(P61="","No",IF(COUNTIF('Employee Attendance'!$D$2:$D$670,P61)&gt;0,"Yes","No"))</x:f>
        <x:v>Yes</x:v>
      </x:c>
    </x:row>
    <x:row r="62">
      <x:c r="A62" t="s">
        <x:v>1871</x:v>
      </x:c>
      <x:c r="B62" t="s">
        <x:v>1872</x:v>
      </x:c>
      <x:c r="C62" t="s">
        <x:v>1873</x:v>
      </x:c>
      <x:c r="D62" t="s">
        <x:v>1874</x:v>
      </x:c>
      <x:c r="E62" t="s">
        <x:v>1875</x:v>
      </x:c>
      <x:c r="F62" t="s">
        <x:v>1875</x:v>
      </x:c>
      <x:c r="G62" t="s">
        <x:v>1690</x:v>
      </x:c>
      <x:c r="O62">
        <x:v>2</x:v>
      </x:c>
      <x:c r="P62" t="str">
        <x:f>LOWER(TRIM(SUBSTITUTE(E62,CHAR(160)," ")))</x:f>
        <x:v>amani.mbajo@pwc.com</x:v>
      </x:c>
      <x:c r="Q62" t="n">
        <x:f>IFERROR(VALUE(LEFT(D62,SEARCH("h",D62)-1)),0)*3600+IFERROR(VALUE(MID(D62,IFERROR(SEARCH("h ",D62)+2,1),SEARCH("m",D62)-IFERROR(SEARCH("h ",D62)+2,1))),0)*60+IFERROR(VALUE(MID(D62,IFERROR(SEARCH("m ",D62)+2,IFERROR(SEARCH("h ",D62)+2,1)),SEARCH("s",D62)-IFERROR(SEARCH("m ",D62)+2,IFERROR(SEARCH("h ",D62)+2,1)))),0)</x:f>
        <x:v>7614</x:v>
      </x:c>
      <x:c r="R62" t="str">
        <x:f>IF(P62="","No",IF(COUNTIF('Employee Attendance'!$D$2:$D$670,P62)&gt;0,"Yes","No"))</x:f>
        <x:v>Yes</x:v>
      </x:c>
    </x:row>
    <x:row r="63">
      <x:c r="A63" t="s">
        <x:v>1876</x:v>
      </x:c>
      <x:c r="B63" t="s">
        <x:v>1877</x:v>
      </x:c>
      <x:c r="C63" t="s">
        <x:v>1851</x:v>
      </x:c>
      <x:c r="D63" t="s">
        <x:v>1878</x:v>
      </x:c>
      <x:c r="E63" t="s">
        <x:v>1879</x:v>
      </x:c>
      <x:c r="F63" t="s">
        <x:v>1879</x:v>
      </x:c>
      <x:c r="G63" t="s">
        <x:v>1690</x:v>
      </x:c>
      <x:c r="P63" t="str">
        <x:f>LOWER(TRIM(SUBSTITUTE(E63,CHAR(160)," ")))</x:f>
        <x:v>navishta.jugasing@pwc.com</x:v>
      </x:c>
      <x:c r="Q63" t="n">
        <x:f>IFERROR(VALUE(LEFT(D63,SEARCH("h",D63)-1)),0)*3600+IFERROR(VALUE(MID(D63,IFERROR(SEARCH("h ",D63)+2,1),SEARCH("m",D63)-IFERROR(SEARCH("h ",D63)+2,1))),0)*60+IFERROR(VALUE(MID(D63,IFERROR(SEARCH("m ",D63)+2,IFERROR(SEARCH("h ",D63)+2,1)),SEARCH("s",D63)-IFERROR(SEARCH("m ",D63)+2,IFERROR(SEARCH("h ",D63)+2,1)))),0)</x:f>
        <x:v>7608</x:v>
      </x:c>
      <x:c r="R63" t="str">
        <x:f>IF(P63="","No",IF(COUNTIF('Employee Attendance'!$D$2:$D$670,P63)&gt;0,"Yes","No"))</x:f>
        <x:v>Yes</x:v>
      </x:c>
    </x:row>
    <x:row r="64">
      <x:c r="A64" t="s">
        <x:v>1880</x:v>
      </x:c>
      <x:c r="B64" t="s">
        <x:v>1881</x:v>
      </x:c>
      <x:c r="C64" t="s">
        <x:v>1670</x:v>
      </x:c>
      <x:c r="D64" t="s">
        <x:v>1882</x:v>
      </x:c>
      <x:c r="E64" t="s">
        <x:v>1883</x:v>
      </x:c>
      <x:c r="F64" t="s">
        <x:v>1883</x:v>
      </x:c>
      <x:c r="G64" t="s">
        <x:v>1690</x:v>
      </x:c>
      <x:c r="P64" t="str">
        <x:f>LOWER(TRIM(SUBSTITUTE(E64,CHAR(160)," ")))</x:f>
        <x:v>altar.inganji@pwc.com</x:v>
      </x:c>
      <x:c r="Q64" t="n">
        <x:f>IFERROR(VALUE(LEFT(D64,SEARCH("h",D64)-1)),0)*3600+IFERROR(VALUE(MID(D64,IFERROR(SEARCH("h ",D64)+2,1),SEARCH("m",D64)-IFERROR(SEARCH("h ",D64)+2,1))),0)*60+IFERROR(VALUE(MID(D64,IFERROR(SEARCH("m ",D64)+2,IFERROR(SEARCH("h ",D64)+2,1)),SEARCH("s",D64)-IFERROR(SEARCH("m ",D64)+2,IFERROR(SEARCH("h ",D64)+2,1)))),0)</x:f>
        <x:v>7596</x:v>
      </x:c>
      <x:c r="R64" t="str">
        <x:f>IF(P64="","No",IF(COUNTIF('Employee Attendance'!$D$2:$D$670,P64)&gt;0,"Yes","No"))</x:f>
        <x:v>Yes</x:v>
      </x:c>
    </x:row>
    <x:row r="65">
      <x:c r="A65" t="s">
        <x:v>1884</x:v>
      </x:c>
      <x:c r="B65" t="s">
        <x:v>1881</x:v>
      </x:c>
      <x:c r="C65" t="s">
        <x:v>1764</x:v>
      </x:c>
      <x:c r="D65" t="s">
        <x:v>1885</x:v>
      </x:c>
      <x:c r="E65" t="s">
        <x:v>1886</x:v>
      </x:c>
      <x:c r="F65" t="s">
        <x:v>1886</x:v>
      </x:c>
      <x:c r="G65" t="s">
        <x:v>1690</x:v>
      </x:c>
      <x:c r="P65" t="str">
        <x:f>LOWER(TRIM(SUBSTITUTE(E65,CHAR(160)," ")))</x:f>
        <x:v>cyprian.munene@pwc.com</x:v>
      </x:c>
      <x:c r="Q65" t="n">
        <x:f>IFERROR(VALUE(LEFT(D65,SEARCH("h",D65)-1)),0)*3600+IFERROR(VALUE(MID(D65,IFERROR(SEARCH("h ",D65)+2,1),SEARCH("m",D65)-IFERROR(SEARCH("h ",D65)+2,1))),0)*60+IFERROR(VALUE(MID(D65,IFERROR(SEARCH("m ",D65)+2,IFERROR(SEARCH("h ",D65)+2,1)),SEARCH("s",D65)-IFERROR(SEARCH("m ",D65)+2,IFERROR(SEARCH("h ",D65)+2,1)))),0)</x:f>
        <x:v>7727</x:v>
      </x:c>
      <x:c r="R65" t="str">
        <x:f>IF(P65="","No",IF(COUNTIF('Employee Attendance'!$D$2:$D$670,P65)&gt;0,"Yes","No"))</x:f>
        <x:v>Yes</x:v>
      </x:c>
    </x:row>
    <x:row r="66">
      <x:c r="A66" t="s">
        <x:v>1887</x:v>
      </x:c>
      <x:c r="B66" t="s">
        <x:v>1888</x:v>
      </x:c>
      <x:c r="C66" t="s">
        <x:v>1889</x:v>
      </x:c>
      <x:c r="D66" t="s">
        <x:v>1890</x:v>
      </x:c>
      <x:c r="E66" t="s">
        <x:v>1891</x:v>
      </x:c>
      <x:c r="F66" t="s">
        <x:v>1891</x:v>
      </x:c>
      <x:c r="G66" t="s">
        <x:v>1690</x:v>
      </x:c>
      <x:c r="O66">
        <x:v>1</x:v>
      </x:c>
      <x:c r="P66" t="str">
        <x:f>LOWER(TRIM(SUBSTITUTE(E66,CHAR(160)," ")))</x:f>
        <x:v>anish.r.ramdhonee@pwc.com</x:v>
      </x:c>
      <x:c r="Q66" t="n">
        <x:f>IFERROR(VALUE(LEFT(D66,SEARCH("h",D66)-1)),0)*3600+IFERROR(VALUE(MID(D66,IFERROR(SEARCH("h ",D66)+2,1),SEARCH("m",D66)-IFERROR(SEARCH("h ",D66)+2,1))),0)*60+IFERROR(VALUE(MID(D66,IFERROR(SEARCH("m ",D66)+2,IFERROR(SEARCH("h ",D66)+2,1)),SEARCH("s",D66)-IFERROR(SEARCH("m ",D66)+2,IFERROR(SEARCH("h ",D66)+2,1)))),0)</x:f>
        <x:v>7602</x:v>
      </x:c>
      <x:c r="R66" t="str">
        <x:f>IF(P66="","No",IF(COUNTIF('Employee Attendance'!$D$2:$D$670,P66)&gt;0,"Yes","No"))</x:f>
        <x:v>Yes</x:v>
      </x:c>
    </x:row>
    <x:row r="67">
      <x:c r="A67" t="s">
        <x:v>1892</x:v>
      </x:c>
      <x:c r="B67" t="s">
        <x:v>1893</x:v>
      </x:c>
      <x:c r="C67" t="s">
        <x:v>1894</x:v>
      </x:c>
      <x:c r="D67" t="s">
        <x:v>1895</x:v>
      </x:c>
      <x:c r="E67" t="s">
        <x:v>1896</x:v>
      </x:c>
      <x:c r="F67" t="s">
        <x:v>1896</x:v>
      </x:c>
      <x:c r="G67" t="s">
        <x:v>1690</x:v>
      </x:c>
      <x:c r="P67" t="str">
        <x:f>LOWER(TRIM(SUBSTITUTE(E67,CHAR(160)," ")))</x:f>
        <x:v>esther.swai@pwc.com</x:v>
      </x:c>
      <x:c r="Q67" t="n">
        <x:f>IFERROR(VALUE(LEFT(D67,SEARCH("h",D67)-1)),0)*3600+IFERROR(VALUE(MID(D67,IFERROR(SEARCH("h ",D67)+2,1),SEARCH("m",D67)-IFERROR(SEARCH("h ",D67)+2,1))),0)*60+IFERROR(VALUE(MID(D67,IFERROR(SEARCH("m ",D67)+2,IFERROR(SEARCH("h ",D67)+2,1)),SEARCH("s",D67)-IFERROR(SEARCH("m ",D67)+2,IFERROR(SEARCH("h ",D67)+2,1)))),0)</x:f>
        <x:v>7601</x:v>
      </x:c>
      <x:c r="R67" t="str">
        <x:f>IF(P67="","No",IF(COUNTIF('Employee Attendance'!$D$2:$D$670,P67)&gt;0,"Yes","No"))</x:f>
        <x:v>Yes</x:v>
      </x:c>
    </x:row>
    <x:row r="68">
      <x:c r="A68" t="s">
        <x:v>1897</x:v>
      </x:c>
      <x:c r="B68" t="s">
        <x:v>1898</x:v>
      </x:c>
      <x:c r="C68" t="s">
        <x:v>1899</x:v>
      </x:c>
      <x:c r="D68" t="s">
        <x:v>760</x:v>
      </x:c>
      <x:c r="E68" t="s">
        <x:v>1900</x:v>
      </x:c>
      <x:c r="F68" t="s">
        <x:v>1900</x:v>
      </x:c>
      <x:c r="G68" t="s">
        <x:v>1690</x:v>
      </x:c>
      <x:c r="P68" t="str">
        <x:f>LOWER(TRIM(SUBSTITUTE(E68,CHAR(160)," ")))</x:f>
        <x:v>brenda.awuor@pwc.com</x:v>
      </x:c>
      <x:c r="Q68" t="n">
        <x:f>IFERROR(VALUE(LEFT(D68,SEARCH("h",D68)-1)),0)*3600+IFERROR(VALUE(MID(D68,IFERROR(SEARCH("h ",D68)+2,1),SEARCH("m",D68)-IFERROR(SEARCH("h ",D68)+2,1))),0)*60+IFERROR(VALUE(MID(D68,IFERROR(SEARCH("m ",D68)+2,IFERROR(SEARCH("h ",D68)+2,1)),SEARCH("s",D68)-IFERROR(SEARCH("m ",D68)+2,IFERROR(SEARCH("h ",D68)+2,1)))),0)</x:f>
        <x:v>6867</x:v>
      </x:c>
      <x:c r="R68" t="str">
        <x:f>IF(P68="","No",IF(COUNTIF('Employee Attendance'!$D$2:$D$670,P68)&gt;0,"Yes","No"))</x:f>
        <x:v>Yes</x:v>
      </x:c>
    </x:row>
    <x:row r="69">
      <x:c r="A69" t="s">
        <x:v>1901</x:v>
      </x:c>
      <x:c r="B69" t="s">
        <x:v>1898</x:v>
      </x:c>
      <x:c r="C69" t="s">
        <x:v>1902</x:v>
      </x:c>
      <x:c r="D69" t="s">
        <x:v>1903</x:v>
      </x:c>
      <x:c r="E69" t="s">
        <x:v>1904</x:v>
      </x:c>
      <x:c r="F69" t="s">
        <x:v>1904</x:v>
      </x:c>
      <x:c r="G69" t="s">
        <x:v>1690</x:v>
      </x:c>
      <x:c r="P69" t="str">
        <x:f>LOWER(TRIM(SUBSTITUTE(E69,CHAR(160)," ")))</x:f>
        <x:v>sarah.otindo@pwc.com</x:v>
      </x:c>
      <x:c r="Q69" t="n">
        <x:f>IFERROR(VALUE(LEFT(D69,SEARCH("h",D69)-1)),0)*3600+IFERROR(VALUE(MID(D69,IFERROR(SEARCH("h ",D69)+2,1),SEARCH("m",D69)-IFERROR(SEARCH("h ",D69)+2,1))),0)*60+IFERROR(VALUE(MID(D69,IFERROR(SEARCH("m ",D69)+2,IFERROR(SEARCH("h ",D69)+2,1)),SEARCH("s",D69)-IFERROR(SEARCH("m ",D69)+2,IFERROR(SEARCH("h ",D69)+2,1)))),0)</x:f>
        <x:v>7590</x:v>
      </x:c>
      <x:c r="R69" t="str">
        <x:f>IF(P69="","No",IF(COUNTIF('Employee Attendance'!$D$2:$D$670,P69)&gt;0,"Yes","No"))</x:f>
        <x:v>Yes</x:v>
      </x:c>
    </x:row>
    <x:row r="70">
      <x:c r="A70" t="s">
        <x:v>1905</x:v>
      </x:c>
      <x:c r="B70" t="s">
        <x:v>1906</x:v>
      </x:c>
      <x:c r="C70" t="s">
        <x:v>1902</x:v>
      </x:c>
      <x:c r="D70" t="s">
        <x:v>1907</x:v>
      </x:c>
      <x:c r="E70" t="s">
        <x:v>1908</x:v>
      </x:c>
      <x:c r="F70" t="s">
        <x:v>1908</x:v>
      </x:c>
      <x:c r="G70" t="s">
        <x:v>1690</x:v>
      </x:c>
      <x:c r="P70" t="str">
        <x:f>LOWER(TRIM(SUBSTITUTE(E70,CHAR(160)," ")))</x:f>
        <x:v>dhaarna.jhummun@pwc.com</x:v>
      </x:c>
      <x:c r="Q70" t="n">
        <x:f>IFERROR(VALUE(LEFT(D70,SEARCH("h",D70)-1)),0)*3600+IFERROR(VALUE(MID(D70,IFERROR(SEARCH("h ",D70)+2,1),SEARCH("m",D70)-IFERROR(SEARCH("h ",D70)+2,1))),0)*60+IFERROR(VALUE(MID(D70,IFERROR(SEARCH("m ",D70)+2,IFERROR(SEARCH("h ",D70)+2,1)),SEARCH("s",D70)-IFERROR(SEARCH("m ",D70)+2,IFERROR(SEARCH("h ",D70)+2,1)))),0)</x:f>
        <x:v>7589</x:v>
      </x:c>
      <x:c r="R70" t="str">
        <x:f>IF(P70="","No",IF(COUNTIF('Employee Attendance'!$D$2:$D$670,P70)&gt;0,"Yes","No"))</x:f>
        <x:v>Yes</x:v>
      </x:c>
    </x:row>
    <x:row r="71">
      <x:c r="A71" t="s">
        <x:v>1909</x:v>
      </x:c>
      <x:c r="B71" t="s">
        <x:v>1910</x:v>
      </x:c>
      <x:c r="C71" t="s">
        <x:v>1911</x:v>
      </x:c>
      <x:c r="D71" t="s">
        <x:v>1912</x:v>
      </x:c>
      <x:c r="E71" t="s">
        <x:v>1913</x:v>
      </x:c>
      <x:c r="F71" t="s">
        <x:v>1913</x:v>
      </x:c>
      <x:c r="G71" t="s">
        <x:v>1690</x:v>
      </x:c>
      <x:c r="P71" t="str">
        <x:f>LOWER(TRIM(SUBSTITUTE(E71,CHAR(160)," ")))</x:f>
        <x:v>kalkidan.admassu@pwc.com</x:v>
      </x:c>
      <x:c r="Q71" t="n">
        <x:f>IFERROR(VALUE(LEFT(D71,SEARCH("h",D71)-1)),0)*3600+IFERROR(VALUE(MID(D71,IFERROR(SEARCH("h ",D71)+2,1),SEARCH("m",D71)-IFERROR(SEARCH("h ",D71)+2,1))),0)*60+IFERROR(VALUE(MID(D71,IFERROR(SEARCH("m ",D71)+2,IFERROR(SEARCH("h ",D71)+2,1)),SEARCH("s",D71)-IFERROR(SEARCH("m ",D71)+2,IFERROR(SEARCH("h ",D71)+2,1)))),0)</x:f>
        <x:v>7694</x:v>
      </x:c>
      <x:c r="R71" t="str">
        <x:f>IF(P71="","No",IF(COUNTIF('Employee Attendance'!$D$2:$D$670,P71)&gt;0,"Yes","No"))</x:f>
        <x:v>Yes</x:v>
      </x:c>
    </x:row>
    <x:row r="72">
      <x:c r="A72" t="s">
        <x:v>1914</x:v>
      </x:c>
      <x:c r="B72" t="s">
        <x:v>1915</x:v>
      </x:c>
      <x:c r="C72" t="s">
        <x:v>1698</x:v>
      </x:c>
      <x:c r="D72" t="s">
        <x:v>1916</x:v>
      </x:c>
      <x:c r="E72" t="s">
        <x:v>1917</x:v>
      </x:c>
      <x:c r="F72" t="s">
        <x:v>1917</x:v>
      </x:c>
      <x:c r="G72" t="s">
        <x:v>1690</x:v>
      </x:c>
      <x:c r="P72" t="str">
        <x:f>LOWER(TRIM(SUBSTITUTE(E72,CHAR(160)," ")))</x:f>
        <x:v>caroline.kimario@pwc.com</x:v>
      </x:c>
      <x:c r="Q72" t="n">
        <x:f>IFERROR(VALUE(LEFT(D72,SEARCH("h",D72)-1)),0)*3600+IFERROR(VALUE(MID(D72,IFERROR(SEARCH("h ",D72)+2,1),SEARCH("m",D72)-IFERROR(SEARCH("h ",D72)+2,1))),0)*60+IFERROR(VALUE(MID(D72,IFERROR(SEARCH("m ",D72)+2,IFERROR(SEARCH("h ",D72)+2,1)),SEARCH("s",D72)-IFERROR(SEARCH("m ",D72)+2,IFERROR(SEARCH("h ",D72)+2,1)))),0)</x:f>
        <x:v>7580</x:v>
      </x:c>
      <x:c r="R72" t="str">
        <x:f>IF(P72="","No",IF(COUNTIF('Employee Attendance'!$D$2:$D$670,P72)&gt;0,"Yes","No"))</x:f>
        <x:v>Yes</x:v>
      </x:c>
    </x:row>
    <x:row r="73">
      <x:c r="A73" t="s">
        <x:v>1918</x:v>
      </x:c>
      <x:c r="B73" t="s">
        <x:v>1919</x:v>
      </x:c>
      <x:c r="C73" t="s">
        <x:v>1902</x:v>
      </x:c>
      <x:c r="D73" t="s">
        <x:v>1920</x:v>
      </x:c>
      <x:c r="E73" t="s">
        <x:v>1921</x:v>
      </x:c>
      <x:c r="F73" t="s">
        <x:v>1921</x:v>
      </x:c>
      <x:c r="G73" t="s">
        <x:v>1690</x:v>
      </x:c>
      <x:c r="P73" t="str">
        <x:f>LOWER(TRIM(SUBSTITUTE(E73,CHAR(160)," ")))</x:f>
        <x:v>jackline.mchomvu@pwc.com</x:v>
      </x:c>
      <x:c r="Q73" t="n">
        <x:f>IFERROR(VALUE(LEFT(D73,SEARCH("h",D73)-1)),0)*3600+IFERROR(VALUE(MID(D73,IFERROR(SEARCH("h ",D73)+2,1),SEARCH("m",D73)-IFERROR(SEARCH("h ",D73)+2,1))),0)*60+IFERROR(VALUE(MID(D73,IFERROR(SEARCH("m ",D73)+2,IFERROR(SEARCH("h ",D73)+2,1)),SEARCH("s",D73)-IFERROR(SEARCH("m ",D73)+2,IFERROR(SEARCH("h ",D73)+2,1)))),0)</x:f>
        <x:v>7312</x:v>
      </x:c>
      <x:c r="R73" t="str">
        <x:f>IF(P73="","No",IF(COUNTIF('Employee Attendance'!$D$2:$D$670,P73)&gt;0,"Yes","No"))</x:f>
        <x:v>Yes</x:v>
      </x:c>
    </x:row>
    <x:row r="74">
      <x:c r="A74" t="s">
        <x:v>1922</x:v>
      </x:c>
      <x:c r="B74" t="s">
        <x:v>1923</x:v>
      </x:c>
      <x:c r="C74" t="s">
        <x:v>1675</x:v>
      </x:c>
      <x:c r="D74" t="s">
        <x:v>1924</x:v>
      </x:c>
      <x:c r="E74" t="s">
        <x:v>1925</x:v>
      </x:c>
      <x:c r="F74" t="s">
        <x:v>1925</x:v>
      </x:c>
      <x:c r="G74" t="s">
        <x:v>1690</x:v>
      </x:c>
      <x:c r="P74" t="str">
        <x:f>LOWER(TRIM(SUBSTITUTE(E74,CHAR(160)," ")))</x:f>
        <x:v>lubona.mpikwa@pwc.com</x:v>
      </x:c>
      <x:c r="Q74" t="n">
        <x:f>IFERROR(VALUE(LEFT(D74,SEARCH("h",D74)-1)),0)*3600+IFERROR(VALUE(MID(D74,IFERROR(SEARCH("h ",D74)+2,1),SEARCH("m",D74)-IFERROR(SEARCH("h ",D74)+2,1))),0)*60+IFERROR(VALUE(MID(D74,IFERROR(SEARCH("m ",D74)+2,IFERROR(SEARCH("h ",D74)+2,1)),SEARCH("s",D74)-IFERROR(SEARCH("m ",D74)+2,IFERROR(SEARCH("h ",D74)+2,1)))),0)</x:f>
        <x:v>7582</x:v>
      </x:c>
      <x:c r="R74" t="str">
        <x:f>IF(P74="","No",IF(COUNTIF('Employee Attendance'!$D$2:$D$670,P74)&gt;0,"Yes","No"))</x:f>
        <x:v>Yes</x:v>
      </x:c>
    </x:row>
    <x:row r="75">
      <x:c r="A75" t="s">
        <x:v>1926</x:v>
      </x:c>
      <x:c r="B75" t="s">
        <x:v>1927</x:v>
      </x:c>
      <x:c r="C75" t="s">
        <x:v>1928</x:v>
      </x:c>
      <x:c r="D75" t="s">
        <x:v>1929</x:v>
      </x:c>
      <x:c r="E75" t="s">
        <x:v>1930</x:v>
      </x:c>
      <x:c r="F75" t="s">
        <x:v>1930</x:v>
      </x:c>
      <x:c r="G75" t="s">
        <x:v>1690</x:v>
      </x:c>
      <x:c r="P75" t="str">
        <x:f>LOWER(TRIM(SUBSTITUTE(E75,CHAR(160)," ")))</x:f>
        <x:v>francis.muriu@pwc.com</x:v>
      </x:c>
      <x:c r="Q75" t="n">
        <x:f>IFERROR(VALUE(LEFT(D75,SEARCH("h",D75)-1)),0)*3600+IFERROR(VALUE(MID(D75,IFERROR(SEARCH("h ",D75)+2,1),SEARCH("m",D75)-IFERROR(SEARCH("h ",D75)+2,1))),0)*60+IFERROR(VALUE(MID(D75,IFERROR(SEARCH("m ",D75)+2,IFERROR(SEARCH("h ",D75)+2,1)),SEARCH("s",D75)-IFERROR(SEARCH("m ",D75)+2,IFERROR(SEARCH("h ",D75)+2,1)))),0)</x:f>
        <x:v>7574</x:v>
      </x:c>
      <x:c r="R75" t="str">
        <x:f>IF(P75="","No",IF(COUNTIF('Employee Attendance'!$D$2:$D$670,P75)&gt;0,"Yes","No"))</x:f>
        <x:v>Yes</x:v>
      </x:c>
    </x:row>
    <x:row r="76">
      <x:c r="A76" t="s">
        <x:v>1931</x:v>
      </x:c>
      <x:c r="B76" t="s">
        <x:v>1932</x:v>
      </x:c>
      <x:c r="C76" t="s">
        <x:v>1698</x:v>
      </x:c>
      <x:c r="D76" t="s">
        <x:v>206</x:v>
      </x:c>
      <x:c r="E76" t="s">
        <x:v>1933</x:v>
      </x:c>
      <x:c r="F76" t="s">
        <x:v>1933</x:v>
      </x:c>
      <x:c r="G76" t="s">
        <x:v>1690</x:v>
      </x:c>
      <x:c r="P76" t="str">
        <x:f>LOWER(TRIM(SUBSTITUTE(E76,CHAR(160)," ")))</x:f>
        <x:v>titus.rotich@pwc.com</x:v>
      </x:c>
      <x:c r="Q76" t="n">
        <x:f>IFERROR(VALUE(LEFT(D76,SEARCH("h",D76)-1)),0)*3600+IFERROR(VALUE(MID(D76,IFERROR(SEARCH("h ",D76)+2,1),SEARCH("m",D76)-IFERROR(SEARCH("h ",D76)+2,1))),0)*60+IFERROR(VALUE(MID(D76,IFERROR(SEARCH("m ",D76)+2,IFERROR(SEARCH("h ",D76)+2,1)),SEARCH("s",D76)-IFERROR(SEARCH("m ",D76)+2,IFERROR(SEARCH("h ",D76)+2,1)))),0)</x:f>
        <x:v>7573</x:v>
      </x:c>
      <x:c r="R76" t="str">
        <x:f>IF(P76="","No",IF(COUNTIF('Employee Attendance'!$D$2:$D$670,P76)&gt;0,"Yes","No"))</x:f>
        <x:v>Yes</x:v>
      </x:c>
    </x:row>
    <x:row r="77">
      <x:c r="A77" t="s">
        <x:v>1934</x:v>
      </x:c>
      <x:c r="B77" t="s">
        <x:v>1935</x:v>
      </x:c>
      <x:c r="C77" t="s">
        <x:v>1797</x:v>
      </x:c>
      <x:c r="D77" t="s">
        <x:v>206</x:v>
      </x:c>
      <x:c r="E77" t="s">
        <x:v>1936</x:v>
      </x:c>
      <x:c r="F77" t="s">
        <x:v>1936</x:v>
      </x:c>
      <x:c r="G77" t="s">
        <x:v>1690</x:v>
      </x:c>
      <x:c r="M77">
        <x:v>2</x:v>
      </x:c>
      <x:c r="N77">
        <x:v>1</x:v>
      </x:c>
      <x:c r="O77">
        <x:v>2</x:v>
      </x:c>
      <x:c r="P77" t="str">
        <x:f>LOWER(TRIM(SUBSTITUTE(E77,CHAR(160)," ")))</x:f>
        <x:v>brian.m.ngunjiri@pwc.com</x:v>
      </x:c>
      <x:c r="Q77" t="n">
        <x:f>IFERROR(VALUE(LEFT(D77,SEARCH("h",D77)-1)),0)*3600+IFERROR(VALUE(MID(D77,IFERROR(SEARCH("h ",D77)+2,1),SEARCH("m",D77)-IFERROR(SEARCH("h ",D77)+2,1))),0)*60+IFERROR(VALUE(MID(D77,IFERROR(SEARCH("m ",D77)+2,IFERROR(SEARCH("h ",D77)+2,1)),SEARCH("s",D77)-IFERROR(SEARCH("m ",D77)+2,IFERROR(SEARCH("h ",D77)+2,1)))),0)</x:f>
        <x:v>7573</x:v>
      </x:c>
      <x:c r="R77" t="str">
        <x:f>IF(P77="","No",IF(COUNTIF('Employee Attendance'!$D$2:$D$670,P77)&gt;0,"Yes","No"))</x:f>
        <x:v>Yes</x:v>
      </x:c>
    </x:row>
    <x:row r="78">
      <x:c r="A78" t="s">
        <x:v>1937</x:v>
      </x:c>
      <x:c r="B78" t="s">
        <x:v>1938</x:v>
      </x:c>
      <x:c r="C78" t="s">
        <x:v>1683</x:v>
      </x:c>
      <x:c r="D78" t="s">
        <x:v>1939</x:v>
      </x:c>
      <x:c r="E78" t="s">
        <x:v>1940</x:v>
      </x:c>
      <x:c r="F78" t="s">
        <x:v>1940</x:v>
      </x:c>
      <x:c r="G78" t="s">
        <x:v>1690</x:v>
      </x:c>
      <x:c r="P78" t="str">
        <x:f>LOWER(TRIM(SUBSTITUTE(E78,CHAR(160)," ")))</x:f>
        <x:v>melanie.li.wan.cheun@pwc.com</x:v>
      </x:c>
      <x:c r="Q78" t="n">
        <x:f>IFERROR(VALUE(LEFT(D78,SEARCH("h",D78)-1)),0)*3600+IFERROR(VALUE(MID(D78,IFERROR(SEARCH("h ",D78)+2,1),SEARCH("m",D78)-IFERROR(SEARCH("h ",D78)+2,1))),0)*60+IFERROR(VALUE(MID(D78,IFERROR(SEARCH("m ",D78)+2,IFERROR(SEARCH("h ",D78)+2,1)),SEARCH("s",D78)-IFERROR(SEARCH("m ",D78)+2,IFERROR(SEARCH("h ",D78)+2,1)))),0)</x:f>
        <x:v>7567</x:v>
      </x:c>
      <x:c r="R78" t="str">
        <x:f>IF(P78="","No",IF(COUNTIF('Employee Attendance'!$D$2:$D$670,P78)&gt;0,"Yes","No"))</x:f>
        <x:v>Yes</x:v>
      </x:c>
    </x:row>
    <x:row r="79">
      <x:c r="A79" t="s">
        <x:v>1941</x:v>
      </x:c>
      <x:c r="B79" t="s">
        <x:v>1942</x:v>
      </x:c>
      <x:c r="C79" t="s">
        <x:v>1943</x:v>
      </x:c>
      <x:c r="D79" t="s">
        <x:v>1944</x:v>
      </x:c>
      <x:c r="E79" t="s">
        <x:v>1945</x:v>
      </x:c>
      <x:c r="F79" t="s">
        <x:v>1945</x:v>
      </x:c>
      <x:c r="G79" t="s">
        <x:v>1690</x:v>
      </x:c>
      <x:c r="P79" t="str">
        <x:f>LOWER(TRIM(SUBSTITUTE(E79,CHAR(160)," ")))</x:f>
        <x:v>nilshaad.nowbuth@pwc.com</x:v>
      </x:c>
      <x:c r="Q79" t="n">
        <x:f>IFERROR(VALUE(LEFT(D79,SEARCH("h",D79)-1)),0)*3600+IFERROR(VALUE(MID(D79,IFERROR(SEARCH("h ",D79)+2,1),SEARCH("m",D79)-IFERROR(SEARCH("h ",D79)+2,1))),0)*60+IFERROR(VALUE(MID(D79,IFERROR(SEARCH("m ",D79)+2,IFERROR(SEARCH("h ",D79)+2,1)),SEARCH("s",D79)-IFERROR(SEARCH("m ",D79)+2,IFERROR(SEARCH("h ",D79)+2,1)))),0)</x:f>
        <x:v>7598</x:v>
      </x:c>
      <x:c r="R79" t="str">
        <x:f>IF(P79="","No",IF(COUNTIF('Employee Attendance'!$D$2:$D$670,P79)&gt;0,"Yes","No"))</x:f>
        <x:v>Yes</x:v>
      </x:c>
    </x:row>
    <x:row r="80">
      <x:c r="A80" t="s">
        <x:v>1946</x:v>
      </x:c>
      <x:c r="B80" t="s">
        <x:v>1947</x:v>
      </x:c>
      <x:c r="C80" t="s">
        <x:v>1678</x:v>
      </x:c>
      <x:c r="D80" t="s">
        <x:v>1948</x:v>
      </x:c>
      <x:c r="E80" t="s">
        <x:v>1949</x:v>
      </x:c>
      <x:c r="F80" t="s">
        <x:v>1949</x:v>
      </x:c>
      <x:c r="G80" t="s">
        <x:v>1690</x:v>
      </x:c>
      <x:c r="O80">
        <x:v>1</x:v>
      </x:c>
      <x:c r="P80" t="str">
        <x:f>LOWER(TRIM(SUBSTITUTE(E80,CHAR(160)," ")))</x:f>
        <x:v>jacqueline.m.moshi@pwc.com</x:v>
      </x:c>
      <x:c r="Q80" t="n">
        <x:f>IFERROR(VALUE(LEFT(D80,SEARCH("h",D80)-1)),0)*3600+IFERROR(VALUE(MID(D80,IFERROR(SEARCH("h ",D80)+2,1),SEARCH("m",D80)-IFERROR(SEARCH("h ",D80)+2,1))),0)*60+IFERROR(VALUE(MID(D80,IFERROR(SEARCH("m ",D80)+2,IFERROR(SEARCH("h ",D80)+2,1)),SEARCH("s",D80)-IFERROR(SEARCH("m ",D80)+2,IFERROR(SEARCH("h ",D80)+2,1)))),0)</x:f>
        <x:v>7572</x:v>
      </x:c>
      <x:c r="R80" t="str">
        <x:f>IF(P80="","No",IF(COUNTIF('Employee Attendance'!$D$2:$D$670,P80)&gt;0,"Yes","No"))</x:f>
        <x:v>Yes</x:v>
      </x:c>
    </x:row>
    <x:row r="81">
      <x:c r="A81" t="s">
        <x:v>1950</x:v>
      </x:c>
      <x:c r="B81" t="s">
        <x:v>1951</x:v>
      </x:c>
      <x:c r="C81" t="s">
        <x:v>1952</x:v>
      </x:c>
      <x:c r="D81" t="s">
        <x:v>525</x:v>
      </x:c>
      <x:c r="E81" t="s">
        <x:v>1953</x:v>
      </x:c>
      <x:c r="F81" t="s">
        <x:v>1953</x:v>
      </x:c>
      <x:c r="G81" t="s">
        <x:v>1690</x:v>
      </x:c>
      <x:c r="P81" t="str">
        <x:f>LOWER(TRIM(SUBSTITUTE(E81,CHAR(160)," ")))</x:f>
        <x:v>manisha.c.chensiah@pwc.com</x:v>
      </x:c>
      <x:c r="Q81" t="n">
        <x:f>IFERROR(VALUE(LEFT(D81,SEARCH("h",D81)-1)),0)*3600+IFERROR(VALUE(MID(D81,IFERROR(SEARCH("h ",D81)+2,1),SEARCH("m",D81)-IFERROR(SEARCH("h ",D81)+2,1))),0)*60+IFERROR(VALUE(MID(D81,IFERROR(SEARCH("m ",D81)+2,IFERROR(SEARCH("h ",D81)+2,1)),SEARCH("s",D81)-IFERROR(SEARCH("m ",D81)+2,IFERROR(SEARCH("h ",D81)+2,1)))),0)</x:f>
        <x:v>7048</x:v>
      </x:c>
      <x:c r="R81" t="str">
        <x:f>IF(P81="","No",IF(COUNTIF('Employee Attendance'!$D$2:$D$670,P81)&gt;0,"Yes","No"))</x:f>
        <x:v>Yes</x:v>
      </x:c>
    </x:row>
    <x:row r="82">
      <x:c r="A82" t="s">
        <x:v>1954</x:v>
      </x:c>
      <x:c r="B82" t="s">
        <x:v>1955</x:v>
      </x:c>
      <x:c r="C82" t="s">
        <x:v>1956</x:v>
      </x:c>
      <x:c r="D82" t="s">
        <x:v>1890</x:v>
      </x:c>
      <x:c r="E82" t="s">
        <x:v>1957</x:v>
      </x:c>
      <x:c r="F82" t="s">
        <x:v>1957</x:v>
      </x:c>
      <x:c r="G82" t="s">
        <x:v>1690</x:v>
      </x:c>
      <x:c r="P82" t="str">
        <x:f>LOWER(TRIM(SUBSTITUTE(E82,CHAR(160)," ")))</x:f>
        <x:v>gavin.x.thirakaluthy@pwc.com</x:v>
      </x:c>
      <x:c r="Q82" t="n">
        <x:f>IFERROR(VALUE(LEFT(D82,SEARCH("h",D82)-1)),0)*3600+IFERROR(VALUE(MID(D82,IFERROR(SEARCH("h ",D82)+2,1),SEARCH("m",D82)-IFERROR(SEARCH("h ",D82)+2,1))),0)*60+IFERROR(VALUE(MID(D82,IFERROR(SEARCH("m ",D82)+2,IFERROR(SEARCH("h ",D82)+2,1)),SEARCH("s",D82)-IFERROR(SEARCH("m ",D82)+2,IFERROR(SEARCH("h ",D82)+2,1)))),0)</x:f>
        <x:v>7602</x:v>
      </x:c>
      <x:c r="R82" t="str">
        <x:f>IF(P82="","No",IF(COUNTIF('Employee Attendance'!$D$2:$D$670,P82)&gt;0,"Yes","No"))</x:f>
        <x:v>Yes</x:v>
      </x:c>
    </x:row>
    <x:row r="83">
      <x:c r="A83" t="s">
        <x:v>811</x:v>
      </x:c>
      <x:c r="B83" t="s">
        <x:v>1958</x:v>
      </x:c>
      <x:c r="C83" t="s">
        <x:v>1959</x:v>
      </x:c>
      <x:c r="D83" t="s">
        <x:v>1843</x:v>
      </x:c>
      <x:c r="E83" t="s">
        <x:v>815</x:v>
      </x:c>
      <x:c r="F83" t="s">
        <x:v>815</x:v>
      </x:c>
      <x:c r="G83" t="s">
        <x:v>1690</x:v>
      </x:c>
      <x:c r="P83" t="str">
        <x:f>LOWER(TRIM(SUBSTITUTE(E83,CHAR(160)," ")))</x:f>
        <x:v>faheem.ammeer@pwc.com</x:v>
      </x:c>
      <x:c r="Q83" t="n">
        <x:f>IFERROR(VALUE(LEFT(D83,SEARCH("h",D83)-1)),0)*3600+IFERROR(VALUE(MID(D83,IFERROR(SEARCH("h ",D83)+2,1),SEARCH("m",D83)-IFERROR(SEARCH("h ",D83)+2,1))),0)*60+IFERROR(VALUE(MID(D83,IFERROR(SEARCH("m ",D83)+2,IFERROR(SEARCH("h ",D83)+2,1)),SEARCH("s",D83)-IFERROR(SEARCH("m ",D83)+2,IFERROR(SEARCH("h ",D83)+2,1)))),0)</x:f>
        <x:v>7645</x:v>
      </x:c>
      <x:c r="R83" t="str">
        <x:f>IF(P83="","No",IF(COUNTIF('Employee Attendance'!$D$2:$D$670,P83)&gt;0,"Yes","No"))</x:f>
        <x:v>Yes</x:v>
      </x:c>
    </x:row>
    <x:row r="84">
      <x:c r="A84" t="s">
        <x:v>1960</x:v>
      </x:c>
      <x:c r="B84" t="s">
        <x:v>1961</x:v>
      </x:c>
      <x:c r="C84" t="s">
        <x:v>1802</x:v>
      </x:c>
      <x:c r="D84" t="s">
        <x:v>1699</x:v>
      </x:c>
      <x:c r="E84" t="s">
        <x:v>1962</x:v>
      </x:c>
      <x:c r="F84" t="s">
        <x:v>1962</x:v>
      </x:c>
      <x:c r="G84" t="s">
        <x:v>1690</x:v>
      </x:c>
      <x:c r="P84" t="str">
        <x:f>LOWER(TRIM(SUBSTITUTE(E84,CHAR(160)," ")))</x:f>
        <x:v>rebecca.r.chepkoech@pwc.com</x:v>
      </x:c>
      <x:c r="Q84" t="n">
        <x:f>IFERROR(VALUE(LEFT(D84,SEARCH("h",D84)-1)),0)*3600+IFERROR(VALUE(MID(D84,IFERROR(SEARCH("h ",D84)+2,1),SEARCH("m",D84)-IFERROR(SEARCH("h ",D84)+2,1))),0)*60+IFERROR(VALUE(MID(D84,IFERROR(SEARCH("m ",D84)+2,IFERROR(SEARCH("h ",D84)+2,1)),SEARCH("s",D84)-IFERROR(SEARCH("m ",D84)+2,IFERROR(SEARCH("h ",D84)+2,1)))),0)</x:f>
        <x:v>7610</x:v>
      </x:c>
      <x:c r="R84" t="str">
        <x:f>IF(P84="","No",IF(COUNTIF('Employee Attendance'!$D$2:$D$670,P84)&gt;0,"Yes","No"))</x:f>
        <x:v>Yes</x:v>
      </x:c>
    </x:row>
    <x:row r="85">
      <x:c r="A85" t="s">
        <x:v>1963</x:v>
      </x:c>
      <x:c r="B85" t="s">
        <x:v>1964</x:v>
      </x:c>
      <x:c r="C85" t="s">
        <x:v>1894</x:v>
      </x:c>
      <x:c r="D85" t="s">
        <x:v>1965</x:v>
      </x:c>
      <x:c r="E85" t="s">
        <x:v>1966</x:v>
      </x:c>
      <x:c r="F85" t="s">
        <x:v>1966</x:v>
      </x:c>
      <x:c r="G85" t="s">
        <x:v>1690</x:v>
      </x:c>
      <x:c r="P85" t="str">
        <x:f>LOWER(TRIM(SUBSTITUTE(E85,CHAR(160)," ")))</x:f>
        <x:v>brian.nyangweso@pwc.com</x:v>
      </x:c>
      <x:c r="Q85" t="n">
        <x:f>IFERROR(VALUE(LEFT(D85,SEARCH("h",D85)-1)),0)*3600+IFERROR(VALUE(MID(D85,IFERROR(SEARCH("h ",D85)+2,1),SEARCH("m",D85)-IFERROR(SEARCH("h ",D85)+2,1))),0)*60+IFERROR(VALUE(MID(D85,IFERROR(SEARCH("m ",D85)+2,IFERROR(SEARCH("h ",D85)+2,1)),SEARCH("s",D85)-IFERROR(SEARCH("m ",D85)+2,IFERROR(SEARCH("h ",D85)+2,1)))),0)</x:f>
        <x:v>7568</x:v>
      </x:c>
      <x:c r="R85" t="str">
        <x:f>IF(P85="","No",IF(COUNTIF('Employee Attendance'!$D$2:$D$670,P85)&gt;0,"Yes","No"))</x:f>
        <x:v>Yes</x:v>
      </x:c>
    </x:row>
    <x:row r="86">
      <x:c r="A86" t="s">
        <x:v>1967</x:v>
      </x:c>
      <x:c r="B86" t="s">
        <x:v>1968</x:v>
      </x:c>
      <x:c r="C86" t="s">
        <x:v>1969</x:v>
      </x:c>
      <x:c r="D86" t="s">
        <x:v>1970</x:v>
      </x:c>
      <x:c r="E86" t="s">
        <x:v>1971</x:v>
      </x:c>
      <x:c r="F86" t="s">
        <x:v>1971</x:v>
      </x:c>
      <x:c r="G86" t="s">
        <x:v>1690</x:v>
      </x:c>
      <x:c r="P86" t="str">
        <x:f>LOWER(TRIM(SUBSTITUTE(E86,CHAR(160)," ")))</x:f>
        <x:v>evans.makumba@pwc.com</x:v>
      </x:c>
      <x:c r="Q86" t="n">
        <x:f>IFERROR(VALUE(LEFT(D86,SEARCH("h",D86)-1)),0)*3600+IFERROR(VALUE(MID(D86,IFERROR(SEARCH("h ",D86)+2,1),SEARCH("m",D86)-IFERROR(SEARCH("h ",D86)+2,1))),0)*60+IFERROR(VALUE(MID(D86,IFERROR(SEARCH("m ",D86)+2,IFERROR(SEARCH("h ",D86)+2,1)),SEARCH("s",D86)-IFERROR(SEARCH("m ",D86)+2,IFERROR(SEARCH("h ",D86)+2,1)))),0)</x:f>
        <x:v>7564</x:v>
      </x:c>
      <x:c r="R86" t="str">
        <x:f>IF(P86="","No",IF(COUNTIF('Employee Attendance'!$D$2:$D$670,P86)&gt;0,"Yes","No"))</x:f>
        <x:v>Yes</x:v>
      </x:c>
    </x:row>
    <x:row r="87">
      <x:c r="A87" t="s">
        <x:v>1972</x:v>
      </x:c>
      <x:c r="B87" t="s">
        <x:v>1973</x:v>
      </x:c>
      <x:c r="C87" t="s">
        <x:v>1718</x:v>
      </x:c>
      <x:c r="D87" t="s">
        <x:v>1974</x:v>
      </x:c>
      <x:c r="E87" t="s">
        <x:v>1975</x:v>
      </x:c>
      <x:c r="F87" t="s">
        <x:v>1975</x:v>
      </x:c>
      <x:c r="G87" t="s">
        <x:v>1690</x:v>
      </x:c>
      <x:c r="O87">
        <x:v>1</x:v>
      </x:c>
      <x:c r="P87" t="str">
        <x:f>LOWER(TRIM(SUBSTITUTE(E87,CHAR(160)," ")))</x:f>
        <x:v>shruti.ramdahin@pwc.com</x:v>
      </x:c>
      <x:c r="Q87" t="n">
        <x:f>IFERROR(VALUE(LEFT(D87,SEARCH("h",D87)-1)),0)*3600+IFERROR(VALUE(MID(D87,IFERROR(SEARCH("h ",D87)+2,1),SEARCH("m",D87)-IFERROR(SEARCH("h ",D87)+2,1))),0)*60+IFERROR(VALUE(MID(D87,IFERROR(SEARCH("m ",D87)+2,IFERROR(SEARCH("h ",D87)+2,1)),SEARCH("s",D87)-IFERROR(SEARCH("m ",D87)+2,IFERROR(SEARCH("h ",D87)+2,1)))),0)</x:f>
        <x:v>7558</x:v>
      </x:c>
      <x:c r="R87" t="str">
        <x:f>IF(P87="","No",IF(COUNTIF('Employee Attendance'!$D$2:$D$670,P87)&gt;0,"Yes","No"))</x:f>
        <x:v>Yes</x:v>
      </x:c>
    </x:row>
    <x:row r="88">
      <x:c r="A88" t="s">
        <x:v>1976</x:v>
      </x:c>
      <x:c r="B88" t="s">
        <x:v>1977</x:v>
      </x:c>
      <x:c r="C88" t="s">
        <x:v>1978</x:v>
      </x:c>
      <x:c r="D88" t="s">
        <x:v>1979</x:v>
      </x:c>
      <x:c r="E88" t="s">
        <x:v>1980</x:v>
      </x:c>
      <x:c r="F88" t="s">
        <x:v>1980</x:v>
      </x:c>
      <x:c r="G88" t="s">
        <x:v>1690</x:v>
      </x:c>
      <x:c r="P88" t="str">
        <x:f>LOWER(TRIM(SUBSTITUTE(E88,CHAR(160)," ")))</x:f>
        <x:v>mustansir.ebrahimjee@pwc.com</x:v>
      </x:c>
      <x:c r="Q88" t="n">
        <x:f>IFERROR(VALUE(LEFT(D88,SEARCH("h",D88)-1)),0)*3600+IFERROR(VALUE(MID(D88,IFERROR(SEARCH("h ",D88)+2,1),SEARCH("m",D88)-IFERROR(SEARCH("h ",D88)+2,1))),0)*60+IFERROR(VALUE(MID(D88,IFERROR(SEARCH("m ",D88)+2,IFERROR(SEARCH("h ",D88)+2,1)),SEARCH("s",D88)-IFERROR(SEARCH("m ",D88)+2,IFERROR(SEARCH("h ",D88)+2,1)))),0)</x:f>
        <x:v>7555</x:v>
      </x:c>
      <x:c r="R88" t="str">
        <x:f>IF(P88="","No",IF(COUNTIF('Employee Attendance'!$D$2:$D$670,P88)&gt;0,"Yes","No"))</x:f>
        <x:v>Yes</x:v>
      </x:c>
    </x:row>
    <x:row r="89">
      <x:c r="A89" t="s">
        <x:v>127</x:v>
      </x:c>
      <x:c r="B89" t="s">
        <x:v>1981</x:v>
      </x:c>
      <x:c r="C89" t="s">
        <x:v>1982</x:v>
      </x:c>
      <x:c r="D89" t="s">
        <x:v>1983</x:v>
      </x:c>
      <x:c r="E89" t="s">
        <x:v>131</x:v>
      </x:c>
      <x:c r="F89" t="s">
        <x:v>131</x:v>
      </x:c>
      <x:c r="G89" t="s">
        <x:v>1690</x:v>
      </x:c>
      <x:c r="O89">
        <x:v>1</x:v>
      </x:c>
      <x:c r="P89" t="str">
        <x:f>LOWER(TRIM(SUBSTITUTE(E89,CHAR(160)," ")))</x:f>
        <x:v>eseri.khabuya@pwc.com</x:v>
      </x:c>
      <x:c r="Q89" t="n">
        <x:f>IFERROR(VALUE(LEFT(D89,SEARCH("h",D89)-1)),0)*3600+IFERROR(VALUE(MID(D89,IFERROR(SEARCH("h ",D89)+2,1),SEARCH("m",D89)-IFERROR(SEARCH("h ",D89)+2,1))),0)*60+IFERROR(VALUE(MID(D89,IFERROR(SEARCH("m ",D89)+2,IFERROR(SEARCH("h ",D89)+2,1)),SEARCH("s",D89)-IFERROR(SEARCH("m ",D89)+2,IFERROR(SEARCH("h ",D89)+2,1)))),0)</x:f>
        <x:v>8109</x:v>
      </x:c>
      <x:c r="R89" t="str">
        <x:f>IF(P89="","No",IF(COUNTIF('Employee Attendance'!$D$2:$D$670,P89)&gt;0,"Yes","No"))</x:f>
        <x:v>Yes</x:v>
      </x:c>
    </x:row>
    <x:row r="90">
      <x:c r="A90" t="s">
        <x:v>101</x:v>
      </x:c>
      <x:c r="B90" t="s">
        <x:v>1984</x:v>
      </x:c>
      <x:c r="C90" t="s">
        <x:v>1698</x:v>
      </x:c>
      <x:c r="D90" t="s">
        <x:v>1985</x:v>
      </x:c>
      <x:c r="E90" t="s">
        <x:v>105</x:v>
      </x:c>
      <x:c r="F90" t="s">
        <x:v>105</x:v>
      </x:c>
      <x:c r="G90" t="s">
        <x:v>1690</x:v>
      </x:c>
      <x:c r="P90" t="str">
        <x:f>LOWER(TRIM(SUBSTITUTE(E90,CHAR(160)," ")))</x:f>
        <x:v>chiranjeev.l.luchoomun@pwc.com</x:v>
      </x:c>
      <x:c r="Q90" t="n">
        <x:f>IFERROR(VALUE(LEFT(D90,SEARCH("h",D90)-1)),0)*3600+IFERROR(VALUE(MID(D90,IFERROR(SEARCH("h ",D90)+2,1),SEARCH("m",D90)-IFERROR(SEARCH("h ",D90)+2,1))),0)*60+IFERROR(VALUE(MID(D90,IFERROR(SEARCH("m ",D90)+2,IFERROR(SEARCH("h ",D90)+2,1)),SEARCH("s",D90)-IFERROR(SEARCH("m ",D90)+2,IFERROR(SEARCH("h ",D90)+2,1)))),0)</x:f>
        <x:v>7537</x:v>
      </x:c>
      <x:c r="R90" t="str">
        <x:f>IF(P90="","No",IF(COUNTIF('Employee Attendance'!$D$2:$D$670,P90)&gt;0,"Yes","No"))</x:f>
        <x:v>Yes</x:v>
      </x:c>
    </x:row>
    <x:row r="91">
      <x:c r="A91" t="s">
        <x:v>1986</x:v>
      </x:c>
      <x:c r="B91" t="s">
        <x:v>1987</x:v>
      </x:c>
      <x:c r="C91" t="s">
        <x:v>1902</x:v>
      </x:c>
      <x:c r="D91" t="s">
        <x:v>1988</x:v>
      </x:c>
      <x:c r="E91" t="s">
        <x:v>1989</x:v>
      </x:c>
      <x:c r="F91" t="s">
        <x:v>1989</x:v>
      </x:c>
      <x:c r="G91" t="s">
        <x:v>1690</x:v>
      </x:c>
      <x:c r="P91" t="str">
        <x:f>LOWER(TRIM(SUBSTITUTE(E91,CHAR(160)," ")))</x:f>
        <x:v>housnah.sullimun@pwc.com</x:v>
      </x:c>
      <x:c r="Q91" t="n">
        <x:f>IFERROR(VALUE(LEFT(D91,SEARCH("h",D91)-1)),0)*3600+IFERROR(VALUE(MID(D91,IFERROR(SEARCH("h ",D91)+2,1),SEARCH("m",D91)-IFERROR(SEARCH("h ",D91)+2,1))),0)*60+IFERROR(VALUE(MID(D91,IFERROR(SEARCH("m ",D91)+2,IFERROR(SEARCH("h ",D91)+2,1)),SEARCH("s",D91)-IFERROR(SEARCH("m ",D91)+2,IFERROR(SEARCH("h ",D91)+2,1)))),0)</x:f>
        <x:v>7533</x:v>
      </x:c>
      <x:c r="R91" t="str">
        <x:f>IF(P91="","No",IF(COUNTIF('Employee Attendance'!$D$2:$D$670,P91)&gt;0,"Yes","No"))</x:f>
        <x:v>Yes</x:v>
      </x:c>
    </x:row>
    <x:row r="92">
      <x:c r="A92" t="s">
        <x:v>1990</x:v>
      </x:c>
      <x:c r="B92" t="s">
        <x:v>1991</x:v>
      </x:c>
      <x:c r="C92" t="s">
        <x:v>1902</x:v>
      </x:c>
      <x:c r="D92" t="s">
        <x:v>1992</x:v>
      </x:c>
      <x:c r="E92" t="s">
        <x:v>1993</x:v>
      </x:c>
      <x:c r="F92" t="s">
        <x:v>1993</x:v>
      </x:c>
      <x:c r="G92" t="s">
        <x:v>1690</x:v>
      </x:c>
      <x:c r="P92" t="str">
        <x:f>LOWER(TRIM(SUBSTITUTE(E92,CHAR(160)," ")))</x:f>
        <x:v>mohammedsani.sherefa@pwc.com</x:v>
      </x:c>
      <x:c r="Q92" t="n">
        <x:f>IFERROR(VALUE(LEFT(D92,SEARCH("h",D92)-1)),0)*3600+IFERROR(VALUE(MID(D92,IFERROR(SEARCH("h ",D92)+2,1),SEARCH("m",D92)-IFERROR(SEARCH("h ",D92)+2,1))),0)*60+IFERROR(VALUE(MID(D92,IFERROR(SEARCH("m ",D92)+2,IFERROR(SEARCH("h ",D92)+2,1)),SEARCH("s",D92)-IFERROR(SEARCH("m ",D92)+2,IFERROR(SEARCH("h ",D92)+2,1)))),0)</x:f>
        <x:v>6290</x:v>
      </x:c>
      <x:c r="R92" t="str">
        <x:f>IF(P92="","No",IF(COUNTIF('Employee Attendance'!$D$2:$D$670,P92)&gt;0,"Yes","No"))</x:f>
        <x:v>Yes</x:v>
      </x:c>
    </x:row>
    <x:row r="93">
      <x:c r="A93" t="s">
        <x:v>1994</x:v>
      </x:c>
      <x:c r="B93" t="s">
        <x:v>1995</x:v>
      </x:c>
      <x:c r="C93" t="s">
        <x:v>1718</x:v>
      </x:c>
      <x:c r="D93" t="s">
        <x:v>1996</x:v>
      </x:c>
      <x:c r="E93" t="s">
        <x:v>1997</x:v>
      </x:c>
      <x:c r="F93" t="s">
        <x:v>1997</x:v>
      </x:c>
      <x:c r="G93" t="s">
        <x:v>1690</x:v>
      </x:c>
      <x:c r="O93">
        <x:v>1</x:v>
      </x:c>
      <x:c r="P93" t="str">
        <x:f>LOWER(TRIM(SUBSTITUTE(E93,CHAR(160)," ")))</x:f>
        <x:v>ashven.rayapen@pwc.com</x:v>
      </x:c>
      <x:c r="Q93" t="n">
        <x:f>IFERROR(VALUE(LEFT(D93,SEARCH("h",D93)-1)),0)*3600+IFERROR(VALUE(MID(D93,IFERROR(SEARCH("h ",D93)+2,1),SEARCH("m",D93)-IFERROR(SEARCH("h ",D93)+2,1))),0)*60+IFERROR(VALUE(MID(D93,IFERROR(SEARCH("m ",D93)+2,IFERROR(SEARCH("h ",D93)+2,1)),SEARCH("s",D93)-IFERROR(SEARCH("m ",D93)+2,IFERROR(SEARCH("h ",D93)+2,1)))),0)</x:f>
        <x:v>7380</x:v>
      </x:c>
      <x:c r="R93" t="str">
        <x:f>IF(P93="","No",IF(COUNTIF('Employee Attendance'!$D$2:$D$670,P93)&gt;0,"Yes","No"))</x:f>
        <x:v>Yes</x:v>
      </x:c>
    </x:row>
    <x:row r="94">
      <x:c r="A94" t="s">
        <x:v>837</x:v>
      </x:c>
      <x:c r="B94" t="s">
        <x:v>1995</x:v>
      </x:c>
      <x:c r="C94" t="s">
        <x:v>1998</x:v>
      </x:c>
      <x:c r="D94" t="s">
        <x:v>1999</x:v>
      </x:c>
      <x:c r="E94" t="s">
        <x:v>840</x:v>
      </x:c>
      <x:c r="F94" t="s">
        <x:v>840</x:v>
      </x:c>
      <x:c r="G94" t="s">
        <x:v>1690</x:v>
      </x:c>
      <x:c r="P94" t="str">
        <x:f>LOWER(TRIM(SUBSTITUTE(E94,CHAR(160)," ")))</x:f>
        <x:v>darshani.cooshna@pwc.com</x:v>
      </x:c>
      <x:c r="Q94" t="n">
        <x:f>IFERROR(VALUE(LEFT(D94,SEARCH("h",D94)-1)),0)*3600+IFERROR(VALUE(MID(D94,IFERROR(SEARCH("h ",D94)+2,1),SEARCH("m",D94)-IFERROR(SEARCH("h ",D94)+2,1))),0)*60+IFERROR(VALUE(MID(D94,IFERROR(SEARCH("m ",D94)+2,IFERROR(SEARCH("h ",D94)+2,1)),SEARCH("s",D94)-IFERROR(SEARCH("m ",D94)+2,IFERROR(SEARCH("h ",D94)+2,1)))),0)</x:f>
        <x:v>7031</x:v>
      </x:c>
      <x:c r="R94" t="str">
        <x:f>IF(P94="","No",IF(COUNTIF('Employee Attendance'!$D$2:$D$670,P94)&gt;0,"Yes","No"))</x:f>
        <x:v>Yes</x:v>
      </x:c>
    </x:row>
    <x:row r="95">
      <x:c r="A95" t="s">
        <x:v>2000</x:v>
      </x:c>
      <x:c r="B95" t="s">
        <x:v>1995</x:v>
      </x:c>
      <x:c r="C95" t="s">
        <x:v>1998</x:v>
      </x:c>
      <x:c r="D95" t="s">
        <x:v>2001</x:v>
      </x:c>
      <x:c r="E95" t="s">
        <x:v>2002</x:v>
      </x:c>
      <x:c r="F95" t="s">
        <x:v>2002</x:v>
      </x:c>
      <x:c r="G95" t="s">
        <x:v>1690</x:v>
      </x:c>
      <x:c r="P95" t="str">
        <x:f>LOWER(TRIM(SUBSTITUTE(E95,CHAR(160)," ")))</x:f>
        <x:v>shania.ersapah@pwc.com</x:v>
      </x:c>
      <x:c r="Q95" t="n">
        <x:f>IFERROR(VALUE(LEFT(D95,SEARCH("h",D95)-1)),0)*3600+IFERROR(VALUE(MID(D95,IFERROR(SEARCH("h ",D95)+2,1),SEARCH("m",D95)-IFERROR(SEARCH("h ",D95)+2,1))),0)*60+IFERROR(VALUE(MID(D95,IFERROR(SEARCH("m ",D95)+2,IFERROR(SEARCH("h ",D95)+2,1)),SEARCH("s",D95)-IFERROR(SEARCH("m ",D95)+2,IFERROR(SEARCH("h ",D95)+2,1)))),0)</x:f>
        <x:v>7542</x:v>
      </x:c>
      <x:c r="R95" t="str">
        <x:f>IF(P95="","No",IF(COUNTIF('Employee Attendance'!$D$2:$D$670,P95)&gt;0,"Yes","No"))</x:f>
        <x:v>Yes</x:v>
      </x:c>
    </x:row>
    <x:row r="96">
      <x:c r="A96" t="s">
        <x:v>2003</x:v>
      </x:c>
      <x:c r="B96" t="s">
        <x:v>2004</x:v>
      </x:c>
      <x:c r="C96" t="s">
        <x:v>2005</x:v>
      </x:c>
      <x:c r="D96" t="s">
        <x:v>2006</x:v>
      </x:c>
      <x:c r="E96" t="s">
        <x:v>2007</x:v>
      </x:c>
      <x:c r="F96" t="s">
        <x:v>2007</x:v>
      </x:c>
      <x:c r="G96" t="s">
        <x:v>1690</x:v>
      </x:c>
      <x:c r="P96" t="str">
        <x:f>LOWER(TRIM(SUBSTITUTE(E96,CHAR(160)," ")))</x:f>
        <x:v>anju.sunnassy@pwc.com</x:v>
      </x:c>
      <x:c r="Q96" t="n">
        <x:f>IFERROR(VALUE(LEFT(D96,SEARCH("h",D96)-1)),0)*3600+IFERROR(VALUE(MID(D96,IFERROR(SEARCH("h ",D96)+2,1),SEARCH("m",D96)-IFERROR(SEARCH("h ",D96)+2,1))),0)*60+IFERROR(VALUE(MID(D96,IFERROR(SEARCH("m ",D96)+2,IFERROR(SEARCH("h ",D96)+2,1)),SEARCH("s",D96)-IFERROR(SEARCH("m ",D96)+2,IFERROR(SEARCH("h ",D96)+2,1)))),0)</x:f>
        <x:v>7546</x:v>
      </x:c>
      <x:c r="R96" t="str">
        <x:f>IF(P96="","No",IF(COUNTIF('Employee Attendance'!$D$2:$D$670,P96)&gt;0,"Yes","No"))</x:f>
        <x:v>Yes</x:v>
      </x:c>
    </x:row>
    <x:row r="97">
      <x:c r="A97" t="s">
        <x:v>2008</x:v>
      </x:c>
      <x:c r="B97" t="s">
        <x:v>2009</x:v>
      </x:c>
      <x:c r="C97" t="s">
        <x:v>2010</x:v>
      </x:c>
      <x:c r="D97" t="s">
        <x:v>2011</x:v>
      </x:c>
      <x:c r="E97" t="s">
        <x:v>2012</x:v>
      </x:c>
      <x:c r="F97" t="s">
        <x:v>2012</x:v>
      </x:c>
      <x:c r="G97" t="s">
        <x:v>1690</x:v>
      </x:c>
      <x:c r="P97" t="str">
        <x:f>LOWER(TRIM(SUBSTITUTE(E97,CHAR(160)," ")))</x:f>
        <x:v>yashna.kowlessur@pwc.com</x:v>
      </x:c>
      <x:c r="Q97" t="n">
        <x:f>IFERROR(VALUE(LEFT(D97,SEARCH("h",D97)-1)),0)*3600+IFERROR(VALUE(MID(D97,IFERROR(SEARCH("h ",D97)+2,1),SEARCH("m",D97)-IFERROR(SEARCH("h ",D97)+2,1))),0)*60+IFERROR(VALUE(MID(D97,IFERROR(SEARCH("m ",D97)+2,IFERROR(SEARCH("h ",D97)+2,1)),SEARCH("s",D97)-IFERROR(SEARCH("m ",D97)+2,IFERROR(SEARCH("h ",D97)+2,1)))),0)</x:f>
        <x:v>7741</x:v>
      </x:c>
      <x:c r="R97" t="str">
        <x:f>IF(P97="","No",IF(COUNTIF('Employee Attendance'!$D$2:$D$670,P97)&gt;0,"Yes","No"))</x:f>
        <x:v>Yes</x:v>
      </x:c>
    </x:row>
    <x:row r="98">
      <x:c r="A98" t="s">
        <x:v>2013</x:v>
      </x:c>
      <x:c r="B98" t="s">
        <x:v>2014</x:v>
      </x:c>
      <x:c r="C98" t="s">
        <x:v>2015</x:v>
      </x:c>
      <x:c r="D98" t="s">
        <x:v>2016</x:v>
      </x:c>
      <x:c r="E98" t="s">
        <x:v>2017</x:v>
      </x:c>
      <x:c r="F98" t="s">
        <x:v>2017</x:v>
      </x:c>
      <x:c r="G98" t="s">
        <x:v>1690</x:v>
      </x:c>
      <x:c r="J98">
        <x:v>1</x:v>
      </x:c>
      <x:c r="O98">
        <x:v>1</x:v>
      </x:c>
      <x:c r="P98" t="str">
        <x:f>LOWER(TRIM(SUBSTITUTE(E98,CHAR(160)," ")))</x:f>
        <x:v>roumaiy.dookhun@pwc.com</x:v>
      </x:c>
      <x:c r="Q98" t="n">
        <x:f>IFERROR(VALUE(LEFT(D98,SEARCH("h",D98)-1)),0)*3600+IFERROR(VALUE(MID(D98,IFERROR(SEARCH("h ",D98)+2,1),SEARCH("m",D98)-IFERROR(SEARCH("h ",D98)+2,1))),0)*60+IFERROR(VALUE(MID(D98,IFERROR(SEARCH("m ",D98)+2,IFERROR(SEARCH("h ",D98)+2,1)),SEARCH("s",D98)-IFERROR(SEARCH("m ",D98)+2,IFERROR(SEARCH("h ",D98)+2,1)))),0)</x:f>
        <x:v>7527</x:v>
      </x:c>
      <x:c r="R98" t="str">
        <x:f>IF(P98="","No",IF(COUNTIF('Employee Attendance'!$D$2:$D$670,P98)&gt;0,"Yes","No"))</x:f>
        <x:v>Yes</x:v>
      </x:c>
    </x:row>
    <x:row r="99">
      <x:c r="A99" t="s">
        <x:v>2018</x:v>
      </x:c>
      <x:c r="B99" t="s">
        <x:v>2014</x:v>
      </x:c>
      <x:c r="C99" t="s">
        <x:v>1837</x:v>
      </x:c>
      <x:c r="D99" t="s">
        <x:v>2019</x:v>
      </x:c>
      <x:c r="E99" t="s">
        <x:v>2020</x:v>
      </x:c>
      <x:c r="F99" t="s">
        <x:v>2020</x:v>
      </x:c>
      <x:c r="G99" t="s">
        <x:v>1690</x:v>
      </x:c>
      <x:c r="P99" t="str">
        <x:f>LOWER(TRIM(SUBSTITUTE(E99,CHAR(160)," ")))</x:f>
        <x:v>crystel.masson@pwc.com</x:v>
      </x:c>
      <x:c r="Q99" t="n">
        <x:f>IFERROR(VALUE(LEFT(D99,SEARCH("h",D99)-1)),0)*3600+IFERROR(VALUE(MID(D99,IFERROR(SEARCH("h ",D99)+2,1),SEARCH("m",D99)-IFERROR(SEARCH("h ",D99)+2,1))),0)*60+IFERROR(VALUE(MID(D99,IFERROR(SEARCH("m ",D99)+2,IFERROR(SEARCH("h ",D99)+2,1)),SEARCH("s",D99)-IFERROR(SEARCH("m ",D99)+2,IFERROR(SEARCH("h ",D99)+2,1)))),0)</x:f>
        <x:v>7525</x:v>
      </x:c>
      <x:c r="R99" t="str">
        <x:f>IF(P99="","No",IF(COUNTIF('Employee Attendance'!$D$2:$D$670,P99)&gt;0,"Yes","No"))</x:f>
        <x:v>Yes</x:v>
      </x:c>
    </x:row>
    <x:row r="100">
      <x:c r="A100" t="s">
        <x:v>2021</x:v>
      </x:c>
      <x:c r="B100" t="s">
        <x:v>2022</x:v>
      </x:c>
      <x:c r="C100" t="s">
        <x:v>2023</x:v>
      </x:c>
      <x:c r="D100" t="s">
        <x:v>340</x:v>
      </x:c>
      <x:c r="E100" t="s">
        <x:v>2024</x:v>
      </x:c>
      <x:c r="F100" t="s">
        <x:v>2024</x:v>
      </x:c>
      <x:c r="G100" t="s">
        <x:v>1690</x:v>
      </x:c>
      <x:c r="P100" t="str">
        <x:f>LOWER(TRIM(SUBSTITUTE(E100,CHAR(160)," ")))</x:f>
        <x:v>bertha.p.pascal@pwc.com</x:v>
      </x:c>
      <x:c r="Q100" t="n">
        <x:f>IFERROR(VALUE(LEFT(D100,SEARCH("h",D100)-1)),0)*3600+IFERROR(VALUE(MID(D100,IFERROR(SEARCH("h ",D100)+2,1),SEARCH("m",D100)-IFERROR(SEARCH("h ",D100)+2,1))),0)*60+IFERROR(VALUE(MID(D100,IFERROR(SEARCH("m ",D100)+2,IFERROR(SEARCH("h ",D100)+2,1)),SEARCH("s",D100)-IFERROR(SEARCH("m ",D100)+2,IFERROR(SEARCH("h ",D100)+2,1)))),0)</x:f>
        <x:v>7382</x:v>
      </x:c>
      <x:c r="R100" t="str">
        <x:f>IF(P100="","No",IF(COUNTIF('Employee Attendance'!$D$2:$D$670,P100)&gt;0,"Yes","No"))</x:f>
        <x:v>Yes</x:v>
      </x:c>
    </x:row>
    <x:row r="101">
      <x:c r="A101" t="s">
        <x:v>2025</x:v>
      </x:c>
      <x:c r="B101" t="s">
        <x:v>2026</x:v>
      </x:c>
      <x:c r="C101" t="s">
        <x:v>1698</x:v>
      </x:c>
      <x:c r="D101" t="s">
        <x:v>2027</x:v>
      </x:c>
      <x:c r="E101" t="s">
        <x:v>2028</x:v>
      </x:c>
      <x:c r="F101" t="s">
        <x:v>2028</x:v>
      </x:c>
      <x:c r="G101" t="s">
        <x:v>1690</x:v>
      </x:c>
      <x:c r="P101" t="str">
        <x:f>LOWER(TRIM(SUBSTITUTE(E101,CHAR(160)," ")))</x:f>
        <x:v>valentine.n.njeri@pwc.com</x:v>
      </x:c>
      <x:c r="Q101" t="n">
        <x:f>IFERROR(VALUE(LEFT(D101,SEARCH("h",D101)-1)),0)*3600+IFERROR(VALUE(MID(D101,IFERROR(SEARCH("h ",D101)+2,1),SEARCH("m",D101)-IFERROR(SEARCH("h ",D101)+2,1))),0)*60+IFERROR(VALUE(MID(D101,IFERROR(SEARCH("m ",D101)+2,IFERROR(SEARCH("h ",D101)+2,1)),SEARCH("s",D101)-IFERROR(SEARCH("m ",D101)+2,IFERROR(SEARCH("h ",D101)+2,1)))),0)</x:f>
        <x:v>7512</x:v>
      </x:c>
      <x:c r="R101" t="str">
        <x:f>IF(P101="","No",IF(COUNTIF('Employee Attendance'!$D$2:$D$670,P101)&gt;0,"Yes","No"))</x:f>
        <x:v>Yes</x:v>
      </x:c>
    </x:row>
    <x:row r="102">
      <x:c r="A102" t="s">
        <x:v>2029</x:v>
      </x:c>
      <x:c r="B102" t="s">
        <x:v>2026</x:v>
      </x:c>
      <x:c r="C102" t="s">
        <x:v>2030</x:v>
      </x:c>
      <x:c r="D102" t="s">
        <x:v>2031</x:v>
      </x:c>
      <x:c r="E102" t="s">
        <x:v>2032</x:v>
      </x:c>
      <x:c r="F102" t="s">
        <x:v>2032</x:v>
      </x:c>
      <x:c r="G102" t="s">
        <x:v>1690</x:v>
      </x:c>
      <x:c r="P102" t="str">
        <x:f>LOWER(TRIM(SUBSTITUTE(E102,CHAR(160)," ")))</x:f>
        <x:v>avish.b.bhurtah@pwc.com</x:v>
      </x:c>
      <x:c r="Q102" t="n">
        <x:f>IFERROR(VALUE(LEFT(D102,SEARCH("h",D102)-1)),0)*3600+IFERROR(VALUE(MID(D102,IFERROR(SEARCH("h ",D102)+2,1),SEARCH("m",D102)-IFERROR(SEARCH("h ",D102)+2,1))),0)*60+IFERROR(VALUE(MID(D102,IFERROR(SEARCH("m ",D102)+2,IFERROR(SEARCH("h ",D102)+2,1)),SEARCH("s",D102)-IFERROR(SEARCH("m ",D102)+2,IFERROR(SEARCH("h ",D102)+2,1)))),0)</x:f>
        <x:v>7087</x:v>
      </x:c>
      <x:c r="R102" t="str">
        <x:f>IF(P102="","No",IF(COUNTIF('Employee Attendance'!$D$2:$D$670,P102)&gt;0,"Yes","No"))</x:f>
        <x:v>Yes</x:v>
      </x:c>
    </x:row>
    <x:row r="103">
      <x:c r="A103" t="s">
        <x:v>246</x:v>
      </x:c>
      <x:c r="B103" t="s">
        <x:v>2033</x:v>
      </x:c>
      <x:c r="C103" t="s">
        <x:v>2034</x:v>
      </x:c>
      <x:c r="D103" t="s">
        <x:v>2035</x:v>
      </x:c>
      <x:c r="E103" t="s">
        <x:v>250</x:v>
      </x:c>
      <x:c r="F103" t="s">
        <x:v>250</x:v>
      </x:c>
      <x:c r="G103" t="s">
        <x:v>1690</x:v>
      </x:c>
      <x:c r="P103" t="str">
        <x:f>LOWER(TRIM(SUBSTITUTE(E103,CHAR(160)," ")))</x:f>
        <x:v>kovanam.moodelly@pwc.com</x:v>
      </x:c>
      <x:c r="Q103" t="n">
        <x:f>IFERROR(VALUE(LEFT(D103,SEARCH("h",D103)-1)),0)*3600+IFERROR(VALUE(MID(D103,IFERROR(SEARCH("h ",D103)+2,1),SEARCH("m",D103)-IFERROR(SEARCH("h ",D103)+2,1))),0)*60+IFERROR(VALUE(MID(D103,IFERROR(SEARCH("m ",D103)+2,IFERROR(SEARCH("h ",D103)+2,1)),SEARCH("s",D103)-IFERROR(SEARCH("m ",D103)+2,IFERROR(SEARCH("h ",D103)+2,1)))),0)</x:f>
        <x:v>7295</x:v>
      </x:c>
      <x:c r="R103" t="str">
        <x:f>IF(P103="","No",IF(COUNTIF('Employee Attendance'!$D$2:$D$670,P103)&gt;0,"Yes","No"))</x:f>
        <x:v>Yes</x:v>
      </x:c>
    </x:row>
    <x:row r="104">
      <x:c r="A104" t="s">
        <x:v>2036</x:v>
      </x:c>
      <x:c r="B104" t="s">
        <x:v>2037</x:v>
      </x:c>
      <x:c r="C104" t="s">
        <x:v>1902</x:v>
      </x:c>
      <x:c r="D104" t="s">
        <x:v>2038</x:v>
      </x:c>
      <x:c r="E104" t="s">
        <x:v>2039</x:v>
      </x:c>
      <x:c r="F104" t="s">
        <x:v>2039</x:v>
      </x:c>
      <x:c r="G104" t="s">
        <x:v>1690</x:v>
      </x:c>
      <x:c r="O104">
        <x:v>2</x:v>
      </x:c>
      <x:c r="P104" t="str">
        <x:f>LOWER(TRIM(SUBSTITUTE(E104,CHAR(160)," ")))</x:f>
        <x:v>shakil.maghun@pwc.com</x:v>
      </x:c>
      <x:c r="Q104" t="n">
        <x:f>IFERROR(VALUE(LEFT(D104,SEARCH("h",D104)-1)),0)*3600+IFERROR(VALUE(MID(D104,IFERROR(SEARCH("h ",D104)+2,1),SEARCH("m",D104)-IFERROR(SEARCH("h ",D104)+2,1))),0)*60+IFERROR(VALUE(MID(D104,IFERROR(SEARCH("m ",D104)+2,IFERROR(SEARCH("h ",D104)+2,1)),SEARCH("s",D104)-IFERROR(SEARCH("m ",D104)+2,IFERROR(SEARCH("h ",D104)+2,1)))),0)</x:f>
        <x:v>7501</x:v>
      </x:c>
      <x:c r="R104" t="str">
        <x:f>IF(P104="","No",IF(COUNTIF('Employee Attendance'!$D$2:$D$670,P104)&gt;0,"Yes","No"))</x:f>
        <x:v>Yes</x:v>
      </x:c>
    </x:row>
    <x:row r="105">
      <x:c r="A105" t="s">
        <x:v>2040</x:v>
      </x:c>
      <x:c r="B105" t="s">
        <x:v>2041</x:v>
      </x:c>
      <x:c r="C105" t="s">
        <x:v>1810</x:v>
      </x:c>
      <x:c r="D105" t="s">
        <x:v>2042</x:v>
      </x:c>
      <x:c r="E105" t="s">
        <x:v>2043</x:v>
      </x:c>
      <x:c r="F105" t="s">
        <x:v>2043</x:v>
      </x:c>
      <x:c r="G105" t="s">
        <x:v>1690</x:v>
      </x:c>
      <x:c r="P105" t="str">
        <x:f>LOWER(TRIM(SUBSTITUTE(E105,CHAR(160)," ")))</x:f>
        <x:v>samuel.bitwire@pwc.com</x:v>
      </x:c>
      <x:c r="Q105" t="n">
        <x:f>IFERROR(VALUE(LEFT(D105,SEARCH("h",D105)-1)),0)*3600+IFERROR(VALUE(MID(D105,IFERROR(SEARCH("h ",D105)+2,1),SEARCH("m",D105)-IFERROR(SEARCH("h ",D105)+2,1))),0)*60+IFERROR(VALUE(MID(D105,IFERROR(SEARCH("m ",D105)+2,IFERROR(SEARCH("h ",D105)+2,1)),SEARCH("s",D105)-IFERROR(SEARCH("m ",D105)+2,IFERROR(SEARCH("h ",D105)+2,1)))),0)</x:f>
        <x:v>7492</x:v>
      </x:c>
      <x:c r="R105" t="str">
        <x:f>IF(P105="","No",IF(COUNTIF('Employee Attendance'!$D$2:$D$670,P105)&gt;0,"Yes","No"))</x:f>
        <x:v>Yes</x:v>
      </x:c>
    </x:row>
    <x:row r="106">
      <x:c r="A106" t="s">
        <x:v>2044</x:v>
      </x:c>
      <x:c r="B106" t="s">
        <x:v>2045</x:v>
      </x:c>
      <x:c r="C106" t="s">
        <x:v>2046</x:v>
      </x:c>
      <x:c r="D106" t="s">
        <x:v>2047</x:v>
      </x:c>
      <x:c r="E106" t="s">
        <x:v>2048</x:v>
      </x:c>
      <x:c r="F106" t="s">
        <x:v>2048</x:v>
      </x:c>
      <x:c r="G106" t="s">
        <x:v>1690</x:v>
      </x:c>
      <x:c r="P106" t="str">
        <x:f>LOWER(TRIM(SUBSTITUTE(E106,CHAR(160)," ")))</x:f>
        <x:v>natasha.kakokota@pwc.com</x:v>
      </x:c>
      <x:c r="Q106" t="n">
        <x:f>IFERROR(VALUE(LEFT(D106,SEARCH("h",D106)-1)),0)*3600+IFERROR(VALUE(MID(D106,IFERROR(SEARCH("h ",D106)+2,1),SEARCH("m",D106)-IFERROR(SEARCH("h ",D106)+2,1))),0)*60+IFERROR(VALUE(MID(D106,IFERROR(SEARCH("m ",D106)+2,IFERROR(SEARCH("h ",D106)+2,1)),SEARCH("s",D106)-IFERROR(SEARCH("m ",D106)+2,IFERROR(SEARCH("h ",D106)+2,1)))),0)</x:f>
        <x:v>7520</x:v>
      </x:c>
      <x:c r="R106" t="str">
        <x:f>IF(P106="","No",IF(COUNTIF('Employee Attendance'!$D$2:$D$670,P106)&gt;0,"Yes","No"))</x:f>
        <x:v>Yes</x:v>
      </x:c>
    </x:row>
    <x:row r="107">
      <x:c r="A107" t="s">
        <x:v>2049</x:v>
      </x:c>
      <x:c r="B107" t="s">
        <x:v>2050</x:v>
      </x:c>
      <x:c r="C107" t="s">
        <x:v>2051</x:v>
      </x:c>
      <x:c r="D107" t="s">
        <x:v>276</x:v>
      </x:c>
      <x:c r="E107" t="s">
        <x:v>2052</x:v>
      </x:c>
      <x:c r="F107" t="s">
        <x:v>2052</x:v>
      </x:c>
      <x:c r="G107" t="s">
        <x:v>1690</x:v>
      </x:c>
      <x:c r="P107" t="str">
        <x:f>LOWER(TRIM(SUBSTITUTE(E107,CHAR(160)," ")))</x:f>
        <x:v>sharvin.ballah@pwc.com</x:v>
      </x:c>
      <x:c r="Q107" t="n">
        <x:f>IFERROR(VALUE(LEFT(D107,SEARCH("h",D107)-1)),0)*3600+IFERROR(VALUE(MID(D107,IFERROR(SEARCH("h ",D107)+2,1),SEARCH("m",D107)-IFERROR(SEARCH("h ",D107)+2,1))),0)*60+IFERROR(VALUE(MID(D107,IFERROR(SEARCH("m ",D107)+2,IFERROR(SEARCH("h ",D107)+2,1)),SEARCH("s",D107)-IFERROR(SEARCH("m ",D107)+2,IFERROR(SEARCH("h ",D107)+2,1)))),0)</x:f>
        <x:v>7505</x:v>
      </x:c>
      <x:c r="R107" t="str">
        <x:f>IF(P107="","No",IF(COUNTIF('Employee Attendance'!$D$2:$D$670,P107)&gt;0,"Yes","No"))</x:f>
        <x:v>Yes</x:v>
      </x:c>
    </x:row>
    <x:row r="108">
      <x:c r="A108" t="s">
        <x:v>2053</x:v>
      </x:c>
      <x:c r="B108" t="s">
        <x:v>2054</x:v>
      </x:c>
      <x:c r="C108" t="s">
        <x:v>2055</x:v>
      </x:c>
      <x:c r="D108" t="s">
        <x:v>2056</x:v>
      </x:c>
      <x:c r="E108" t="s">
        <x:v>2057</x:v>
      </x:c>
      <x:c r="F108" t="s">
        <x:v>2057</x:v>
      </x:c>
      <x:c r="G108" t="s">
        <x:v>1690</x:v>
      </x:c>
      <x:c r="P108" t="str">
        <x:f>LOWER(TRIM(SUBSTITUTE(E108,CHAR(160)," ")))</x:f>
        <x:v>shaan.seenundun@pwc.com</x:v>
      </x:c>
      <x:c r="Q108" t="n">
        <x:f>IFERROR(VALUE(LEFT(D108,SEARCH("h",D108)-1)),0)*3600+IFERROR(VALUE(MID(D108,IFERROR(SEARCH("h ",D108)+2,1),SEARCH("m",D108)-IFERROR(SEARCH("h ",D108)+2,1))),0)*60+IFERROR(VALUE(MID(D108,IFERROR(SEARCH("m ",D108)+2,IFERROR(SEARCH("h ",D108)+2,1)),SEARCH("s",D108)-IFERROR(SEARCH("m ",D108)+2,IFERROR(SEARCH("h ",D108)+2,1)))),0)</x:f>
        <x:v>7438</x:v>
      </x:c>
      <x:c r="R108" t="str">
        <x:f>IF(P108="","No",IF(COUNTIF('Employee Attendance'!$D$2:$D$670,P108)&gt;0,"Yes","No"))</x:f>
        <x:v>Yes</x:v>
      </x:c>
    </x:row>
    <x:row r="109">
      <x:c r="A109" t="s">
        <x:v>2058</x:v>
      </x:c>
      <x:c r="B109" t="s">
        <x:v>2059</x:v>
      </x:c>
      <x:c r="C109" t="s">
        <x:v>2060</x:v>
      </x:c>
      <x:c r="D109" t="s">
        <x:v>2061</x:v>
      </x:c>
      <x:c r="E109" t="s">
        <x:v>2062</x:v>
      </x:c>
      <x:c r="F109" t="s">
        <x:v>2062</x:v>
      </x:c>
      <x:c r="G109" t="s">
        <x:v>1690</x:v>
      </x:c>
      <x:c r="P109" t="str">
        <x:f>LOWER(TRIM(SUBSTITUTE(E109,CHAR(160)," ")))</x:f>
        <x:v>ouwais.allymeeah@pwc.com</x:v>
      </x:c>
      <x:c r="Q109" t="n">
        <x:f>IFERROR(VALUE(LEFT(D109,SEARCH("h",D109)-1)),0)*3600+IFERROR(VALUE(MID(D109,IFERROR(SEARCH("h ",D109)+2,1),SEARCH("m",D109)-IFERROR(SEARCH("h ",D109)+2,1))),0)*60+IFERROR(VALUE(MID(D109,IFERROR(SEARCH("m ",D109)+2,IFERROR(SEARCH("h ",D109)+2,1)),SEARCH("s",D109)-IFERROR(SEARCH("m ",D109)+2,IFERROR(SEARCH("h ",D109)+2,1)))),0)</x:f>
        <x:v>7519</x:v>
      </x:c>
      <x:c r="R109" t="str">
        <x:f>IF(P109="","No",IF(COUNTIF('Employee Attendance'!$D$2:$D$670,P109)&gt;0,"Yes","No"))</x:f>
        <x:v>Yes</x:v>
      </x:c>
    </x:row>
    <x:row r="110">
      <x:c r="A110" t="s">
        <x:v>2063</x:v>
      </x:c>
      <x:c r="B110" t="s">
        <x:v>2064</x:v>
      </x:c>
      <x:c r="C110" t="s">
        <x:v>2065</x:v>
      </x:c>
      <x:c r="D110" t="s">
        <x:v>2066</x:v>
      </x:c>
      <x:c r="E110" t="s">
        <x:v>2067</x:v>
      </x:c>
      <x:c r="F110" t="s">
        <x:v>2067</x:v>
      </x:c>
      <x:c r="G110" t="s">
        <x:v>1690</x:v>
      </x:c>
      <x:c r="O110">
        <x:v>2</x:v>
      </x:c>
      <x:c r="P110" t="str">
        <x:f>LOWER(TRIM(SUBSTITUTE(E110,CHAR(160)," ")))</x:f>
        <x:v>angelah.mumbia@pwc.com</x:v>
      </x:c>
      <x:c r="Q110" t="n">
        <x:f>IFERROR(VALUE(LEFT(D110,SEARCH("h",D110)-1)),0)*3600+IFERROR(VALUE(MID(D110,IFERROR(SEARCH("h ",D110)+2,1),SEARCH("m",D110)-IFERROR(SEARCH("h ",D110)+2,1))),0)*60+IFERROR(VALUE(MID(D110,IFERROR(SEARCH("m ",D110)+2,IFERROR(SEARCH("h ",D110)+2,1)),SEARCH("s",D110)-IFERROR(SEARCH("m ",D110)+2,IFERROR(SEARCH("h ",D110)+2,1)))),0)</x:f>
        <x:v>7118</x:v>
      </x:c>
      <x:c r="R110" t="str">
        <x:f>IF(P110="","No",IF(COUNTIF('Employee Attendance'!$D$2:$D$670,P110)&gt;0,"Yes","No"))</x:f>
        <x:v>Yes</x:v>
      </x:c>
    </x:row>
    <x:row r="111">
      <x:c r="A111" t="s">
        <x:v>2068</x:v>
      </x:c>
      <x:c r="B111" t="s">
        <x:v>2069</x:v>
      </x:c>
      <x:c r="C111" t="s">
        <x:v>1678</x:v>
      </x:c>
      <x:c r="D111" t="s">
        <x:v>2070</x:v>
      </x:c>
      <x:c r="E111" t="s">
        <x:v>2071</x:v>
      </x:c>
      <x:c r="F111" t="s">
        <x:v>2071</x:v>
      </x:c>
      <x:c r="G111" t="s">
        <x:v>1690</x:v>
      </x:c>
      <x:c r="P111" t="str">
        <x:f>LOWER(TRIM(SUBSTITUTE(E111,CHAR(160)," ")))</x:f>
        <x:v>devesh.keerpah@pwc.com</x:v>
      </x:c>
      <x:c r="Q111" t="n">
        <x:f>IFERROR(VALUE(LEFT(D111,SEARCH("h",D111)-1)),0)*3600+IFERROR(VALUE(MID(D111,IFERROR(SEARCH("h ",D111)+2,1),SEARCH("m",D111)-IFERROR(SEARCH("h ",D111)+2,1))),0)*60+IFERROR(VALUE(MID(D111,IFERROR(SEARCH("m ",D111)+2,IFERROR(SEARCH("h ",D111)+2,1)),SEARCH("s",D111)-IFERROR(SEARCH("m ",D111)+2,IFERROR(SEARCH("h ",D111)+2,1)))),0)</x:f>
        <x:v>7480</x:v>
      </x:c>
      <x:c r="R111" t="str">
        <x:f>IF(P111="","No",IF(COUNTIF('Employee Attendance'!$D$2:$D$670,P111)&gt;0,"Yes","No"))</x:f>
        <x:v>Yes</x:v>
      </x:c>
    </x:row>
    <x:row r="112">
      <x:c r="A112" t="s">
        <x:v>2072</x:v>
      </x:c>
      <x:c r="B112" t="s">
        <x:v>2073</x:v>
      </x:c>
      <x:c r="C112" t="s">
        <x:v>2074</x:v>
      </x:c>
      <x:c r="D112" t="s">
        <x:v>2075</x:v>
      </x:c>
      <x:c r="E112" t="s">
        <x:v>2076</x:v>
      </x:c>
      <x:c r="F112" t="s">
        <x:v>2076</x:v>
      </x:c>
      <x:c r="G112" t="s">
        <x:v>1690</x:v>
      </x:c>
      <x:c r="O112">
        <x:v>1</x:v>
      </x:c>
      <x:c r="P112" t="str">
        <x:f>LOWER(TRIM(SUBSTITUTE(E112,CHAR(160)," ")))</x:f>
        <x:v>rhoda.irungu@pwc.com</x:v>
      </x:c>
      <x:c r="Q112" t="n">
        <x:f>IFERROR(VALUE(LEFT(D112,SEARCH("h",D112)-1)),0)*3600+IFERROR(VALUE(MID(D112,IFERROR(SEARCH("h ",D112)+2,1),SEARCH("m",D112)-IFERROR(SEARCH("h ",D112)+2,1))),0)*60+IFERROR(VALUE(MID(D112,IFERROR(SEARCH("m ",D112)+2,IFERROR(SEARCH("h ",D112)+2,1)),SEARCH("s",D112)-IFERROR(SEARCH("m ",D112)+2,IFERROR(SEARCH("h ",D112)+2,1)))),0)</x:f>
        <x:v>7443</x:v>
      </x:c>
      <x:c r="R112" t="str">
        <x:f>IF(P112="","No",IF(COUNTIF('Employee Attendance'!$D$2:$D$670,P112)&gt;0,"Yes","No"))</x:f>
        <x:v>Yes</x:v>
      </x:c>
    </x:row>
    <x:row r="113">
      <x:c r="A113" t="s">
        <x:v>2077</x:v>
      </x:c>
      <x:c r="B113" t="s">
        <x:v>2078</x:v>
      </x:c>
      <x:c r="C113" t="s">
        <x:v>2079</x:v>
      </x:c>
      <x:c r="D113" t="s">
        <x:v>952</x:v>
      </x:c>
      <x:c r="E113" t="s">
        <x:v>2080</x:v>
      </x:c>
      <x:c r="F113" t="s">
        <x:v>2080</x:v>
      </x:c>
      <x:c r="G113" t="s">
        <x:v>1690</x:v>
      </x:c>
      <x:c r="P113" t="str">
        <x:f>LOWER(TRIM(SUBSTITUTE(E113,CHAR(160)," ")))</x:f>
        <x:v>brian.ogoti@pwc.com</x:v>
      </x:c>
      <x:c r="Q113" t="n">
        <x:f>IFERROR(VALUE(LEFT(D113,SEARCH("h",D113)-1)),0)*3600+IFERROR(VALUE(MID(D113,IFERROR(SEARCH("h ",D113)+2,1),SEARCH("m",D113)-IFERROR(SEARCH("h ",D113)+2,1))),0)*60+IFERROR(VALUE(MID(D113,IFERROR(SEARCH("m ",D113)+2,IFERROR(SEARCH("h ",D113)+2,1)),SEARCH("s",D113)-IFERROR(SEARCH("m ",D113)+2,IFERROR(SEARCH("h ",D113)+2,1)))),0)</x:f>
        <x:v>577</x:v>
      </x:c>
      <x:c r="R113" t="str">
        <x:f>IF(P113="","No",IF(COUNTIF('Employee Attendance'!$D$2:$D$670,P113)&gt;0,"Yes","No"))</x:f>
        <x:v>Yes</x:v>
      </x:c>
    </x:row>
    <x:row r="114">
      <x:c r="A114" t="s">
        <x:v>2081</x:v>
      </x:c>
      <x:c r="B114" t="s">
        <x:v>2082</x:v>
      </x:c>
      <x:c r="C114" t="s">
        <x:v>1678</x:v>
      </x:c>
      <x:c r="D114" t="s">
        <x:v>2083</x:v>
      </x:c>
      <x:c r="E114" t="s">
        <x:v>2084</x:v>
      </x:c>
      <x:c r="F114" t="s">
        <x:v>2084</x:v>
      </x:c>
      <x:c r="G114" t="s">
        <x:v>1690</x:v>
      </x:c>
      <x:c r="P114" t="str">
        <x:f>LOWER(TRIM(SUBSTITUTE(E114,CHAR(160)," ")))</x:f>
        <x:v>hadija.chivugo@pwc.com</x:v>
      </x:c>
      <x:c r="Q114" t="n">
        <x:f>IFERROR(VALUE(LEFT(D114,SEARCH("h",D114)-1)),0)*3600+IFERROR(VALUE(MID(D114,IFERROR(SEARCH("h ",D114)+2,1),SEARCH("m",D114)-IFERROR(SEARCH("h ",D114)+2,1))),0)*60+IFERROR(VALUE(MID(D114,IFERROR(SEARCH("m ",D114)+2,IFERROR(SEARCH("h ",D114)+2,1)),SEARCH("s",D114)-IFERROR(SEARCH("m ",D114)+2,IFERROR(SEARCH("h ",D114)+2,1)))),0)</x:f>
        <x:v>6177</x:v>
      </x:c>
      <x:c r="R114" t="str">
        <x:f>IF(P114="","No",IF(COUNTIF('Employee Attendance'!$D$2:$D$670,P114)&gt;0,"Yes","No"))</x:f>
        <x:v>Yes</x:v>
      </x:c>
    </x:row>
    <x:row r="115">
      <x:c r="A115" t="s">
        <x:v>2085</x:v>
      </x:c>
      <x:c r="B115" t="s">
        <x:v>2082</x:v>
      </x:c>
      <x:c r="C115" t="s">
        <x:v>1683</x:v>
      </x:c>
      <x:c r="D115" t="s">
        <x:v>2086</x:v>
      </x:c>
      <x:c r="E115" t="s">
        <x:v>2087</x:v>
      </x:c>
      <x:c r="F115" t="s">
        <x:v>2087</x:v>
      </x:c>
      <x:c r="G115" t="s">
        <x:v>1690</x:v>
      </x:c>
      <x:c r="P115" t="str">
        <x:f>LOWER(TRIM(SUBSTITUTE(E115,CHAR(160)," ")))</x:f>
        <x:v>benson.okundi@pwc.com</x:v>
      </x:c>
      <x:c r="Q115" t="n">
        <x:f>IFERROR(VALUE(LEFT(D115,SEARCH("h",D115)-1)),0)*3600+IFERROR(VALUE(MID(D115,IFERROR(SEARCH("h ",D115)+2,1),SEARCH("m",D115)-IFERROR(SEARCH("h ",D115)+2,1))),0)*60+IFERROR(VALUE(MID(D115,IFERROR(SEARCH("m ",D115)+2,IFERROR(SEARCH("h ",D115)+2,1)),SEARCH("s",D115)-IFERROR(SEARCH("m ",D115)+2,IFERROR(SEARCH("h ",D115)+2,1)))),0)</x:f>
        <x:v>7320</x:v>
      </x:c>
      <x:c r="R115" t="str">
        <x:f>IF(P115="","No",IF(COUNTIF('Employee Attendance'!$D$2:$D$670,P115)&gt;0,"Yes","No"))</x:f>
        <x:v>Yes</x:v>
      </x:c>
    </x:row>
    <x:row r="116">
      <x:c r="A116" t="s">
        <x:v>2088</x:v>
      </x:c>
      <x:c r="B116" t="s">
        <x:v>2089</x:v>
      </x:c>
      <x:c r="C116" t="s">
        <x:v>1670</x:v>
      </x:c>
      <x:c r="D116" t="s">
        <x:v>139</x:v>
      </x:c>
      <x:c r="E116" t="s">
        <x:v>2090</x:v>
      </x:c>
      <x:c r="F116" t="s">
        <x:v>2090</x:v>
      </x:c>
      <x:c r="G116" t="s">
        <x:v>1690</x:v>
      </x:c>
      <x:c r="P116" t="str">
        <x:f>LOWER(TRIM(SUBSTITUTE(E116,CHAR(160)," ")))</x:f>
        <x:v>anthony.k.njeeh@pwc.com</x:v>
      </x:c>
      <x:c r="Q116" t="n">
        <x:f>IFERROR(VALUE(LEFT(D116,SEARCH("h",D116)-1)),0)*3600+IFERROR(VALUE(MID(D116,IFERROR(SEARCH("h ",D116)+2,1),SEARCH("m",D116)-IFERROR(SEARCH("h ",D116)+2,1))),0)*60+IFERROR(VALUE(MID(D116,IFERROR(SEARCH("m ",D116)+2,IFERROR(SEARCH("h ",D116)+2,1)),SEARCH("s",D116)-IFERROR(SEARCH("m ",D116)+2,IFERROR(SEARCH("h ",D116)+2,1)))),0)</x:f>
        <x:v>7456</x:v>
      </x:c>
      <x:c r="R116" t="str">
        <x:f>IF(P116="","No",IF(COUNTIF('Employee Attendance'!$D$2:$D$670,P116)&gt;0,"Yes","No"))</x:f>
        <x:v>Yes</x:v>
      </x:c>
    </x:row>
    <x:row r="117">
      <x:c r="A117" t="s">
        <x:v>2091</x:v>
      </x:c>
      <x:c r="B117" t="s">
        <x:v>2092</x:v>
      </x:c>
      <x:c r="C117" t="s">
        <x:v>1873</x:v>
      </x:c>
      <x:c r="D117" t="s">
        <x:v>2093</x:v>
      </x:c>
      <x:c r="E117" t="s">
        <x:v>2094</x:v>
      </x:c>
      <x:c r="F117" t="s">
        <x:v>2094</x:v>
      </x:c>
      <x:c r="G117" t="s">
        <x:v>1690</x:v>
      </x:c>
      <x:c r="P117" t="str">
        <x:f>LOWER(TRIM(SUBSTITUTE(E117,CHAR(160)," ")))</x:f>
        <x:v>sipiwe.dube@pwc.com</x:v>
      </x:c>
      <x:c r="Q117" t="n">
        <x:f>IFERROR(VALUE(LEFT(D117,SEARCH("h",D117)-1)),0)*3600+IFERROR(VALUE(MID(D117,IFERROR(SEARCH("h ",D117)+2,1),SEARCH("m",D117)-IFERROR(SEARCH("h ",D117)+2,1))),0)*60+IFERROR(VALUE(MID(D117,IFERROR(SEARCH("m ",D117)+2,IFERROR(SEARCH("h ",D117)+2,1)),SEARCH("s",D117)-IFERROR(SEARCH("m ",D117)+2,IFERROR(SEARCH("h ",D117)+2,1)))),0)</x:f>
        <x:v>7464</x:v>
      </x:c>
      <x:c r="R117" t="str">
        <x:f>IF(P117="","No",IF(COUNTIF('Employee Attendance'!$D$2:$D$670,P117)&gt;0,"Yes","No"))</x:f>
        <x:v>Yes</x:v>
      </x:c>
    </x:row>
    <x:row r="118">
      <x:c r="A118" t="s">
        <x:v>2095</x:v>
      </x:c>
      <x:c r="B118" t="s">
        <x:v>2096</x:v>
      </x:c>
      <x:c r="C118" t="s">
        <x:v>2097</x:v>
      </x:c>
      <x:c r="D118" t="s">
        <x:v>2098</x:v>
      </x:c>
      <x:c r="E118" t="s">
        <x:v>2099</x:v>
      </x:c>
      <x:c r="F118" t="s">
        <x:v>2099</x:v>
      </x:c>
      <x:c r="G118" t="s">
        <x:v>1690</x:v>
      </x:c>
      <x:c r="P118" t="str">
        <x:f>LOWER(TRIM(SUBSTITUTE(E118,CHAR(160)," ")))</x:f>
        <x:v>vivek.allan@pwc.com</x:v>
      </x:c>
      <x:c r="Q118" t="n">
        <x:f>IFERROR(VALUE(LEFT(D118,SEARCH("h",D118)-1)),0)*3600+IFERROR(VALUE(MID(D118,IFERROR(SEARCH("h ",D118)+2,1),SEARCH("m",D118)-IFERROR(SEARCH("h ",D118)+2,1))),0)*60+IFERROR(VALUE(MID(D118,IFERROR(SEARCH("m ",D118)+2,IFERROR(SEARCH("h ",D118)+2,1)),SEARCH("s",D118)-IFERROR(SEARCH("m ",D118)+2,IFERROR(SEARCH("h ",D118)+2,1)))),0)</x:f>
        <x:v>6776</x:v>
      </x:c>
      <x:c r="R118" t="str">
        <x:f>IF(P118="","No",IF(COUNTIF('Employee Attendance'!$D$2:$D$670,P118)&gt;0,"Yes","No"))</x:f>
        <x:v>Yes</x:v>
      </x:c>
    </x:row>
    <x:row r="119">
      <x:c r="A119" t="s">
        <x:v>2100</x:v>
      </x:c>
      <x:c r="B119" t="s">
        <x:v>2101</x:v>
      </x:c>
      <x:c r="C119" t="s">
        <x:v>2102</x:v>
      </x:c>
      <x:c r="D119" t="s">
        <x:v>2103</x:v>
      </x:c>
      <x:c r="E119" t="s">
        <x:v>2104</x:v>
      </x:c>
      <x:c r="F119" t="s">
        <x:v>2104</x:v>
      </x:c>
      <x:c r="G119" t="s">
        <x:v>1690</x:v>
      </x:c>
      <x:c r="P119" t="str">
        <x:f>LOWER(TRIM(SUBSTITUTE(E119,CHAR(160)," ")))</x:f>
        <x:v>sofia.hauroo@pwc.com</x:v>
      </x:c>
      <x:c r="Q119" t="n">
        <x:f>IFERROR(VALUE(LEFT(D119,SEARCH("h",D119)-1)),0)*3600+IFERROR(VALUE(MID(D119,IFERROR(SEARCH("h ",D119)+2,1),SEARCH("m",D119)-IFERROR(SEARCH("h ",D119)+2,1))),0)*60+IFERROR(VALUE(MID(D119,IFERROR(SEARCH("m ",D119)+2,IFERROR(SEARCH("h ",D119)+2,1)),SEARCH("s",D119)-IFERROR(SEARCH("m ",D119)+2,IFERROR(SEARCH("h ",D119)+2,1)))),0)</x:f>
        <x:v>1443</x:v>
      </x:c>
      <x:c r="R119" t="str">
        <x:f>IF(P119="","No",IF(COUNTIF('Employee Attendance'!$D$2:$D$670,P119)&gt;0,"Yes","No"))</x:f>
        <x:v>Yes</x:v>
      </x:c>
    </x:row>
    <x:row r="120">
      <x:c r="A120" t="s">
        <x:v>2105</x:v>
      </x:c>
      <x:c r="B120" t="s">
        <x:v>2106</x:v>
      </x:c>
      <x:c r="C120" t="s">
        <x:v>2107</x:v>
      </x:c>
      <x:c r="D120" t="s">
        <x:v>2108</x:v>
      </x:c>
      <x:c r="E120" t="s">
        <x:v>2109</x:v>
      </x:c>
      <x:c r="F120" t="s">
        <x:v>2109</x:v>
      </x:c>
      <x:c r="G120" t="s">
        <x:v>1690</x:v>
      </x:c>
      <x:c r="P120" t="str">
        <x:f>LOWER(TRIM(SUBSTITUTE(E120,CHAR(160)," ")))</x:f>
        <x:v>flavia.kaluba@pwc.com</x:v>
      </x:c>
      <x:c r="Q120" t="n">
        <x:f>IFERROR(VALUE(LEFT(D120,SEARCH("h",D120)-1)),0)*3600+IFERROR(VALUE(MID(D120,IFERROR(SEARCH("h ",D120)+2,1),SEARCH("m",D120)-IFERROR(SEARCH("h ",D120)+2,1))),0)*60+IFERROR(VALUE(MID(D120,IFERROR(SEARCH("m ",D120)+2,IFERROR(SEARCH("h ",D120)+2,1)),SEARCH("s",D120)-IFERROR(SEARCH("m ",D120)+2,IFERROR(SEARCH("h ",D120)+2,1)))),0)</x:f>
        <x:v>7365</x:v>
      </x:c>
      <x:c r="R120" t="str">
        <x:f>IF(P120="","No",IF(COUNTIF('Employee Attendance'!$D$2:$D$670,P120)&gt;0,"Yes","No"))</x:f>
        <x:v>Yes</x:v>
      </x:c>
    </x:row>
    <x:row r="121">
      <x:c r="A121" t="s">
        <x:v>2110</x:v>
      </x:c>
      <x:c r="B121" t="s">
        <x:v>2111</x:v>
      </x:c>
      <x:c r="C121" t="s">
        <x:v>1889</x:v>
      </x:c>
      <x:c r="D121" t="s">
        <x:v>2112</x:v>
      </x:c>
      <x:c r="E121" t="s">
        <x:v>2113</x:v>
      </x:c>
      <x:c r="F121" t="s">
        <x:v>2113</x:v>
      </x:c>
      <x:c r="G121" t="s">
        <x:v>1690</x:v>
      </x:c>
      <x:c r="P121" t="str">
        <x:f>LOWER(TRIM(SUBSTITUTE(E121,CHAR(160)," ")))</x:f>
        <x:v>victoria.titus@pwc.com</x:v>
      </x:c>
      <x:c r="Q121" t="n">
        <x:f>IFERROR(VALUE(LEFT(D121,SEARCH("h",D121)-1)),0)*3600+IFERROR(VALUE(MID(D121,IFERROR(SEARCH("h ",D121)+2,1),SEARCH("m",D121)-IFERROR(SEARCH("h ",D121)+2,1))),0)*60+IFERROR(VALUE(MID(D121,IFERROR(SEARCH("m ",D121)+2,IFERROR(SEARCH("h ",D121)+2,1)),SEARCH("s",D121)-IFERROR(SEARCH("m ",D121)+2,IFERROR(SEARCH("h ",D121)+2,1)))),0)</x:f>
        <x:v>7447</x:v>
      </x:c>
      <x:c r="R121" t="str">
        <x:f>IF(P121="","No",IF(COUNTIF('Employee Attendance'!$D$2:$D$670,P121)&gt;0,"Yes","No"))</x:f>
        <x:v>Yes</x:v>
      </x:c>
    </x:row>
    <x:row r="122">
      <x:c r="A122" t="s">
        <x:v>1329</x:v>
      </x:c>
      <x:c r="B122" t="s">
        <x:v>2114</x:v>
      </x:c>
      <x:c r="C122" t="s">
        <x:v>1748</x:v>
      </x:c>
      <x:c r="D122" t="s">
        <x:v>2115</x:v>
      </x:c>
      <x:c r="E122" t="s">
        <x:v>1333</x:v>
      </x:c>
      <x:c r="F122" t="s">
        <x:v>1333</x:v>
      </x:c>
      <x:c r="G122" t="s">
        <x:v>1690</x:v>
      </x:c>
      <x:c r="P122" t="str">
        <x:f>LOWER(TRIM(SUBSTITUTE(E122,CHAR(160)," ")))</x:f>
        <x:v>leeshikha.boodhoo@pwc.com</x:v>
      </x:c>
      <x:c r="Q122" t="n">
        <x:f>IFERROR(VALUE(LEFT(D122,SEARCH("h",D122)-1)),0)*3600+IFERROR(VALUE(MID(D122,IFERROR(SEARCH("h ",D122)+2,1),SEARCH("m",D122)-IFERROR(SEARCH("h ",D122)+2,1))),0)*60+IFERROR(VALUE(MID(D122,IFERROR(SEARCH("m ",D122)+2,IFERROR(SEARCH("h ",D122)+2,1)),SEARCH("s",D122)-IFERROR(SEARCH("m ",D122)+2,IFERROR(SEARCH("h ",D122)+2,1)))),0)</x:f>
        <x:v>7389</x:v>
      </x:c>
      <x:c r="R122" t="str">
        <x:f>IF(P122="","No",IF(COUNTIF('Employee Attendance'!$D$2:$D$670,P122)&gt;0,"Yes","No"))</x:f>
        <x:v>Yes</x:v>
      </x:c>
    </x:row>
    <x:row r="123">
      <x:c r="A123" t="s">
        <x:v>2116</x:v>
      </x:c>
      <x:c r="B123" t="s">
        <x:v>2117</x:v>
      </x:c>
      <x:c r="C123" t="s">
        <x:v>2118</x:v>
      </x:c>
      <x:c r="D123" t="s">
        <x:v>2119</x:v>
      </x:c>
      <x:c r="E123" t="s">
        <x:v>2120</x:v>
      </x:c>
      <x:c r="F123" t="s">
        <x:v>2120</x:v>
      </x:c>
      <x:c r="G123" t="s">
        <x:v>1690</x:v>
      </x:c>
      <x:c r="P123" t="str">
        <x:f>LOWER(TRIM(SUBSTITUTE(E123,CHAR(160)," ")))</x:f>
        <x:v>mansi.jeewooth@pwc.com</x:v>
      </x:c>
      <x:c r="Q123" t="n">
        <x:f>IFERROR(VALUE(LEFT(D123,SEARCH("h",D123)-1)),0)*3600+IFERROR(VALUE(MID(D123,IFERROR(SEARCH("h ",D123)+2,1),SEARCH("m",D123)-IFERROR(SEARCH("h ",D123)+2,1))),0)*60+IFERROR(VALUE(MID(D123,IFERROR(SEARCH("m ",D123)+2,IFERROR(SEARCH("h ",D123)+2,1)),SEARCH("s",D123)-IFERROR(SEARCH("m ",D123)+2,IFERROR(SEARCH("h ",D123)+2,1)))),0)</x:f>
        <x:v>7005</x:v>
      </x:c>
      <x:c r="R123" t="str">
        <x:f>IF(P123="","No",IF(COUNTIF('Employee Attendance'!$D$2:$D$670,P123)&gt;0,"Yes","No"))</x:f>
        <x:v>Yes</x:v>
      </x:c>
    </x:row>
    <x:row r="124">
      <x:c r="A124" t="s">
        <x:v>2121</x:v>
      </x:c>
      <x:c r="B124" t="s">
        <x:v>2122</x:v>
      </x:c>
      <x:c r="C124" t="s">
        <x:v>2123</x:v>
      </x:c>
      <x:c r="D124" t="s">
        <x:v>2124</x:v>
      </x:c>
      <x:c r="E124" t="s">
        <x:v>2125</x:v>
      </x:c>
      <x:c r="F124" t="s">
        <x:v>2125</x:v>
      </x:c>
      <x:c r="G124" t="s">
        <x:v>1690</x:v>
      </x:c>
      <x:c r="O124">
        <x:v>1</x:v>
      </x:c>
      <x:c r="P124" t="str">
        <x:f>LOWER(TRIM(SUBSTITUTE(E124,CHAR(160)," ")))</x:f>
        <x:v>francisco.mulwana@pwc.com</x:v>
      </x:c>
      <x:c r="Q124" t="n">
        <x:f>IFERROR(VALUE(LEFT(D124,SEARCH("h",D124)-1)),0)*3600+IFERROR(VALUE(MID(D124,IFERROR(SEARCH("h ",D124)+2,1),SEARCH("m",D124)-IFERROR(SEARCH("h ",D124)+2,1))),0)*60+IFERROR(VALUE(MID(D124,IFERROR(SEARCH("m ",D124)+2,IFERROR(SEARCH("h ",D124)+2,1)),SEARCH("s",D124)-IFERROR(SEARCH("m ",D124)+2,IFERROR(SEARCH("h ",D124)+2,1)))),0)</x:f>
        <x:v>7368</x:v>
      </x:c>
      <x:c r="R124" t="str">
        <x:f>IF(P124="","No",IF(COUNTIF('Employee Attendance'!$D$2:$D$670,P124)&gt;0,"Yes","No"))</x:f>
        <x:v>Yes</x:v>
      </x:c>
    </x:row>
    <x:row r="125">
      <x:c r="A125" t="s">
        <x:v>2126</x:v>
      </x:c>
      <x:c r="B125" t="s">
        <x:v>2122</x:v>
      </x:c>
      <x:c r="C125" t="s">
        <x:v>2127</x:v>
      </x:c>
      <x:c r="D125" t="s">
        <x:v>2128</x:v>
      </x:c>
      <x:c r="E125" t="s">
        <x:v>2129</x:v>
      </x:c>
      <x:c r="F125" t="s">
        <x:v>2129</x:v>
      </x:c>
      <x:c r="G125" t="s">
        <x:v>1690</x:v>
      </x:c>
      <x:c r="P125" t="str">
        <x:f>LOWER(TRIM(SUBSTITUTE(E125,CHAR(160)," ")))</x:f>
        <x:v>dinesh.lutchmun@pwc.com</x:v>
      </x:c>
      <x:c r="Q125" t="n">
        <x:f>IFERROR(VALUE(LEFT(D125,SEARCH("h",D125)-1)),0)*3600+IFERROR(VALUE(MID(D125,IFERROR(SEARCH("h ",D125)+2,1),SEARCH("m",D125)-IFERROR(SEARCH("h ",D125)+2,1))),0)*60+IFERROR(VALUE(MID(D125,IFERROR(SEARCH("m ",D125)+2,IFERROR(SEARCH("h ",D125)+2,1)),SEARCH("s",D125)-IFERROR(SEARCH("m ",D125)+2,IFERROR(SEARCH("h ",D125)+2,1)))),0)</x:f>
        <x:v>6543</x:v>
      </x:c>
      <x:c r="R125" t="str">
        <x:f>IF(P125="","No",IF(COUNTIF('Employee Attendance'!$D$2:$D$670,P125)&gt;0,"Yes","No"))</x:f>
        <x:v>Yes</x:v>
      </x:c>
    </x:row>
    <x:row r="126">
      <x:c r="A126" t="s">
        <x:v>2130</x:v>
      </x:c>
      <x:c r="B126" t="s">
        <x:v>2131</x:v>
      </x:c>
      <x:c r="C126" t="s">
        <x:v>2132</x:v>
      </x:c>
      <x:c r="D126" t="s">
        <x:v>2133</x:v>
      </x:c>
      <x:c r="E126" t="s">
        <x:v>2134</x:v>
      </x:c>
      <x:c r="F126" t="s">
        <x:v>2134</x:v>
      </x:c>
      <x:c r="G126" t="s">
        <x:v>1690</x:v>
      </x:c>
      <x:c r="O126">
        <x:v>1</x:v>
      </x:c>
      <x:c r="P126" t="str">
        <x:f>LOWER(TRIM(SUBSTITUTE(E126,CHAR(160)," ")))</x:f>
        <x:v>pallavee.narrainen@pwc.com</x:v>
      </x:c>
      <x:c r="Q126" t="n">
        <x:f>IFERROR(VALUE(LEFT(D126,SEARCH("h",D126)-1)),0)*3600+IFERROR(VALUE(MID(D126,IFERROR(SEARCH("h ",D126)+2,1),SEARCH("m",D126)-IFERROR(SEARCH("h ",D126)+2,1))),0)*60+IFERROR(VALUE(MID(D126,IFERROR(SEARCH("m ",D126)+2,IFERROR(SEARCH("h ",D126)+2,1)),SEARCH("s",D126)-IFERROR(SEARCH("m ",D126)+2,IFERROR(SEARCH("h ",D126)+2,1)))),0)</x:f>
        <x:v>7495</x:v>
      </x:c>
      <x:c r="R126" t="str">
        <x:f>IF(P126="","No",IF(COUNTIF('Employee Attendance'!$D$2:$D$670,P126)&gt;0,"Yes","No"))</x:f>
        <x:v>Yes</x:v>
      </x:c>
    </x:row>
    <x:row r="127">
      <x:c r="A127" t="s">
        <x:v>2135</x:v>
      </x:c>
      <x:c r="B127" t="s">
        <x:v>2136</x:v>
      </x:c>
      <x:c r="C127" t="s">
        <x:v>1889</x:v>
      </x:c>
      <x:c r="D127" t="s">
        <x:v>2137</x:v>
      </x:c>
      <x:c r="E127" t="s">
        <x:v>2138</x:v>
      </x:c>
      <x:c r="F127" t="s">
        <x:v>2138</x:v>
      </x:c>
      <x:c r="G127" t="s">
        <x:v>1690</x:v>
      </x:c>
      <x:c r="P127" t="str">
        <x:f>LOWER(TRIM(SUBSTITUTE(E127,CHAR(160)," ")))</x:f>
        <x:v>newton.orengeje@pwc.com</x:v>
      </x:c>
      <x:c r="Q127" t="n">
        <x:f>IFERROR(VALUE(LEFT(D127,SEARCH("h",D127)-1)),0)*3600+IFERROR(VALUE(MID(D127,IFERROR(SEARCH("h ",D127)+2,1),SEARCH("m",D127)-IFERROR(SEARCH("h ",D127)+2,1))),0)*60+IFERROR(VALUE(MID(D127,IFERROR(SEARCH("m ",D127)+2,IFERROR(SEARCH("h ",D127)+2,1)),SEARCH("s",D127)-IFERROR(SEARCH("m ",D127)+2,IFERROR(SEARCH("h ",D127)+2,1)))),0)</x:f>
        <x:v>7425</x:v>
      </x:c>
      <x:c r="R127" t="str">
        <x:f>IF(P127="","No",IF(COUNTIF('Employee Attendance'!$D$2:$D$670,P127)&gt;0,"Yes","No"))</x:f>
        <x:v>Yes</x:v>
      </x:c>
    </x:row>
    <x:row r="128">
      <x:c r="A128" t="s">
        <x:v>1224</x:v>
      </x:c>
      <x:c r="B128" t="s">
        <x:v>2139</x:v>
      </x:c>
      <x:c r="C128" t="s">
        <x:v>2140</x:v>
      </x:c>
      <x:c r="D128" t="s">
        <x:v>1728</x:v>
      </x:c>
      <x:c r="E128" t="s">
        <x:v>1227</x:v>
      </x:c>
      <x:c r="F128" t="s">
        <x:v>1227</x:v>
      </x:c>
      <x:c r="G128" t="s">
        <x:v>1690</x:v>
      </x:c>
      <x:c r="P128" t="str">
        <x:f>LOWER(TRIM(SUBSTITUTE(E128,CHAR(160)," ")))</x:f>
        <x:v>faith.kessy@pwc.com</x:v>
      </x:c>
      <x:c r="Q128" t="n">
        <x:f>IFERROR(VALUE(LEFT(D128,SEARCH("h",D128)-1)),0)*3600+IFERROR(VALUE(MID(D128,IFERROR(SEARCH("h ",D128)+2,1),SEARCH("m",D128)-IFERROR(SEARCH("h ",D128)+2,1))),0)*60+IFERROR(VALUE(MID(D128,IFERROR(SEARCH("m ",D128)+2,IFERROR(SEARCH("h ",D128)+2,1)),SEARCH("s",D128)-IFERROR(SEARCH("m ",D128)+2,IFERROR(SEARCH("h ",D128)+2,1)))),0)</x:f>
        <x:v>7864</x:v>
      </x:c>
      <x:c r="R128" t="str">
        <x:f>IF(P128="","No",IF(COUNTIF('Employee Attendance'!$D$2:$D$670,P128)&gt;0,"Yes","No"))</x:f>
        <x:v>Yes</x:v>
      </x:c>
    </x:row>
    <x:row r="129">
      <x:c r="A129" t="s">
        <x:v>2141</x:v>
      </x:c>
      <x:c r="B129" t="s">
        <x:v>2139</x:v>
      </x:c>
      <x:c r="C129" t="s">
        <x:v>2142</x:v>
      </x:c>
      <x:c r="D129" t="s">
        <x:v>2143</x:v>
      </x:c>
      <x:c r="E129" t="s">
        <x:v>2144</x:v>
      </x:c>
      <x:c r="F129" t="s">
        <x:v>2144</x:v>
      </x:c>
      <x:c r="G129" t="s">
        <x:v>1690</x:v>
      </x:c>
      <x:c r="P129" t="str">
        <x:f>LOWER(TRIM(SUBSTITUTE(E129,CHAR(160)," ")))</x:f>
        <x:v>mirriam.muatha@pwc.com</x:v>
      </x:c>
      <x:c r="Q129" t="n">
        <x:f>IFERROR(VALUE(LEFT(D129,SEARCH("h",D129)-1)),0)*3600+IFERROR(VALUE(MID(D129,IFERROR(SEARCH("h ",D129)+2,1),SEARCH("m",D129)-IFERROR(SEARCH("h ",D129)+2,1))),0)*60+IFERROR(VALUE(MID(D129,IFERROR(SEARCH("m ",D129)+2,IFERROR(SEARCH("h ",D129)+2,1)),SEARCH("s",D129)-IFERROR(SEARCH("m ",D129)+2,IFERROR(SEARCH("h ",D129)+2,1)))),0)</x:f>
        <x:v>7705</x:v>
      </x:c>
      <x:c r="R129" t="str">
        <x:f>IF(P129="","No",IF(COUNTIF('Employee Attendance'!$D$2:$D$670,P129)&gt;0,"Yes","No"))</x:f>
        <x:v>Yes</x:v>
      </x:c>
    </x:row>
    <x:row r="130">
      <x:c r="A130" t="s">
        <x:v>2145</x:v>
      </x:c>
      <x:c r="B130" t="s">
        <x:v>2146</x:v>
      </x:c>
      <x:c r="C130" t="s">
        <x:v>2147</x:v>
      </x:c>
      <x:c r="D130" t="s">
        <x:v>2148</x:v>
      </x:c>
      <x:c r="E130" t="s">
        <x:v>2149</x:v>
      </x:c>
      <x:c r="F130" t="s">
        <x:v>2149</x:v>
      </x:c>
      <x:c r="G130" t="s">
        <x:v>1690</x:v>
      </x:c>
      <x:c r="P130" t="str">
        <x:f>LOWER(TRIM(SUBSTITUTE(E130,CHAR(160)," ")))</x:f>
        <x:v>mario.li@pwc.com</x:v>
      </x:c>
      <x:c r="Q130" t="n">
        <x:f>IFERROR(VALUE(LEFT(D130,SEARCH("h",D130)-1)),0)*3600+IFERROR(VALUE(MID(D130,IFERROR(SEARCH("h ",D130)+2,1),SEARCH("m",D130)-IFERROR(SEARCH("h ",D130)+2,1))),0)*60+IFERROR(VALUE(MID(D130,IFERROR(SEARCH("m ",D130)+2,IFERROR(SEARCH("h ",D130)+2,1)),SEARCH("s",D130)-IFERROR(SEARCH("m ",D130)+2,IFERROR(SEARCH("h ",D130)+2,1)))),0)</x:f>
        <x:v>7419</x:v>
      </x:c>
      <x:c r="R130" t="str">
        <x:f>IF(P130="","No",IF(COUNTIF('Employee Attendance'!$D$2:$D$670,P130)&gt;0,"Yes","No"))</x:f>
        <x:v>Yes</x:v>
      </x:c>
    </x:row>
    <x:row r="131">
      <x:c r="A131" t="s">
        <x:v>1255</x:v>
      </x:c>
      <x:c r="B131" t="s">
        <x:v>2146</x:v>
      </x:c>
      <x:c r="C131" t="s">
        <x:v>1851</x:v>
      </x:c>
      <x:c r="D131" t="s">
        <x:v>2150</x:v>
      </x:c>
      <x:c r="E131" t="s">
        <x:v>1259</x:v>
      </x:c>
      <x:c r="F131" t="s">
        <x:v>1259</x:v>
      </x:c>
      <x:c r="G131" t="s">
        <x:v>1690</x:v>
      </x:c>
      <x:c r="P131" t="str">
        <x:f>LOWER(TRIM(SUBSTITUTE(E131,CHAR(160)," ")))</x:f>
        <x:v>vivek.nuckcheddee@pwc.com</x:v>
      </x:c>
      <x:c r="Q131" t="n">
        <x:f>IFERROR(VALUE(LEFT(D131,SEARCH("h",D131)-1)),0)*3600+IFERROR(VALUE(MID(D131,IFERROR(SEARCH("h ",D131)+2,1),SEARCH("m",D131)-IFERROR(SEARCH("h ",D131)+2,1))),0)*60+IFERROR(VALUE(MID(D131,IFERROR(SEARCH("m ",D131)+2,IFERROR(SEARCH("h ",D131)+2,1)),SEARCH("s",D131)-IFERROR(SEARCH("m ",D131)+2,IFERROR(SEARCH("h ",D131)+2,1)))),0)</x:f>
        <x:v>7408</x:v>
      </x:c>
      <x:c r="R131" t="str">
        <x:f>IF(P131="","No",IF(COUNTIF('Employee Attendance'!$D$2:$D$670,P131)&gt;0,"Yes","No"))</x:f>
        <x:v>Yes</x:v>
      </x:c>
    </x:row>
    <x:row r="132">
      <x:c r="A132" t="s">
        <x:v>2151</x:v>
      </x:c>
      <x:c r="B132" t="s">
        <x:v>2152</x:v>
      </x:c>
      <x:c r="C132" t="s">
        <x:v>1802</x:v>
      </x:c>
      <x:c r="D132" t="s">
        <x:v>223</x:v>
      </x:c>
      <x:c r="E132" t="s">
        <x:v>2153</x:v>
      </x:c>
      <x:c r="F132" t="s">
        <x:v>2153</x:v>
      </x:c>
      <x:c r="G132" t="s">
        <x:v>1690</x:v>
      </x:c>
      <x:c r="P132" t="str">
        <x:f>LOWER(TRIM(SUBSTITUTE(E132,CHAR(160)," ")))</x:f>
        <x:v>amisha.gunputh@pwc.com</x:v>
      </x:c>
      <x:c r="Q132" t="n">
        <x:f>IFERROR(VALUE(LEFT(D132,SEARCH("h",D132)-1)),0)*3600+IFERROR(VALUE(MID(D132,IFERROR(SEARCH("h ",D132)+2,1),SEARCH("m",D132)-IFERROR(SEARCH("h ",D132)+2,1))),0)*60+IFERROR(VALUE(MID(D132,IFERROR(SEARCH("m ",D132)+2,IFERROR(SEARCH("h ",D132)+2,1)),SEARCH("s",D132)-IFERROR(SEARCH("m ",D132)+2,IFERROR(SEARCH("h ",D132)+2,1)))),0)</x:f>
        <x:v>7454</x:v>
      </x:c>
      <x:c r="R132" t="str">
        <x:f>IF(P132="","No",IF(COUNTIF('Employee Attendance'!$D$2:$D$670,P132)&gt;0,"Yes","No"))</x:f>
        <x:v>Yes</x:v>
      </x:c>
    </x:row>
    <x:row r="133">
      <x:c r="A133" t="s">
        <x:v>2154</x:v>
      </x:c>
      <x:c r="B133" t="s">
        <x:v>2155</x:v>
      </x:c>
      <x:c r="C133" t="s">
        <x:v>1678</x:v>
      </x:c>
      <x:c r="D133" t="s">
        <x:v>2156</x:v>
      </x:c>
      <x:c r="E133" t="s">
        <x:v>2157</x:v>
      </x:c>
      <x:c r="F133" t="s">
        <x:v>2157</x:v>
      </x:c>
      <x:c r="G133" t="s">
        <x:v>1690</x:v>
      </x:c>
      <x:c r="O133">
        <x:v>1</x:v>
      </x:c>
      <x:c r="P133" t="str">
        <x:f>LOWER(TRIM(SUBSTITUTE(E133,CHAR(160)," ")))</x:f>
        <x:v>gloria.kirungi@pwc.com</x:v>
      </x:c>
      <x:c r="Q133" t="n">
        <x:f>IFERROR(VALUE(LEFT(D133,SEARCH("h",D133)-1)),0)*3600+IFERROR(VALUE(MID(D133,IFERROR(SEARCH("h ",D133)+2,1),SEARCH("m",D133)-IFERROR(SEARCH("h ",D133)+2,1))),0)*60+IFERROR(VALUE(MID(D133,IFERROR(SEARCH("m ",D133)+2,IFERROR(SEARCH("h ",D133)+2,1)),SEARCH("s",D133)-IFERROR(SEARCH("m ",D133)+2,IFERROR(SEARCH("h ",D133)+2,1)))),0)</x:f>
        <x:v>7402</x:v>
      </x:c>
      <x:c r="R133" t="str">
        <x:f>IF(P133="","No",IF(COUNTIF('Employee Attendance'!$D$2:$D$670,P133)&gt;0,"Yes","No"))</x:f>
        <x:v>Yes</x:v>
      </x:c>
    </x:row>
    <x:row r="134">
      <x:c r="A134" t="s">
        <x:v>2158</x:v>
      </x:c>
      <x:c r="B134" t="s">
        <x:v>2159</x:v>
      </x:c>
      <x:c r="C134" t="s">
        <x:v>2160</x:v>
      </x:c>
      <x:c r="D134" t="s">
        <x:v>2161</x:v>
      </x:c>
      <x:c r="E134" t="s">
        <x:v>2162</x:v>
      </x:c>
      <x:c r="F134" t="s">
        <x:v>2162</x:v>
      </x:c>
      <x:c r="G134" t="s">
        <x:v>1690</x:v>
      </x:c>
      <x:c r="O134">
        <x:v>2</x:v>
      </x:c>
      <x:c r="P134" t="str">
        <x:f>LOWER(TRIM(SUBSTITUTE(E134,CHAR(160)," ")))</x:f>
        <x:v>elisha.jairo@pwc.com</x:v>
      </x:c>
      <x:c r="Q134" t="n">
        <x:f>IFERROR(VALUE(LEFT(D134,SEARCH("h",D134)-1)),0)*3600+IFERROR(VALUE(MID(D134,IFERROR(SEARCH("h ",D134)+2,1),SEARCH("m",D134)-IFERROR(SEARCH("h ",D134)+2,1))),0)*60+IFERROR(VALUE(MID(D134,IFERROR(SEARCH("m ",D134)+2,IFERROR(SEARCH("h ",D134)+2,1)),SEARCH("s",D134)-IFERROR(SEARCH("m ",D134)+2,IFERROR(SEARCH("h ",D134)+2,1)))),0)</x:f>
        <x:v>6962</x:v>
      </x:c>
      <x:c r="R134" t="str">
        <x:f>IF(P134="","No",IF(COUNTIF('Employee Attendance'!$D$2:$D$670,P134)&gt;0,"Yes","No"))</x:f>
        <x:v>Yes</x:v>
      </x:c>
    </x:row>
    <x:row r="135">
      <x:c r="A135" t="s">
        <x:v>2163</x:v>
      </x:c>
      <x:c r="B135" t="s">
        <x:v>2164</x:v>
      </x:c>
      <x:c r="C135" t="s">
        <x:v>2165</x:v>
      </x:c>
      <x:c r="D135" t="s">
        <x:v>2166</x:v>
      </x:c>
      <x:c r="E135" t="s">
        <x:v>2167</x:v>
      </x:c>
      <x:c r="F135" t="s">
        <x:v>2167</x:v>
      </x:c>
      <x:c r="G135" t="s">
        <x:v>1690</x:v>
      </x:c>
      <x:c r="P135" t="str">
        <x:f>LOWER(TRIM(SUBSTITUTE(E135,CHAR(160)," ")))</x:f>
        <x:v>faith.makori@pwc.com</x:v>
      </x:c>
      <x:c r="Q135" t="n">
        <x:f>IFERROR(VALUE(LEFT(D135,SEARCH("h",D135)-1)),0)*3600+IFERROR(VALUE(MID(D135,IFERROR(SEARCH("h ",D135)+2,1),SEARCH("m",D135)-IFERROR(SEARCH("h ",D135)+2,1))),0)*60+IFERROR(VALUE(MID(D135,IFERROR(SEARCH("m ",D135)+2,IFERROR(SEARCH("h ",D135)+2,1)),SEARCH("s",D135)-IFERROR(SEARCH("m ",D135)+2,IFERROR(SEARCH("h ",D135)+2,1)))),0)</x:f>
        <x:v>7435</x:v>
      </x:c>
      <x:c r="R135" t="str">
        <x:f>IF(P135="","No",IF(COUNTIF('Employee Attendance'!$D$2:$D$670,P135)&gt;0,"Yes","No"))</x:f>
        <x:v>Yes</x:v>
      </x:c>
    </x:row>
    <x:row r="136">
      <x:c r="A136" t="s">
        <x:v>2168</x:v>
      </x:c>
      <x:c r="B136" t="s">
        <x:v>2169</x:v>
      </x:c>
      <x:c r="C136" t="s">
        <x:v>2015</x:v>
      </x:c>
      <x:c r="D136" t="s">
        <x:v>2170</x:v>
      </x:c>
      <x:c r="E136" t="s">
        <x:v>2171</x:v>
      </x:c>
      <x:c r="F136" t="s">
        <x:v>2171</x:v>
      </x:c>
      <x:c r="G136" t="s">
        <x:v>1690</x:v>
      </x:c>
      <x:c r="P136" t="str">
        <x:f>LOWER(TRIM(SUBSTITUTE(E136,CHAR(160)," ")))</x:f>
        <x:v>esha.ramsamy@pwc.com</x:v>
      </x:c>
      <x:c r="Q136" t="n">
        <x:f>IFERROR(VALUE(LEFT(D136,SEARCH("h",D136)-1)),0)*3600+IFERROR(VALUE(MID(D136,IFERROR(SEARCH("h ",D136)+2,1),SEARCH("m",D136)-IFERROR(SEARCH("h ",D136)+2,1))),0)*60+IFERROR(VALUE(MID(D136,IFERROR(SEARCH("m ",D136)+2,IFERROR(SEARCH("h ",D136)+2,1)),SEARCH("s",D136)-IFERROR(SEARCH("m ",D136)+2,IFERROR(SEARCH("h ",D136)+2,1)))),0)</x:f>
        <x:v>7398</x:v>
      </x:c>
      <x:c r="R136" t="str">
        <x:f>IF(P136="","No",IF(COUNTIF('Employee Attendance'!$D$2:$D$670,P136)&gt;0,"Yes","No"))</x:f>
        <x:v>Yes</x:v>
      </x:c>
    </x:row>
    <x:row r="137">
      <x:c r="A137" t="s">
        <x:v>2172</x:v>
      </x:c>
      <x:c r="B137" t="s">
        <x:v>2173</x:v>
      </x:c>
      <x:c r="C137" t="s">
        <x:v>1894</x:v>
      </x:c>
      <x:c r="D137" t="s">
        <x:v>2174</x:v>
      </x:c>
      <x:c r="E137" t="s">
        <x:v>2175</x:v>
      </x:c>
      <x:c r="F137" t="s">
        <x:v>2175</x:v>
      </x:c>
      <x:c r="G137" t="s">
        <x:v>1690</x:v>
      </x:c>
      <x:c r="O137">
        <x:v>1</x:v>
      </x:c>
      <x:c r="P137" t="str">
        <x:f>LOWER(TRIM(SUBSTITUTE(E137,CHAR(160)," ")))</x:f>
        <x:v>preksha.russeean@pwc.com</x:v>
      </x:c>
      <x:c r="Q137" t="n">
        <x:f>IFERROR(VALUE(LEFT(D137,SEARCH("h",D137)-1)),0)*3600+IFERROR(VALUE(MID(D137,IFERROR(SEARCH("h ",D137)+2,1),SEARCH("m",D137)-IFERROR(SEARCH("h ",D137)+2,1))),0)*60+IFERROR(VALUE(MID(D137,IFERROR(SEARCH("m ",D137)+2,IFERROR(SEARCH("h ",D137)+2,1)),SEARCH("s",D137)-IFERROR(SEARCH("m ",D137)+2,IFERROR(SEARCH("h ",D137)+2,1)))),0)</x:f>
        <x:v>7400</x:v>
      </x:c>
      <x:c r="R137" t="str">
        <x:f>IF(P137="","No",IF(COUNTIF('Employee Attendance'!$D$2:$D$670,P137)&gt;0,"Yes","No"))</x:f>
        <x:v>Yes</x:v>
      </x:c>
    </x:row>
    <x:row r="138">
      <x:c r="A138" t="s">
        <x:v>715</x:v>
      </x:c>
      <x:c r="B138" t="s">
        <x:v>2173</x:v>
      </x:c>
      <x:c r="C138" t="s">
        <x:v>2176</x:v>
      </x:c>
      <x:c r="D138" t="s">
        <x:v>2177</x:v>
      </x:c>
      <x:c r="E138" t="s">
        <x:v>718</x:v>
      </x:c>
      <x:c r="F138" t="s">
        <x:v>718</x:v>
      </x:c>
      <x:c r="G138" t="s">
        <x:v>1690</x:v>
      </x:c>
      <x:c r="P138" t="str">
        <x:f>LOWER(TRIM(SUBSTITUTE(E138,CHAR(160)," ")))</x:f>
        <x:v>kelvin.kailikia@pwc.com</x:v>
      </x:c>
      <x:c r="Q138" t="n">
        <x:f>IFERROR(VALUE(LEFT(D138,SEARCH("h",D138)-1)),0)*3600+IFERROR(VALUE(MID(D138,IFERROR(SEARCH("h ",D138)+2,1),SEARCH("m",D138)-IFERROR(SEARCH("h ",D138)+2,1))),0)*60+IFERROR(VALUE(MID(D138,IFERROR(SEARCH("m ",D138)+2,IFERROR(SEARCH("h ",D138)+2,1)),SEARCH("s",D138)-IFERROR(SEARCH("m ",D138)+2,IFERROR(SEARCH("h ",D138)+2,1)))),0)</x:f>
        <x:v>2341</x:v>
      </x:c>
      <x:c r="R138" t="str">
        <x:f>IF(P138="","No",IF(COUNTIF('Employee Attendance'!$D$2:$D$670,P138)&gt;0,"Yes","No"))</x:f>
        <x:v>Yes</x:v>
      </x:c>
    </x:row>
    <x:row r="139">
      <x:c r="A139" t="s">
        <x:v>2178</x:v>
      </x:c>
      <x:c r="B139" t="s">
        <x:v>2179</x:v>
      </x:c>
      <x:c r="C139" t="s">
        <x:v>2180</x:v>
      </x:c>
      <x:c r="D139" t="s">
        <x:v>2181</x:v>
      </x:c>
      <x:c r="E139" t="s">
        <x:v>2182</x:v>
      </x:c>
      <x:c r="F139" t="s">
        <x:v>2182</x:v>
      </x:c>
      <x:c r="G139" t="s">
        <x:v>1690</x:v>
      </x:c>
      <x:c r="P139" t="str">
        <x:f>LOWER(TRIM(SUBSTITUTE(E139,CHAR(160)," ")))</x:f>
        <x:v>successful.amani@pwc.com</x:v>
      </x:c>
      <x:c r="Q139" t="n">
        <x:f>IFERROR(VALUE(LEFT(D139,SEARCH("h",D139)-1)),0)*3600+IFERROR(VALUE(MID(D139,IFERROR(SEARCH("h ",D139)+2,1),SEARCH("m",D139)-IFERROR(SEARCH("h ",D139)+2,1))),0)*60+IFERROR(VALUE(MID(D139,IFERROR(SEARCH("m ",D139)+2,IFERROR(SEARCH("h ",D139)+2,1)),SEARCH("s",D139)-IFERROR(SEARCH("m ",D139)+2,IFERROR(SEARCH("h ",D139)+2,1)))),0)</x:f>
        <x:v>7403</x:v>
      </x:c>
      <x:c r="R139" t="str">
        <x:f>IF(P139="","No",IF(COUNTIF('Employee Attendance'!$D$2:$D$670,P139)&gt;0,"Yes","No"))</x:f>
        <x:v>Yes</x:v>
      </x:c>
    </x:row>
    <x:row r="140">
      <x:c r="A140" t="s">
        <x:v>2183</x:v>
      </x:c>
      <x:c r="B140" t="s">
        <x:v>2184</x:v>
      </x:c>
      <x:c r="C140" t="s">
        <x:v>2185</x:v>
      </x:c>
      <x:c r="D140" t="s">
        <x:v>2186</x:v>
      </x:c>
      <x:c r="E140" t="s">
        <x:v>2187</x:v>
      </x:c>
      <x:c r="F140" t="s">
        <x:v>2187</x:v>
      </x:c>
      <x:c r="G140" t="s">
        <x:v>1690</x:v>
      </x:c>
      <x:c r="P140" t="str">
        <x:f>LOWER(TRIM(SUBSTITUTE(E140,CHAR(160)," ")))</x:f>
        <x:v>uthman.mayanja@pwc.com</x:v>
      </x:c>
      <x:c r="Q140" t="n">
        <x:f>IFERROR(VALUE(LEFT(D140,SEARCH("h",D140)-1)),0)*3600+IFERROR(VALUE(MID(D140,IFERROR(SEARCH("h ",D140)+2,1),SEARCH("m",D140)-IFERROR(SEARCH("h ",D140)+2,1))),0)*60+IFERROR(VALUE(MID(D140,IFERROR(SEARCH("m ",D140)+2,IFERROR(SEARCH("h ",D140)+2,1)),SEARCH("s",D140)-IFERROR(SEARCH("m ",D140)+2,IFERROR(SEARCH("h ",D140)+2,1)))),0)</x:f>
        <x:v>8827</x:v>
      </x:c>
      <x:c r="R140" t="str">
        <x:f>IF(P140="","No",IF(COUNTIF('Employee Attendance'!$D$2:$D$670,P140)&gt;0,"Yes","No"))</x:f>
        <x:v>Yes</x:v>
      </x:c>
    </x:row>
    <x:row r="141">
      <x:c r="A141" t="s">
        <x:v>2188</x:v>
      </x:c>
      <x:c r="B141" t="s">
        <x:v>2189</x:v>
      </x:c>
      <x:c r="C141" t="s">
        <x:v>2190</x:v>
      </x:c>
      <x:c r="D141" t="s">
        <x:v>2191</x:v>
      </x:c>
      <x:c r="E141" t="s">
        <x:v>2192</x:v>
      </x:c>
      <x:c r="F141" t="s">
        <x:v>2192</x:v>
      </x:c>
      <x:c r="G141" t="s">
        <x:v>1690</x:v>
      </x:c>
      <x:c r="P141" t="str">
        <x:f>LOWER(TRIM(SUBSTITUTE(E141,CHAR(160)," ")))</x:f>
        <x:v>homeshwaree.chaytoo@pwc.com</x:v>
      </x:c>
      <x:c r="Q141" t="n">
        <x:f>IFERROR(VALUE(LEFT(D141,SEARCH("h",D141)-1)),0)*3600+IFERROR(VALUE(MID(D141,IFERROR(SEARCH("h ",D141)+2,1),SEARCH("m",D141)-IFERROR(SEARCH("h ",D141)+2,1))),0)*60+IFERROR(VALUE(MID(D141,IFERROR(SEARCH("m ",D141)+2,IFERROR(SEARCH("h ",D141)+2,1)),SEARCH("s",D141)-IFERROR(SEARCH("m ",D141)+2,IFERROR(SEARCH("h ",D141)+2,1)))),0)</x:f>
        <x:v>5917</x:v>
      </x:c>
      <x:c r="R141" t="str">
        <x:f>IF(P141="","No",IF(COUNTIF('Employee Attendance'!$D$2:$D$670,P141)&gt;0,"Yes","No"))</x:f>
        <x:v>Yes</x:v>
      </x:c>
    </x:row>
    <x:row r="142">
      <x:c r="A142" t="s">
        <x:v>2193</x:v>
      </x:c>
      <x:c r="B142" t="s">
        <x:v>2194</x:v>
      </x:c>
      <x:c r="C142" t="s">
        <x:v>1675</x:v>
      </x:c>
      <x:c r="D142" t="s">
        <x:v>2195</x:v>
      </x:c>
      <x:c r="E142" t="s">
        <x:v>2196</x:v>
      </x:c>
      <x:c r="F142" t="s">
        <x:v>2196</x:v>
      </x:c>
      <x:c r="G142" t="s">
        <x:v>1690</x:v>
      </x:c>
      <x:c r="O142">
        <x:v>1</x:v>
      </x:c>
      <x:c r="P142" t="str">
        <x:f>LOWER(TRIM(SUBSTITUTE(E142,CHAR(160)," ")))</x:f>
        <x:v>keziah.muchiri@pwc.com</x:v>
      </x:c>
      <x:c r="Q142" t="n">
        <x:f>IFERROR(VALUE(LEFT(D142,SEARCH("h",D142)-1)),0)*3600+IFERROR(VALUE(MID(D142,IFERROR(SEARCH("h ",D142)+2,1),SEARCH("m",D142)-IFERROR(SEARCH("h ",D142)+2,1))),0)*60+IFERROR(VALUE(MID(D142,IFERROR(SEARCH("m ",D142)+2,IFERROR(SEARCH("h ",D142)+2,1)),SEARCH("s",D142)-IFERROR(SEARCH("m ",D142)+2,IFERROR(SEARCH("h ",D142)+2,1)))),0)</x:f>
        <x:v>6787</x:v>
      </x:c>
      <x:c r="R142" t="str">
        <x:f>IF(P142="","No",IF(COUNTIF('Employee Attendance'!$D$2:$D$670,P142)&gt;0,"Yes","No"))</x:f>
        <x:v>Yes</x:v>
      </x:c>
    </x:row>
    <x:row r="143">
      <x:c r="A143" t="s">
        <x:v>184</x:v>
      </x:c>
      <x:c r="B143" t="s">
        <x:v>2197</x:v>
      </x:c>
      <x:c r="C143" t="s">
        <x:v>1894</x:v>
      </x:c>
      <x:c r="D143" t="s">
        <x:v>2198</x:v>
      </x:c>
      <x:c r="E143" t="s">
        <x:v>187</x:v>
      </x:c>
      <x:c r="F143" t="s">
        <x:v>187</x:v>
      </x:c>
      <x:c r="G143" t="s">
        <x:v>1690</x:v>
      </x:c>
      <x:c r="P143" t="str">
        <x:f>LOWER(TRIM(SUBSTITUTE(E143,CHAR(160)," ")))</x:f>
        <x:v>neetisha.cheekhooree@pwc.com</x:v>
      </x:c>
      <x:c r="Q143" t="n">
        <x:f>IFERROR(VALUE(LEFT(D143,SEARCH("h",D143)-1)),0)*3600+IFERROR(VALUE(MID(D143,IFERROR(SEARCH("h ",D143)+2,1),SEARCH("m",D143)-IFERROR(SEARCH("h ",D143)+2,1))),0)*60+IFERROR(VALUE(MID(D143,IFERROR(SEARCH("m ",D143)+2,IFERROR(SEARCH("h ",D143)+2,1)),SEARCH("s",D143)-IFERROR(SEARCH("m ",D143)+2,IFERROR(SEARCH("h ",D143)+2,1)))),0)</x:f>
        <x:v>7375</x:v>
      </x:c>
      <x:c r="R143" t="str">
        <x:f>IF(P143="","No",IF(COUNTIF('Employee Attendance'!$D$2:$D$670,P143)&gt;0,"Yes","No"))</x:f>
        <x:v>Yes</x:v>
      </x:c>
    </x:row>
    <x:row r="144">
      <x:c r="A144" t="s">
        <x:v>599</x:v>
      </x:c>
      <x:c r="B144" t="s">
        <x:v>2199</x:v>
      </x:c>
      <x:c r="C144" t="s">
        <x:v>1928</x:v>
      </x:c>
      <x:c r="D144" t="s">
        <x:v>353</x:v>
      </x:c>
      <x:c r="E144" t="s">
        <x:v>602</x:v>
      </x:c>
      <x:c r="F144" t="s">
        <x:v>602</x:v>
      </x:c>
      <x:c r="G144" t="s">
        <x:v>1690</x:v>
      </x:c>
      <x:c r="P144" t="str">
        <x:f>LOWER(TRIM(SUBSTITUTE(E144,CHAR(160)," ")))</x:f>
        <x:v>alice.nderitu@pwc.com</x:v>
      </x:c>
      <x:c r="Q144" t="n">
        <x:f>IFERROR(VALUE(LEFT(D144,SEARCH("h",D144)-1)),0)*3600+IFERROR(VALUE(MID(D144,IFERROR(SEARCH("h ",D144)+2,1),SEARCH("m",D144)-IFERROR(SEARCH("h ",D144)+2,1))),0)*60+IFERROR(VALUE(MID(D144,IFERROR(SEARCH("m ",D144)+2,IFERROR(SEARCH("h ",D144)+2,1)),SEARCH("s",D144)-IFERROR(SEARCH("m ",D144)+2,IFERROR(SEARCH("h ",D144)+2,1)))),0)</x:f>
        <x:v>7350</x:v>
      </x:c>
      <x:c r="R144" t="str">
        <x:f>IF(P144="","No",IF(COUNTIF('Employee Attendance'!$D$2:$D$670,P144)&gt;0,"Yes","No"))</x:f>
        <x:v>Yes</x:v>
      </x:c>
    </x:row>
    <x:row r="145">
      <x:c r="A145" t="s">
        <x:v>2200</x:v>
      </x:c>
      <x:c r="B145" t="s">
        <x:v>2201</x:v>
      </x:c>
      <x:c r="C145" t="s">
        <x:v>2015</x:v>
      </x:c>
      <x:c r="D145" t="s">
        <x:v>2202</x:v>
      </x:c>
      <x:c r="E145" t="s">
        <x:v>2203</x:v>
      </x:c>
      <x:c r="F145" t="s">
        <x:v>2203</x:v>
      </x:c>
      <x:c r="G145" t="s">
        <x:v>1690</x:v>
      </x:c>
      <x:c r="P145" t="str">
        <x:f>LOWER(TRIM(SUBSTITUTE(E145,CHAR(160)," ")))</x:f>
        <x:v>elizabeth.kway@pwc.com</x:v>
      </x:c>
      <x:c r="Q145" t="n">
        <x:f>IFERROR(VALUE(LEFT(D145,SEARCH("h",D145)-1)),0)*3600+IFERROR(VALUE(MID(D145,IFERROR(SEARCH("h ",D145)+2,1),SEARCH("m",D145)-IFERROR(SEARCH("h ",D145)+2,1))),0)*60+IFERROR(VALUE(MID(D145,IFERROR(SEARCH("m ",D145)+2,IFERROR(SEARCH("h ",D145)+2,1)),SEARCH("s",D145)-IFERROR(SEARCH("m ",D145)+2,IFERROR(SEARCH("h ",D145)+2,1)))),0)</x:f>
        <x:v>7353</x:v>
      </x:c>
      <x:c r="R145" t="str">
        <x:f>IF(P145="","No",IF(COUNTIF('Employee Attendance'!$D$2:$D$670,P145)&gt;0,"Yes","No"))</x:f>
        <x:v>Yes</x:v>
      </x:c>
    </x:row>
    <x:row r="146">
      <x:c r="A146" t="s">
        <x:v>2204</x:v>
      </x:c>
      <x:c r="B146" t="s">
        <x:v>2205</x:v>
      </x:c>
      <x:c r="C146" t="s">
        <x:v>2127</x:v>
      </x:c>
      <x:c r="D146" t="s">
        <x:v>2075</x:v>
      </x:c>
      <x:c r="E146" t="s">
        <x:v>2206</x:v>
      </x:c>
      <x:c r="F146" t="s">
        <x:v>2206</x:v>
      </x:c>
      <x:c r="G146" t="s">
        <x:v>1690</x:v>
      </x:c>
      <x:c r="P146" t="str">
        <x:f>LOWER(TRIM(SUBSTITUTE(E146,CHAR(160)," ")))</x:f>
        <x:v>andrew.musyimi@pwc.com</x:v>
      </x:c>
      <x:c r="Q146" t="n">
        <x:f>IFERROR(VALUE(LEFT(D146,SEARCH("h",D146)-1)),0)*3600+IFERROR(VALUE(MID(D146,IFERROR(SEARCH("h ",D146)+2,1),SEARCH("m",D146)-IFERROR(SEARCH("h ",D146)+2,1))),0)*60+IFERROR(VALUE(MID(D146,IFERROR(SEARCH("m ",D146)+2,IFERROR(SEARCH("h ",D146)+2,1)),SEARCH("s",D146)-IFERROR(SEARCH("m ",D146)+2,IFERROR(SEARCH("h ",D146)+2,1)))),0)</x:f>
        <x:v>7443</x:v>
      </x:c>
      <x:c r="R146" t="str">
        <x:f>IF(P146="","No",IF(COUNTIF('Employee Attendance'!$D$2:$D$670,P146)&gt;0,"Yes","No"))</x:f>
        <x:v>Yes</x:v>
      </x:c>
    </x:row>
    <x:row r="147">
      <x:c r="A147" t="s">
        <x:v>2207</x:v>
      </x:c>
      <x:c r="B147" t="s">
        <x:v>2208</x:v>
      </x:c>
      <x:c r="C147" t="s">
        <x:v>2209</x:v>
      </x:c>
      <x:c r="D147" t="s">
        <x:v>2210</x:v>
      </x:c>
      <x:c r="E147" t="s">
        <x:v>2211</x:v>
      </x:c>
      <x:c r="F147" t="s">
        <x:v>2211</x:v>
      </x:c>
      <x:c r="G147" t="s">
        <x:v>1690</x:v>
      </x:c>
      <x:c r="P147" t="str">
        <x:f>LOWER(TRIM(SUBSTITUTE(E147,CHAR(160)," ")))</x:f>
        <x:v>lawrence.macharia@pwc.com</x:v>
      </x:c>
      <x:c r="Q147" t="n">
        <x:f>IFERROR(VALUE(LEFT(D147,SEARCH("h",D147)-1)),0)*3600+IFERROR(VALUE(MID(D147,IFERROR(SEARCH("h ",D147)+2,1),SEARCH("m",D147)-IFERROR(SEARCH("h ",D147)+2,1))),0)*60+IFERROR(VALUE(MID(D147,IFERROR(SEARCH("m ",D147)+2,IFERROR(SEARCH("h ",D147)+2,1)),SEARCH("s",D147)-IFERROR(SEARCH("m ",D147)+2,IFERROR(SEARCH("h ",D147)+2,1)))),0)</x:f>
        <x:v>6864</x:v>
      </x:c>
      <x:c r="R147" t="str">
        <x:f>IF(P147="","No",IF(COUNTIF('Employee Attendance'!$D$2:$D$670,P147)&gt;0,"Yes","No"))</x:f>
        <x:v>Yes</x:v>
      </x:c>
    </x:row>
    <x:row r="148">
      <x:c r="A148" t="s">
        <x:v>934</x:v>
      </x:c>
      <x:c r="B148" t="s">
        <x:v>2212</x:v>
      </x:c>
      <x:c r="C148" t="s">
        <x:v>2213</x:v>
      </x:c>
      <x:c r="D148" t="s">
        <x:v>2214</x:v>
      </x:c>
      <x:c r="E148" t="s">
        <x:v>938</x:v>
      </x:c>
      <x:c r="F148" t="s">
        <x:v>938</x:v>
      </x:c>
      <x:c r="G148" t="s">
        <x:v>1690</x:v>
      </x:c>
      <x:c r="P148" t="str">
        <x:f>LOWER(TRIM(SUBSTITUTE(E148,CHAR(160)," ")))</x:f>
        <x:v>rayhaan.cadersa@pwc.com</x:v>
      </x:c>
      <x:c r="Q148" t="n">
        <x:f>IFERROR(VALUE(LEFT(D148,SEARCH("h",D148)-1)),0)*3600+IFERROR(VALUE(MID(D148,IFERROR(SEARCH("h ",D148)+2,1),SEARCH("m",D148)-IFERROR(SEARCH("h ",D148)+2,1))),0)*60+IFERROR(VALUE(MID(D148,IFERROR(SEARCH("m ",D148)+2,IFERROR(SEARCH("h ",D148)+2,1)),SEARCH("s",D148)-IFERROR(SEARCH("m ",D148)+2,IFERROR(SEARCH("h ",D148)+2,1)))),0)</x:f>
        <x:v>7268</x:v>
      </x:c>
      <x:c r="R148" t="str">
        <x:f>IF(P148="","No",IF(COUNTIF('Employee Attendance'!$D$2:$D$670,P148)&gt;0,"Yes","No"))</x:f>
        <x:v>Yes</x:v>
      </x:c>
    </x:row>
    <x:row r="149">
      <x:c r="A149" t="s">
        <x:v>2215</x:v>
      </x:c>
      <x:c r="B149" t="s">
        <x:v>2216</x:v>
      </x:c>
      <x:c r="C149" t="s">
        <x:v>1718</x:v>
      </x:c>
      <x:c r="D149" t="s">
        <x:v>2217</x:v>
      </x:c>
      <x:c r="E149" t="s">
        <x:v>2218</x:v>
      </x:c>
      <x:c r="F149" t="s">
        <x:v>2218</x:v>
      </x:c>
      <x:c r="G149" t="s">
        <x:v>1690</x:v>
      </x:c>
      <x:c r="O149">
        <x:v>2</x:v>
      </x:c>
      <x:c r="P149" t="str">
        <x:f>LOWER(TRIM(SUBSTITUTE(E149,CHAR(160)," ")))</x:f>
        <x:v>stella.githinji@pwc.com</x:v>
      </x:c>
      <x:c r="Q149" t="n">
        <x:f>IFERROR(VALUE(LEFT(D149,SEARCH("h",D149)-1)),0)*3600+IFERROR(VALUE(MID(D149,IFERROR(SEARCH("h ",D149)+2,1),SEARCH("m",D149)-IFERROR(SEARCH("h ",D149)+2,1))),0)*60+IFERROR(VALUE(MID(D149,IFERROR(SEARCH("m ",D149)+2,IFERROR(SEARCH("h ",D149)+2,1)),SEARCH("s",D149)-IFERROR(SEARCH("m ",D149)+2,IFERROR(SEARCH("h ",D149)+2,1)))),0)</x:f>
        <x:v>7344</x:v>
      </x:c>
      <x:c r="R149" t="str">
        <x:f>IF(P149="","No",IF(COUNTIF('Employee Attendance'!$D$2:$D$670,P149)&gt;0,"Yes","No"))</x:f>
        <x:v>Yes</x:v>
      </x:c>
    </x:row>
    <x:row r="150">
      <x:c r="A150" t="s">
        <x:v>2219</x:v>
      </x:c>
      <x:c r="B150" t="s">
        <x:v>2216</x:v>
      </x:c>
      <x:c r="C150" t="s">
        <x:v>2220</x:v>
      </x:c>
      <x:c r="D150" t="s">
        <x:v>2221</x:v>
      </x:c>
      <x:c r="E150" t="s">
        <x:v>2222</x:v>
      </x:c>
      <x:c r="F150" t="s">
        <x:v>2222</x:v>
      </x:c>
      <x:c r="G150" t="s">
        <x:v>1690</x:v>
      </x:c>
      <x:c r="P150" t="str">
        <x:f>LOWER(TRIM(SUBSTITUTE(E150,CHAR(160)," ")))</x:f>
        <x:v>melvin.xavier@pwc.com</x:v>
      </x:c>
      <x:c r="Q150" t="n">
        <x:f>IFERROR(VALUE(LEFT(D150,SEARCH("h",D150)-1)),0)*3600+IFERROR(VALUE(MID(D150,IFERROR(SEARCH("h ",D150)+2,1),SEARCH("m",D150)-IFERROR(SEARCH("h ",D150)+2,1))),0)*60+IFERROR(VALUE(MID(D150,IFERROR(SEARCH("m ",D150)+2,IFERROR(SEARCH("h ",D150)+2,1)),SEARCH("s",D150)-IFERROR(SEARCH("m ",D150)+2,IFERROR(SEARCH("h ",D150)+2,1)))),0)</x:f>
        <x:v>5346</x:v>
      </x:c>
      <x:c r="R150" t="str">
        <x:f>IF(P150="","No",IF(COUNTIF('Employee Attendance'!$D$2:$D$670,P150)&gt;0,"Yes","No"))</x:f>
        <x:v>Yes</x:v>
      </x:c>
    </x:row>
    <x:row r="151">
      <x:c r="A151" t="s">
        <x:v>2223</x:v>
      </x:c>
      <x:c r="B151" t="s">
        <x:v>2224</x:v>
      </x:c>
      <x:c r="C151" t="s">
        <x:v>2225</x:v>
      </x:c>
      <x:c r="D151" t="s">
        <x:v>2226</x:v>
      </x:c>
      <x:c r="E151" t="s">
        <x:v>2227</x:v>
      </x:c>
      <x:c r="F151" t="s">
        <x:v>2227</x:v>
      </x:c>
      <x:c r="G151" t="s">
        <x:v>1690</x:v>
      </x:c>
      <x:c r="P151" t="str">
        <x:f>LOWER(TRIM(SUBSTITUTE(E151,CHAR(160)," ")))</x:f>
        <x:v>zaynah.z.burkuth@pwc.com</x:v>
      </x:c>
      <x:c r="Q151" t="n">
        <x:f>IFERROR(VALUE(LEFT(D151,SEARCH("h",D151)-1)),0)*3600+IFERROR(VALUE(MID(D151,IFERROR(SEARCH("h ",D151)+2,1),SEARCH("m",D151)-IFERROR(SEARCH("h ",D151)+2,1))),0)*60+IFERROR(VALUE(MID(D151,IFERROR(SEARCH("m ",D151)+2,IFERROR(SEARCH("h ",D151)+2,1)),SEARCH("s",D151)-IFERROR(SEARCH("m ",D151)+2,IFERROR(SEARCH("h ",D151)+2,1)))),0)</x:f>
        <x:v>7494</x:v>
      </x:c>
      <x:c r="R151" t="str">
        <x:f>IF(P151="","No",IF(COUNTIF('Employee Attendance'!$D$2:$D$670,P151)&gt;0,"Yes","No"))</x:f>
        <x:v>Yes</x:v>
      </x:c>
    </x:row>
    <x:row r="152">
      <x:c r="A152" t="s">
        <x:v>2228</x:v>
      </x:c>
      <x:c r="B152" t="s">
        <x:v>2229</x:v>
      </x:c>
      <x:c r="C152" t="s">
        <x:v>2180</x:v>
      </x:c>
      <x:c r="D152" t="s">
        <x:v>2230</x:v>
      </x:c>
      <x:c r="E152" t="s">
        <x:v>2231</x:v>
      </x:c>
      <x:c r="F152" t="s">
        <x:v>2231</x:v>
      </x:c>
      <x:c r="G152" t="s">
        <x:v>1690</x:v>
      </x:c>
      <x:c r="P152" t="str">
        <x:f>LOWER(TRIM(SUBSTITUTE(E152,CHAR(160)," ")))</x:f>
        <x:v>gillian.elwor@pwc.com</x:v>
      </x:c>
      <x:c r="Q152" t="n">
        <x:f>IFERROR(VALUE(LEFT(D152,SEARCH("h",D152)-1)),0)*3600+IFERROR(VALUE(MID(D152,IFERROR(SEARCH("h ",D152)+2,1),SEARCH("m",D152)-IFERROR(SEARCH("h ",D152)+2,1))),0)*60+IFERROR(VALUE(MID(D152,IFERROR(SEARCH("m ",D152)+2,IFERROR(SEARCH("h ",D152)+2,1)),SEARCH("s",D152)-IFERROR(SEARCH("m ",D152)+2,IFERROR(SEARCH("h ",D152)+2,1)))),0)</x:f>
        <x:v>7342</x:v>
      </x:c>
      <x:c r="R152" t="str">
        <x:f>IF(P152="","No",IF(COUNTIF('Employee Attendance'!$D$2:$D$670,P152)&gt;0,"Yes","No"))</x:f>
        <x:v>Yes</x:v>
      </x:c>
    </x:row>
    <x:row r="153">
      <x:c r="A153" t="s">
        <x:v>1123</x:v>
      </x:c>
      <x:c r="B153" t="s">
        <x:v>2232</x:v>
      </x:c>
      <x:c r="C153" t="s">
        <x:v>2233</x:v>
      </x:c>
      <x:c r="D153" t="s">
        <x:v>2234</x:v>
      </x:c>
      <x:c r="E153" t="s">
        <x:v>1126</x:v>
      </x:c>
      <x:c r="F153" t="s">
        <x:v>1126</x:v>
      </x:c>
      <x:c r="G153" t="s">
        <x:v>1690</x:v>
      </x:c>
      <x:c r="P153" t="str">
        <x:f>LOWER(TRIM(SUBSTITUTE(E153,CHAR(160)," ")))</x:f>
        <x:v>kerry.watiri@pwc.com</x:v>
      </x:c>
      <x:c r="Q153" t="n">
        <x:f>IFERROR(VALUE(LEFT(D153,SEARCH("h",D153)-1)),0)*3600+IFERROR(VALUE(MID(D153,IFERROR(SEARCH("h ",D153)+2,1),SEARCH("m",D153)-IFERROR(SEARCH("h ",D153)+2,1))),0)*60+IFERROR(VALUE(MID(D153,IFERROR(SEARCH("m ",D153)+2,IFERROR(SEARCH("h ",D153)+2,1)),SEARCH("s",D153)-IFERROR(SEARCH("m ",D153)+2,IFERROR(SEARCH("h ",D153)+2,1)))),0)</x:f>
        <x:v>8269</x:v>
      </x:c>
      <x:c r="R153" t="str">
        <x:f>IF(P153="","No",IF(COUNTIF('Employee Attendance'!$D$2:$D$670,P153)&gt;0,"Yes","No"))</x:f>
        <x:v>Yes</x:v>
      </x:c>
    </x:row>
    <x:row r="154">
      <x:c r="A154" t="s">
        <x:v>2235</x:v>
      </x:c>
      <x:c r="B154" t="s">
        <x:v>2236</x:v>
      </x:c>
      <x:c r="C154" t="s">
        <x:v>1969</x:v>
      </x:c>
      <x:c r="D154" t="s">
        <x:v>2237</x:v>
      </x:c>
      <x:c r="E154" t="s">
        <x:v>2238</x:v>
      </x:c>
      <x:c r="F154" t="s">
        <x:v>2238</x:v>
      </x:c>
      <x:c r="G154" t="s">
        <x:v>1690</x:v>
      </x:c>
      <x:c r="O154">
        <x:v>1</x:v>
      </x:c>
      <x:c r="P154" t="str">
        <x:f>LOWER(TRIM(SUBSTITUTE(E154,CHAR(160)," ")))</x:f>
        <x:v>obed.manunshu@pwc.com</x:v>
      </x:c>
      <x:c r="Q154" t="n">
        <x:f>IFERROR(VALUE(LEFT(D154,SEARCH("h",D154)-1)),0)*3600+IFERROR(VALUE(MID(D154,IFERROR(SEARCH("h ",D154)+2,1),SEARCH("m",D154)-IFERROR(SEARCH("h ",D154)+2,1))),0)*60+IFERROR(VALUE(MID(D154,IFERROR(SEARCH("m ",D154)+2,IFERROR(SEARCH("h ",D154)+2,1)),SEARCH("s",D154)-IFERROR(SEARCH("m ",D154)+2,IFERROR(SEARCH("h ",D154)+2,1)))),0)</x:f>
        <x:v>7323</x:v>
      </x:c>
      <x:c r="R154" t="str">
        <x:f>IF(P154="","No",IF(COUNTIF('Employee Attendance'!$D$2:$D$670,P154)&gt;0,"Yes","No"))</x:f>
        <x:v>Yes</x:v>
      </x:c>
    </x:row>
    <x:row r="155">
      <x:c r="A155" t="s">
        <x:v>192</x:v>
      </x:c>
      <x:c r="B155" t="s">
        <x:v>2239</x:v>
      </x:c>
      <x:c r="C155" t="s">
        <x:v>2240</x:v>
      </x:c>
      <x:c r="D155" t="s">
        <x:v>870</x:v>
      </x:c>
      <x:c r="E155" t="s">
        <x:v>193</x:v>
      </x:c>
      <x:c r="F155" t="s">
        <x:v>193</x:v>
      </x:c>
      <x:c r="G155" t="s">
        <x:v>1690</x:v>
      </x:c>
      <x:c r="P155" t="str">
        <x:f>LOWER(TRIM(SUBSTITUTE(E155,CHAR(160)," ")))</x:f>
        <x:v>catherine.mlay@pwc.com</x:v>
      </x:c>
      <x:c r="Q155" t="n">
        <x:f>IFERROR(VALUE(LEFT(D155,SEARCH("h",D155)-1)),0)*3600+IFERROR(VALUE(MID(D155,IFERROR(SEARCH("h ",D155)+2,1),SEARCH("m",D155)-IFERROR(SEARCH("h ",D155)+2,1))),0)*60+IFERROR(VALUE(MID(D155,IFERROR(SEARCH("m ",D155)+2,IFERROR(SEARCH("h ",D155)+2,1)),SEARCH("s",D155)-IFERROR(SEARCH("m ",D155)+2,IFERROR(SEARCH("h ",D155)+2,1)))),0)</x:f>
        <x:v>5114</x:v>
      </x:c>
      <x:c r="R155" t="str">
        <x:f>IF(P155="","No",IF(COUNTIF('Employee Attendance'!$D$2:$D$670,P155)&gt;0,"Yes","No"))</x:f>
        <x:v>Yes</x:v>
      </x:c>
    </x:row>
    <x:row r="156">
      <x:c r="A156" t="s">
        <x:v>2241</x:v>
      </x:c>
      <x:c r="B156" t="s">
        <x:v>2242</x:v>
      </x:c>
      <x:c r="C156" t="s">
        <x:v>1969</x:v>
      </x:c>
      <x:c r="D156" t="s">
        <x:v>2243</x:v>
      </x:c>
      <x:c r="E156" t="s">
        <x:v>2244</x:v>
      </x:c>
      <x:c r="F156" t="s">
        <x:v>2244</x:v>
      </x:c>
      <x:c r="G156" t="s">
        <x:v>1690</x:v>
      </x:c>
      <x:c r="P156" t="str">
        <x:f>LOWER(TRIM(SUBSTITUTE(E156,CHAR(160)," ")))</x:f>
        <x:v>ridhiwani.mohammed@pwc.com</x:v>
      </x:c>
      <x:c r="Q156" t="n">
        <x:f>IFERROR(VALUE(LEFT(D156,SEARCH("h",D156)-1)),0)*3600+IFERROR(VALUE(MID(D156,IFERROR(SEARCH("h ",D156)+2,1),SEARCH("m",D156)-IFERROR(SEARCH("h ",D156)+2,1))),0)*60+IFERROR(VALUE(MID(D156,IFERROR(SEARCH("m ",D156)+2,IFERROR(SEARCH("h ",D156)+2,1)),SEARCH("s",D156)-IFERROR(SEARCH("m ",D156)+2,IFERROR(SEARCH("h ",D156)+2,1)))),0)</x:f>
        <x:v>7305</x:v>
      </x:c>
      <x:c r="R156" t="str">
        <x:f>IF(P156="","No",IF(COUNTIF('Employee Attendance'!$D$2:$D$670,P156)&gt;0,"Yes","No"))</x:f>
        <x:v>Yes</x:v>
      </x:c>
    </x:row>
    <x:row r="157">
      <x:c r="A157" t="s">
        <x:v>2245</x:v>
      </x:c>
      <x:c r="B157" t="s">
        <x:v>2242</x:v>
      </x:c>
      <x:c r="C157" t="s">
        <x:v>1698</x:v>
      </x:c>
      <x:c r="D157" t="s">
        <x:v>2246</x:v>
      </x:c>
      <x:c r="E157" t="s">
        <x:v>2247</x:v>
      </x:c>
      <x:c r="F157" t="s">
        <x:v>2247</x:v>
      </x:c>
      <x:c r="G157" t="s">
        <x:v>1690</x:v>
      </x:c>
      <x:c r="P157" t="str">
        <x:f>LOWER(TRIM(SUBSTITUTE(E157,CHAR(160)," ")))</x:f>
        <x:v>lena.o.odara@pwc.com</x:v>
      </x:c>
      <x:c r="Q157" t="n">
        <x:f>IFERROR(VALUE(LEFT(D157,SEARCH("h",D157)-1)),0)*3600+IFERROR(VALUE(MID(D157,IFERROR(SEARCH("h ",D157)+2,1),SEARCH("m",D157)-IFERROR(SEARCH("h ",D157)+2,1))),0)*60+IFERROR(VALUE(MID(D157,IFERROR(SEARCH("m ",D157)+2,IFERROR(SEARCH("h ",D157)+2,1)),SEARCH("s",D157)-IFERROR(SEARCH("m ",D157)+2,IFERROR(SEARCH("h ",D157)+2,1)))),0)</x:f>
        <x:v>7078</x:v>
      </x:c>
      <x:c r="R157" t="str">
        <x:f>IF(P157="","No",IF(COUNTIF('Employee Attendance'!$D$2:$D$670,P157)&gt;0,"Yes","No"))</x:f>
        <x:v>Yes</x:v>
      </x:c>
    </x:row>
    <x:row r="158">
      <x:c r="A158" t="s">
        <x:v>2248</x:v>
      </x:c>
      <x:c r="B158" t="s">
        <x:v>2249</x:v>
      </x:c>
      <x:c r="C158" t="s">
        <x:v>1678</x:v>
      </x:c>
      <x:c r="D158" t="s">
        <x:v>2250</x:v>
      </x:c>
      <x:c r="E158" t="s">
        <x:v>2251</x:v>
      </x:c>
      <x:c r="F158" t="s">
        <x:v>2251</x:v>
      </x:c>
      <x:c r="G158" t="s">
        <x:v>1690</x:v>
      </x:c>
      <x:c r="P158" t="str">
        <x:f>LOWER(TRIM(SUBSTITUTE(E158,CHAR(160)," ")))</x:f>
        <x:v>george.mukupa@pwc.com</x:v>
      </x:c>
      <x:c r="Q158" t="n">
        <x:f>IFERROR(VALUE(LEFT(D158,SEARCH("h",D158)-1)),0)*3600+IFERROR(VALUE(MID(D158,IFERROR(SEARCH("h ",D158)+2,1),SEARCH("m",D158)-IFERROR(SEARCH("h ",D158)+2,1))),0)*60+IFERROR(VALUE(MID(D158,IFERROR(SEARCH("m ",D158)+2,IFERROR(SEARCH("h ",D158)+2,1)),SEARCH("s",D158)-IFERROR(SEARCH("m ",D158)+2,IFERROR(SEARCH("h ",D158)+2,1)))),0)</x:f>
        <x:v>7296</x:v>
      </x:c>
      <x:c r="R158" t="str">
        <x:f>IF(P158="","No",IF(COUNTIF('Employee Attendance'!$D$2:$D$670,P158)&gt;0,"Yes","No"))</x:f>
        <x:v>Yes</x:v>
      </x:c>
    </x:row>
    <x:row r="159">
      <x:c r="A159" t="s">
        <x:v>2252</x:v>
      </x:c>
      <x:c r="B159" t="s">
        <x:v>2253</x:v>
      </x:c>
      <x:c r="C159" t="s">
        <x:v>2254</x:v>
      </x:c>
      <x:c r="D159" t="s">
        <x:v>2255</x:v>
      </x:c>
      <x:c r="E159" t="s">
        <x:v>2256</x:v>
      </x:c>
      <x:c r="F159" t="s">
        <x:v>2256</x:v>
      </x:c>
      <x:c r="G159" t="s">
        <x:v>1690</x:v>
      </x:c>
      <x:c r="P159" t="str">
        <x:f>LOWER(TRIM(SUBSTITUTE(E159,CHAR(160)," ")))</x:f>
        <x:v>susan.namwanje@pwc.com</x:v>
      </x:c>
      <x:c r="Q159" t="n">
        <x:f>IFERROR(VALUE(LEFT(D159,SEARCH("h",D159)-1)),0)*3600+IFERROR(VALUE(MID(D159,IFERROR(SEARCH("h ",D159)+2,1),SEARCH("m",D159)-IFERROR(SEARCH("h ",D159)+2,1))),0)*60+IFERROR(VALUE(MID(D159,IFERROR(SEARCH("m ",D159)+2,IFERROR(SEARCH("h ",D159)+2,1)),SEARCH("s",D159)-IFERROR(SEARCH("m ",D159)+2,IFERROR(SEARCH("h ",D159)+2,1)))),0)</x:f>
        <x:v>7952</x:v>
      </x:c>
      <x:c r="R159" t="str">
        <x:f>IF(P159="","No",IF(COUNTIF('Employee Attendance'!$D$2:$D$670,P159)&gt;0,"Yes","No"))</x:f>
        <x:v>Yes</x:v>
      </x:c>
    </x:row>
    <x:row r="160">
      <x:c r="A160" t="s">
        <x:v>2257</x:v>
      </x:c>
      <x:c r="B160" t="s">
        <x:v>2258</x:v>
      </x:c>
      <x:c r="C160" t="s">
        <x:v>2180</x:v>
      </x:c>
      <x:c r="D160" t="s">
        <x:v>2259</x:v>
      </x:c>
      <x:c r="E160" t="s">
        <x:v>2260</x:v>
      </x:c>
      <x:c r="F160" t="s">
        <x:v>2260</x:v>
      </x:c>
      <x:c r="G160" t="s">
        <x:v>1690</x:v>
      </x:c>
      <x:c r="P160" t="str">
        <x:f>LOWER(TRIM(SUBSTITUTE(E160,CHAR(160)," ")))</x:f>
        <x:v>christophe.fok.king@pwc.com</x:v>
      </x:c>
      <x:c r="Q160" t="n">
        <x:f>IFERROR(VALUE(LEFT(D160,SEARCH("h",D160)-1)),0)*3600+IFERROR(VALUE(MID(D160,IFERROR(SEARCH("h ",D160)+2,1),SEARCH("m",D160)-IFERROR(SEARCH("h ",D160)+2,1))),0)*60+IFERROR(VALUE(MID(D160,IFERROR(SEARCH("m ",D160)+2,IFERROR(SEARCH("h ",D160)+2,1)),SEARCH("s",D160)-IFERROR(SEARCH("m ",D160)+2,IFERROR(SEARCH("h ",D160)+2,1)))),0)</x:f>
        <x:v>7307</x:v>
      </x:c>
      <x:c r="R160" t="str">
        <x:f>IF(P160="","No",IF(COUNTIF('Employee Attendance'!$D$2:$D$670,P160)&gt;0,"Yes","No"))</x:f>
        <x:v>Yes</x:v>
      </x:c>
    </x:row>
    <x:row r="161">
      <x:c r="A161" t="s">
        <x:v>2261</x:v>
      </x:c>
      <x:c r="B161" t="s">
        <x:v>2262</x:v>
      </x:c>
      <x:c r="C161" t="s">
        <x:v>2263</x:v>
      </x:c>
      <x:c r="D161" t="s">
        <x:v>2264</x:v>
      </x:c>
      <x:c r="E161" t="s">
        <x:v>2265</x:v>
      </x:c>
      <x:c r="F161" t="s">
        <x:v>2265</x:v>
      </x:c>
      <x:c r="G161" t="s">
        <x:v>1690</x:v>
      </x:c>
      <x:c r="P161" t="str">
        <x:f>LOWER(TRIM(SUBSTITUTE(E161,CHAR(160)," ")))</x:f>
        <x:v>kioko.nzuki@pwc.com</x:v>
      </x:c>
      <x:c r="Q161" t="n">
        <x:f>IFERROR(VALUE(LEFT(D161,SEARCH("h",D161)-1)),0)*3600+IFERROR(VALUE(MID(D161,IFERROR(SEARCH("h ",D161)+2,1),SEARCH("m",D161)-IFERROR(SEARCH("h ",D161)+2,1))),0)*60+IFERROR(VALUE(MID(D161,IFERROR(SEARCH("m ",D161)+2,IFERROR(SEARCH("h ",D161)+2,1)),SEARCH("s",D161)-IFERROR(SEARCH("m ",D161)+2,IFERROR(SEARCH("h ",D161)+2,1)))),0)</x:f>
        <x:v>3189</x:v>
      </x:c>
      <x:c r="R161" t="str">
        <x:f>IF(P161="","No",IF(COUNTIF('Employee Attendance'!$D$2:$D$670,P161)&gt;0,"Yes","No"))</x:f>
        <x:v>Yes</x:v>
      </x:c>
    </x:row>
    <x:row r="162">
      <x:c r="A162" t="s">
        <x:v>890</x:v>
      </x:c>
      <x:c r="B162" t="s">
        <x:v>2262</x:v>
      </x:c>
      <x:c r="C162" t="s">
        <x:v>2266</x:v>
      </x:c>
      <x:c r="D162" t="s">
        <x:v>2267</x:v>
      </x:c>
      <x:c r="E162" t="s">
        <x:v>893</x:v>
      </x:c>
      <x:c r="F162" t="s">
        <x:v>893</x:v>
      </x:c>
      <x:c r="G162" t="s">
        <x:v>1690</x:v>
      </x:c>
      <x:c r="O162">
        <x:v>1</x:v>
      </x:c>
      <x:c r="P162" t="str">
        <x:f>LOWER(TRIM(SUBSTITUTE(E162,CHAR(160)," ")))</x:f>
        <x:v>angel.kwaye@pwc.com</x:v>
      </x:c>
      <x:c r="Q162" t="n">
        <x:f>IFERROR(VALUE(LEFT(D162,SEARCH("h",D162)-1)),0)*3600+IFERROR(VALUE(MID(D162,IFERROR(SEARCH("h ",D162)+2,1),SEARCH("m",D162)-IFERROR(SEARCH("h ",D162)+2,1))),0)*60+IFERROR(VALUE(MID(D162,IFERROR(SEARCH("m ",D162)+2,IFERROR(SEARCH("h ",D162)+2,1)),SEARCH("s",D162)-IFERROR(SEARCH("m ",D162)+2,IFERROR(SEARCH("h ",D162)+2,1)))),0)</x:f>
        <x:v>889</x:v>
      </x:c>
      <x:c r="R162" t="str">
        <x:f>IF(P162="","No",IF(COUNTIF('Employee Attendance'!$D$2:$D$670,P162)&gt;0,"Yes","No"))</x:f>
        <x:v>Yes</x:v>
      </x:c>
    </x:row>
    <x:row r="163">
      <x:c r="A163" t="s">
        <x:v>2268</x:v>
      </x:c>
      <x:c r="B163" t="s">
        <x:v>2269</x:v>
      </x:c>
      <x:c r="C163" t="s">
        <x:v>1687</x:v>
      </x:c>
      <x:c r="D163" t="s">
        <x:v>2270</x:v>
      </x:c>
      <x:c r="E163" t="s">
        <x:v>2271</x:v>
      </x:c>
      <x:c r="F163" t="s">
        <x:v>2271</x:v>
      </x:c>
      <x:c r="G163" t="s">
        <x:v>1690</x:v>
      </x:c>
      <x:c r="P163" t="str">
        <x:f>LOWER(TRIM(SUBSTITUTE(E163,CHAR(160)," ")))</x:f>
        <x:v>nelson.msuya@pwc.com</x:v>
      </x:c>
      <x:c r="Q163" t="n">
        <x:f>IFERROR(VALUE(LEFT(D163,SEARCH("h",D163)-1)),0)*3600+IFERROR(VALUE(MID(D163,IFERROR(SEARCH("h ",D163)+2,1),SEARCH("m",D163)-IFERROR(SEARCH("h ",D163)+2,1))),0)*60+IFERROR(VALUE(MID(D163,IFERROR(SEARCH("m ",D163)+2,IFERROR(SEARCH("h ",D163)+2,1)),SEARCH("s",D163)-IFERROR(SEARCH("m ",D163)+2,IFERROR(SEARCH("h ",D163)+2,1)))),0)</x:f>
        <x:v>6581</x:v>
      </x:c>
      <x:c r="R163" t="str">
        <x:f>IF(P163="","No",IF(COUNTIF('Employee Attendance'!$D$2:$D$670,P163)&gt;0,"Yes","No"))</x:f>
        <x:v>Yes</x:v>
      </x:c>
    </x:row>
    <x:row r="164">
      <x:c r="A164" t="s">
        <x:v>939</x:v>
      </x:c>
      <x:c r="B164" t="s">
        <x:v>2272</x:v>
      </x:c>
      <x:c r="C164" t="s">
        <x:v>2273</x:v>
      </x:c>
      <x:c r="D164" t="s">
        <x:v>2274</x:v>
      </x:c>
      <x:c r="E164" t="s">
        <x:v>943</x:v>
      </x:c>
      <x:c r="F164" t="s">
        <x:v>943</x:v>
      </x:c>
      <x:c r="G164" t="s">
        <x:v>1690</x:v>
      </x:c>
      <x:c r="P164" t="str">
        <x:f>LOWER(TRIM(SUBSTITUTE(E164,CHAR(160)," ")))</x:f>
        <x:v>anusha.jokhoo@pwc.com</x:v>
      </x:c>
      <x:c r="Q164" t="n">
        <x:f>IFERROR(VALUE(LEFT(D164,SEARCH("h",D164)-1)),0)*3600+IFERROR(VALUE(MID(D164,IFERROR(SEARCH("h ",D164)+2,1),SEARCH("m",D164)-IFERROR(SEARCH("h ",D164)+2,1))),0)*60+IFERROR(VALUE(MID(D164,IFERROR(SEARCH("m ",D164)+2,IFERROR(SEARCH("h ",D164)+2,1)),SEARCH("s",D164)-IFERROR(SEARCH("m ",D164)+2,IFERROR(SEARCH("h ",D164)+2,1)))),0)</x:f>
        <x:v>6853</x:v>
      </x:c>
      <x:c r="R164" t="str">
        <x:f>IF(P164="","No",IF(COUNTIF('Employee Attendance'!$D$2:$D$670,P164)&gt;0,"Yes","No"))</x:f>
        <x:v>Yes</x:v>
      </x:c>
    </x:row>
    <x:row r="165">
      <x:c r="A165" t="s">
        <x:v>2275</x:v>
      </x:c>
      <x:c r="B165" t="s">
        <x:v>2276</x:v>
      </x:c>
      <x:c r="C165" t="s">
        <x:v>2277</x:v>
      </x:c>
      <x:c r="D165" t="s">
        <x:v>2259</x:v>
      </x:c>
      <x:c r="E165" t="s">
        <x:v>2278</x:v>
      </x:c>
      <x:c r="F165" t="s">
        <x:v>2278</x:v>
      </x:c>
      <x:c r="G165" t="s">
        <x:v>1690</x:v>
      </x:c>
      <x:c r="O165">
        <x:v>1</x:v>
      </x:c>
      <x:c r="P165" t="str">
        <x:f>LOWER(TRIM(SUBSTITUTE(E165,CHAR(160)," ")))</x:f>
        <x:v>bellonce.nyambura@pwc.com</x:v>
      </x:c>
      <x:c r="Q165" t="n">
        <x:f>IFERROR(VALUE(LEFT(D165,SEARCH("h",D165)-1)),0)*3600+IFERROR(VALUE(MID(D165,IFERROR(SEARCH("h ",D165)+2,1),SEARCH("m",D165)-IFERROR(SEARCH("h ",D165)+2,1))),0)*60+IFERROR(VALUE(MID(D165,IFERROR(SEARCH("m ",D165)+2,IFERROR(SEARCH("h ",D165)+2,1)),SEARCH("s",D165)-IFERROR(SEARCH("m ",D165)+2,IFERROR(SEARCH("h ",D165)+2,1)))),0)</x:f>
        <x:v>7307</x:v>
      </x:c>
      <x:c r="R165" t="str">
        <x:f>IF(P165="","No",IF(COUNTIF('Employee Attendance'!$D$2:$D$670,P165)&gt;0,"Yes","No"))</x:f>
        <x:v>Yes</x:v>
      </x:c>
    </x:row>
    <x:row r="166">
      <x:c r="A166" t="s">
        <x:v>2279</x:v>
      </x:c>
      <x:c r="B166" t="s">
        <x:v>2280</x:v>
      </x:c>
      <x:c r="C166" t="s">
        <x:v>2281</x:v>
      </x:c>
      <x:c r="D166" t="s">
        <x:v>2282</x:v>
      </x:c>
      <x:c r="E166" t="s">
        <x:v>2283</x:v>
      </x:c>
      <x:c r="F166" t="s">
        <x:v>2283</x:v>
      </x:c>
      <x:c r="G166" t="s">
        <x:v>1690</x:v>
      </x:c>
      <x:c r="P166" t="str">
        <x:f>LOWER(TRIM(SUBSTITUTE(E166,CHAR(160)," ")))</x:f>
        <x:v>heather.tirikwel@pwc.com</x:v>
      </x:c>
      <x:c r="Q166" t="n">
        <x:f>IFERROR(VALUE(LEFT(D166,SEARCH("h",D166)-1)),0)*3600+IFERROR(VALUE(MID(D166,IFERROR(SEARCH("h ",D166)+2,1),SEARCH("m",D166)-IFERROR(SEARCH("h ",D166)+2,1))),0)*60+IFERROR(VALUE(MID(D166,IFERROR(SEARCH("m ",D166)+2,IFERROR(SEARCH("h ",D166)+2,1)),SEARCH("s",D166)-IFERROR(SEARCH("m ",D166)+2,IFERROR(SEARCH("h ",D166)+2,1)))),0)</x:f>
        <x:v>4189</x:v>
      </x:c>
      <x:c r="R166" t="str">
        <x:f>IF(P166="","No",IF(COUNTIF('Employee Attendance'!$D$2:$D$670,P166)&gt;0,"Yes","No"))</x:f>
        <x:v>Yes</x:v>
      </x:c>
    </x:row>
    <x:row r="167">
      <x:c r="A167" t="s">
        <x:v>2284</x:v>
      </x:c>
      <x:c r="B167" t="s">
        <x:v>2285</x:v>
      </x:c>
      <x:c r="C167" t="s">
        <x:v>2286</x:v>
      </x:c>
      <x:c r="D167" t="s">
        <x:v>2287</x:v>
      </x:c>
      <x:c r="E167" t="s">
        <x:v>2288</x:v>
      </x:c>
      <x:c r="F167" t="s">
        <x:v>2288</x:v>
      </x:c>
      <x:c r="G167" t="s">
        <x:v>1690</x:v>
      </x:c>
      <x:c r="P167" t="str">
        <x:f>LOWER(TRIM(SUBSTITUTE(E167,CHAR(160)," ")))</x:f>
        <x:v>wambui.gitau@pwc.com</x:v>
      </x:c>
      <x:c r="Q167" t="n">
        <x:f>IFERROR(VALUE(LEFT(D167,SEARCH("h",D167)-1)),0)*3600+IFERROR(VALUE(MID(D167,IFERROR(SEARCH("h ",D167)+2,1),SEARCH("m",D167)-IFERROR(SEARCH("h ",D167)+2,1))),0)*60+IFERROR(VALUE(MID(D167,IFERROR(SEARCH("m ",D167)+2,IFERROR(SEARCH("h ",D167)+2,1)),SEARCH("s",D167)-IFERROR(SEARCH("m ",D167)+2,IFERROR(SEARCH("h ",D167)+2,1)))),0)</x:f>
        <x:v>262</x:v>
      </x:c>
      <x:c r="R167" t="str">
        <x:f>IF(P167="","No",IF(COUNTIF('Employee Attendance'!$D$2:$D$670,P167)&gt;0,"Yes","No"))</x:f>
        <x:v>Yes</x:v>
      </x:c>
    </x:row>
    <x:row r="168">
      <x:c r="A168" t="s">
        <x:v>2289</x:v>
      </x:c>
      <x:c r="B168" t="s">
        <x:v>2290</x:v>
      </x:c>
      <x:c r="C168" t="s">
        <x:v>1683</x:v>
      </x:c>
      <x:c r="D168" t="s">
        <x:v>2291</x:v>
      </x:c>
      <x:c r="E168" t="s">
        <x:v>2292</x:v>
      </x:c>
      <x:c r="F168" t="s">
        <x:v>2292</x:v>
      </x:c>
      <x:c r="G168" t="s">
        <x:v>1690</x:v>
      </x:c>
      <x:c r="P168" t="str">
        <x:f>LOWER(TRIM(SUBSTITUTE(E168,CHAR(160)," ")))</x:f>
        <x:v>rune.arnold@pwc.com</x:v>
      </x:c>
      <x:c r="Q168" t="n">
        <x:f>IFERROR(VALUE(LEFT(D168,SEARCH("h",D168)-1)),0)*3600+IFERROR(VALUE(MID(D168,IFERROR(SEARCH("h ",D168)+2,1),SEARCH("m",D168)-IFERROR(SEARCH("h ",D168)+2,1))),0)*60+IFERROR(VALUE(MID(D168,IFERROR(SEARCH("m ",D168)+2,IFERROR(SEARCH("h ",D168)+2,1)),SEARCH("s",D168)-IFERROR(SEARCH("m ",D168)+2,IFERROR(SEARCH("h ",D168)+2,1)))),0)</x:f>
        <x:v>7238</x:v>
      </x:c>
      <x:c r="R168" t="str">
        <x:f>IF(P168="","No",IF(COUNTIF('Employee Attendance'!$D$2:$D$670,P168)&gt;0,"Yes","No"))</x:f>
        <x:v>Yes</x:v>
      </x:c>
    </x:row>
    <x:row r="169">
      <x:c r="A169" t="s">
        <x:v>2293</x:v>
      </x:c>
      <x:c r="B169" t="s">
        <x:v>2294</x:v>
      </x:c>
      <x:c r="C169" t="s">
        <x:v>1698</x:v>
      </x:c>
      <x:c r="D169" t="s">
        <x:v>2295</x:v>
      </x:c>
      <x:c r="E169" t="s">
        <x:v>2296</x:v>
      </x:c>
      <x:c r="F169" t="s">
        <x:v>2296</x:v>
      </x:c>
      <x:c r="G169" t="s">
        <x:v>1690</x:v>
      </x:c>
      <x:c r="P169" t="str">
        <x:f>LOWER(TRIM(SUBSTITUTE(E169,CHAR(160)," ")))</x:f>
        <x:v>clive.mayombwe@pwc.com</x:v>
      </x:c>
      <x:c r="Q169" t="n">
        <x:f>IFERROR(VALUE(LEFT(D169,SEARCH("h",D169)-1)),0)*3600+IFERROR(VALUE(MID(D169,IFERROR(SEARCH("h ",D169)+2,1),SEARCH("m",D169)-IFERROR(SEARCH("h ",D169)+2,1))),0)*60+IFERROR(VALUE(MID(D169,IFERROR(SEARCH("m ",D169)+2,IFERROR(SEARCH("h ",D169)+2,1)),SEARCH("s",D169)-IFERROR(SEARCH("m ",D169)+2,IFERROR(SEARCH("h ",D169)+2,1)))),0)</x:f>
        <x:v>7236</x:v>
      </x:c>
      <x:c r="R169" t="str">
        <x:f>IF(P169="","No",IF(COUNTIF('Employee Attendance'!$D$2:$D$670,P169)&gt;0,"Yes","No"))</x:f>
        <x:v>Yes</x:v>
      </x:c>
    </x:row>
    <x:row r="170">
      <x:c r="A170" t="s">
        <x:v>2297</x:v>
      </x:c>
      <x:c r="B170" t="s">
        <x:v>2298</x:v>
      </x:c>
      <x:c r="C170" t="s">
        <x:v>2046</x:v>
      </x:c>
      <x:c r="D170" t="s">
        <x:v>2299</x:v>
      </x:c>
      <x:c r="E170" t="s">
        <x:v>2300</x:v>
      </x:c>
      <x:c r="F170" t="s">
        <x:v>2300</x:v>
      </x:c>
      <x:c r="G170" t="s">
        <x:v>1690</x:v>
      </x:c>
      <x:c r="O170">
        <x:v>1</x:v>
      </x:c>
      <x:c r="P170" t="str">
        <x:f>LOWER(TRIM(SUBSTITUTE(E170,CHAR(160)," ")))</x:f>
        <x:v>margaret.akinyi@pwc.com</x:v>
      </x:c>
      <x:c r="Q170" t="n">
        <x:f>IFERROR(VALUE(LEFT(D170,SEARCH("h",D170)-1)),0)*3600+IFERROR(VALUE(MID(D170,IFERROR(SEARCH("h ",D170)+2,1),SEARCH("m",D170)-IFERROR(SEARCH("h ",D170)+2,1))),0)*60+IFERROR(VALUE(MID(D170,IFERROR(SEARCH("m ",D170)+2,IFERROR(SEARCH("h ",D170)+2,1)),SEARCH("s",D170)-IFERROR(SEARCH("m ",D170)+2,IFERROR(SEARCH("h ",D170)+2,1)))),0)</x:f>
        <x:v>3689</x:v>
      </x:c>
      <x:c r="R170" t="str">
        <x:f>IF(P170="","No",IF(COUNTIF('Employee Attendance'!$D$2:$D$670,P170)&gt;0,"Yes","No"))</x:f>
        <x:v>Yes</x:v>
      </x:c>
    </x:row>
    <x:row r="171">
      <x:c r="A171" t="s">
        <x:v>2301</x:v>
      </x:c>
      <x:c r="B171" t="s">
        <x:v>2302</x:v>
      </x:c>
      <x:c r="C171" t="s">
        <x:v>2107</x:v>
      </x:c>
      <x:c r="D171" t="s">
        <x:v>370</x:v>
      </x:c>
      <x:c r="E171" t="s">
        <x:v>2303</x:v>
      </x:c>
      <x:c r="F171" t="s">
        <x:v>2303</x:v>
      </x:c>
      <x:c r="G171" t="s">
        <x:v>1690</x:v>
      </x:c>
      <x:c r="P171" t="str">
        <x:f>LOWER(TRIM(SUBSTITUTE(E171,CHAR(160)," ")))</x:f>
        <x:v>benard.thiongo@pwc.com</x:v>
      </x:c>
      <x:c r="Q171" t="n">
        <x:f>IFERROR(VALUE(LEFT(D171,SEARCH("h",D171)-1)),0)*3600+IFERROR(VALUE(MID(D171,IFERROR(SEARCH("h ",D171)+2,1),SEARCH("m",D171)-IFERROR(SEARCH("h ",D171)+2,1))),0)*60+IFERROR(VALUE(MID(D171,IFERROR(SEARCH("m ",D171)+2,IFERROR(SEARCH("h ",D171)+2,1)),SEARCH("s",D171)-IFERROR(SEARCH("m ",D171)+2,IFERROR(SEARCH("h ",D171)+2,1)))),0)</x:f>
        <x:v>7277</x:v>
      </x:c>
      <x:c r="R171" t="str">
        <x:f>IF(P171="","No",IF(COUNTIF('Employee Attendance'!$D$2:$D$670,P171)&gt;0,"Yes","No"))</x:f>
        <x:v>Yes</x:v>
      </x:c>
    </x:row>
    <x:row r="172">
      <x:c r="A172" t="s">
        <x:v>270</x:v>
      </x:c>
      <x:c r="B172" t="s">
        <x:v>2304</x:v>
      </x:c>
      <x:c r="C172" t="s">
        <x:v>2305</x:v>
      </x:c>
      <x:c r="D172" t="s">
        <x:v>2306</x:v>
      </x:c>
      <x:c r="E172" t="s">
        <x:v>273</x:v>
      </x:c>
      <x:c r="F172" t="s">
        <x:v>273</x:v>
      </x:c>
      <x:c r="G172" t="s">
        <x:v>1690</x:v>
      </x:c>
      <x:c r="P172" t="str">
        <x:f>LOWER(TRIM(SUBSTITUTE(E172,CHAR(160)," ")))</x:f>
        <x:v>ezra.kemboi@pwc.com</x:v>
      </x:c>
      <x:c r="Q172" t="n">
        <x:f>IFERROR(VALUE(LEFT(D172,SEARCH("h",D172)-1)),0)*3600+IFERROR(VALUE(MID(D172,IFERROR(SEARCH("h ",D172)+2,1),SEARCH("m",D172)-IFERROR(SEARCH("h ",D172)+2,1))),0)*60+IFERROR(VALUE(MID(D172,IFERROR(SEARCH("m ",D172)+2,IFERROR(SEARCH("h ",D172)+2,1)),SEARCH("s",D172)-IFERROR(SEARCH("m ",D172)+2,IFERROR(SEARCH("h ",D172)+2,1)))),0)</x:f>
        <x:v>10591</x:v>
      </x:c>
      <x:c r="R172" t="str">
        <x:f>IF(P172="","No",IF(COUNTIF('Employee Attendance'!$D$2:$D$670,P172)&gt;0,"Yes","No"))</x:f>
        <x:v>Yes</x:v>
      </x:c>
    </x:row>
    <x:row r="173">
      <x:c r="A173" t="s">
        <x:v>2307</x:v>
      </x:c>
      <x:c r="B173" t="s">
        <x:v>2308</x:v>
      </x:c>
      <x:c r="C173" t="s">
        <x:v>1969</x:v>
      </x:c>
      <x:c r="D173" t="s">
        <x:v>2309</x:v>
      </x:c>
      <x:c r="E173" t="s">
        <x:v>2310</x:v>
      </x:c>
      <x:c r="F173" t="s">
        <x:v>2310</x:v>
      </x:c>
      <x:c r="G173" t="s">
        <x:v>1690</x:v>
      </x:c>
      <x:c r="O173">
        <x:v>1</x:v>
      </x:c>
      <x:c r="P173" t="str">
        <x:f>LOWER(TRIM(SUBSTITUTE(E173,CHAR(160)," ")))</x:f>
        <x:v>joseph.temu@pwc.com</x:v>
      </x:c>
      <x:c r="Q173" t="n">
        <x:f>IFERROR(VALUE(LEFT(D173,SEARCH("h",D173)-1)),0)*3600+IFERROR(VALUE(MID(D173,IFERROR(SEARCH("h ",D173)+2,1),SEARCH("m",D173)-IFERROR(SEARCH("h ",D173)+2,1))),0)*60+IFERROR(VALUE(MID(D173,IFERROR(SEARCH("m ",D173)+2,IFERROR(SEARCH("h ",D173)+2,1)),SEARCH("s",D173)-IFERROR(SEARCH("m ",D173)+2,IFERROR(SEARCH("h ",D173)+2,1)))),0)</x:f>
        <x:v>6571</x:v>
      </x:c>
      <x:c r="R173" t="str">
        <x:f>IF(P173="","No",IF(COUNTIF('Employee Attendance'!$D$2:$D$670,P173)&gt;0,"Yes","No"))</x:f>
        <x:v>Yes</x:v>
      </x:c>
    </x:row>
    <x:row r="174">
      <x:c r="A174" t="s">
        <x:v>2311</x:v>
      </x:c>
      <x:c r="B174" t="s">
        <x:v>2312</x:v>
      </x:c>
      <x:c r="C174" t="s">
        <x:v>2313</x:v>
      </x:c>
      <x:c r="D174" t="s">
        <x:v>2314</x:v>
      </x:c>
      <x:c r="E174" t="s">
        <x:v>2315</x:v>
      </x:c>
      <x:c r="F174" t="s">
        <x:v>2315</x:v>
      </x:c>
      <x:c r="G174" t="s">
        <x:v>1690</x:v>
      </x:c>
      <x:c r="P174" t="str">
        <x:f>LOWER(TRIM(SUBSTITUTE(E174,CHAR(160)," ")))</x:f>
        <x:v>rachel.mduma@pwc.com</x:v>
      </x:c>
      <x:c r="Q174" t="n">
        <x:f>IFERROR(VALUE(LEFT(D174,SEARCH("h",D174)-1)),0)*3600+IFERROR(VALUE(MID(D174,IFERROR(SEARCH("h ",D174)+2,1),SEARCH("m",D174)-IFERROR(SEARCH("h ",D174)+2,1))),0)*60+IFERROR(VALUE(MID(D174,IFERROR(SEARCH("m ",D174)+2,IFERROR(SEARCH("h ",D174)+2,1)),SEARCH("s",D174)-IFERROR(SEARCH("m ",D174)+2,IFERROR(SEARCH("h ",D174)+2,1)))),0)</x:f>
        <x:v>1225</x:v>
      </x:c>
      <x:c r="R174" t="str">
        <x:f>IF(P174="","No",IF(COUNTIF('Employee Attendance'!$D$2:$D$670,P174)&gt;0,"Yes","No"))</x:f>
        <x:v>Yes</x:v>
      </x:c>
    </x:row>
    <x:row r="175">
      <x:c r="A175" t="s">
        <x:v>2316</x:v>
      </x:c>
      <x:c r="B175" t="s">
        <x:v>2317</x:v>
      </x:c>
      <x:c r="C175" t="s">
        <x:v>2318</x:v>
      </x:c>
      <x:c r="D175" t="s">
        <x:v>2319</x:v>
      </x:c>
      <x:c r="E175" t="s">
        <x:v>2320</x:v>
      </x:c>
      <x:c r="F175" t="s">
        <x:v>2320</x:v>
      </x:c>
      <x:c r="G175" t="s">
        <x:v>1690</x:v>
      </x:c>
      <x:c r="P175" t="str">
        <x:f>LOWER(TRIM(SUBSTITUTE(E175,CHAR(160)," ")))</x:f>
        <x:v>ampumuza.mmukunda@pwc.com</x:v>
      </x:c>
      <x:c r="Q175" t="n">
        <x:f>IFERROR(VALUE(LEFT(D175,SEARCH("h",D175)-1)),0)*3600+IFERROR(VALUE(MID(D175,IFERROR(SEARCH("h ",D175)+2,1),SEARCH("m",D175)-IFERROR(SEARCH("h ",D175)+2,1))),0)*60+IFERROR(VALUE(MID(D175,IFERROR(SEARCH("m ",D175)+2,IFERROR(SEARCH("h ",D175)+2,1)),SEARCH("s",D175)-IFERROR(SEARCH("m ",D175)+2,IFERROR(SEARCH("h ",D175)+2,1)))),0)</x:f>
        <x:v>7230</x:v>
      </x:c>
      <x:c r="R175" t="str">
        <x:f>IF(P175="","No",IF(COUNTIF('Employee Attendance'!$D$2:$D$670,P175)&gt;0,"Yes","No"))</x:f>
        <x:v>Yes</x:v>
      </x:c>
    </x:row>
    <x:row r="176">
      <x:c r="A176" t="s">
        <x:v>2321</x:v>
      </x:c>
      <x:c r="B176" t="s">
        <x:v>2322</x:v>
      </x:c>
      <x:c r="C176" t="s">
        <x:v>2323</x:v>
      </x:c>
      <x:c r="D176" t="s">
        <x:v>658</x:v>
      </x:c>
      <x:c r="E176" t="s">
        <x:v>2324</x:v>
      </x:c>
      <x:c r="F176" t="s">
        <x:v>2324</x:v>
      </x:c>
      <x:c r="G176" t="s">
        <x:v>1690</x:v>
      </x:c>
      <x:c r="O176">
        <x:v>3</x:v>
      </x:c>
      <x:c r="P176" t="str">
        <x:f>LOWER(TRIM(SUBSTITUTE(E176,CHAR(160)," ")))</x:f>
        <x:v>mwiya.mwiya@pwc.com</x:v>
      </x:c>
      <x:c r="Q176" t="n">
        <x:f>IFERROR(VALUE(LEFT(D176,SEARCH("h",D176)-1)),0)*3600+IFERROR(VALUE(MID(D176,IFERROR(SEARCH("h ",D176)+2,1),SEARCH("m",D176)-IFERROR(SEARCH("h ",D176)+2,1))),0)*60+IFERROR(VALUE(MID(D176,IFERROR(SEARCH("m ",D176)+2,IFERROR(SEARCH("h ",D176)+2,1)),SEARCH("s",D176)-IFERROR(SEARCH("m ",D176)+2,IFERROR(SEARCH("h ",D176)+2,1)))),0)</x:f>
        <x:v>6954</x:v>
      </x:c>
      <x:c r="R176" t="str">
        <x:f>IF(P176="","No",IF(COUNTIF('Employee Attendance'!$D$2:$D$670,P176)&gt;0,"Yes","No"))</x:f>
        <x:v>Yes</x:v>
      </x:c>
    </x:row>
    <x:row r="177">
      <x:c r="A177" t="s">
        <x:v>2325</x:v>
      </x:c>
      <x:c r="B177" t="s">
        <x:v>2322</x:v>
      </x:c>
      <x:c r="C177" t="s">
        <x:v>2326</x:v>
      </x:c>
      <x:c r="D177" t="s">
        <x:v>2327</x:v>
      </x:c>
      <x:c r="E177" t="s">
        <x:v>2328</x:v>
      </x:c>
      <x:c r="F177" t="s">
        <x:v>2328</x:v>
      </x:c>
      <x:c r="G177" t="s">
        <x:v>1690</x:v>
      </x:c>
      <x:c r="P177" t="str">
        <x:f>LOWER(TRIM(SUBSTITUTE(E177,CHAR(160)," ")))</x:f>
        <x:v>edwin.odhiambo@pwc.com</x:v>
      </x:c>
      <x:c r="Q177" t="n">
        <x:f>IFERROR(VALUE(LEFT(D177,SEARCH("h",D177)-1)),0)*3600+IFERROR(VALUE(MID(D177,IFERROR(SEARCH("h ",D177)+2,1),SEARCH("m",D177)-IFERROR(SEARCH("h ",D177)+2,1))),0)*60+IFERROR(VALUE(MID(D177,IFERROR(SEARCH("m ",D177)+2,IFERROR(SEARCH("h ",D177)+2,1)),SEARCH("s",D177)-IFERROR(SEARCH("m ",D177)+2,IFERROR(SEARCH("h ",D177)+2,1)))),0)</x:f>
        <x:v>2256</x:v>
      </x:c>
      <x:c r="R177" t="str">
        <x:f>IF(P177="","No",IF(COUNTIF('Employee Attendance'!$D$2:$D$670,P177)&gt;0,"Yes","No"))</x:f>
        <x:v>Yes</x:v>
      </x:c>
    </x:row>
    <x:row r="178">
      <x:c r="A178" t="s">
        <x:v>2329</x:v>
      </x:c>
      <x:c r="B178" t="s">
        <x:v>2330</x:v>
      </x:c>
      <x:c r="C178" t="s">
        <x:v>2015</x:v>
      </x:c>
      <x:c r="D178" t="s">
        <x:v>2331</x:v>
      </x:c>
      <x:c r="E178" t="s">
        <x:v>2332</x:v>
      </x:c>
      <x:c r="F178" t="s">
        <x:v>2332</x:v>
      </x:c>
      <x:c r="G178" t="s">
        <x:v>1690</x:v>
      </x:c>
      <x:c r="P178" t="str">
        <x:f>LOWER(TRIM(SUBSTITUTE(E178,CHAR(160)," ")))</x:f>
        <x:v>veeloshini.kisto@pwc.com</x:v>
      </x:c>
      <x:c r="Q178" t="n">
        <x:f>IFERROR(VALUE(LEFT(D178,SEARCH("h",D178)-1)),0)*3600+IFERROR(VALUE(MID(D178,IFERROR(SEARCH("h ",D178)+2,1),SEARCH("m",D178)-IFERROR(SEARCH("h ",D178)+2,1))),0)*60+IFERROR(VALUE(MID(D178,IFERROR(SEARCH("m ",D178)+2,IFERROR(SEARCH("h ",D178)+2,1)),SEARCH("s",D178)-IFERROR(SEARCH("m ",D178)+2,IFERROR(SEARCH("h ",D178)+2,1)))),0)</x:f>
        <x:v>7200</x:v>
      </x:c>
      <x:c r="R178" t="str">
        <x:f>IF(P178="","No",IF(COUNTIF('Employee Attendance'!$D$2:$D$670,P178)&gt;0,"Yes","No"))</x:f>
        <x:v>Yes</x:v>
      </x:c>
    </x:row>
    <x:row r="179">
      <x:c r="A179" t="s">
        <x:v>2333</x:v>
      </x:c>
      <x:c r="B179" t="s">
        <x:v>2334</x:v>
      </x:c>
      <x:c r="C179" t="s">
        <x:v>2220</x:v>
      </x:c>
      <x:c r="D179" t="s">
        <x:v>2335</x:v>
      </x:c>
      <x:c r="E179" t="s">
        <x:v>2336</x:v>
      </x:c>
      <x:c r="F179" t="s">
        <x:v>2336</x:v>
      </x:c>
      <x:c r="G179" t="s">
        <x:v>1690</x:v>
      </x:c>
      <x:c r="P179" t="str">
        <x:f>LOWER(TRIM(SUBSTITUTE(E179,CHAR(160)," ")))</x:f>
        <x:v>flavian.atieno@pwc.com</x:v>
      </x:c>
      <x:c r="Q179" t="n">
        <x:f>IFERROR(VALUE(LEFT(D179,SEARCH("h",D179)-1)),0)*3600+IFERROR(VALUE(MID(D179,IFERROR(SEARCH("h ",D179)+2,1),SEARCH("m",D179)-IFERROR(SEARCH("h ",D179)+2,1))),0)*60+IFERROR(VALUE(MID(D179,IFERROR(SEARCH("m ",D179)+2,IFERROR(SEARCH("h ",D179)+2,1)),SEARCH("s",D179)-IFERROR(SEARCH("m ",D179)+2,IFERROR(SEARCH("h ",D179)+2,1)))),0)</x:f>
        <x:v>7225</x:v>
      </x:c>
      <x:c r="R179" t="str">
        <x:f>IF(P179="","No",IF(COUNTIF('Employee Attendance'!$D$2:$D$670,P179)&gt;0,"Yes","No"))</x:f>
        <x:v>Yes</x:v>
      </x:c>
    </x:row>
    <x:row r="180">
      <x:c r="A180" t="s">
        <x:v>2337</x:v>
      </x:c>
      <x:c r="B180" t="s">
        <x:v>2338</x:v>
      </x:c>
      <x:c r="C180" t="s">
        <x:v>2339</x:v>
      </x:c>
      <x:c r="D180" t="s">
        <x:v>2340</x:v>
      </x:c>
      <x:c r="E180" t="s">
        <x:v>2341</x:v>
      </x:c>
      <x:c r="F180" t="s">
        <x:v>2341</x:v>
      </x:c>
      <x:c r="G180" t="s">
        <x:v>1690</x:v>
      </x:c>
      <x:c r="O180">
        <x:v>1</x:v>
      </x:c>
      <x:c r="P180" t="str">
        <x:f>LOWER(TRIM(SUBSTITUTE(E180,CHAR(160)," ")))</x:f>
        <x:v>sylvia.keter@pwc.com</x:v>
      </x:c>
      <x:c r="Q180" t="n">
        <x:f>IFERROR(VALUE(LEFT(D180,SEARCH("h",D180)-1)),0)*3600+IFERROR(VALUE(MID(D180,IFERROR(SEARCH("h ",D180)+2,1),SEARCH("m",D180)-IFERROR(SEARCH("h ",D180)+2,1))),0)*60+IFERROR(VALUE(MID(D180,IFERROR(SEARCH("m ",D180)+2,IFERROR(SEARCH("h ",D180)+2,1)),SEARCH("s",D180)-IFERROR(SEARCH("m ",D180)+2,IFERROR(SEARCH("h ",D180)+2,1)))),0)</x:f>
        <x:v>1020</x:v>
      </x:c>
      <x:c r="R180" t="str">
        <x:f>IF(P180="","No",IF(COUNTIF('Employee Attendance'!$D$2:$D$670,P180)&gt;0,"Yes","No"))</x:f>
        <x:v>Yes</x:v>
      </x:c>
    </x:row>
    <x:row r="181">
      <x:c r="A181" t="s">
        <x:v>2342</x:v>
      </x:c>
      <x:c r="B181" t="s">
        <x:v>2338</x:v>
      </x:c>
      <x:c r="C181" t="s">
        <x:v>2343</x:v>
      </x:c>
      <x:c r="D181" t="s">
        <x:v>2344</x:v>
      </x:c>
      <x:c r="E181" t="s">
        <x:v>2345</x:v>
      </x:c>
      <x:c r="F181" t="s">
        <x:v>2345</x:v>
      </x:c>
      <x:c r="G181" t="s">
        <x:v>1690</x:v>
      </x:c>
      <x:c r="O181">
        <x:v>1</x:v>
      </x:c>
      <x:c r="P181" t="str">
        <x:f>LOWER(TRIM(SUBSTITUTE(E181,CHAR(160)," ")))</x:f>
        <x:v>grace.nalwanga@pwc.com</x:v>
      </x:c>
      <x:c r="Q181" t="n">
        <x:f>IFERROR(VALUE(LEFT(D181,SEARCH("h",D181)-1)),0)*3600+IFERROR(VALUE(MID(D181,IFERROR(SEARCH("h ",D181)+2,1),SEARCH("m",D181)-IFERROR(SEARCH("h ",D181)+2,1))),0)*60+IFERROR(VALUE(MID(D181,IFERROR(SEARCH("m ",D181)+2,IFERROR(SEARCH("h ",D181)+2,1)),SEARCH("s",D181)-IFERROR(SEARCH("m ",D181)+2,IFERROR(SEARCH("h ",D181)+2,1)))),0)</x:f>
        <x:v>6414</x:v>
      </x:c>
      <x:c r="R181" t="str">
        <x:f>IF(P181="","No",IF(COUNTIF('Employee Attendance'!$D$2:$D$670,P181)&gt;0,"Yes","No"))</x:f>
        <x:v>Yes</x:v>
      </x:c>
    </x:row>
    <x:row r="182">
      <x:c r="A182" t="s">
        <x:v>173</x:v>
      </x:c>
      <x:c r="B182" t="s">
        <x:v>2338</x:v>
      </x:c>
      <x:c r="C182" t="s">
        <x:v>1902</x:v>
      </x:c>
      <x:c r="D182" t="s">
        <x:v>455</x:v>
      </x:c>
      <x:c r="E182" t="s">
        <x:v>175</x:v>
      </x:c>
      <x:c r="F182" t="s">
        <x:v>175</x:v>
      </x:c>
      <x:c r="G182" t="s">
        <x:v>1690</x:v>
      </x:c>
      <x:c r="O182">
        <x:v>2</x:v>
      </x:c>
      <x:c r="P182" t="str">
        <x:f>LOWER(TRIM(SUBSTITUTE(E182,CHAR(160)," ")))</x:f>
        <x:v>leenam.munogee@pwc.com</x:v>
      </x:c>
      <x:c r="Q182" t="n">
        <x:f>IFERROR(VALUE(LEFT(D182,SEARCH("h",D182)-1)),0)*3600+IFERROR(VALUE(MID(D182,IFERROR(SEARCH("h ",D182)+2,1),SEARCH("m",D182)-IFERROR(SEARCH("h ",D182)+2,1))),0)*60+IFERROR(VALUE(MID(D182,IFERROR(SEARCH("m ",D182)+2,IFERROR(SEARCH("h ",D182)+2,1)),SEARCH("s",D182)-IFERROR(SEARCH("m ",D182)+2,IFERROR(SEARCH("h ",D182)+2,1)))),0)</x:f>
        <x:v>7190</x:v>
      </x:c>
      <x:c r="R182" t="str">
        <x:f>IF(P182="","No",IF(COUNTIF('Employee Attendance'!$D$2:$D$670,P182)&gt;0,"Yes","No"))</x:f>
        <x:v>Yes</x:v>
      </x:c>
    </x:row>
    <x:row r="183">
      <x:c r="A183" t="s">
        <x:v>2346</x:v>
      </x:c>
      <x:c r="B183" t="s">
        <x:v>2347</x:v>
      </x:c>
      <x:c r="C183" t="s">
        <x:v>2348</x:v>
      </x:c>
      <x:c r="D183" t="s">
        <x:v>2137</x:v>
      </x:c>
      <x:c r="E183" t="s">
        <x:v>2349</x:v>
      </x:c>
      <x:c r="F183" t="s">
        <x:v>2349</x:v>
      </x:c>
      <x:c r="G183" t="s">
        <x:v>1690</x:v>
      </x:c>
      <x:c r="O183">
        <x:v>2</x:v>
      </x:c>
      <x:c r="P183" t="str">
        <x:f>LOWER(TRIM(SUBSTITUTE(E183,CHAR(160)," ")))</x:f>
        <x:v>baraka.p.pallangyo@pwc.com</x:v>
      </x:c>
      <x:c r="Q183" t="n">
        <x:f>IFERROR(VALUE(LEFT(D183,SEARCH("h",D183)-1)),0)*3600+IFERROR(VALUE(MID(D183,IFERROR(SEARCH("h ",D183)+2,1),SEARCH("m",D183)-IFERROR(SEARCH("h ",D183)+2,1))),0)*60+IFERROR(VALUE(MID(D183,IFERROR(SEARCH("m ",D183)+2,IFERROR(SEARCH("h ",D183)+2,1)),SEARCH("s",D183)-IFERROR(SEARCH("m ",D183)+2,IFERROR(SEARCH("h ",D183)+2,1)))),0)</x:f>
        <x:v>7425</x:v>
      </x:c>
      <x:c r="R183" t="str">
        <x:f>IF(P183="","No",IF(COUNTIF('Employee Attendance'!$D$2:$D$670,P183)&gt;0,"Yes","No"))</x:f>
        <x:v>Yes</x:v>
      </x:c>
    </x:row>
    <x:row r="184">
      <x:c r="A184" t="s">
        <x:v>2350</x:v>
      </x:c>
      <x:c r="B184" t="s">
        <x:v>2351</x:v>
      </x:c>
      <x:c r="C184" t="s">
        <x:v>2107</x:v>
      </x:c>
      <x:c r="D184" t="s">
        <x:v>2352</x:v>
      </x:c>
      <x:c r="E184" t="s">
        <x:v>2353</x:v>
      </x:c>
      <x:c r="F184" t="s">
        <x:v>2353</x:v>
      </x:c>
      <x:c r="G184" t="s">
        <x:v>1690</x:v>
      </x:c>
      <x:c r="O184">
        <x:v>1</x:v>
      </x:c>
      <x:c r="P184" t="str">
        <x:f>LOWER(TRIM(SUBSTITUTE(E184,CHAR(160)," ")))</x:f>
        <x:v>sania.pooloo@pwc.com</x:v>
      </x:c>
      <x:c r="Q184" t="n">
        <x:f>IFERROR(VALUE(LEFT(D184,SEARCH("h",D184)-1)),0)*3600+IFERROR(VALUE(MID(D184,IFERROR(SEARCH("h ",D184)+2,1),SEARCH("m",D184)-IFERROR(SEARCH("h ",D184)+2,1))),0)*60+IFERROR(VALUE(MID(D184,IFERROR(SEARCH("m ",D184)+2,IFERROR(SEARCH("h ",D184)+2,1)),SEARCH("s",D184)-IFERROR(SEARCH("m ",D184)+2,IFERROR(SEARCH("h ",D184)+2,1)))),0)</x:f>
        <x:v>7235</x:v>
      </x:c>
      <x:c r="R184" t="str">
        <x:f>IF(P184="","No",IF(COUNTIF('Employee Attendance'!$D$2:$D$670,P184)&gt;0,"Yes","No"))</x:f>
        <x:v>Yes</x:v>
      </x:c>
    </x:row>
    <x:row r="185">
      <x:c r="A185" t="s">
        <x:v>2354</x:v>
      </x:c>
      <x:c r="B185" t="s">
        <x:v>2351</x:v>
      </x:c>
      <x:c r="C185" t="s">
        <x:v>2355</x:v>
      </x:c>
      <x:c r="D185" t="s">
        <x:v>2356</x:v>
      </x:c>
      <x:c r="E185" t="s">
        <x:v>2357</x:v>
      </x:c>
      <x:c r="F185" t="s">
        <x:v>2357</x:v>
      </x:c>
      <x:c r="G185" t="s">
        <x:v>1690</x:v>
      </x:c>
      <x:c r="O185">
        <x:v>1</x:v>
      </x:c>
      <x:c r="P185" t="str">
        <x:f>LOWER(TRIM(SUBSTITUTE(E185,CHAR(160)," ")))</x:f>
        <x:v>neema.shayo@pwc.com</x:v>
      </x:c>
      <x:c r="Q185" t="n">
        <x:f>IFERROR(VALUE(LEFT(D185,SEARCH("h",D185)-1)),0)*3600+IFERROR(VALUE(MID(D185,IFERROR(SEARCH("h ",D185)+2,1),SEARCH("m",D185)-IFERROR(SEARCH("h ",D185)+2,1))),0)*60+IFERROR(VALUE(MID(D185,IFERROR(SEARCH("m ",D185)+2,IFERROR(SEARCH("h ",D185)+2,1)),SEARCH("s",D185)-IFERROR(SEARCH("m ",D185)+2,IFERROR(SEARCH("h ",D185)+2,1)))),0)</x:f>
        <x:v>6737</x:v>
      </x:c>
      <x:c r="R185" t="str">
        <x:f>IF(P185="","No",IF(COUNTIF('Employee Attendance'!$D$2:$D$670,P185)&gt;0,"Yes","No"))</x:f>
        <x:v>Yes</x:v>
      </x:c>
    </x:row>
    <x:row r="186">
      <x:c r="A186" t="s">
        <x:v>1211</x:v>
      </x:c>
      <x:c r="B186" t="s">
        <x:v>2358</x:v>
      </x:c>
      <x:c r="C186" t="s">
        <x:v>2359</x:v>
      </x:c>
      <x:c r="D186" t="s">
        <x:v>2360</x:v>
      </x:c>
      <x:c r="E186" t="s">
        <x:v>1214</x:v>
      </x:c>
      <x:c r="F186" t="s">
        <x:v>1214</x:v>
      </x:c>
      <x:c r="G186" t="s">
        <x:v>1690</x:v>
      </x:c>
      <x:c r="P186" t="str">
        <x:f>LOWER(TRIM(SUBSTITUTE(E186,CHAR(160)," ")))</x:f>
        <x:v>georginah.ayebare@pwc.com</x:v>
      </x:c>
      <x:c r="Q186" t="n">
        <x:f>IFERROR(VALUE(LEFT(D186,SEARCH("h",D186)-1)),0)*3600+IFERROR(VALUE(MID(D186,IFERROR(SEARCH("h ",D186)+2,1),SEARCH("m",D186)-IFERROR(SEARCH("h ",D186)+2,1))),0)*60+IFERROR(VALUE(MID(D186,IFERROR(SEARCH("m ",D186)+2,IFERROR(SEARCH("h ",D186)+2,1)),SEARCH("s",D186)-IFERROR(SEARCH("m ",D186)+2,IFERROR(SEARCH("h ",D186)+2,1)))),0)</x:f>
        <x:v>6746</x:v>
      </x:c>
      <x:c r="R186" t="str">
        <x:f>IF(P186="","No",IF(COUNTIF('Employee Attendance'!$D$2:$D$670,P186)&gt;0,"Yes","No"))</x:f>
        <x:v>Yes</x:v>
      </x:c>
    </x:row>
    <x:row r="187">
      <x:c r="A187" t="s">
        <x:v>2361</x:v>
      </x:c>
      <x:c r="B187" t="s">
        <x:v>2362</x:v>
      </x:c>
      <x:c r="C187" t="s">
        <x:v>1698</x:v>
      </x:c>
      <x:c r="D187" t="s">
        <x:v>2363</x:v>
      </x:c>
      <x:c r="E187" t="s">
        <x:v>2364</x:v>
      </x:c>
      <x:c r="F187" t="s">
        <x:v>2364</x:v>
      </x:c>
      <x:c r="G187" t="s">
        <x:v>1690</x:v>
      </x:c>
      <x:c r="P187" t="str">
        <x:f>LOWER(TRIM(SUBSTITUTE(E187,CHAR(160)," ")))</x:f>
        <x:v>jeremiah.ruita@pwc.com</x:v>
      </x:c>
      <x:c r="Q187" t="n">
        <x:f>IFERROR(VALUE(LEFT(D187,SEARCH("h",D187)-1)),0)*3600+IFERROR(VALUE(MID(D187,IFERROR(SEARCH("h ",D187)+2,1),SEARCH("m",D187)-IFERROR(SEARCH("h ",D187)+2,1))),0)*60+IFERROR(VALUE(MID(D187,IFERROR(SEARCH("m ",D187)+2,IFERROR(SEARCH("h ",D187)+2,1)),SEARCH("s",D187)-IFERROR(SEARCH("m ",D187)+2,IFERROR(SEARCH("h ",D187)+2,1)))),0)</x:f>
        <x:v>7162</x:v>
      </x:c>
      <x:c r="R187" t="str">
        <x:f>IF(P187="","No",IF(COUNTIF('Employee Attendance'!$D$2:$D$670,P187)&gt;0,"Yes","No"))</x:f>
        <x:v>Yes</x:v>
      </x:c>
    </x:row>
    <x:row r="188">
      <x:c r="A188" t="s">
        <x:v>2365</x:v>
      </x:c>
      <x:c r="B188" t="s">
        <x:v>2366</x:v>
      </x:c>
      <x:c r="C188" t="s">
        <x:v>2367</x:v>
      </x:c>
      <x:c r="D188" t="s">
        <x:v>2368</x:v>
      </x:c>
      <x:c r="E188" t="s">
        <x:v>2369</x:v>
      </x:c>
      <x:c r="F188" t="s">
        <x:v>2369</x:v>
      </x:c>
      <x:c r="G188" t="s">
        <x:v>1690</x:v>
      </x:c>
      <x:c r="P188" t="str">
        <x:f>LOWER(TRIM(SUBSTITUTE(E188,CHAR(160)," ")))</x:f>
        <x:v>fatimah.j.junggee@pwc.com</x:v>
      </x:c>
      <x:c r="Q188" t="n">
        <x:f>IFERROR(VALUE(LEFT(D188,SEARCH("h",D188)-1)),0)*3600+IFERROR(VALUE(MID(D188,IFERROR(SEARCH("h ",D188)+2,1),SEARCH("m",D188)-IFERROR(SEARCH("h ",D188)+2,1))),0)*60+IFERROR(VALUE(MID(D188,IFERROR(SEARCH("m ",D188)+2,IFERROR(SEARCH("h ",D188)+2,1)),SEARCH("s",D188)-IFERROR(SEARCH("m ",D188)+2,IFERROR(SEARCH("h ",D188)+2,1)))),0)</x:f>
        <x:v>4613</x:v>
      </x:c>
      <x:c r="R188" t="str">
        <x:f>IF(P188="","No",IF(COUNTIF('Employee Attendance'!$D$2:$D$670,P188)&gt;0,"Yes","No"))</x:f>
        <x:v>Yes</x:v>
      </x:c>
    </x:row>
    <x:row r="189">
      <x:c r="A189" t="s">
        <x:v>1180</x:v>
      </x:c>
      <x:c r="B189" t="s">
        <x:v>2370</x:v>
      </x:c>
      <x:c r="C189" t="s">
        <x:v>1928</x:v>
      </x:c>
      <x:c r="D189" t="s">
        <x:v>2371</x:v>
      </x:c>
      <x:c r="E189" t="s">
        <x:v>1184</x:v>
      </x:c>
      <x:c r="F189" t="s">
        <x:v>1184</x:v>
      </x:c>
      <x:c r="G189" t="s">
        <x:v>1690</x:v>
      </x:c>
      <x:c r="H189">
        <x:v>1</x:v>
      </x:c>
      <x:c r="O189">
        <x:v>4</x:v>
      </x:c>
      <x:c r="P189" t="str">
        <x:f>LOWER(TRIM(SUBSTITUTE(E189,CHAR(160)," ")))</x:f>
        <x:v>pravin.p.meetoo@pwc.com</x:v>
      </x:c>
      <x:c r="Q189" t="n">
        <x:f>IFERROR(VALUE(LEFT(D189,SEARCH("h",D189)-1)),0)*3600+IFERROR(VALUE(MID(D189,IFERROR(SEARCH("h ",D189)+2,1),SEARCH("m",D189)-IFERROR(SEARCH("h ",D189)+2,1))),0)*60+IFERROR(VALUE(MID(D189,IFERROR(SEARCH("m ",D189)+2,IFERROR(SEARCH("h ",D189)+2,1)),SEARCH("s",D189)-IFERROR(SEARCH("m ",D189)+2,IFERROR(SEARCH("h ",D189)+2,1)))),0)</x:f>
        <x:v>7141</x:v>
      </x:c>
      <x:c r="R189" t="str">
        <x:f>IF(P189="","No",IF(COUNTIF('Employee Attendance'!$D$2:$D$670,P189)&gt;0,"Yes","No"))</x:f>
        <x:v>Yes</x:v>
      </x:c>
    </x:row>
    <x:row r="190">
      <x:c r="A190" t="s">
        <x:v>1315</x:v>
      </x:c>
      <x:c r="B190" t="s">
        <x:v>2372</x:v>
      </x:c>
      <x:c r="C190" t="s">
        <x:v>2323</x:v>
      </x:c>
      <x:c r="D190" t="s">
        <x:v>530</x:v>
      </x:c>
      <x:c r="E190" t="s">
        <x:v>1319</x:v>
      </x:c>
      <x:c r="F190" t="s">
        <x:v>1319</x:v>
      </x:c>
      <x:c r="G190" t="s">
        <x:v>1690</x:v>
      </x:c>
      <x:c r="O190">
        <x:v>1</x:v>
      </x:c>
      <x:c r="P190" t="str">
        <x:f>LOWER(TRIM(SUBSTITUTE(E190,CHAR(160)," ")))</x:f>
        <x:v>isabella.mayeku@pwc.com</x:v>
      </x:c>
      <x:c r="Q190" t="n">
        <x:f>IFERROR(VALUE(LEFT(D190,SEARCH("h",D190)-1)),0)*3600+IFERROR(VALUE(MID(D190,IFERROR(SEARCH("h ",D190)+2,1),SEARCH("m",D190)-IFERROR(SEARCH("h ",D190)+2,1))),0)*60+IFERROR(VALUE(MID(D190,IFERROR(SEARCH("m ",D190)+2,IFERROR(SEARCH("h ",D190)+2,1)),SEARCH("s",D190)-IFERROR(SEARCH("m ",D190)+2,IFERROR(SEARCH("h ",D190)+2,1)))),0)</x:f>
        <x:v>7161</x:v>
      </x:c>
      <x:c r="R190" t="str">
        <x:f>IF(P190="","No",IF(COUNTIF('Employee Attendance'!$D$2:$D$670,P190)&gt;0,"Yes","No"))</x:f>
        <x:v>Yes</x:v>
      </x:c>
    </x:row>
    <x:row r="191">
      <x:c r="A191" t="s">
        <x:v>2373</x:v>
      </x:c>
      <x:c r="B191" t="s">
        <x:v>2374</x:v>
      </x:c>
      <x:c r="C191" t="s">
        <x:v>1842</x:v>
      </x:c>
      <x:c r="D191" t="s">
        <x:v>2375</x:v>
      </x:c>
      <x:c r="E191" t="s">
        <x:v>2376</x:v>
      </x:c>
      <x:c r="F191" t="s">
        <x:v>2376</x:v>
      </x:c>
      <x:c r="G191" t="s">
        <x:v>1690</x:v>
      </x:c>
      <x:c r="P191" t="str">
        <x:f>LOWER(TRIM(SUBSTITUTE(E191,CHAR(160)," ")))</x:f>
        <x:v>priscilla.mirembe@pwc.com</x:v>
      </x:c>
      <x:c r="Q191" t="n">
        <x:f>IFERROR(VALUE(LEFT(D191,SEARCH("h",D191)-1)),0)*3600+IFERROR(VALUE(MID(D191,IFERROR(SEARCH("h ",D191)+2,1),SEARCH("m",D191)-IFERROR(SEARCH("h ",D191)+2,1))),0)*60+IFERROR(VALUE(MID(D191,IFERROR(SEARCH("m ",D191)+2,IFERROR(SEARCH("h ",D191)+2,1)),SEARCH("s",D191)-IFERROR(SEARCH("m ",D191)+2,IFERROR(SEARCH("h ",D191)+2,1)))),0)</x:f>
        <x:v>7159</x:v>
      </x:c>
      <x:c r="R191" t="str">
        <x:f>IF(P191="","No",IF(COUNTIF('Employee Attendance'!$D$2:$D$670,P191)&gt;0,"Yes","No"))</x:f>
        <x:v>Yes</x:v>
      </x:c>
    </x:row>
    <x:row r="192">
      <x:c r="A192" t="s">
        <x:v>2377</x:v>
      </x:c>
      <x:c r="B192" t="s">
        <x:v>2378</x:v>
      </x:c>
      <x:c r="C192" t="s">
        <x:v>1797</x:v>
      </x:c>
      <x:c r="D192" t="s">
        <x:v>2379</x:v>
      </x:c>
      <x:c r="E192" t="s">
        <x:v>2380</x:v>
      </x:c>
      <x:c r="F192" t="s">
        <x:v>2380</x:v>
      </x:c>
      <x:c r="G192" t="s">
        <x:v>1690</x:v>
      </x:c>
      <x:c r="O192">
        <x:v>1</x:v>
      </x:c>
      <x:c r="P192" t="str">
        <x:f>LOWER(TRIM(SUBSTITUTE(E192,CHAR(160)," ")))</x:f>
        <x:v>oscar.malogo@pwc.com</x:v>
      </x:c>
      <x:c r="Q192" t="n">
        <x:f>IFERROR(VALUE(LEFT(D192,SEARCH("h",D192)-1)),0)*3600+IFERROR(VALUE(MID(D192,IFERROR(SEARCH("h ",D192)+2,1),SEARCH("m",D192)-IFERROR(SEARCH("h ",D192)+2,1))),0)*60+IFERROR(VALUE(MID(D192,IFERROR(SEARCH("m ",D192)+2,IFERROR(SEARCH("h ",D192)+2,1)),SEARCH("s",D192)-IFERROR(SEARCH("m ",D192)+2,IFERROR(SEARCH("h ",D192)+2,1)))),0)</x:f>
        <x:v>4168</x:v>
      </x:c>
      <x:c r="R192" t="str">
        <x:f>IF(P192="","No",IF(COUNTIF('Employee Attendance'!$D$2:$D$670,P192)&gt;0,"Yes","No"))</x:f>
        <x:v>Yes</x:v>
      </x:c>
    </x:row>
    <x:row r="193">
      <x:c r="A193" t="s">
        <x:v>2381</x:v>
      </x:c>
      <x:c r="B193" t="s">
        <x:v>2382</x:v>
      </x:c>
      <x:c r="C193" t="s">
        <x:v>2383</x:v>
      </x:c>
      <x:c r="D193" t="s">
        <x:v>2384</x:v>
      </x:c>
      <x:c r="E193" t="s">
        <x:v>2385</x:v>
      </x:c>
      <x:c r="F193" t="s">
        <x:v>2385</x:v>
      </x:c>
      <x:c r="G193" t="s">
        <x:v>1690</x:v>
      </x:c>
      <x:c r="P193" t="str">
        <x:f>LOWER(TRIM(SUBSTITUTE(E193,CHAR(160)," ")))</x:f>
        <x:v>annah.mwikali@pwc.com</x:v>
      </x:c>
      <x:c r="Q193" t="n">
        <x:f>IFERROR(VALUE(LEFT(D193,SEARCH("h",D193)-1)),0)*3600+IFERROR(VALUE(MID(D193,IFERROR(SEARCH("h ",D193)+2,1),SEARCH("m",D193)-IFERROR(SEARCH("h ",D193)+2,1))),0)*60+IFERROR(VALUE(MID(D193,IFERROR(SEARCH("m ",D193)+2,IFERROR(SEARCH("h ",D193)+2,1)),SEARCH("s",D193)-IFERROR(SEARCH("m ",D193)+2,IFERROR(SEARCH("h ",D193)+2,1)))),0)</x:f>
        <x:v>7178</x:v>
      </x:c>
      <x:c r="R193" t="str">
        <x:f>IF(P193="","No",IF(COUNTIF('Employee Attendance'!$D$2:$D$670,P193)&gt;0,"Yes","No"))</x:f>
        <x:v>Yes</x:v>
      </x:c>
    </x:row>
    <x:row r="194">
      <x:c r="A194" t="s">
        <x:v>2386</x:v>
      </x:c>
      <x:c r="B194" t="s">
        <x:v>2387</x:v>
      </x:c>
      <x:c r="C194" t="s">
        <x:v>1902</x:v>
      </x:c>
      <x:c r="D194" t="s">
        <x:v>2388</x:v>
      </x:c>
      <x:c r="E194" t="s">
        <x:v>2389</x:v>
      </x:c>
      <x:c r="F194" t="s">
        <x:v>2389</x:v>
      </x:c>
      <x:c r="G194" t="s">
        <x:v>1690</x:v>
      </x:c>
      <x:c r="P194" t="str">
        <x:f>LOWER(TRIM(SUBSTITUTE(E194,CHAR(160)," ")))</x:f>
        <x:v>emily.cheong.nam.kwong@pwc.com</x:v>
      </x:c>
      <x:c r="Q194" t="n">
        <x:f>IFERROR(VALUE(LEFT(D194,SEARCH("h",D194)-1)),0)*3600+IFERROR(VALUE(MID(D194,IFERROR(SEARCH("h ",D194)+2,1),SEARCH("m",D194)-IFERROR(SEARCH("h ",D194)+2,1))),0)*60+IFERROR(VALUE(MID(D194,IFERROR(SEARCH("m ",D194)+2,IFERROR(SEARCH("h ",D194)+2,1)),SEARCH("s",D194)-IFERROR(SEARCH("m ",D194)+2,IFERROR(SEARCH("h ",D194)+2,1)))),0)</x:f>
        <x:v>7114</x:v>
      </x:c>
      <x:c r="R194" t="str">
        <x:f>IF(P194="","No",IF(COUNTIF('Employee Attendance'!$D$2:$D$670,P194)&gt;0,"Yes","No"))</x:f>
        <x:v>Yes</x:v>
      </x:c>
    </x:row>
    <x:row r="195">
      <x:c r="A195" t="s">
        <x:v>2390</x:v>
      </x:c>
      <x:c r="B195" t="s">
        <x:v>2391</x:v>
      </x:c>
      <x:c r="C195" t="s">
        <x:v>2392</x:v>
      </x:c>
      <x:c r="D195" t="s">
        <x:v>2393</x:v>
      </x:c>
      <x:c r="E195" t="s">
        <x:v>2394</x:v>
      </x:c>
      <x:c r="F195" t="s">
        <x:v>2394</x:v>
      </x:c>
      <x:c r="G195" t="s">
        <x:v>1690</x:v>
      </x:c>
      <x:c r="P195" t="str">
        <x:f>LOWER(TRIM(SUBSTITUTE(E195,CHAR(160)," ")))</x:f>
        <x:v>victoria.mihayo@pwc.com</x:v>
      </x:c>
      <x:c r="Q195" t="n">
        <x:f>IFERROR(VALUE(LEFT(D195,SEARCH("h",D195)-1)),0)*3600+IFERROR(VALUE(MID(D195,IFERROR(SEARCH("h ",D195)+2,1),SEARCH("m",D195)-IFERROR(SEARCH("h ",D195)+2,1))),0)*60+IFERROR(VALUE(MID(D195,IFERROR(SEARCH("m ",D195)+2,IFERROR(SEARCH("h ",D195)+2,1)),SEARCH("s",D195)-IFERROR(SEARCH("m ",D195)+2,IFERROR(SEARCH("h ",D195)+2,1)))),0)</x:f>
        <x:v>5120</x:v>
      </x:c>
      <x:c r="R195" t="str">
        <x:f>IF(P195="","No",IF(COUNTIF('Employee Attendance'!$D$2:$D$670,P195)&gt;0,"Yes","No"))</x:f>
        <x:v>Yes</x:v>
      </x:c>
    </x:row>
    <x:row r="196">
      <x:c r="A196" t="s">
        <x:v>2395</x:v>
      </x:c>
      <x:c r="B196" t="s">
        <x:v>2396</x:v>
      </x:c>
      <x:c r="C196" t="s">
        <x:v>2397</x:v>
      </x:c>
      <x:c r="D196" t="s">
        <x:v>2398</x:v>
      </x:c>
      <x:c r="E196" t="s">
        <x:v>2399</x:v>
      </x:c>
      <x:c r="F196" t="s">
        <x:v>2399</x:v>
      </x:c>
      <x:c r="G196" t="s">
        <x:v>1690</x:v>
      </x:c>
      <x:c r="P196" t="str">
        <x:f>LOWER(TRIM(SUBSTITUTE(E196,CHAR(160)," ")))</x:f>
        <x:v>michael.ngugi@pwc.com</x:v>
      </x:c>
      <x:c r="Q196" t="n">
        <x:f>IFERROR(VALUE(LEFT(D196,SEARCH("h",D196)-1)),0)*3600+IFERROR(VALUE(MID(D196,IFERROR(SEARCH("h ",D196)+2,1),SEARCH("m",D196)-IFERROR(SEARCH("h ",D196)+2,1))),0)*60+IFERROR(VALUE(MID(D196,IFERROR(SEARCH("m ",D196)+2,IFERROR(SEARCH("h ",D196)+2,1)),SEARCH("s",D196)-IFERROR(SEARCH("m ",D196)+2,IFERROR(SEARCH("h ",D196)+2,1)))),0)</x:f>
        <x:v>5726</x:v>
      </x:c>
      <x:c r="R196" t="str">
        <x:f>IF(P196="","No",IF(COUNTIF('Employee Attendance'!$D$2:$D$670,P196)&gt;0,"Yes","No"))</x:f>
        <x:v>Yes</x:v>
      </x:c>
    </x:row>
    <x:row r="197">
      <x:c r="A197" t="s">
        <x:v>2400</x:v>
      </x:c>
      <x:c r="B197" t="s">
        <x:v>2401</x:v>
      </x:c>
      <x:c r="C197" t="s">
        <x:v>1678</x:v>
      </x:c>
      <x:c r="D197" t="s">
        <x:v>573</x:v>
      </x:c>
      <x:c r="E197" t="s">
        <x:v>2402</x:v>
      </x:c>
      <x:c r="F197" t="s">
        <x:v>2402</x:v>
      </x:c>
      <x:c r="G197" t="s">
        <x:v>1690</x:v>
      </x:c>
      <x:c r="O197">
        <x:v>1</x:v>
      </x:c>
      <x:c r="P197" t="str">
        <x:f>LOWER(TRIM(SUBSTITUTE(E197,CHAR(160)," ")))</x:f>
        <x:v>christine.nalwoga@pwc.com</x:v>
      </x:c>
      <x:c r="Q197" t="n">
        <x:f>IFERROR(VALUE(LEFT(D197,SEARCH("h",D197)-1)),0)*3600+IFERROR(VALUE(MID(D197,IFERROR(SEARCH("h ",D197)+2,1),SEARCH("m",D197)-IFERROR(SEARCH("h ",D197)+2,1))),0)*60+IFERROR(VALUE(MID(D197,IFERROR(SEARCH("m ",D197)+2,IFERROR(SEARCH("h ",D197)+2,1)),SEARCH("s",D197)-IFERROR(SEARCH("m ",D197)+2,IFERROR(SEARCH("h ",D197)+2,1)))),0)</x:f>
        <x:v>7029</x:v>
      </x:c>
      <x:c r="R197" t="str">
        <x:f>IF(P197="","No",IF(COUNTIF('Employee Attendance'!$D$2:$D$670,P197)&gt;0,"Yes","No"))</x:f>
        <x:v>Yes</x:v>
      </x:c>
    </x:row>
    <x:row r="198">
      <x:c r="A198" t="s">
        <x:v>2403</x:v>
      </x:c>
      <x:c r="B198" t="s">
        <x:v>2404</x:v>
      </x:c>
      <x:c r="C198" t="s">
        <x:v>1969</x:v>
      </x:c>
      <x:c r="D198" t="s">
        <x:v>2405</x:v>
      </x:c>
      <x:c r="E198" t="s">
        <x:v>2406</x:v>
      </x:c>
      <x:c r="F198" t="s">
        <x:v>2406</x:v>
      </x:c>
      <x:c r="G198" t="s">
        <x:v>1690</x:v>
      </x:c>
      <x:c r="P198" t="str">
        <x:f>LOWER(TRIM(SUBSTITUTE(E198,CHAR(160)," ")))</x:f>
        <x:v>ezra.maruti@pwc.com</x:v>
      </x:c>
      <x:c r="Q198" t="n">
        <x:f>IFERROR(VALUE(LEFT(D198,SEARCH("h",D198)-1)),0)*3600+IFERROR(VALUE(MID(D198,IFERROR(SEARCH("h ",D198)+2,1),SEARCH("m",D198)-IFERROR(SEARCH("h ",D198)+2,1))),0)*60+IFERROR(VALUE(MID(D198,IFERROR(SEARCH("m ",D198)+2,IFERROR(SEARCH("h ",D198)+2,1)),SEARCH("s",D198)-IFERROR(SEARCH("m ",D198)+2,IFERROR(SEARCH("h ",D198)+2,1)))),0)</x:f>
        <x:v>7096</x:v>
      </x:c>
      <x:c r="R198" t="str">
        <x:f>IF(P198="","No",IF(COUNTIF('Employee Attendance'!$D$2:$D$670,P198)&gt;0,"Yes","No"))</x:f>
        <x:v>Yes</x:v>
      </x:c>
    </x:row>
    <x:row r="199">
      <x:c r="A199" t="s">
        <x:v>2407</x:v>
      </x:c>
      <x:c r="B199" t="s">
        <x:v>2408</x:v>
      </x:c>
      <x:c r="C199" t="s">
        <x:v>2409</x:v>
      </x:c>
      <x:c r="D199" t="s">
        <x:v>2410</x:v>
      </x:c>
      <x:c r="E199" t="s">
        <x:v>2411</x:v>
      </x:c>
      <x:c r="F199" t="s">
        <x:v>2411</x:v>
      </x:c>
      <x:c r="G199" t="s">
        <x:v>1690</x:v>
      </x:c>
      <x:c r="P199" t="str">
        <x:f>LOWER(TRIM(SUBSTITUTE(E199,CHAR(160)," ")))</x:f>
        <x:v>jaya.moctaram@pwc.com</x:v>
      </x:c>
      <x:c r="Q199" t="n">
        <x:f>IFERROR(VALUE(LEFT(D199,SEARCH("h",D199)-1)),0)*3600+IFERROR(VALUE(MID(D199,IFERROR(SEARCH("h ",D199)+2,1),SEARCH("m",D199)-IFERROR(SEARCH("h ",D199)+2,1))),0)*60+IFERROR(VALUE(MID(D199,IFERROR(SEARCH("m ",D199)+2,IFERROR(SEARCH("h ",D199)+2,1)),SEARCH("s",D199)-IFERROR(SEARCH("m ",D199)+2,IFERROR(SEARCH("h ",D199)+2,1)))),0)</x:f>
        <x:v>7158</x:v>
      </x:c>
      <x:c r="R199" t="str">
        <x:f>IF(P199="","No",IF(COUNTIF('Employee Attendance'!$D$2:$D$670,P199)&gt;0,"Yes","No"))</x:f>
        <x:v>Yes</x:v>
      </x:c>
    </x:row>
    <x:row r="200">
      <x:c r="A200" t="s">
        <x:v>2412</x:v>
      </x:c>
      <x:c r="B200" t="s">
        <x:v>2413</x:v>
      </x:c>
      <x:c r="C200" t="s">
        <x:v>2414</x:v>
      </x:c>
      <x:c r="D200" t="s">
        <x:v>2415</x:v>
      </x:c>
      <x:c r="E200" t="s">
        <x:v>2416</x:v>
      </x:c>
      <x:c r="F200" t="s">
        <x:v>2416</x:v>
      </x:c>
      <x:c r="G200" t="s">
        <x:v>1690</x:v>
      </x:c>
      <x:c r="P200" t="str">
        <x:f>LOWER(TRIM(SUBSTITUTE(E200,CHAR(160)," ")))</x:f>
        <x:v>lovena.kullean@pwc.com</x:v>
      </x:c>
      <x:c r="Q200" t="n">
        <x:f>IFERROR(VALUE(LEFT(D200,SEARCH("h",D200)-1)),0)*3600+IFERROR(VALUE(MID(D200,IFERROR(SEARCH("h ",D200)+2,1),SEARCH("m",D200)-IFERROR(SEARCH("h ",D200)+2,1))),0)*60+IFERROR(VALUE(MID(D200,IFERROR(SEARCH("m ",D200)+2,IFERROR(SEARCH("h ",D200)+2,1)),SEARCH("s",D200)-IFERROR(SEARCH("m ",D200)+2,IFERROR(SEARCH("h ",D200)+2,1)))),0)</x:f>
        <x:v>7183</x:v>
      </x:c>
      <x:c r="R200" t="str">
        <x:f>IF(P200="","No",IF(COUNTIF('Employee Attendance'!$D$2:$D$670,P200)&gt;0,"Yes","No"))</x:f>
        <x:v>Yes</x:v>
      </x:c>
    </x:row>
    <x:row r="201">
      <x:c r="A201" t="s">
        <x:v>2417</x:v>
      </x:c>
      <x:c r="B201" t="s">
        <x:v>2418</x:v>
      </x:c>
      <x:c r="C201" t="s">
        <x:v>2165</x:v>
      </x:c>
      <x:c r="D201" t="s">
        <x:v>2419</x:v>
      </x:c>
      <x:c r="E201" t="s">
        <x:v>2420</x:v>
      </x:c>
      <x:c r="F201" t="s">
        <x:v>2420</x:v>
      </x:c>
      <x:c r="G201" t="s">
        <x:v>1690</x:v>
      </x:c>
      <x:c r="P201" t="str">
        <x:f>LOWER(TRIM(SUBSTITUTE(E201,CHAR(160)," ")))</x:f>
        <x:v>adrian.oile@pwc.com</x:v>
      </x:c>
      <x:c r="Q201" t="n">
        <x:f>IFERROR(VALUE(LEFT(D201,SEARCH("h",D201)-1)),0)*3600+IFERROR(VALUE(MID(D201,IFERROR(SEARCH("h ",D201)+2,1),SEARCH("m",D201)-IFERROR(SEARCH("h ",D201)+2,1))),0)*60+IFERROR(VALUE(MID(D201,IFERROR(SEARCH("m ",D201)+2,IFERROR(SEARCH("h ",D201)+2,1)),SEARCH("s",D201)-IFERROR(SEARCH("m ",D201)+2,IFERROR(SEARCH("h ",D201)+2,1)))),0)</x:f>
        <x:v>4582</x:v>
      </x:c>
      <x:c r="R201" t="str">
        <x:f>IF(P201="","No",IF(COUNTIF('Employee Attendance'!$D$2:$D$670,P201)&gt;0,"Yes","No"))</x:f>
        <x:v>Yes</x:v>
      </x:c>
    </x:row>
    <x:row r="202">
      <x:c r="A202" t="s">
        <x:v>2421</x:v>
      </x:c>
      <x:c r="B202" t="s">
        <x:v>2422</x:v>
      </x:c>
      <x:c r="C202" t="s">
        <x:v>2423</x:v>
      </x:c>
      <x:c r="D202" t="s">
        <x:v>2424</x:v>
      </x:c>
      <x:c r="E202" t="s">
        <x:v>2425</x:v>
      </x:c>
      <x:c r="F202" t="s">
        <x:v>2425</x:v>
      </x:c>
      <x:c r="G202" t="s">
        <x:v>1690</x:v>
      </x:c>
      <x:c r="P202" t="str">
        <x:f>LOWER(TRIM(SUBSTITUTE(E202,CHAR(160)," ")))</x:f>
        <x:v>yeshwant.seebaluck@pwc.com</x:v>
      </x:c>
      <x:c r="Q202" t="n">
        <x:f>IFERROR(VALUE(LEFT(D202,SEARCH("h",D202)-1)),0)*3600+IFERROR(VALUE(MID(D202,IFERROR(SEARCH("h ",D202)+2,1),SEARCH("m",D202)-IFERROR(SEARCH("h ",D202)+2,1))),0)*60+IFERROR(VALUE(MID(D202,IFERROR(SEARCH("m ",D202)+2,IFERROR(SEARCH("h ",D202)+2,1)),SEARCH("s",D202)-IFERROR(SEARCH("m ",D202)+2,IFERROR(SEARCH("h ",D202)+2,1)))),0)</x:f>
        <x:v>7156</x:v>
      </x:c>
      <x:c r="R202" t="str">
        <x:f>IF(P202="","No",IF(COUNTIF('Employee Attendance'!$D$2:$D$670,P202)&gt;0,"Yes","No"))</x:f>
        <x:v>Yes</x:v>
      </x:c>
    </x:row>
    <x:row r="203">
      <x:c r="A203" t="s">
        <x:v>2426</x:v>
      </x:c>
      <x:c r="B203" t="s">
        <x:v>2427</x:v>
      </x:c>
      <x:c r="C203" t="s">
        <x:v>2051</x:v>
      </x:c>
      <x:c r="D203" t="s">
        <x:v>2428</x:v>
      </x:c>
      <x:c r="E203" t="s">
        <x:v>2429</x:v>
      </x:c>
      <x:c r="F203" t="s">
        <x:v>2429</x:v>
      </x:c>
      <x:c r="G203" t="s">
        <x:v>1690</x:v>
      </x:c>
      <x:c r="P203" t="str">
        <x:f>LOWER(TRIM(SUBSTITUTE(E203,CHAR(160)," ")))</x:f>
        <x:v>ruth.nangiro@pwc.com</x:v>
      </x:c>
      <x:c r="Q203" t="n">
        <x:f>IFERROR(VALUE(LEFT(D203,SEARCH("h",D203)-1)),0)*3600+IFERROR(VALUE(MID(D203,IFERROR(SEARCH("h ",D203)+2,1),SEARCH("m",D203)-IFERROR(SEARCH("h ",D203)+2,1))),0)*60+IFERROR(VALUE(MID(D203,IFERROR(SEARCH("m ",D203)+2,IFERROR(SEARCH("h ",D203)+2,1)),SEARCH("s",D203)-IFERROR(SEARCH("m ",D203)+2,IFERROR(SEARCH("h ",D203)+2,1)))),0)</x:f>
        <x:v>7053</x:v>
      </x:c>
      <x:c r="R203" t="str">
        <x:f>IF(P203="","No",IF(COUNTIF('Employee Attendance'!$D$2:$D$670,P203)&gt;0,"Yes","No"))</x:f>
        <x:v>Yes</x:v>
      </x:c>
    </x:row>
    <x:row r="204">
      <x:c r="A204" t="s">
        <x:v>2430</x:v>
      </x:c>
      <x:c r="B204" t="s">
        <x:v>2431</x:v>
      </x:c>
      <x:c r="C204" t="s">
        <x:v>2432</x:v>
      </x:c>
      <x:c r="D204" t="s">
        <x:v>525</x:v>
      </x:c>
      <x:c r="E204" t="s">
        <x:v>2433</x:v>
      </x:c>
      <x:c r="F204" t="s">
        <x:v>2433</x:v>
      </x:c>
      <x:c r="G204" t="s">
        <x:v>1690</x:v>
      </x:c>
      <x:c r="O204">
        <x:v>1</x:v>
      </x:c>
      <x:c r="P204" t="str">
        <x:f>LOWER(TRIM(SUBSTITUTE(E204,CHAR(160)," ")))</x:f>
        <x:v>brian.ndagala@pwc.com</x:v>
      </x:c>
      <x:c r="Q204" t="n">
        <x:f>IFERROR(VALUE(LEFT(D204,SEARCH("h",D204)-1)),0)*3600+IFERROR(VALUE(MID(D204,IFERROR(SEARCH("h ",D204)+2,1),SEARCH("m",D204)-IFERROR(SEARCH("h ",D204)+2,1))),0)*60+IFERROR(VALUE(MID(D204,IFERROR(SEARCH("m ",D204)+2,IFERROR(SEARCH("h ",D204)+2,1)),SEARCH("s",D204)-IFERROR(SEARCH("m ",D204)+2,IFERROR(SEARCH("h ",D204)+2,1)))),0)</x:f>
        <x:v>7048</x:v>
      </x:c>
      <x:c r="R204" t="str">
        <x:f>IF(P204="","No",IF(COUNTIF('Employee Attendance'!$D$2:$D$670,P204)&gt;0,"Yes","No"))</x:f>
        <x:v>Yes</x:v>
      </x:c>
    </x:row>
    <x:row r="205">
      <x:c r="A205" t="s">
        <x:v>2434</x:v>
      </x:c>
      <x:c r="B205" t="s">
        <x:v>2435</x:v>
      </x:c>
      <x:c r="C205" t="s">
        <x:v>2060</x:v>
      </x:c>
      <x:c r="D205" t="s">
        <x:v>2436</x:v>
      </x:c>
      <x:c r="E205" t="s">
        <x:v>2437</x:v>
      </x:c>
      <x:c r="F205" t="s">
        <x:v>2437</x:v>
      </x:c>
      <x:c r="G205" t="s">
        <x:v>1690</x:v>
      </x:c>
      <x:c r="P205" t="str">
        <x:f>LOWER(TRIM(SUBSTITUTE(E205,CHAR(160)," ")))</x:f>
        <x:v>cheshta.nothoo@pwc.com</x:v>
      </x:c>
      <x:c r="Q205" t="n">
        <x:f>IFERROR(VALUE(LEFT(D205,SEARCH("h",D205)-1)),0)*3600+IFERROR(VALUE(MID(D205,IFERROR(SEARCH("h ",D205)+2,1),SEARCH("m",D205)-IFERROR(SEARCH("h ",D205)+2,1))),0)*60+IFERROR(VALUE(MID(D205,IFERROR(SEARCH("m ",D205)+2,IFERROR(SEARCH("h ",D205)+2,1)),SEARCH("s",D205)-IFERROR(SEARCH("m ",D205)+2,IFERROR(SEARCH("h ",D205)+2,1)))),0)</x:f>
        <x:v>7064</x:v>
      </x:c>
      <x:c r="R205" t="str">
        <x:f>IF(P205="","No",IF(COUNTIF('Employee Attendance'!$D$2:$D$670,P205)&gt;0,"Yes","No"))</x:f>
        <x:v>Yes</x:v>
      </x:c>
    </x:row>
    <x:row r="206">
      <x:c r="A206" t="s">
        <x:v>2438</x:v>
      </x:c>
      <x:c r="B206" t="s">
        <x:v>2439</x:v>
      </x:c>
      <x:c r="C206" t="s">
        <x:v>1687</x:v>
      </x:c>
      <x:c r="D206" t="s">
        <x:v>2440</x:v>
      </x:c>
      <x:c r="E206" t="s">
        <x:v>2441</x:v>
      </x:c>
      <x:c r="F206" t="s">
        <x:v>2441</x:v>
      </x:c>
      <x:c r="G206" t="s">
        <x:v>1690</x:v>
      </x:c>
      <x:c r="P206" t="str">
        <x:f>LOWER(TRIM(SUBSTITUTE(E206,CHAR(160)," ")))</x:f>
        <x:v>moses.mutuku@pwc.com</x:v>
      </x:c>
      <x:c r="Q206" t="n">
        <x:f>IFERROR(VALUE(LEFT(D206,SEARCH("h",D206)-1)),0)*3600+IFERROR(VALUE(MID(D206,IFERROR(SEARCH("h ",D206)+2,1),SEARCH("m",D206)-IFERROR(SEARCH("h ",D206)+2,1))),0)*60+IFERROR(VALUE(MID(D206,IFERROR(SEARCH("m ",D206)+2,IFERROR(SEARCH("h ",D206)+2,1)),SEARCH("s",D206)-IFERROR(SEARCH("m ",D206)+2,IFERROR(SEARCH("h ",D206)+2,1)))),0)</x:f>
        <x:v>7032</x:v>
      </x:c>
      <x:c r="R206" t="str">
        <x:f>IF(P206="","No",IF(COUNTIF('Employee Attendance'!$D$2:$D$670,P206)&gt;0,"Yes","No"))</x:f>
        <x:v>Yes</x:v>
      </x:c>
    </x:row>
    <x:row r="207">
      <x:c r="A207" t="s">
        <x:v>2442</x:v>
      </x:c>
      <x:c r="B207" t="s">
        <x:v>2443</x:v>
      </x:c>
      <x:c r="C207" t="s">
        <x:v>2444</x:v>
      </x:c>
      <x:c r="D207" t="s">
        <x:v>2031</x:v>
      </x:c>
      <x:c r="E207" t="s">
        <x:v>2445</x:v>
      </x:c>
      <x:c r="F207" t="s">
        <x:v>2445</x:v>
      </x:c>
      <x:c r="G207" t="s">
        <x:v>1690</x:v>
      </x:c>
      <x:c r="P207" t="str">
        <x:f>LOWER(TRIM(SUBSTITUTE(E207,CHAR(160)," ")))</x:f>
        <x:v>debra.b.banda@pwc.com</x:v>
      </x:c>
      <x:c r="Q207" t="n">
        <x:f>IFERROR(VALUE(LEFT(D207,SEARCH("h",D207)-1)),0)*3600+IFERROR(VALUE(MID(D207,IFERROR(SEARCH("h ",D207)+2,1),SEARCH("m",D207)-IFERROR(SEARCH("h ",D207)+2,1))),0)*60+IFERROR(VALUE(MID(D207,IFERROR(SEARCH("m ",D207)+2,IFERROR(SEARCH("h ",D207)+2,1)),SEARCH("s",D207)-IFERROR(SEARCH("m ",D207)+2,IFERROR(SEARCH("h ",D207)+2,1)))),0)</x:f>
        <x:v>7087</x:v>
      </x:c>
      <x:c r="R207" t="str">
        <x:f>IF(P207="","No",IF(COUNTIF('Employee Attendance'!$D$2:$D$670,P207)&gt;0,"Yes","No"))</x:f>
        <x:v>Yes</x:v>
      </x:c>
    </x:row>
    <x:row r="208">
      <x:c r="A208" t="s">
        <x:v>2446</x:v>
      </x:c>
      <x:c r="B208" t="s">
        <x:v>2447</x:v>
      </x:c>
      <x:c r="C208" t="s">
        <x:v>2448</x:v>
      </x:c>
      <x:c r="D208" t="s">
        <x:v>2250</x:v>
      </x:c>
      <x:c r="E208" t="s">
        <x:v>2449</x:v>
      </x:c>
      <x:c r="F208" t="s">
        <x:v>2449</x:v>
      </x:c>
      <x:c r="G208" t="s">
        <x:v>1690</x:v>
      </x:c>
      <x:c r="P208" t="str">
        <x:f>LOWER(TRIM(SUBSTITUTE(E208,CHAR(160)," ")))</x:f>
        <x:v>farida.mohamed@pwc.com</x:v>
      </x:c>
      <x:c r="Q208" t="n">
        <x:f>IFERROR(VALUE(LEFT(D208,SEARCH("h",D208)-1)),0)*3600+IFERROR(VALUE(MID(D208,IFERROR(SEARCH("h ",D208)+2,1),SEARCH("m",D208)-IFERROR(SEARCH("h ",D208)+2,1))),0)*60+IFERROR(VALUE(MID(D208,IFERROR(SEARCH("m ",D208)+2,IFERROR(SEARCH("h ",D208)+2,1)),SEARCH("s",D208)-IFERROR(SEARCH("m ",D208)+2,IFERROR(SEARCH("h ",D208)+2,1)))),0)</x:f>
        <x:v>7296</x:v>
      </x:c>
      <x:c r="R208" t="str">
        <x:f>IF(P208="","No",IF(COUNTIF('Employee Attendance'!$D$2:$D$670,P208)&gt;0,"Yes","No"))</x:f>
        <x:v>Yes</x:v>
      </x:c>
    </x:row>
    <x:row r="209">
      <x:c r="A209" t="s">
        <x:v>2450</x:v>
      </x:c>
      <x:c r="B209" t="s">
        <x:v>2447</x:v>
      </x:c>
      <x:c r="C209" t="s">
        <x:v>1714</x:v>
      </x:c>
      <x:c r="D209" t="s">
        <x:v>2451</x:v>
      </x:c>
      <x:c r="E209" t="s">
        <x:v>2452</x:v>
      </x:c>
      <x:c r="F209" t="s">
        <x:v>2452</x:v>
      </x:c>
      <x:c r="G209" t="s">
        <x:v>1690</x:v>
      </x:c>
      <x:c r="P209" t="str">
        <x:f>LOWER(TRIM(SUBSTITUTE(E209,CHAR(160)," ")))</x:f>
        <x:v>sadia.emamdee@pwc.com</x:v>
      </x:c>
      <x:c r="Q209" t="n">
        <x:f>IFERROR(VALUE(LEFT(D209,SEARCH("h",D209)-1)),0)*3600+IFERROR(VALUE(MID(D209,IFERROR(SEARCH("h ",D209)+2,1),SEARCH("m",D209)-IFERROR(SEARCH("h ",D209)+2,1))),0)*60+IFERROR(VALUE(MID(D209,IFERROR(SEARCH("m ",D209)+2,IFERROR(SEARCH("h ",D209)+2,1)),SEARCH("s",D209)-IFERROR(SEARCH("m ",D209)+2,IFERROR(SEARCH("h ",D209)+2,1)))),0)</x:f>
        <x:v>7033</x:v>
      </x:c>
      <x:c r="R209" t="str">
        <x:f>IF(P209="","No",IF(COUNTIF('Employee Attendance'!$D$2:$D$670,P209)&gt;0,"Yes","No"))</x:f>
        <x:v>Yes</x:v>
      </x:c>
    </x:row>
    <x:row r="210">
      <x:c r="A210" t="s">
        <x:v>60</x:v>
      </x:c>
      <x:c r="B210" t="s">
        <x:v>2453</x:v>
      </x:c>
      <x:c r="C210" t="s">
        <x:v>1889</x:v>
      </x:c>
      <x:c r="D210" t="s">
        <x:v>2454</x:v>
      </x:c>
      <x:c r="E210" t="s">
        <x:v>64</x:v>
      </x:c>
      <x:c r="F210" t="s">
        <x:v>64</x:v>
      </x:c>
      <x:c r="G210" t="s">
        <x:v>1690</x:v>
      </x:c>
      <x:c r="P210" t="str">
        <x:f>LOWER(TRIM(SUBSTITUTE(E210,CHAR(160)," ")))</x:f>
        <x:v>deborah.lukwesa@pwc.com</x:v>
      </x:c>
      <x:c r="Q210" t="n">
        <x:f>IFERROR(VALUE(LEFT(D210,SEARCH("h",D210)-1)),0)*3600+IFERROR(VALUE(MID(D210,IFERROR(SEARCH("h ",D210)+2,1),SEARCH("m",D210)-IFERROR(SEARCH("h ",D210)+2,1))),0)*60+IFERROR(VALUE(MID(D210,IFERROR(SEARCH("m ",D210)+2,IFERROR(SEARCH("h ",D210)+2,1)),SEARCH("s",D210)-IFERROR(SEARCH("m ",D210)+2,IFERROR(SEARCH("h ",D210)+2,1)))),0)</x:f>
        <x:v>6721</x:v>
      </x:c>
      <x:c r="R210" t="str">
        <x:f>IF(P210="","No",IF(COUNTIF('Employee Attendance'!$D$2:$D$670,P210)&gt;0,"Yes","No"))</x:f>
        <x:v>Yes</x:v>
      </x:c>
    </x:row>
    <x:row r="211">
      <x:c r="A211" t="s">
        <x:v>2455</x:v>
      </x:c>
      <x:c r="B211" t="s">
        <x:v>2456</x:v>
      </x:c>
      <x:c r="C211" t="s">
        <x:v>2457</x:v>
      </x:c>
      <x:c r="D211" t="s">
        <x:v>2458</x:v>
      </x:c>
      <x:c r="E211" t="s">
        <x:v>2459</x:v>
      </x:c>
      <x:c r="F211" t="s">
        <x:v>2459</x:v>
      </x:c>
      <x:c r="G211" t="s">
        <x:v>1690</x:v>
      </x:c>
      <x:c r="P211" t="str">
        <x:f>LOWER(TRIM(SUBSTITUTE(E211,CHAR(160)," ")))</x:f>
        <x:v>brenda.nabatanzi@pwc.com</x:v>
      </x:c>
      <x:c r="Q211" t="n">
        <x:f>IFERROR(VALUE(LEFT(D211,SEARCH("h",D211)-1)),0)*3600+IFERROR(VALUE(MID(D211,IFERROR(SEARCH("h ",D211)+2,1),SEARCH("m",D211)-IFERROR(SEARCH("h ",D211)+2,1))),0)*60+IFERROR(VALUE(MID(D211,IFERROR(SEARCH("m ",D211)+2,IFERROR(SEARCH("h ",D211)+2,1)),SEARCH("s",D211)-IFERROR(SEARCH("m ",D211)+2,IFERROR(SEARCH("h ",D211)+2,1)))),0)</x:f>
        <x:v>7357</x:v>
      </x:c>
      <x:c r="R211" t="str">
        <x:f>IF(P211="","No",IF(COUNTIF('Employee Attendance'!$D$2:$D$670,P211)&gt;0,"Yes","No"))</x:f>
        <x:v>Yes</x:v>
      </x:c>
    </x:row>
    <x:row r="212">
      <x:c r="A212" t="s">
        <x:v>2460</x:v>
      </x:c>
      <x:c r="B212" t="s">
        <x:v>2461</x:v>
      </x:c>
      <x:c r="C212" t="s">
        <x:v>1828</x:v>
      </x:c>
      <x:c r="D212" t="s">
        <x:v>580</x:v>
      </x:c>
      <x:c r="E212" t="s">
        <x:v>2462</x:v>
      </x:c>
      <x:c r="F212" t="s">
        <x:v>2462</x:v>
      </x:c>
      <x:c r="G212" t="s">
        <x:v>1690</x:v>
      </x:c>
      <x:c r="P212" t="str">
        <x:f>LOWER(TRIM(SUBSTITUTE(E212,CHAR(160)," ")))</x:f>
        <x:v>faheem.auliar@pwc.com</x:v>
      </x:c>
      <x:c r="Q212" t="n">
        <x:f>IFERROR(VALUE(LEFT(D212,SEARCH("h",D212)-1)),0)*3600+IFERROR(VALUE(MID(D212,IFERROR(SEARCH("h ",D212)+2,1),SEARCH("m",D212)-IFERROR(SEARCH("h ",D212)+2,1))),0)*60+IFERROR(VALUE(MID(D212,IFERROR(SEARCH("m ",D212)+2,IFERROR(SEARCH("h ",D212)+2,1)),SEARCH("s",D212)-IFERROR(SEARCH("m ",D212)+2,IFERROR(SEARCH("h ",D212)+2,1)))),0)</x:f>
        <x:v>7001</x:v>
      </x:c>
      <x:c r="R212" t="str">
        <x:f>IF(P212="","No",IF(COUNTIF('Employee Attendance'!$D$2:$D$670,P212)&gt;0,"Yes","No"))</x:f>
        <x:v>Yes</x:v>
      </x:c>
    </x:row>
    <x:row r="213">
      <x:c r="A213" t="s">
        <x:v>1176</x:v>
      </x:c>
      <x:c r="B213" t="s">
        <x:v>2463</x:v>
      </x:c>
      <x:c r="C213" t="s">
        <x:v>2464</x:v>
      </x:c>
      <x:c r="D213" t="s">
        <x:v>2465</x:v>
      </x:c>
      <x:c r="E213" t="s">
        <x:v>1179</x:v>
      </x:c>
      <x:c r="F213" t="s">
        <x:v>1179</x:v>
      </x:c>
      <x:c r="G213" t="s">
        <x:v>1690</x:v>
      </x:c>
      <x:c r="P213" t="str">
        <x:f>LOWER(TRIM(SUBSTITUTE(E213,CHAR(160)," ")))</x:f>
        <x:v>james.musyoka@pwc.com</x:v>
      </x:c>
      <x:c r="Q213" t="n">
        <x:f>IFERROR(VALUE(LEFT(D213,SEARCH("h",D213)-1)),0)*3600+IFERROR(VALUE(MID(D213,IFERROR(SEARCH("h ",D213)+2,1),SEARCH("m",D213)-IFERROR(SEARCH("h ",D213)+2,1))),0)*60+IFERROR(VALUE(MID(D213,IFERROR(SEARCH("m ",D213)+2,IFERROR(SEARCH("h ",D213)+2,1)),SEARCH("s",D213)-IFERROR(SEARCH("m ",D213)+2,IFERROR(SEARCH("h ",D213)+2,1)))),0)</x:f>
        <x:v>614</x:v>
      </x:c>
      <x:c r="R213" t="str">
        <x:f>IF(P213="","No",IF(COUNTIF('Employee Attendance'!$D$2:$D$670,P213)&gt;0,"Yes","No"))</x:f>
        <x:v>Yes</x:v>
      </x:c>
    </x:row>
    <x:row r="214">
      <x:c r="A214" t="s">
        <x:v>2466</x:v>
      </x:c>
      <x:c r="B214" t="s">
        <x:v>2463</x:v>
      </x:c>
      <x:c r="C214" t="s">
        <x:v>2467</x:v>
      </x:c>
      <x:c r="D214" t="s">
        <x:v>2468</x:v>
      </x:c>
      <x:c r="E214" t="s">
        <x:v>2469</x:v>
      </x:c>
      <x:c r="F214" t="s">
        <x:v>2469</x:v>
      </x:c>
      <x:c r="G214" t="s">
        <x:v>1690</x:v>
      </x:c>
      <x:c r="O214">
        <x:v>1</x:v>
      </x:c>
      <x:c r="P214" t="str">
        <x:f>LOWER(TRIM(SUBSTITUTE(E214,CHAR(160)," ")))</x:f>
        <x:v>praveena.ramlogun@pwc.com</x:v>
      </x:c>
      <x:c r="Q214" t="n">
        <x:f>IFERROR(VALUE(LEFT(D214,SEARCH("h",D214)-1)),0)*3600+IFERROR(VALUE(MID(D214,IFERROR(SEARCH("h ",D214)+2,1),SEARCH("m",D214)-IFERROR(SEARCH("h ",D214)+2,1))),0)*60+IFERROR(VALUE(MID(D214,IFERROR(SEARCH("m ",D214)+2,IFERROR(SEARCH("h ",D214)+2,1)),SEARCH("s",D214)-IFERROR(SEARCH("m ",D214)+2,IFERROR(SEARCH("h ",D214)+2,1)))),0)</x:f>
        <x:v>7010</x:v>
      </x:c>
      <x:c r="R214" t="str">
        <x:f>IF(P214="","No",IF(COUNTIF('Employee Attendance'!$D$2:$D$670,P214)&gt;0,"Yes","No"))</x:f>
        <x:v>Yes</x:v>
      </x:c>
    </x:row>
    <x:row r="215">
      <x:c r="A215" t="s">
        <x:v>216</x:v>
      </x:c>
      <x:c r="B215" t="s">
        <x:v>2470</x:v>
      </x:c>
      <x:c r="C215" t="s">
        <x:v>2471</x:v>
      </x:c>
      <x:c r="D215" t="s">
        <x:v>2472</x:v>
      </x:c>
      <x:c r="E215" t="s">
        <x:v>220</x:v>
      </x:c>
      <x:c r="F215" t="s">
        <x:v>220</x:v>
      </x:c>
      <x:c r="G215" t="s">
        <x:v>1690</x:v>
      </x:c>
      <x:c r="P215" t="str">
        <x:f>LOWER(TRIM(SUBSTITUTE(E215,CHAR(160)," ")))</x:f>
        <x:v>godfrey.kizza@pwc.com</x:v>
      </x:c>
      <x:c r="Q215" t="n">
        <x:f>IFERROR(VALUE(LEFT(D215,SEARCH("h",D215)-1)),0)*3600+IFERROR(VALUE(MID(D215,IFERROR(SEARCH("h ",D215)+2,1),SEARCH("m",D215)-IFERROR(SEARCH("h ",D215)+2,1))),0)*60+IFERROR(VALUE(MID(D215,IFERROR(SEARCH("m ",D215)+2,IFERROR(SEARCH("h ",D215)+2,1)),SEARCH("s",D215)-IFERROR(SEARCH("m ",D215)+2,IFERROR(SEARCH("h ",D215)+2,1)))),0)</x:f>
        <x:v>6992</x:v>
      </x:c>
      <x:c r="R215" t="str">
        <x:f>IF(P215="","No",IF(COUNTIF('Employee Attendance'!$D$2:$D$670,P215)&gt;0,"Yes","No"))</x:f>
        <x:v>Yes</x:v>
      </x:c>
    </x:row>
    <x:row r="216">
      <x:c r="A216" t="s">
        <x:v>2473</x:v>
      </x:c>
      <x:c r="B216" t="s">
        <x:v>2474</x:v>
      </x:c>
      <x:c r="C216" t="s">
        <x:v>2051</x:v>
      </x:c>
      <x:c r="D216" t="s">
        <x:v>2475</x:v>
      </x:c>
      <x:c r="E216" t="s">
        <x:v>2476</x:v>
      </x:c>
      <x:c r="F216" t="s">
        <x:v>2476</x:v>
      </x:c>
      <x:c r="G216" t="s">
        <x:v>1690</x:v>
      </x:c>
      <x:c r="O216">
        <x:v>1</x:v>
      </x:c>
      <x:c r="P216" t="str">
        <x:f>LOWER(TRIM(SUBSTITUTE(E216,CHAR(160)," ")))</x:f>
        <x:v>umair.moniaruth@pwc.com</x:v>
      </x:c>
      <x:c r="Q216" t="n">
        <x:f>IFERROR(VALUE(LEFT(D216,SEARCH("h",D216)-1)),0)*3600+IFERROR(VALUE(MID(D216,IFERROR(SEARCH("h ",D216)+2,1),SEARCH("m",D216)-IFERROR(SEARCH("h ",D216)+2,1))),0)*60+IFERROR(VALUE(MID(D216,IFERROR(SEARCH("m ",D216)+2,IFERROR(SEARCH("h ",D216)+2,1)),SEARCH("s",D216)-IFERROR(SEARCH("m ",D216)+2,IFERROR(SEARCH("h ",D216)+2,1)))),0)</x:f>
        <x:v>6951</x:v>
      </x:c>
      <x:c r="R216" t="str">
        <x:f>IF(P216="","No",IF(COUNTIF('Employee Attendance'!$D$2:$D$670,P216)&gt;0,"Yes","No"))</x:f>
        <x:v>Yes</x:v>
      </x:c>
    </x:row>
    <x:row r="217">
      <x:c r="A217" t="s">
        <x:v>2477</x:v>
      </x:c>
      <x:c r="B217" t="s">
        <x:v>2478</x:v>
      </x:c>
      <x:c r="C217" t="s">
        <x:v>1837</x:v>
      </x:c>
      <x:c r="D217" t="s">
        <x:v>2479</x:v>
      </x:c>
      <x:c r="E217" t="s">
        <x:v>2480</x:v>
      </x:c>
      <x:c r="F217" t="s">
        <x:v>2480</x:v>
      </x:c>
      <x:c r="G217" t="s">
        <x:v>1690</x:v>
      </x:c>
      <x:c r="H217">
        <x:v>1</x:v>
      </x:c>
      <x:c r="J217">
        <x:v>1</x:v>
      </x:c>
      <x:c r="O217">
        <x:v>1</x:v>
      </x:c>
      <x:c r="P217" t="str">
        <x:f>LOWER(TRIM(SUBSTITUTE(E217,CHAR(160)," ")))</x:f>
        <x:v>longo.sikazwe@pwc.com</x:v>
      </x:c>
      <x:c r="Q217" t="n">
        <x:f>IFERROR(VALUE(LEFT(D217,SEARCH("h",D217)-1)),0)*3600+IFERROR(VALUE(MID(D217,IFERROR(SEARCH("h ",D217)+2,1),SEARCH("m",D217)-IFERROR(SEARCH("h ",D217)+2,1))),0)*60+IFERROR(VALUE(MID(D217,IFERROR(SEARCH("m ",D217)+2,IFERROR(SEARCH("h ",D217)+2,1)),SEARCH("s",D217)-IFERROR(SEARCH("m ",D217)+2,IFERROR(SEARCH("h ",D217)+2,1)))),0)</x:f>
        <x:v>6940</x:v>
      </x:c>
      <x:c r="R217" t="str">
        <x:f>IF(P217="","No",IF(COUNTIF('Employee Attendance'!$D$2:$D$670,P217)&gt;0,"Yes","No"))</x:f>
        <x:v>Yes</x:v>
      </x:c>
    </x:row>
    <x:row r="218">
      <x:c r="A218" t="s">
        <x:v>2481</x:v>
      </x:c>
      <x:c r="B218" t="s">
        <x:v>2482</x:v>
      </x:c>
      <x:c r="C218" t="s">
        <x:v>2132</x:v>
      </x:c>
      <x:c r="D218" t="s">
        <x:v>2483</x:v>
      </x:c>
      <x:c r="E218" t="s">
        <x:v>2484</x:v>
      </x:c>
      <x:c r="F218" t="s">
        <x:v>2484</x:v>
      </x:c>
      <x:c r="G218" t="s">
        <x:v>1690</x:v>
      </x:c>
      <x:c r="O218">
        <x:v>2</x:v>
      </x:c>
      <x:c r="P218" t="str">
        <x:f>LOWER(TRIM(SUBSTITUTE(E218,CHAR(160)," ")))</x:f>
        <x:v>devonhope.ntoinya@pwc.com</x:v>
      </x:c>
      <x:c r="Q218" t="n">
        <x:f>IFERROR(VALUE(LEFT(D218,SEARCH("h",D218)-1)),0)*3600+IFERROR(VALUE(MID(D218,IFERROR(SEARCH("h ",D218)+2,1),SEARCH("m",D218)-IFERROR(SEARCH("h ",D218)+2,1))),0)*60+IFERROR(VALUE(MID(D218,IFERROR(SEARCH("m ",D218)+2,IFERROR(SEARCH("h ",D218)+2,1)),SEARCH("s",D218)-IFERROR(SEARCH("m ",D218)+2,IFERROR(SEARCH("h ",D218)+2,1)))),0)</x:f>
        <x:v>3623</x:v>
      </x:c>
      <x:c r="R218" t="str">
        <x:f>IF(P218="","No",IF(COUNTIF('Employee Attendance'!$D$2:$D$670,P218)&gt;0,"Yes","No"))</x:f>
        <x:v>Yes</x:v>
      </x:c>
    </x:row>
    <x:row r="219">
      <x:c r="A219" t="s">
        <x:v>1292</x:v>
      </x:c>
      <x:c r="B219" t="s">
        <x:v>2485</x:v>
      </x:c>
      <x:c r="C219" t="s">
        <x:v>1837</x:v>
      </x:c>
      <x:c r="D219" t="s">
        <x:v>2486</x:v>
      </x:c>
      <x:c r="E219" t="s">
        <x:v>1295</x:v>
      </x:c>
      <x:c r="F219" t="s">
        <x:v>1295</x:v>
      </x:c>
      <x:c r="G219" t="s">
        <x:v>1690</x:v>
      </x:c>
      <x:c r="P219" t="str">
        <x:f>LOWER(TRIM(SUBSTITUTE(E219,CHAR(160)," ")))</x:f>
        <x:v>yasiirah.peerbux@pwc.com</x:v>
      </x:c>
      <x:c r="Q219" t="n">
        <x:f>IFERROR(VALUE(LEFT(D219,SEARCH("h",D219)-1)),0)*3600+IFERROR(VALUE(MID(D219,IFERROR(SEARCH("h ",D219)+2,1),SEARCH("m",D219)-IFERROR(SEARCH("h ",D219)+2,1))),0)*60+IFERROR(VALUE(MID(D219,IFERROR(SEARCH("m ",D219)+2,IFERROR(SEARCH("h ",D219)+2,1)),SEARCH("s",D219)-IFERROR(SEARCH("m ",D219)+2,IFERROR(SEARCH("h ",D219)+2,1)))),0)</x:f>
        <x:v>6922</x:v>
      </x:c>
      <x:c r="R219" t="str">
        <x:f>IF(P219="","No",IF(COUNTIF('Employee Attendance'!$D$2:$D$670,P219)&gt;0,"Yes","No"))</x:f>
        <x:v>Yes</x:v>
      </x:c>
    </x:row>
    <x:row r="220">
      <x:c r="A220" t="s">
        <x:v>1347</x:v>
      </x:c>
      <x:c r="B220" t="s">
        <x:v>2487</x:v>
      </x:c>
      <x:c r="C220" t="s">
        <x:v>2488</x:v>
      </x:c>
      <x:c r="D220" t="s">
        <x:v>2489</x:v>
      </x:c>
      <x:c r="E220" t="s">
        <x:v>1350</x:v>
      </x:c>
      <x:c r="F220" t="s">
        <x:v>1350</x:v>
      </x:c>
      <x:c r="G220" t="s">
        <x:v>1690</x:v>
      </x:c>
      <x:c r="O220">
        <x:v>1</x:v>
      </x:c>
      <x:c r="P220" t="str">
        <x:f>LOWER(TRIM(SUBSTITUTE(E220,CHAR(160)," ")))</x:f>
        <x:v>chali.ngulube@pwc.com</x:v>
      </x:c>
      <x:c r="Q220" t="n">
        <x:f>IFERROR(VALUE(LEFT(D220,SEARCH("h",D220)-1)),0)*3600+IFERROR(VALUE(MID(D220,IFERROR(SEARCH("h ",D220)+2,1),SEARCH("m",D220)-IFERROR(SEARCH("h ",D220)+2,1))),0)*60+IFERROR(VALUE(MID(D220,IFERROR(SEARCH("m ",D220)+2,IFERROR(SEARCH("h ",D220)+2,1)),SEARCH("s",D220)-IFERROR(SEARCH("m ",D220)+2,IFERROR(SEARCH("h ",D220)+2,1)))),0)</x:f>
        <x:v>6949</x:v>
      </x:c>
      <x:c r="R220" t="str">
        <x:f>IF(P220="","No",IF(COUNTIF('Employee Attendance'!$D$2:$D$670,P220)&gt;0,"Yes","No"))</x:f>
        <x:v>Yes</x:v>
      </x:c>
    </x:row>
    <x:row r="221">
      <x:c r="A221" t="s">
        <x:v>2490</x:v>
      </x:c>
      <x:c r="B221" t="s">
        <x:v>2491</x:v>
      </x:c>
      <x:c r="C221" t="s">
        <x:v>2492</x:v>
      </x:c>
      <x:c r="D221" t="s">
        <x:v>2309</x:v>
      </x:c>
      <x:c r="E221" t="s">
        <x:v>2493</x:v>
      </x:c>
      <x:c r="F221" t="s">
        <x:v>2493</x:v>
      </x:c>
      <x:c r="G221" t="s">
        <x:v>1690</x:v>
      </x:c>
      <x:c r="O221">
        <x:v>1</x:v>
      </x:c>
      <x:c r="P221" t="str">
        <x:f>LOWER(TRIM(SUBSTITUTE(E221,CHAR(160)," ")))</x:f>
        <x:v>abel.legesse@pwc.com</x:v>
      </x:c>
      <x:c r="Q221" t="n">
        <x:f>IFERROR(VALUE(LEFT(D221,SEARCH("h",D221)-1)),0)*3600+IFERROR(VALUE(MID(D221,IFERROR(SEARCH("h ",D221)+2,1),SEARCH("m",D221)-IFERROR(SEARCH("h ",D221)+2,1))),0)*60+IFERROR(VALUE(MID(D221,IFERROR(SEARCH("m ",D221)+2,IFERROR(SEARCH("h ",D221)+2,1)),SEARCH("s",D221)-IFERROR(SEARCH("m ",D221)+2,IFERROR(SEARCH("h ",D221)+2,1)))),0)</x:f>
        <x:v>6571</x:v>
      </x:c>
      <x:c r="R221" t="str">
        <x:f>IF(P221="","No",IF(COUNTIF('Employee Attendance'!$D$2:$D$670,P221)&gt;0,"Yes","No"))</x:f>
        <x:v>Yes</x:v>
      </x:c>
    </x:row>
    <x:row r="222">
      <x:c r="A222" t="s">
        <x:v>2494</x:v>
      </x:c>
      <x:c r="B222" t="s">
        <x:v>2495</x:v>
      </x:c>
      <x:c r="C222" t="s">
        <x:v>2496</x:v>
      </x:c>
      <x:c r="D222" t="s">
        <x:v>2161</x:v>
      </x:c>
      <x:c r="E222" t="s">
        <x:v>2497</x:v>
      </x:c>
      <x:c r="F222" t="s">
        <x:v>2497</x:v>
      </x:c>
      <x:c r="G222" t="s">
        <x:v>1690</x:v>
      </x:c>
      <x:c r="P222" t="str">
        <x:f>LOWER(TRIM(SUBSTITUTE(E222,CHAR(160)," ")))</x:f>
        <x:v>mellisa.nassaka@pwc.com</x:v>
      </x:c>
      <x:c r="Q222" t="n">
        <x:f>IFERROR(VALUE(LEFT(D222,SEARCH("h",D222)-1)),0)*3600+IFERROR(VALUE(MID(D222,IFERROR(SEARCH("h ",D222)+2,1),SEARCH("m",D222)-IFERROR(SEARCH("h ",D222)+2,1))),0)*60+IFERROR(VALUE(MID(D222,IFERROR(SEARCH("m ",D222)+2,IFERROR(SEARCH("h ",D222)+2,1)),SEARCH("s",D222)-IFERROR(SEARCH("m ",D222)+2,IFERROR(SEARCH("h ",D222)+2,1)))),0)</x:f>
        <x:v>6962</x:v>
      </x:c>
      <x:c r="R222" t="str">
        <x:f>IF(P222="","No",IF(COUNTIF('Employee Attendance'!$D$2:$D$670,P222)&gt;0,"Yes","No"))</x:f>
        <x:v>Yes</x:v>
      </x:c>
    </x:row>
    <x:row r="223">
      <x:c r="A223" t="s">
        <x:v>2498</x:v>
      </x:c>
      <x:c r="B223" t="s">
        <x:v>2499</x:v>
      </x:c>
      <x:c r="C223" t="s">
        <x:v>2500</x:v>
      </x:c>
      <x:c r="D223" t="s">
        <x:v>2501</x:v>
      </x:c>
      <x:c r="E223" t="s">
        <x:v>2502</x:v>
      </x:c>
      <x:c r="F223" t="s">
        <x:v>2502</x:v>
      </x:c>
      <x:c r="G223" t="s">
        <x:v>1690</x:v>
      </x:c>
      <x:c r="P223" t="str">
        <x:f>LOWER(TRIM(SUBSTITUTE(E223,CHAR(160)," ")))</x:f>
        <x:v>elisha.kilonzo@pwc.com</x:v>
      </x:c>
      <x:c r="Q223" t="n">
        <x:f>IFERROR(VALUE(LEFT(D223,SEARCH("h",D223)-1)),0)*3600+IFERROR(VALUE(MID(D223,IFERROR(SEARCH("h ",D223)+2,1),SEARCH("m",D223)-IFERROR(SEARCH("h ",D223)+2,1))),0)*60+IFERROR(VALUE(MID(D223,IFERROR(SEARCH("m ",D223)+2,IFERROR(SEARCH("h ",D223)+2,1)),SEARCH("s",D223)-IFERROR(SEARCH("m ",D223)+2,IFERROR(SEARCH("h ",D223)+2,1)))),0)</x:f>
        <x:v>6606</x:v>
      </x:c>
      <x:c r="R223" t="str">
        <x:f>IF(P223="","No",IF(COUNTIF('Employee Attendance'!$D$2:$D$670,P223)&gt;0,"Yes","No"))</x:f>
        <x:v>Yes</x:v>
      </x:c>
    </x:row>
    <x:row r="224">
      <x:c r="A224" t="s">
        <x:v>438</x:v>
      </x:c>
      <x:c r="B224" t="s">
        <x:v>2503</x:v>
      </x:c>
      <x:c r="C224" t="s">
        <x:v>2504</x:v>
      </x:c>
      <x:c r="D224" t="s">
        <x:v>2505</x:v>
      </x:c>
      <x:c r="E224" t="s">
        <x:v>442</x:v>
      </x:c>
      <x:c r="F224" t="s">
        <x:v>442</x:v>
      </x:c>
      <x:c r="G224" t="s">
        <x:v>1690</x:v>
      </x:c>
      <x:c r="P224" t="str">
        <x:f>LOWER(TRIM(SUBSTITUTE(E224,CHAR(160)," ")))</x:f>
        <x:v>ann.muchoki@pwc.com</x:v>
      </x:c>
      <x:c r="Q224" t="n">
        <x:f>IFERROR(VALUE(LEFT(D224,SEARCH("h",D224)-1)),0)*3600+IFERROR(VALUE(MID(D224,IFERROR(SEARCH("h ",D224)+2,1),SEARCH("m",D224)-IFERROR(SEARCH("h ",D224)+2,1))),0)*60+IFERROR(VALUE(MID(D224,IFERROR(SEARCH("m ",D224)+2,IFERROR(SEARCH("h ",D224)+2,1)),SEARCH("s",D224)-IFERROR(SEARCH("m ",D224)+2,IFERROR(SEARCH("h ",D224)+2,1)))),0)</x:f>
        <x:v>1498</x:v>
      </x:c>
      <x:c r="R224" t="str">
        <x:f>IF(P224="","No",IF(COUNTIF('Employee Attendance'!$D$2:$D$670,P224)&gt;0,"Yes","No"))</x:f>
        <x:v>Yes</x:v>
      </x:c>
    </x:row>
    <x:row r="225">
      <x:c r="A225" t="s">
        <x:v>2506</x:v>
      </x:c>
      <x:c r="B225" t="s">
        <x:v>2507</x:v>
      </x:c>
      <x:c r="C225" t="s">
        <x:v>1851</x:v>
      </x:c>
      <x:c r="D225" t="s">
        <x:v>2508</x:v>
      </x:c>
      <x:c r="E225" t="s">
        <x:v>2509</x:v>
      </x:c>
      <x:c r="F225" t="s">
        <x:v>2509</x:v>
      </x:c>
      <x:c r="G225" t="s">
        <x:v>1690</x:v>
      </x:c>
      <x:c r="P225" t="str">
        <x:f>LOWER(TRIM(SUBSTITUTE(E225,CHAR(160)," ")))</x:f>
        <x:v>cletus.kiyuga@pwc.com</x:v>
      </x:c>
      <x:c r="Q225" t="n">
        <x:f>IFERROR(VALUE(LEFT(D225,SEARCH("h",D225)-1)),0)*3600+IFERROR(VALUE(MID(D225,IFERROR(SEARCH("h ",D225)+2,1),SEARCH("m",D225)-IFERROR(SEARCH("h ",D225)+2,1))),0)*60+IFERROR(VALUE(MID(D225,IFERROR(SEARCH("m ",D225)+2,IFERROR(SEARCH("h ",D225)+2,1)),SEARCH("s",D225)-IFERROR(SEARCH("m ",D225)+2,IFERROR(SEARCH("h ",D225)+2,1)))),0)</x:f>
        <x:v>6876</x:v>
      </x:c>
      <x:c r="R225" t="str">
        <x:f>IF(P225="","No",IF(COUNTIF('Employee Attendance'!$D$2:$D$670,P225)&gt;0,"Yes","No"))</x:f>
        <x:v>Yes</x:v>
      </x:c>
    </x:row>
    <x:row r="226">
      <x:c r="A226" t="s">
        <x:v>2510</x:v>
      </x:c>
      <x:c r="B226" t="s">
        <x:v>2511</x:v>
      </x:c>
      <x:c r="C226" t="s">
        <x:v>2512</x:v>
      </x:c>
      <x:c r="D226" t="s">
        <x:v>2513</x:v>
      </x:c>
      <x:c r="E226" t="s">
        <x:v>2514</x:v>
      </x:c>
      <x:c r="F226" t="s">
        <x:v>2514</x:v>
      </x:c>
      <x:c r="G226" t="s">
        <x:v>1690</x:v>
      </x:c>
      <x:c r="O226">
        <x:v>1</x:v>
      </x:c>
      <x:c r="P226" t="str">
        <x:f>LOWER(TRIM(SUBSTITUTE(E226,CHAR(160)," ")))</x:f>
        <x:v>shriya.r.ragoonundun@pwc.com</x:v>
      </x:c>
      <x:c r="Q226" t="n">
        <x:f>IFERROR(VALUE(LEFT(D226,SEARCH("h",D226)-1)),0)*3600+IFERROR(VALUE(MID(D226,IFERROR(SEARCH("h ",D226)+2,1),SEARCH("m",D226)-IFERROR(SEARCH("h ",D226)+2,1))),0)*60+IFERROR(VALUE(MID(D226,IFERROR(SEARCH("m ",D226)+2,IFERROR(SEARCH("h ",D226)+2,1)),SEARCH("s",D226)-IFERROR(SEARCH("m ",D226)+2,IFERROR(SEARCH("h ",D226)+2,1)))),0)</x:f>
        <x:v>6432</x:v>
      </x:c>
      <x:c r="R226" t="str">
        <x:f>IF(P226="","No",IF(COUNTIF('Employee Attendance'!$D$2:$D$670,P226)&gt;0,"Yes","No"))</x:f>
        <x:v>Yes</x:v>
      </x:c>
    </x:row>
    <x:row r="227">
      <x:c r="A227" t="s">
        <x:v>2515</x:v>
      </x:c>
      <x:c r="B227" t="s">
        <x:v>2516</x:v>
      </x:c>
      <x:c r="C227" t="s">
        <x:v>1718</x:v>
      </x:c>
      <x:c r="D227" t="s">
        <x:v>2517</x:v>
      </x:c>
      <x:c r="E227" t="s">
        <x:v>2518</x:v>
      </x:c>
      <x:c r="F227" t="s">
        <x:v>2518</x:v>
      </x:c>
      <x:c r="G227" t="s">
        <x:v>1690</x:v>
      </x:c>
      <x:c r="O227">
        <x:v>2</x:v>
      </x:c>
      <x:c r="P227" t="str">
        <x:f>LOWER(TRIM(SUBSTITUTE(E227,CHAR(160)," ")))</x:f>
        <x:v>mulenga.chiti@pwc.com</x:v>
      </x:c>
      <x:c r="Q227" t="n">
        <x:f>IFERROR(VALUE(LEFT(D227,SEARCH("h",D227)-1)),0)*3600+IFERROR(VALUE(MID(D227,IFERROR(SEARCH("h ",D227)+2,1),SEARCH("m",D227)-IFERROR(SEARCH("h ",D227)+2,1))),0)*60+IFERROR(VALUE(MID(D227,IFERROR(SEARCH("m ",D227)+2,IFERROR(SEARCH("h ",D227)+2,1)),SEARCH("s",D227)-IFERROR(SEARCH("m ",D227)+2,IFERROR(SEARCH("h ",D227)+2,1)))),0)</x:f>
        <x:v>6812</x:v>
      </x:c>
      <x:c r="R227" t="str">
        <x:f>IF(P227="","No",IF(COUNTIF('Employee Attendance'!$D$2:$D$670,P227)&gt;0,"Yes","No"))</x:f>
        <x:v>Yes</x:v>
      </x:c>
    </x:row>
    <x:row r="228">
      <x:c r="A228" t="s">
        <x:v>2519</x:v>
      </x:c>
      <x:c r="B228" t="s">
        <x:v>2516</x:v>
      </x:c>
      <x:c r="C228" t="s">
        <x:v>2520</x:v>
      </x:c>
      <x:c r="D228" t="s">
        <x:v>819</x:v>
      </x:c>
      <x:c r="E228" t="s">
        <x:v>2521</x:v>
      </x:c>
      <x:c r="F228" t="s">
        <x:v>2521</x:v>
      </x:c>
      <x:c r="G228" t="s">
        <x:v>1690</x:v>
      </x:c>
      <x:c r="N228">
        <x:v>1</x:v>
      </x:c>
      <x:c r="P228" t="str">
        <x:f>LOWER(TRIM(SUBSTITUTE(E228,CHAR(160)," ")))</x:f>
        <x:v>fahim.damaree@pwc.com</x:v>
      </x:c>
      <x:c r="Q228" t="n">
        <x:f>IFERROR(VALUE(LEFT(D228,SEARCH("h",D228)-1)),0)*3600+IFERROR(VALUE(MID(D228,IFERROR(SEARCH("h ",D228)+2,1),SEARCH("m",D228)-IFERROR(SEARCH("h ",D228)+2,1))),0)*60+IFERROR(VALUE(MID(D228,IFERROR(SEARCH("m ",D228)+2,IFERROR(SEARCH("h ",D228)+2,1)),SEARCH("s",D228)-IFERROR(SEARCH("m ",D228)+2,IFERROR(SEARCH("h ",D228)+2,1)))),0)</x:f>
        <x:v>6239</x:v>
      </x:c>
      <x:c r="R228" t="str">
        <x:f>IF(P228="","No",IF(COUNTIF('Employee Attendance'!$D$2:$D$670,P228)&gt;0,"Yes","No"))</x:f>
        <x:v>Yes</x:v>
      </x:c>
    </x:row>
    <x:row r="229">
      <x:c r="A229" t="s">
        <x:v>2522</x:v>
      </x:c>
      <x:c r="B229" t="s">
        <x:v>2523</x:v>
      </x:c>
      <x:c r="C229" t="s">
        <x:v>2524</x:v>
      </x:c>
      <x:c r="D229" t="s">
        <x:v>2525</x:v>
      </x:c>
      <x:c r="E229" t="s">
        <x:v>2526</x:v>
      </x:c>
      <x:c r="F229" t="s">
        <x:v>2526</x:v>
      </x:c>
      <x:c r="G229" t="s">
        <x:v>1690</x:v>
      </x:c>
      <x:c r="P229" t="str">
        <x:f>LOWER(TRIM(SUBSTITUTE(E229,CHAR(160)," ")))</x:f>
        <x:v>mamba.hachongo@pwc.com</x:v>
      </x:c>
      <x:c r="Q229" t="n">
        <x:f>IFERROR(VALUE(LEFT(D229,SEARCH("h",D229)-1)),0)*3600+IFERROR(VALUE(MID(D229,IFERROR(SEARCH("h ",D229)+2,1),SEARCH("m",D229)-IFERROR(SEARCH("h ",D229)+2,1))),0)*60+IFERROR(VALUE(MID(D229,IFERROR(SEARCH("m ",D229)+2,IFERROR(SEARCH("h ",D229)+2,1)),SEARCH("s",D229)-IFERROR(SEARCH("m ",D229)+2,IFERROR(SEARCH("h ",D229)+2,1)))),0)</x:f>
        <x:v>3969</x:v>
      </x:c>
      <x:c r="R229" t="str">
        <x:f>IF(P229="","No",IF(COUNTIF('Employee Attendance'!$D$2:$D$670,P229)&gt;0,"Yes","No"))</x:f>
        <x:v>Yes</x:v>
      </x:c>
    </x:row>
    <x:row r="230">
      <x:c r="A230" t="s">
        <x:v>2527</x:v>
      </x:c>
      <x:c r="B230" t="s">
        <x:v>2528</x:v>
      </x:c>
      <x:c r="C230" t="s">
        <x:v>1851</x:v>
      </x:c>
      <x:c r="D230" t="s">
        <x:v>2529</x:v>
      </x:c>
      <x:c r="E230" t="s">
        <x:v>2530</x:v>
      </x:c>
      <x:c r="F230" t="s">
        <x:v>2530</x:v>
      </x:c>
      <x:c r="G230" t="s">
        <x:v>1690</x:v>
      </x:c>
      <x:c r="P230" t="str">
        <x:f>LOWER(TRIM(SUBSTITUTE(E230,CHAR(160)," ")))</x:f>
        <x:v>tabo.mwiya@pwc.com</x:v>
      </x:c>
      <x:c r="Q230" t="n">
        <x:f>IFERROR(VALUE(LEFT(D230,SEARCH("h",D230)-1)),0)*3600+IFERROR(VALUE(MID(D230,IFERROR(SEARCH("h ",D230)+2,1),SEARCH("m",D230)-IFERROR(SEARCH("h ",D230)+2,1))),0)*60+IFERROR(VALUE(MID(D230,IFERROR(SEARCH("m ",D230)+2,IFERROR(SEARCH("h ",D230)+2,1)),SEARCH("s",D230)-IFERROR(SEARCH("m ",D230)+2,IFERROR(SEARCH("h ",D230)+2,1)))),0)</x:f>
        <x:v>6791</x:v>
      </x:c>
      <x:c r="R230" t="str">
        <x:f>IF(P230="","No",IF(COUNTIF('Employee Attendance'!$D$2:$D$670,P230)&gt;0,"Yes","No"))</x:f>
        <x:v>Yes</x:v>
      </x:c>
    </x:row>
    <x:row r="231">
      <x:c r="A231" t="s">
        <x:v>2531</x:v>
      </x:c>
      <x:c r="B231" t="s">
        <x:v>2532</x:v>
      </x:c>
      <x:c r="C231" t="s">
        <x:v>1698</x:v>
      </x:c>
      <x:c r="D231" t="s">
        <x:v>2533</x:v>
      </x:c>
      <x:c r="E231" t="s">
        <x:v>2534</x:v>
      </x:c>
      <x:c r="F231" t="s">
        <x:v>2534</x:v>
      </x:c>
      <x:c r="G231" t="s">
        <x:v>1690</x:v>
      </x:c>
      <x:c r="P231" t="str">
        <x:f>LOWER(TRIM(SUBSTITUTE(E231,CHAR(160)," ")))</x:f>
        <x:v>yeshlin.govender@pwc.com</x:v>
      </x:c>
      <x:c r="Q231" t="n">
        <x:f>IFERROR(VALUE(LEFT(D231,SEARCH("h",D231)-1)),0)*3600+IFERROR(VALUE(MID(D231,IFERROR(SEARCH("h ",D231)+2,1),SEARCH("m",D231)-IFERROR(SEARCH("h ",D231)+2,1))),0)*60+IFERROR(VALUE(MID(D231,IFERROR(SEARCH("m ",D231)+2,IFERROR(SEARCH("h ",D231)+2,1)),SEARCH("s",D231)-IFERROR(SEARCH("m ",D231)+2,IFERROR(SEARCH("h ",D231)+2,1)))),0)</x:f>
        <x:v>5325</x:v>
      </x:c>
      <x:c r="R231" t="str">
        <x:f>IF(P231="","No",IF(COUNTIF('Employee Attendance'!$D$2:$D$670,P231)&gt;0,"Yes","No"))</x:f>
        <x:v>Yes</x:v>
      </x:c>
    </x:row>
    <x:row r="232">
      <x:c r="A232" t="s">
        <x:v>2535</x:v>
      </x:c>
      <x:c r="B232" t="s">
        <x:v>2536</x:v>
      </x:c>
      <x:c r="C232" t="s">
        <x:v>2537</x:v>
      </x:c>
      <x:c r="D232" t="s">
        <x:v>2538</x:v>
      </x:c>
      <x:c r="E232" t="s">
        <x:v>2539</x:v>
      </x:c>
      <x:c r="F232" t="s">
        <x:v>2539</x:v>
      </x:c>
      <x:c r="G232" t="s">
        <x:v>1690</x:v>
      </x:c>
      <x:c r="O232">
        <x:v>1</x:v>
      </x:c>
      <x:c r="P232" t="str">
        <x:f>LOWER(TRIM(SUBSTITUTE(E232,CHAR(160)," ")))</x:f>
        <x:v>allen.alfred@pwc.com</x:v>
      </x:c>
      <x:c r="Q232" t="n">
        <x:f>IFERROR(VALUE(LEFT(D232,SEARCH("h",D232)-1)),0)*3600+IFERROR(VALUE(MID(D232,IFERROR(SEARCH("h ",D232)+2,1),SEARCH("m",D232)-IFERROR(SEARCH("h ",D232)+2,1))),0)*60+IFERROR(VALUE(MID(D232,IFERROR(SEARCH("m ",D232)+2,IFERROR(SEARCH("h ",D232)+2,1)),SEARCH("s",D232)-IFERROR(SEARCH("m ",D232)+2,IFERROR(SEARCH("h ",D232)+2,1)))),0)</x:f>
        <x:v>6008</x:v>
      </x:c>
      <x:c r="R232" t="str">
        <x:f>IF(P232="","No",IF(COUNTIF('Employee Attendance'!$D$2:$D$670,P232)&gt;0,"Yes","No"))</x:f>
        <x:v>Yes</x:v>
      </x:c>
    </x:row>
    <x:row r="233">
      <x:c r="A233" t="s">
        <x:v>2540</x:v>
      </x:c>
      <x:c r="B233" t="s">
        <x:v>2541</x:v>
      </x:c>
      <x:c r="C233" t="s">
        <x:v>2542</x:v>
      </x:c>
      <x:c r="D233" t="s">
        <x:v>2543</x:v>
      </x:c>
      <x:c r="E233" t="s">
        <x:v>2544</x:v>
      </x:c>
      <x:c r="F233" t="s">
        <x:v>2544</x:v>
      </x:c>
      <x:c r="G233" t="s">
        <x:v>1690</x:v>
      </x:c>
      <x:c r="P233" t="str">
        <x:f>LOWER(TRIM(SUBSTITUTE(E233,CHAR(160)," ")))</x:f>
        <x:v>maureen.isagi@pwc.com</x:v>
      </x:c>
      <x:c r="Q233" t="n">
        <x:f>IFERROR(VALUE(LEFT(D233,SEARCH("h",D233)-1)),0)*3600+IFERROR(VALUE(MID(D233,IFERROR(SEARCH("h ",D233)+2,1),SEARCH("m",D233)-IFERROR(SEARCH("h ",D233)+2,1))),0)*60+IFERROR(VALUE(MID(D233,IFERROR(SEARCH("m ",D233)+2,IFERROR(SEARCH("h ",D233)+2,1)),SEARCH("s",D233)-IFERROR(SEARCH("m ",D233)+2,IFERROR(SEARCH("h ",D233)+2,1)))),0)</x:f>
        <x:v>4964</x:v>
      </x:c>
      <x:c r="R233" t="str">
        <x:f>IF(P233="","No",IF(COUNTIF('Employee Attendance'!$D$2:$D$670,P233)&gt;0,"Yes","No"))</x:f>
        <x:v>Yes</x:v>
      </x:c>
    </x:row>
    <x:row r="234">
      <x:c r="A234" t="s">
        <x:v>2545</x:v>
      </x:c>
      <x:c r="B234" t="s">
        <x:v>2541</x:v>
      </x:c>
      <x:c r="C234" t="s">
        <x:v>2546</x:v>
      </x:c>
      <x:c r="D234" t="s">
        <x:v>2547</x:v>
      </x:c>
      <x:c r="E234" t="s">
        <x:v>2548</x:v>
      </x:c>
      <x:c r="F234" t="s">
        <x:v>2548</x:v>
      </x:c>
      <x:c r="G234" t="s">
        <x:v>1690</x:v>
      </x:c>
      <x:c r="P234" t="str">
        <x:f>LOWER(TRIM(SUBSTITUTE(E234,CHAR(160)," ")))</x:f>
        <x:v>yavish.yallappa@pwc.com</x:v>
      </x:c>
      <x:c r="Q234" t="n">
        <x:f>IFERROR(VALUE(LEFT(D234,SEARCH("h",D234)-1)),0)*3600+IFERROR(VALUE(MID(D234,IFERROR(SEARCH("h ",D234)+2,1),SEARCH("m",D234)-IFERROR(SEARCH("h ",D234)+2,1))),0)*60+IFERROR(VALUE(MID(D234,IFERROR(SEARCH("m ",D234)+2,IFERROR(SEARCH("h ",D234)+2,1)),SEARCH("s",D234)-IFERROR(SEARCH("m ",D234)+2,IFERROR(SEARCH("h ",D234)+2,1)))),0)</x:f>
        <x:v>6152</x:v>
      </x:c>
      <x:c r="R234" t="str">
        <x:f>IF(P234="","No",IF(COUNTIF('Employee Attendance'!$D$2:$D$670,P234)&gt;0,"Yes","No"))</x:f>
        <x:v>Yes</x:v>
      </x:c>
    </x:row>
    <x:row r="235">
      <x:c r="A235" t="s">
        <x:v>1361</x:v>
      </x:c>
      <x:c r="B235" t="s">
        <x:v>2541</x:v>
      </x:c>
      <x:c r="C235" t="s">
        <x:v>2549</x:v>
      </x:c>
      <x:c r="D235" t="s">
        <x:v>2550</x:v>
      </x:c>
      <x:c r="E235" t="s">
        <x:v>1364</x:v>
      </x:c>
      <x:c r="F235" t="s">
        <x:v>1364</x:v>
      </x:c>
      <x:c r="G235" t="s">
        <x:v>1690</x:v>
      </x:c>
      <x:c r="P235" t="str">
        <x:f>LOWER(TRIM(SUBSTITUTE(E235,CHAR(160)," ")))</x:f>
        <x:v>kelvin.mukaria@pwc.com</x:v>
      </x:c>
      <x:c r="Q235" t="n">
        <x:f>IFERROR(VALUE(LEFT(D235,SEARCH("h",D235)-1)),0)*3600+IFERROR(VALUE(MID(D235,IFERROR(SEARCH("h ",D235)+2,1),SEARCH("m",D235)-IFERROR(SEARCH("h ",D235)+2,1))),0)*60+IFERROR(VALUE(MID(D235,IFERROR(SEARCH("m ",D235)+2,IFERROR(SEARCH("h ",D235)+2,1)),SEARCH("s",D235)-IFERROR(SEARCH("m ",D235)+2,IFERROR(SEARCH("h ",D235)+2,1)))),0)</x:f>
        <x:v>4766</x:v>
      </x:c>
      <x:c r="R235" t="str">
        <x:f>IF(P235="","No",IF(COUNTIF('Employee Attendance'!$D$2:$D$670,P235)&gt;0,"Yes","No"))</x:f>
        <x:v>Yes</x:v>
      </x:c>
    </x:row>
    <x:row r="236">
      <x:c r="A236" t="s">
        <x:v>2551</x:v>
      </x:c>
      <x:c r="B236" t="s">
        <x:v>2552</x:v>
      </x:c>
      <x:c r="C236" t="s">
        <x:v>2015</x:v>
      </x:c>
      <x:c r="D236" t="s">
        <x:v>827</x:v>
      </x:c>
      <x:c r="E236" t="s">
        <x:v>2553</x:v>
      </x:c>
      <x:c r="F236" t="s">
        <x:v>2553</x:v>
      </x:c>
      <x:c r="G236" t="s">
        <x:v>1690</x:v>
      </x:c>
      <x:c r="P236" t="str">
        <x:f>LOWER(TRIM(SUBSTITUTE(E236,CHAR(160)," ")))</x:f>
        <x:v>anjelah.papiah@pwc.com</x:v>
      </x:c>
      <x:c r="Q236" t="n">
        <x:f>IFERROR(VALUE(LEFT(D236,SEARCH("h",D236)-1)),0)*3600+IFERROR(VALUE(MID(D236,IFERROR(SEARCH("h ",D236)+2,1),SEARCH("m",D236)-IFERROR(SEARCH("h ",D236)+2,1))),0)*60+IFERROR(VALUE(MID(D236,IFERROR(SEARCH("m ",D236)+2,IFERROR(SEARCH("h ",D236)+2,1)),SEARCH("s",D236)-IFERROR(SEARCH("m ",D236)+2,IFERROR(SEARCH("h ",D236)+2,1)))),0)</x:f>
        <x:v>6744</x:v>
      </x:c>
      <x:c r="R236" t="str">
        <x:f>IF(P236="","No",IF(COUNTIF('Employee Attendance'!$D$2:$D$670,P236)&gt;0,"Yes","No"))</x:f>
        <x:v>Yes</x:v>
      </x:c>
    </x:row>
    <x:row r="237">
      <x:c r="A237" t="s">
        <x:v>225</x:v>
      </x:c>
      <x:c r="B237" t="s">
        <x:v>2554</x:v>
      </x:c>
      <x:c r="C237" t="s">
        <x:v>2555</x:v>
      </x:c>
      <x:c r="D237" t="s">
        <x:v>2556</x:v>
      </x:c>
      <x:c r="E237" t="s">
        <x:v>228</x:v>
      </x:c>
      <x:c r="F237" t="s">
        <x:v>228</x:v>
      </x:c>
      <x:c r="G237" t="s">
        <x:v>1690</x:v>
      </x:c>
      <x:c r="P237" t="str">
        <x:f>LOWER(TRIM(SUBSTITUTE(E237,CHAR(160)," ")))</x:f>
        <x:v>revatee.huril@pwc.com</x:v>
      </x:c>
      <x:c r="Q237" t="n">
        <x:f>IFERROR(VALUE(LEFT(D237,SEARCH("h",D237)-1)),0)*3600+IFERROR(VALUE(MID(D237,IFERROR(SEARCH("h ",D237)+2,1),SEARCH("m",D237)-IFERROR(SEARCH("h ",D237)+2,1))),0)*60+IFERROR(VALUE(MID(D237,IFERROR(SEARCH("m ",D237)+2,IFERROR(SEARCH("h ",D237)+2,1)),SEARCH("s",D237)-IFERROR(SEARCH("m ",D237)+2,IFERROR(SEARCH("h ",D237)+2,1)))),0)</x:f>
        <x:v>7941</x:v>
      </x:c>
      <x:c r="R237" t="str">
        <x:f>IF(P237="","No",IF(COUNTIF('Employee Attendance'!$D$2:$D$670,P237)&gt;0,"Yes","No"))</x:f>
        <x:v>Yes</x:v>
      </x:c>
    </x:row>
    <x:row r="238">
      <x:c r="A238" t="s">
        <x:v>2557</x:v>
      </x:c>
      <x:c r="B238" t="s">
        <x:v>2554</x:v>
      </x:c>
      <x:c r="C238" t="s">
        <x:v>2023</x:v>
      </x:c>
      <x:c r="D238" t="s">
        <x:v>796</x:v>
      </x:c>
      <x:c r="E238" t="s">
        <x:v>2558</x:v>
      </x:c>
      <x:c r="F238" t="s">
        <x:v>2558</x:v>
      </x:c>
      <x:c r="G238" t="s">
        <x:v>1690</x:v>
      </x:c>
      <x:c r="P238" t="str">
        <x:f>LOWER(TRIM(SUBSTITUTE(E238,CHAR(160)," ")))</x:f>
        <x:v>mike.oyange@pwc.com</x:v>
      </x:c>
      <x:c r="Q238" t="n">
        <x:f>IFERROR(VALUE(LEFT(D238,SEARCH("h",D238)-1)),0)*3600+IFERROR(VALUE(MID(D238,IFERROR(SEARCH("h ",D238)+2,1),SEARCH("m",D238)-IFERROR(SEARCH("h ",D238)+2,1))),0)*60+IFERROR(VALUE(MID(D238,IFERROR(SEARCH("m ",D238)+2,IFERROR(SEARCH("h ",D238)+2,1)),SEARCH("s",D238)-IFERROR(SEARCH("m ",D238)+2,IFERROR(SEARCH("h ",D238)+2,1)))),0)</x:f>
        <x:v>6777</x:v>
      </x:c>
      <x:c r="R238" t="str">
        <x:f>IF(P238="","No",IF(COUNTIF('Employee Attendance'!$D$2:$D$670,P238)&gt;0,"Yes","No"))</x:f>
        <x:v>Yes</x:v>
      </x:c>
    </x:row>
    <x:row r="239">
      <x:c r="A239" t="s">
        <x:v>2559</x:v>
      </x:c>
      <x:c r="B239" t="s">
        <x:v>2560</x:v>
      </x:c>
      <x:c r="C239" t="s">
        <x:v>2561</x:v>
      </x:c>
      <x:c r="D239" t="s">
        <x:v>2562</x:v>
      </x:c>
      <x:c r="E239" t="s">
        <x:v>2563</x:v>
      </x:c>
      <x:c r="F239" t="s">
        <x:v>2563</x:v>
      </x:c>
      <x:c r="G239" t="s">
        <x:v>1690</x:v>
      </x:c>
      <x:c r="P239" t="str">
        <x:f>LOWER(TRIM(SUBSTITUTE(E239,CHAR(160)," ")))</x:f>
        <x:v>julia.odhiambo@pwc.com</x:v>
      </x:c>
      <x:c r="Q239" t="n">
        <x:f>IFERROR(VALUE(LEFT(D239,SEARCH("h",D239)-1)),0)*3600+IFERROR(VALUE(MID(D239,IFERROR(SEARCH("h ",D239)+2,1),SEARCH("m",D239)-IFERROR(SEARCH("h ",D239)+2,1))),0)*60+IFERROR(VALUE(MID(D239,IFERROR(SEARCH("m ",D239)+2,IFERROR(SEARCH("h ",D239)+2,1)),SEARCH("s",D239)-IFERROR(SEARCH("m ",D239)+2,IFERROR(SEARCH("h ",D239)+2,1)))),0)</x:f>
        <x:v>9244</x:v>
      </x:c>
      <x:c r="R239" t="str">
        <x:f>IF(P239="","No",IF(COUNTIF('Employee Attendance'!$D$2:$D$670,P239)&gt;0,"Yes","No"))</x:f>
        <x:v>Yes</x:v>
      </x:c>
    </x:row>
    <x:row r="240">
      <x:c r="A240" t="s">
        <x:v>2564</x:v>
      </x:c>
      <x:c r="B240" t="s">
        <x:v>2565</x:v>
      </x:c>
      <x:c r="C240" t="s">
        <x:v>2566</x:v>
      </x:c>
      <x:c r="D240" t="s">
        <x:v>2567</x:v>
      </x:c>
      <x:c r="E240" t="s">
        <x:v>2568</x:v>
      </x:c>
      <x:c r="F240" t="s">
        <x:v>2568</x:v>
      </x:c>
      <x:c r="G240" t="s">
        <x:v>1690</x:v>
      </x:c>
      <x:c r="O240">
        <x:v>4</x:v>
      </x:c>
      <x:c r="P240" t="str">
        <x:f>LOWER(TRIM(SUBSTITUTE(E240,CHAR(160)," ")))</x:f>
        <x:v>junaid.alighan@pwc.com</x:v>
      </x:c>
      <x:c r="Q240" t="n">
        <x:f>IFERROR(VALUE(LEFT(D240,SEARCH("h",D240)-1)),0)*3600+IFERROR(VALUE(MID(D240,IFERROR(SEARCH("h ",D240)+2,1),SEARCH("m",D240)-IFERROR(SEARCH("h ",D240)+2,1))),0)*60+IFERROR(VALUE(MID(D240,IFERROR(SEARCH("m ",D240)+2,IFERROR(SEARCH("h ",D240)+2,1)),SEARCH("s",D240)-IFERROR(SEARCH("m ",D240)+2,IFERROR(SEARCH("h ",D240)+2,1)))),0)</x:f>
        <x:v>5249</x:v>
      </x:c>
      <x:c r="R240" t="str">
        <x:f>IF(P240="","No",IF(COUNTIF('Employee Attendance'!$D$2:$D$670,P240)&gt;0,"Yes","No"))</x:f>
        <x:v>Yes</x:v>
      </x:c>
    </x:row>
    <x:row r="241">
      <x:c r="A241" t="s">
        <x:v>2569</x:v>
      </x:c>
      <x:c r="B241" t="s">
        <x:v>2570</x:v>
      </x:c>
      <x:c r="C241" t="s">
        <x:v>1928</x:v>
      </x:c>
      <x:c r="D241" t="s">
        <x:v>2571</x:v>
      </x:c>
      <x:c r="E241" t="s">
        <x:v>2572</x:v>
      </x:c>
      <x:c r="F241" t="s">
        <x:v>2572</x:v>
      </x:c>
      <x:c r="G241" t="s">
        <x:v>1690</x:v>
      </x:c>
      <x:c r="P241" t="str">
        <x:f>LOWER(TRIM(SUBSTITUTE(E241,CHAR(160)," ")))</x:f>
        <x:v>brian.okech@pwc.com</x:v>
      </x:c>
      <x:c r="Q241" t="n">
        <x:f>IFERROR(VALUE(LEFT(D241,SEARCH("h",D241)-1)),0)*3600+IFERROR(VALUE(MID(D241,IFERROR(SEARCH("h ",D241)+2,1),SEARCH("m",D241)-IFERROR(SEARCH("h ",D241)+2,1))),0)*60+IFERROR(VALUE(MID(D241,IFERROR(SEARCH("m ",D241)+2,IFERROR(SEARCH("h ",D241)+2,1)),SEARCH("s",D241)-IFERROR(SEARCH("m ",D241)+2,IFERROR(SEARCH("h ",D241)+2,1)))),0)</x:f>
        <x:v>6689</x:v>
      </x:c>
      <x:c r="R241" t="str">
        <x:f>IF(P241="","No",IF(COUNTIF('Employee Attendance'!$D$2:$D$670,P241)&gt;0,"Yes","No"))</x:f>
        <x:v>Yes</x:v>
      </x:c>
    </x:row>
    <x:row r="242">
      <x:c r="A242" t="s">
        <x:v>2573</x:v>
      </x:c>
      <x:c r="B242" t="s">
        <x:v>2574</x:v>
      </x:c>
      <x:c r="C242" t="s">
        <x:v>2575</x:v>
      </x:c>
      <x:c r="D242" t="s">
        <x:v>743</x:v>
      </x:c>
      <x:c r="E242" t="s">
        <x:v>2576</x:v>
      </x:c>
      <x:c r="F242" t="s">
        <x:v>2576</x:v>
      </x:c>
      <x:c r="G242" t="s">
        <x:v>1690</x:v>
      </x:c>
      <x:c r="P242" t="str">
        <x:f>LOWER(TRIM(SUBSTITUTE(E242,CHAR(160)," ")))</x:f>
        <x:v>daphne.akol@pwc.com</x:v>
      </x:c>
      <x:c r="Q242" t="n">
        <x:f>IFERROR(VALUE(LEFT(D242,SEARCH("h",D242)-1)),0)*3600+IFERROR(VALUE(MID(D242,IFERROR(SEARCH("h ",D242)+2,1),SEARCH("m",D242)-IFERROR(SEARCH("h ",D242)+2,1))),0)*60+IFERROR(VALUE(MID(D242,IFERROR(SEARCH("m ",D242)+2,IFERROR(SEARCH("h ",D242)+2,1)),SEARCH("s",D242)-IFERROR(SEARCH("m ",D242)+2,IFERROR(SEARCH("h ",D242)+2,1)))),0)</x:f>
        <x:v>6852</x:v>
      </x:c>
      <x:c r="R242" t="str">
        <x:f>IF(P242="","No",IF(COUNTIF('Employee Attendance'!$D$2:$D$670,P242)&gt;0,"Yes","No"))</x:f>
        <x:v>Yes</x:v>
      </x:c>
    </x:row>
    <x:row r="243">
      <x:c r="A243" t="s">
        <x:v>317</x:v>
      </x:c>
      <x:c r="B243" t="s">
        <x:v>2577</x:v>
      </x:c>
      <x:c r="C243" t="s">
        <x:v>1744</x:v>
      </x:c>
      <x:c r="D243" t="s">
        <x:v>2578</x:v>
      </x:c>
      <x:c r="E243" t="s">
        <x:v>321</x:v>
      </x:c>
      <x:c r="F243" t="s">
        <x:v>321</x:v>
      </x:c>
      <x:c r="G243" t="s">
        <x:v>1690</x:v>
      </x:c>
      <x:c r="P243" t="str">
        <x:f>LOWER(TRIM(SUBSTITUTE(E243,CHAR(160)," ")))</x:f>
        <x:v>girish.balchurn@pwc.com</x:v>
      </x:c>
      <x:c r="Q243" t="n">
        <x:f>IFERROR(VALUE(LEFT(D243,SEARCH("h",D243)-1)),0)*3600+IFERROR(VALUE(MID(D243,IFERROR(SEARCH("h ",D243)+2,1),SEARCH("m",D243)-IFERROR(SEARCH("h ",D243)+2,1))),0)*60+IFERROR(VALUE(MID(D243,IFERROR(SEARCH("m ",D243)+2,IFERROR(SEARCH("h ",D243)+2,1)),SEARCH("s",D243)-IFERROR(SEARCH("m ",D243)+2,IFERROR(SEARCH("h ",D243)+2,1)))),0)</x:f>
        <x:v>6704</x:v>
      </x:c>
      <x:c r="R243" t="str">
        <x:f>IF(P243="","No",IF(COUNTIF('Employee Attendance'!$D$2:$D$670,P243)&gt;0,"Yes","No"))</x:f>
        <x:v>Yes</x:v>
      </x:c>
    </x:row>
    <x:row r="244">
      <x:c r="A244" t="s">
        <x:v>2579</x:v>
      </x:c>
      <x:c r="B244" t="s">
        <x:v>2580</x:v>
      </x:c>
      <x:c r="C244" t="s">
        <x:v>1710</x:v>
      </x:c>
      <x:c r="D244" t="s">
        <x:v>1511</x:v>
      </x:c>
      <x:c r="E244" t="s">
        <x:v>2581</x:v>
      </x:c>
      <x:c r="F244" t="s">
        <x:v>2581</x:v>
      </x:c>
      <x:c r="G244" t="s">
        <x:v>1690</x:v>
      </x:c>
      <x:c r="P244" t="str">
        <x:f>LOWER(TRIM(SUBSTITUTE(E244,CHAR(160)," ")))</x:f>
        <x:v>teeleswarsing.sookhy@pwc.com</x:v>
      </x:c>
      <x:c r="Q244" t="n">
        <x:f>IFERROR(VALUE(LEFT(D244,SEARCH("h",D244)-1)),0)*3600+IFERROR(VALUE(MID(D244,IFERROR(SEARCH("h ",D244)+2,1),SEARCH("m",D244)-IFERROR(SEARCH("h ",D244)+2,1))),0)*60+IFERROR(VALUE(MID(D244,IFERROR(SEARCH("m ",D244)+2,IFERROR(SEARCH("h ",D244)+2,1)),SEARCH("s",D244)-IFERROR(SEARCH("m ",D244)+2,IFERROR(SEARCH("h ",D244)+2,1)))),0)</x:f>
        <x:v>6723</x:v>
      </x:c>
      <x:c r="R244" t="str">
        <x:f>IF(P244="","No",IF(COUNTIF('Employee Attendance'!$D$2:$D$670,P244)&gt;0,"Yes","No"))</x:f>
        <x:v>Yes</x:v>
      </x:c>
    </x:row>
    <x:row r="245">
      <x:c r="A245" t="s">
        <x:v>2582</x:v>
      </x:c>
      <x:c r="B245" t="s">
        <x:v>2583</x:v>
      </x:c>
      <x:c r="C245" t="s">
        <x:v>2584</x:v>
      </x:c>
      <x:c r="D245" t="s">
        <x:v>2585</x:v>
      </x:c>
      <x:c r="E245" t="s">
        <x:v>2586</x:v>
      </x:c>
      <x:c r="F245" t="s">
        <x:v>2586</x:v>
      </x:c>
      <x:c r="G245" t="s">
        <x:v>1690</x:v>
      </x:c>
      <x:c r="P245" t="str">
        <x:f>LOWER(TRIM(SUBSTITUTE(E245,CHAR(160)," ")))</x:f>
        <x:v>hillary.osoro@pwc.com</x:v>
      </x:c>
      <x:c r="Q245" t="n">
        <x:f>IFERROR(VALUE(LEFT(D245,SEARCH("h",D245)-1)),0)*3600+IFERROR(VALUE(MID(D245,IFERROR(SEARCH("h ",D245)+2,1),SEARCH("m",D245)-IFERROR(SEARCH("h ",D245)+2,1))),0)*60+IFERROR(VALUE(MID(D245,IFERROR(SEARCH("m ",D245)+2,IFERROR(SEARCH("h ",D245)+2,1)),SEARCH("s",D245)-IFERROR(SEARCH("m ",D245)+2,IFERROR(SEARCH("h ",D245)+2,1)))),0)</x:f>
        <x:v>6700</x:v>
      </x:c>
      <x:c r="R245" t="str">
        <x:f>IF(P245="","No",IF(COUNTIF('Employee Attendance'!$D$2:$D$670,P245)&gt;0,"Yes","No"))</x:f>
        <x:v>Yes</x:v>
      </x:c>
    </x:row>
    <x:row r="246">
      <x:c r="A246" t="s">
        <x:v>2587</x:v>
      </x:c>
      <x:c r="B246" t="s">
        <x:v>2588</x:v>
      </x:c>
      <x:c r="C246" t="s">
        <x:v>2589</x:v>
      </x:c>
      <x:c r="D246" t="s">
        <x:v>2590</x:v>
      </x:c>
      <x:c r="E246" t="s">
        <x:v>2591</x:v>
      </x:c>
      <x:c r="F246" t="s">
        <x:v>2591</x:v>
      </x:c>
      <x:c r="G246" t="s">
        <x:v>1690</x:v>
      </x:c>
      <x:c r="P246" t="str">
        <x:f>LOWER(TRIM(SUBSTITUTE(E246,CHAR(160)," ")))</x:f>
        <x:v>tonny.odindo@pwc.com</x:v>
      </x:c>
      <x:c r="Q246" t="n">
        <x:f>IFERROR(VALUE(LEFT(D246,SEARCH("h",D246)-1)),0)*3600+IFERROR(VALUE(MID(D246,IFERROR(SEARCH("h ",D246)+2,1),SEARCH("m",D246)-IFERROR(SEARCH("h ",D246)+2,1))),0)*60+IFERROR(VALUE(MID(D246,IFERROR(SEARCH("m ",D246)+2,IFERROR(SEARCH("h ",D246)+2,1)),SEARCH("s",D246)-IFERROR(SEARCH("m ",D246)+2,IFERROR(SEARCH("h ",D246)+2,1)))),0)</x:f>
        <x:v>6698</x:v>
      </x:c>
      <x:c r="R246" t="str">
        <x:f>IF(P246="","No",IF(COUNTIF('Employee Attendance'!$D$2:$D$670,P246)&gt;0,"Yes","No"))</x:f>
        <x:v>Yes</x:v>
      </x:c>
    </x:row>
    <x:row r="247">
      <x:c r="A247" t="s">
        <x:v>2592</x:v>
      </x:c>
      <x:c r="B247" t="s">
        <x:v>2593</x:v>
      </x:c>
      <x:c r="C247" t="s">
        <x:v>2594</x:v>
      </x:c>
      <x:c r="D247" t="s">
        <x:v>2595</x:v>
      </x:c>
      <x:c r="E247" t="s">
        <x:v>2596</x:v>
      </x:c>
      <x:c r="F247" t="s">
        <x:v>2596</x:v>
      </x:c>
      <x:c r="G247" t="s">
        <x:v>1690</x:v>
      </x:c>
      <x:c r="P247" t="str">
        <x:f>LOWER(TRIM(SUBSTITUTE(E247,CHAR(160)," ")))</x:f>
        <x:v>napelwa.kambafwile@pwc.com</x:v>
      </x:c>
      <x:c r="Q247" t="n">
        <x:f>IFERROR(VALUE(LEFT(D247,SEARCH("h",D247)-1)),0)*3600+IFERROR(VALUE(MID(D247,IFERROR(SEARCH("h ",D247)+2,1),SEARCH("m",D247)-IFERROR(SEARCH("h ",D247)+2,1))),0)*60+IFERROR(VALUE(MID(D247,IFERROR(SEARCH("m ",D247)+2,IFERROR(SEARCH("h ",D247)+2,1)),SEARCH("s",D247)-IFERROR(SEARCH("m ",D247)+2,IFERROR(SEARCH("h ",D247)+2,1)))),0)</x:f>
        <x:v>6705</x:v>
      </x:c>
      <x:c r="R247" t="str">
        <x:f>IF(P247="","No",IF(COUNTIF('Employee Attendance'!$D$2:$D$670,P247)&gt;0,"Yes","No"))</x:f>
        <x:v>Yes</x:v>
      </x:c>
    </x:row>
    <x:row r="248">
      <x:c r="A248" t="s">
        <x:v>2597</x:v>
      </x:c>
      <x:c r="B248" t="s">
        <x:v>2598</x:v>
      </x:c>
      <x:c r="C248" t="s">
        <x:v>2599</x:v>
      </x:c>
      <x:c r="D248" t="s">
        <x:v>988</x:v>
      </x:c>
      <x:c r="E248" t="s">
        <x:v>2600</x:v>
      </x:c>
      <x:c r="F248" t="s">
        <x:v>2600</x:v>
      </x:c>
      <x:c r="G248" t="s">
        <x:v>1690</x:v>
      </x:c>
      <x:c r="P248" t="str">
        <x:f>LOWER(TRIM(SUBSTITUTE(E248,CHAR(160)," ")))</x:f>
        <x:v>kelly.alowo@pwc.com</x:v>
      </x:c>
      <x:c r="Q248" t="n">
        <x:f>IFERROR(VALUE(LEFT(D248,SEARCH("h",D248)-1)),0)*3600+IFERROR(VALUE(MID(D248,IFERROR(SEARCH("h ",D248)+2,1),SEARCH("m",D248)-IFERROR(SEARCH("h ",D248)+2,1))),0)*60+IFERROR(VALUE(MID(D248,IFERROR(SEARCH("m ",D248)+2,IFERROR(SEARCH("h ",D248)+2,1)),SEARCH("s",D248)-IFERROR(SEARCH("m ",D248)+2,IFERROR(SEARCH("h ",D248)+2,1)))),0)</x:f>
        <x:v>6158</x:v>
      </x:c>
      <x:c r="R248" t="str">
        <x:f>IF(P248="","No",IF(COUNTIF('Employee Attendance'!$D$2:$D$670,P248)&gt;0,"Yes","No"))</x:f>
        <x:v>Yes</x:v>
      </x:c>
    </x:row>
    <x:row r="249">
      <x:c r="A249" t="s">
        <x:v>2601</x:v>
      </x:c>
      <x:c r="B249" t="s">
        <x:v>2602</x:v>
      </x:c>
      <x:c r="C249" t="s">
        <x:v>2603</x:v>
      </x:c>
      <x:c r="D249" t="s">
        <x:v>2604</x:v>
      </x:c>
      <x:c r="E249" t="s">
        <x:v>2605</x:v>
      </x:c>
      <x:c r="F249" t="s">
        <x:v>2605</x:v>
      </x:c>
      <x:c r="G249" t="s">
        <x:v>1690</x:v>
      </x:c>
      <x:c r="P249" t="str">
        <x:f>LOWER(TRIM(SUBSTITUTE(E249,CHAR(160)," ")))</x:f>
        <x:v>ivy.naggayi@pwc.com</x:v>
      </x:c>
      <x:c r="Q249" t="n">
        <x:f>IFERROR(VALUE(LEFT(D249,SEARCH("h",D249)-1)),0)*3600+IFERROR(VALUE(MID(D249,IFERROR(SEARCH("h ",D249)+2,1),SEARCH("m",D249)-IFERROR(SEARCH("h ",D249)+2,1))),0)*60+IFERROR(VALUE(MID(D249,IFERROR(SEARCH("m ",D249)+2,IFERROR(SEARCH("h ",D249)+2,1)),SEARCH("s",D249)-IFERROR(SEARCH("m ",D249)+2,IFERROR(SEARCH("h ",D249)+2,1)))),0)</x:f>
        <x:v>4967</x:v>
      </x:c>
      <x:c r="R249" t="str">
        <x:f>IF(P249="","No",IF(COUNTIF('Employee Attendance'!$D$2:$D$670,P249)&gt;0,"Yes","No"))</x:f>
        <x:v>Yes</x:v>
      </x:c>
    </x:row>
    <x:row r="250">
      <x:c r="A250" t="s">
        <x:v>2606</x:v>
      </x:c>
      <x:c r="B250" t="s">
        <x:v>2602</x:v>
      </x:c>
      <x:c r="C250" t="s">
        <x:v>2607</x:v>
      </x:c>
      <x:c r="D250" t="s">
        <x:v>2608</x:v>
      </x:c>
      <x:c r="E250" t="s">
        <x:v>2609</x:v>
      </x:c>
      <x:c r="F250" t="s">
        <x:v>2609</x:v>
      </x:c>
      <x:c r="G250" t="s">
        <x:v>1690</x:v>
      </x:c>
      <x:c r="P250" t="str">
        <x:f>LOWER(TRIM(SUBSTITUTE(E250,CHAR(160)," ")))</x:f>
        <x:v>raissah.ramdianee@pwc.com</x:v>
      </x:c>
      <x:c r="Q250" t="n">
        <x:f>IFERROR(VALUE(LEFT(D250,SEARCH("h",D250)-1)),0)*3600+IFERROR(VALUE(MID(D250,IFERROR(SEARCH("h ",D250)+2,1),SEARCH("m",D250)-IFERROR(SEARCH("h ",D250)+2,1))),0)*60+IFERROR(VALUE(MID(D250,IFERROR(SEARCH("m ",D250)+2,IFERROR(SEARCH("h ",D250)+2,1)),SEARCH("s",D250)-IFERROR(SEARCH("m ",D250)+2,IFERROR(SEARCH("h ",D250)+2,1)))),0)</x:f>
        <x:v>6937</x:v>
      </x:c>
      <x:c r="R250" t="str">
        <x:f>IF(P250="","No",IF(COUNTIF('Employee Attendance'!$D$2:$D$670,P250)&gt;0,"Yes","No"))</x:f>
        <x:v>Yes</x:v>
      </x:c>
    </x:row>
    <x:row r="251">
      <x:c r="A251" t="s">
        <x:v>2610</x:v>
      </x:c>
      <x:c r="B251" t="s">
        <x:v>2611</x:v>
      </x:c>
      <x:c r="C251" t="s">
        <x:v>1837</x:v>
      </x:c>
      <x:c r="D251" t="s">
        <x:v>2612</x:v>
      </x:c>
      <x:c r="E251" t="s">
        <x:v>2613</x:v>
      </x:c>
      <x:c r="F251" t="s">
        <x:v>2613</x:v>
      </x:c>
      <x:c r="G251" t="s">
        <x:v>1690</x:v>
      </x:c>
      <x:c r="P251" t="str">
        <x:f>LOWER(TRIM(SUBSTITUTE(E251,CHAR(160)," ")))</x:f>
        <x:v>brian.morara@pwc.com</x:v>
      </x:c>
      <x:c r="Q251" t="n">
        <x:f>IFERROR(VALUE(LEFT(D251,SEARCH("h",D251)-1)),0)*3600+IFERROR(VALUE(MID(D251,IFERROR(SEARCH("h ",D251)+2,1),SEARCH("m",D251)-IFERROR(SEARCH("h ",D251)+2,1))),0)*60+IFERROR(VALUE(MID(D251,IFERROR(SEARCH("m ",D251)+2,IFERROR(SEARCH("h ",D251)+2,1)),SEARCH("s",D251)-IFERROR(SEARCH("m ",D251)+2,IFERROR(SEARCH("h ",D251)+2,1)))),0)</x:f>
        <x:v>6645</x:v>
      </x:c>
      <x:c r="R251" t="str">
        <x:f>IF(P251="","No",IF(COUNTIF('Employee Attendance'!$D$2:$D$670,P251)&gt;0,"Yes","No"))</x:f>
        <x:v>Yes</x:v>
      </x:c>
    </x:row>
    <x:row r="252">
      <x:c r="A252" t="s">
        <x:v>2614</x:v>
      </x:c>
      <x:c r="B252" t="s">
        <x:v>2615</x:v>
      </x:c>
      <x:c r="C252" t="s">
        <x:v>2616</x:v>
      </x:c>
      <x:c r="D252" t="s">
        <x:v>2617</x:v>
      </x:c>
      <x:c r="E252" t="s">
        <x:v>2618</x:v>
      </x:c>
      <x:c r="F252" t="s">
        <x:v>2618</x:v>
      </x:c>
      <x:c r="G252" t="s">
        <x:v>1690</x:v>
      </x:c>
      <x:c r="O252">
        <x:v>1</x:v>
      </x:c>
      <x:c r="P252" t="str">
        <x:f>LOWER(TRIM(SUBSTITUTE(E252,CHAR(160)," ")))</x:f>
        <x:v>isaiah.nuwagaba@pwc.com</x:v>
      </x:c>
      <x:c r="Q252" t="n">
        <x:f>IFERROR(VALUE(LEFT(D252,SEARCH("h",D252)-1)),0)*3600+IFERROR(VALUE(MID(D252,IFERROR(SEARCH("h ",D252)+2,1),SEARCH("m",D252)-IFERROR(SEARCH("h ",D252)+2,1))),0)*60+IFERROR(VALUE(MID(D252,IFERROR(SEARCH("m ",D252)+2,IFERROR(SEARCH("h ",D252)+2,1)),SEARCH("s",D252)-IFERROR(SEARCH("m ",D252)+2,IFERROR(SEARCH("h ",D252)+2,1)))),0)</x:f>
        <x:v>6808</x:v>
      </x:c>
      <x:c r="R252" t="str">
        <x:f>IF(P252="","No",IF(COUNTIF('Employee Attendance'!$D$2:$D$670,P252)&gt;0,"Yes","No"))</x:f>
        <x:v>Yes</x:v>
      </x:c>
    </x:row>
    <x:row r="253">
      <x:c r="A253" t="s">
        <x:v>2619</x:v>
      </x:c>
      <x:c r="B253" t="s">
        <x:v>2620</x:v>
      </x:c>
      <x:c r="C253" t="s">
        <x:v>2621</x:v>
      </x:c>
      <x:c r="D253" t="s">
        <x:v>2622</x:v>
      </x:c>
      <x:c r="E253" t="s">
        <x:v>2623</x:v>
      </x:c>
      <x:c r="F253" t="s">
        <x:v>2623</x:v>
      </x:c>
      <x:c r="G253" t="s">
        <x:v>1690</x:v>
      </x:c>
      <x:c r="P253" t="str">
        <x:f>LOWER(TRIM(SUBSTITUTE(E253,CHAR(160)," ")))</x:f>
        <x:v>theresa.bazudde@pwc.com</x:v>
      </x:c>
      <x:c r="Q253" t="n">
        <x:f>IFERROR(VALUE(LEFT(D253,SEARCH("h",D253)-1)),0)*3600+IFERROR(VALUE(MID(D253,IFERROR(SEARCH("h ",D253)+2,1),SEARCH("m",D253)-IFERROR(SEARCH("h ",D253)+2,1))),0)*60+IFERROR(VALUE(MID(D253,IFERROR(SEARCH("m ",D253)+2,IFERROR(SEARCH("h ",D253)+2,1)),SEARCH("s",D253)-IFERROR(SEARCH("m ",D253)+2,IFERROR(SEARCH("h ",D253)+2,1)))),0)</x:f>
        <x:v>5959</x:v>
      </x:c>
      <x:c r="R253" t="str">
        <x:f>IF(P253="","No",IF(COUNTIF('Employee Attendance'!$D$2:$D$670,P253)&gt;0,"Yes","No"))</x:f>
        <x:v>Yes</x:v>
      </x:c>
    </x:row>
    <x:row r="254">
      <x:c r="A254" t="s">
        <x:v>2624</x:v>
      </x:c>
      <x:c r="B254" t="s">
        <x:v>2625</x:v>
      </x:c>
      <x:c r="C254" t="s">
        <x:v>2626</x:v>
      </x:c>
      <x:c r="D254" t="s">
        <x:v>2627</x:v>
      </x:c>
      <x:c r="E254" t="s">
        <x:v>2628</x:v>
      </x:c>
      <x:c r="F254" t="s">
        <x:v>2628</x:v>
      </x:c>
      <x:c r="G254" t="s">
        <x:v>1690</x:v>
      </x:c>
      <x:c r="P254" t="str">
        <x:f>LOWER(TRIM(SUBSTITUTE(E254,CHAR(160)," ")))</x:f>
        <x:v>asha.shekimweri@pwc.com</x:v>
      </x:c>
      <x:c r="Q254" t="n">
        <x:f>IFERROR(VALUE(LEFT(D254,SEARCH("h",D254)-1)),0)*3600+IFERROR(VALUE(MID(D254,IFERROR(SEARCH("h ",D254)+2,1),SEARCH("m",D254)-IFERROR(SEARCH("h ",D254)+2,1))),0)*60+IFERROR(VALUE(MID(D254,IFERROR(SEARCH("m ",D254)+2,IFERROR(SEARCH("h ",D254)+2,1)),SEARCH("s",D254)-IFERROR(SEARCH("m ",D254)+2,IFERROR(SEARCH("h ",D254)+2,1)))),0)</x:f>
        <x:v>3746</x:v>
      </x:c>
      <x:c r="R254" t="str">
        <x:f>IF(P254="","No",IF(COUNTIF('Employee Attendance'!$D$2:$D$670,P254)&gt;0,"Yes","No"))</x:f>
        <x:v>Yes</x:v>
      </x:c>
    </x:row>
    <x:row r="255">
      <x:c r="A255" t="s">
        <x:v>2629</x:v>
      </x:c>
      <x:c r="B255" t="s">
        <x:v>2630</x:v>
      </x:c>
      <x:c r="C255" t="s">
        <x:v>2631</x:v>
      </x:c>
      <x:c r="D255" t="s">
        <x:v>2632</x:v>
      </x:c>
      <x:c r="E255" t="s">
        <x:v>2633</x:v>
      </x:c>
      <x:c r="F255" t="s">
        <x:v>2633</x:v>
      </x:c>
      <x:c r="G255" t="s">
        <x:v>1690</x:v>
      </x:c>
      <x:c r="P255" t="str">
        <x:f>LOWER(TRIM(SUBSTITUTE(E255,CHAR(160)," ")))</x:f>
        <x:v>sheila.atuhaire@pwc.com</x:v>
      </x:c>
      <x:c r="Q255" t="n">
        <x:f>IFERROR(VALUE(LEFT(D255,SEARCH("h",D255)-1)),0)*3600+IFERROR(VALUE(MID(D255,IFERROR(SEARCH("h ",D255)+2,1),SEARCH("m",D255)-IFERROR(SEARCH("h ",D255)+2,1))),0)*60+IFERROR(VALUE(MID(D255,IFERROR(SEARCH("m ",D255)+2,IFERROR(SEARCH("h ",D255)+2,1)),SEARCH("s",D255)-IFERROR(SEARCH("m ",D255)+2,IFERROR(SEARCH("h ",D255)+2,1)))),0)</x:f>
        <x:v>6613</x:v>
      </x:c>
      <x:c r="R255" t="str">
        <x:f>IF(P255="","No",IF(COUNTIF('Employee Attendance'!$D$2:$D$670,P255)&gt;0,"Yes","No"))</x:f>
        <x:v>Yes</x:v>
      </x:c>
    </x:row>
    <x:row r="256">
      <x:c r="A256" t="s">
        <x:v>2634</x:v>
      </x:c>
      <x:c r="B256" t="s">
        <x:v>2635</x:v>
      </x:c>
      <x:c r="C256" t="s">
        <x:v>2636</x:v>
      </x:c>
      <x:c r="D256" t="s">
        <x:v>2637</x:v>
      </x:c>
      <x:c r="E256" t="s">
        <x:v>2638</x:v>
      </x:c>
      <x:c r="F256" t="s">
        <x:v>2638</x:v>
      </x:c>
      <x:c r="G256" t="s">
        <x:v>1690</x:v>
      </x:c>
      <x:c r="P256" t="str">
        <x:f>LOWER(TRIM(SUBSTITUTE(E256,CHAR(160)," ")))</x:f>
        <x:v>deveena.seelochun@pwc.com</x:v>
      </x:c>
      <x:c r="Q256" t="n">
        <x:f>IFERROR(VALUE(LEFT(D256,SEARCH("h",D256)-1)),0)*3600+IFERROR(VALUE(MID(D256,IFERROR(SEARCH("h ",D256)+2,1),SEARCH("m",D256)-IFERROR(SEARCH("h ",D256)+2,1))),0)*60+IFERROR(VALUE(MID(D256,IFERROR(SEARCH("m ",D256)+2,IFERROR(SEARCH("h ",D256)+2,1)),SEARCH("s",D256)-IFERROR(SEARCH("m ",D256)+2,IFERROR(SEARCH("h ",D256)+2,1)))),0)</x:f>
        <x:v>6159</x:v>
      </x:c>
      <x:c r="R256" t="str">
        <x:f>IF(P256="","No",IF(COUNTIF('Employee Attendance'!$D$2:$D$670,P256)&gt;0,"Yes","No"))</x:f>
        <x:v>Yes</x:v>
      </x:c>
    </x:row>
    <x:row r="257">
      <x:c r="A257" t="s">
        <x:v>2639</x:v>
      </x:c>
      <x:c r="B257" t="s">
        <x:v>2640</x:v>
      </x:c>
      <x:c r="C257" t="s">
        <x:v>2641</x:v>
      </x:c>
      <x:c r="D257" t="s">
        <x:v>2642</x:v>
      </x:c>
      <x:c r="E257" t="s">
        <x:v>2643</x:v>
      </x:c>
      <x:c r="F257" t="s">
        <x:v>2643</x:v>
      </x:c>
      <x:c r="G257" t="s">
        <x:v>1690</x:v>
      </x:c>
      <x:c r="P257" t="str">
        <x:f>LOWER(TRIM(SUBSTITUTE(E257,CHAR(160)," ")))</x:f>
        <x:v>dennis.ongeri@pwc.com</x:v>
      </x:c>
      <x:c r="Q257" t="n">
        <x:f>IFERROR(VALUE(LEFT(D257,SEARCH("h",D257)-1)),0)*3600+IFERROR(VALUE(MID(D257,IFERROR(SEARCH("h ",D257)+2,1),SEARCH("m",D257)-IFERROR(SEARCH("h ",D257)+2,1))),0)*60+IFERROR(VALUE(MID(D257,IFERROR(SEARCH("m ",D257)+2,IFERROR(SEARCH("h ",D257)+2,1)),SEARCH("s",D257)-IFERROR(SEARCH("m ",D257)+2,IFERROR(SEARCH("h ",D257)+2,1)))),0)</x:f>
        <x:v>6647</x:v>
      </x:c>
      <x:c r="R257" t="str">
        <x:f>IF(P257="","No",IF(COUNTIF('Employee Attendance'!$D$2:$D$670,P257)&gt;0,"Yes","No"))</x:f>
        <x:v>Yes</x:v>
      </x:c>
    </x:row>
    <x:row r="258">
      <x:c r="A258" t="s">
        <x:v>2644</x:v>
      </x:c>
      <x:c r="B258" t="s">
        <x:v>2645</x:v>
      </x:c>
      <x:c r="C258" t="s">
        <x:v>2646</x:v>
      </x:c>
      <x:c r="D258" t="s">
        <x:v>2647</x:v>
      </x:c>
      <x:c r="E258" t="s">
        <x:v>2648</x:v>
      </x:c>
      <x:c r="F258" t="s">
        <x:v>2648</x:v>
      </x:c>
      <x:c r="G258" t="s">
        <x:v>1690</x:v>
      </x:c>
      <x:c r="P258" t="str">
        <x:f>LOWER(TRIM(SUBSTITUTE(E258,CHAR(160)," ")))</x:f>
        <x:v>dries.tuyishime@pwc.com</x:v>
      </x:c>
      <x:c r="Q258" t="n">
        <x:f>IFERROR(VALUE(LEFT(D258,SEARCH("h",D258)-1)),0)*3600+IFERROR(VALUE(MID(D258,IFERROR(SEARCH("h ",D258)+2,1),SEARCH("m",D258)-IFERROR(SEARCH("h ",D258)+2,1))),0)*60+IFERROR(VALUE(MID(D258,IFERROR(SEARCH("m ",D258)+2,IFERROR(SEARCH("h ",D258)+2,1)),SEARCH("s",D258)-IFERROR(SEARCH("m ",D258)+2,IFERROR(SEARCH("h ",D258)+2,1)))),0)</x:f>
        <x:v>6663</x:v>
      </x:c>
      <x:c r="R258" t="str">
        <x:f>IF(P258="","No",IF(COUNTIF('Employee Attendance'!$D$2:$D$670,P258)&gt;0,"Yes","No"))</x:f>
        <x:v>Yes</x:v>
      </x:c>
    </x:row>
    <x:row r="259">
      <x:c r="A259" t="s">
        <x:v>2649</x:v>
      </x:c>
      <x:c r="B259" t="s">
        <x:v>2650</x:v>
      </x:c>
      <x:c r="C259" t="s">
        <x:v>2651</x:v>
      </x:c>
      <x:c r="D259" t="s">
        <x:v>2652</x:v>
      </x:c>
      <x:c r="E259" t="s">
        <x:v>2653</x:v>
      </x:c>
      <x:c r="F259" t="s">
        <x:v>2653</x:v>
      </x:c>
      <x:c r="G259" t="s">
        <x:v>1690</x:v>
      </x:c>
      <x:c r="P259" t="str">
        <x:f>LOWER(TRIM(SUBSTITUTE(E259,CHAR(160)," ")))</x:f>
        <x:v>yash.bucchoo@pwc.com</x:v>
      </x:c>
      <x:c r="Q259" t="n">
        <x:f>IFERROR(VALUE(LEFT(D259,SEARCH("h",D259)-1)),0)*3600+IFERROR(VALUE(MID(D259,IFERROR(SEARCH("h ",D259)+2,1),SEARCH("m",D259)-IFERROR(SEARCH("h ",D259)+2,1))),0)*60+IFERROR(VALUE(MID(D259,IFERROR(SEARCH("m ",D259)+2,IFERROR(SEARCH("h ",D259)+2,1)),SEARCH("s",D259)-IFERROR(SEARCH("m ",D259)+2,IFERROR(SEARCH("h ",D259)+2,1)))),0)</x:f>
        <x:v>5861</x:v>
      </x:c>
      <x:c r="R259" t="str">
        <x:f>IF(P259="","No",IF(COUNTIF('Employee Attendance'!$D$2:$D$670,P259)&gt;0,"Yes","No"))</x:f>
        <x:v>Yes</x:v>
      </x:c>
    </x:row>
    <x:row r="260">
      <x:c r="A260" t="s">
        <x:v>1062</x:v>
      </x:c>
      <x:c r="B260" t="s">
        <x:v>2654</x:v>
      </x:c>
      <x:c r="C260" t="s">
        <x:v>2655</x:v>
      </x:c>
      <x:c r="D260" t="s">
        <x:v>2656</x:v>
      </x:c>
      <x:c r="E260" t="s">
        <x:v>1066</x:v>
      </x:c>
      <x:c r="F260" t="s">
        <x:v>1066</x:v>
      </x:c>
      <x:c r="G260" t="s">
        <x:v>1690</x:v>
      </x:c>
      <x:c r="P260" t="str">
        <x:f>LOWER(TRIM(SUBSTITUTE(E260,CHAR(160)," ")))</x:f>
        <x:v>rebecca.osunga@pwc.com</x:v>
      </x:c>
      <x:c r="Q260" t="n">
        <x:f>IFERROR(VALUE(LEFT(D260,SEARCH("h",D260)-1)),0)*3600+IFERROR(VALUE(MID(D260,IFERROR(SEARCH("h ",D260)+2,1),SEARCH("m",D260)-IFERROR(SEARCH("h ",D260)+2,1))),0)*60+IFERROR(VALUE(MID(D260,IFERROR(SEARCH("m ",D260)+2,IFERROR(SEARCH("h ",D260)+2,1)),SEARCH("s",D260)-IFERROR(SEARCH("m ",D260)+2,IFERROR(SEARCH("h ",D260)+2,1)))),0)</x:f>
        <x:v>3290</x:v>
      </x:c>
      <x:c r="R260" t="str">
        <x:f>IF(P260="","No",IF(COUNTIF('Employee Attendance'!$D$2:$D$670,P260)&gt;0,"Yes","No"))</x:f>
        <x:v>Yes</x:v>
      </x:c>
    </x:row>
    <x:row r="261">
      <x:c r="A261" t="s">
        <x:v>2657</x:v>
      </x:c>
      <x:c r="B261" t="s">
        <x:v>2658</x:v>
      </x:c>
      <x:c r="C261" t="s">
        <x:v>1810</x:v>
      </x:c>
      <x:c r="D261" t="s">
        <x:v>2659</x:v>
      </x:c>
      <x:c r="E261" t="s">
        <x:v>2660</x:v>
      </x:c>
      <x:c r="F261" t="s">
        <x:v>2660</x:v>
      </x:c>
      <x:c r="G261" t="s">
        <x:v>1690</x:v>
      </x:c>
      <x:c r="P261" t="str">
        <x:f>LOWER(TRIM(SUBSTITUTE(E261,CHAR(160)," ")))</x:f>
        <x:v>joseph.wanjohi@pwc.com</x:v>
      </x:c>
      <x:c r="Q261" t="n">
        <x:f>IFERROR(VALUE(LEFT(D261,SEARCH("h",D261)-1)),0)*3600+IFERROR(VALUE(MID(D261,IFERROR(SEARCH("h ",D261)+2,1),SEARCH("m",D261)-IFERROR(SEARCH("h ",D261)+2,1))),0)*60+IFERROR(VALUE(MID(D261,IFERROR(SEARCH("m ",D261)+2,IFERROR(SEARCH("h ",D261)+2,1)),SEARCH("s",D261)-IFERROR(SEARCH("m ",D261)+2,IFERROR(SEARCH("h ",D261)+2,1)))),0)</x:f>
        <x:v>6447</x:v>
      </x:c>
      <x:c r="R261" t="str">
        <x:f>IF(P261="","No",IF(COUNTIF('Employee Attendance'!$D$2:$D$670,P261)&gt;0,"Yes","No"))</x:f>
        <x:v>Yes</x:v>
      </x:c>
    </x:row>
    <x:row r="262">
      <x:c r="A262" t="s">
        <x:v>2661</x:v>
      </x:c>
      <x:c r="B262" t="s">
        <x:v>2662</x:v>
      </x:c>
      <x:c r="C262" t="s">
        <x:v>2663</x:v>
      </x:c>
      <x:c r="D262" t="s">
        <x:v>2664</x:v>
      </x:c>
      <x:c r="E262" t="s">
        <x:v>2665</x:v>
      </x:c>
      <x:c r="F262" t="s">
        <x:v>2665</x:v>
      </x:c>
      <x:c r="G262" t="s">
        <x:v>1690</x:v>
      </x:c>
      <x:c r="O262">
        <x:v>3</x:v>
      </x:c>
      <x:c r="P262" t="str">
        <x:f>LOWER(TRIM(SUBSTITUTE(E262,CHAR(160)," ")))</x:f>
        <x:v>lage.kasaro@pwc.com</x:v>
      </x:c>
      <x:c r="Q262" t="n">
        <x:f>IFERROR(VALUE(LEFT(D262,SEARCH("h",D262)-1)),0)*3600+IFERROR(VALUE(MID(D262,IFERROR(SEARCH("h ",D262)+2,1),SEARCH("m",D262)-IFERROR(SEARCH("h ",D262)+2,1))),0)*60+IFERROR(VALUE(MID(D262,IFERROR(SEARCH("m ",D262)+2,IFERROR(SEARCH("h ",D262)+2,1)),SEARCH("s",D262)-IFERROR(SEARCH("m ",D262)+2,IFERROR(SEARCH("h ",D262)+2,1)))),0)</x:f>
        <x:v>5387</x:v>
      </x:c>
      <x:c r="R262" t="str">
        <x:f>IF(P262="","No",IF(COUNTIF('Employee Attendance'!$D$2:$D$670,P262)&gt;0,"Yes","No"))</x:f>
        <x:v>Yes</x:v>
      </x:c>
    </x:row>
    <x:row r="263">
      <x:c r="A263" t="s">
        <x:v>2666</x:v>
      </x:c>
      <x:c r="B263" t="s">
        <x:v>2667</x:v>
      </x:c>
      <x:c r="C263" t="s">
        <x:v>2051</x:v>
      </x:c>
      <x:c r="D263" t="s">
        <x:v>2668</x:v>
      </x:c>
      <x:c r="E263" t="s">
        <x:v>2669</x:v>
      </x:c>
      <x:c r="F263" t="s">
        <x:v>2669</x:v>
      </x:c>
      <x:c r="G263" t="s">
        <x:v>1690</x:v>
      </x:c>
      <x:c r="P263" t="str">
        <x:f>LOWER(TRIM(SUBSTITUTE(E263,CHAR(160)," ")))</x:f>
        <x:v>catherine.naluuma@pwc.com</x:v>
      </x:c>
      <x:c r="Q263" t="n">
        <x:f>IFERROR(VALUE(LEFT(D263,SEARCH("h",D263)-1)),0)*3600+IFERROR(VALUE(MID(D263,IFERROR(SEARCH("h ",D263)+2,1),SEARCH("m",D263)-IFERROR(SEARCH("h ",D263)+2,1))),0)*60+IFERROR(VALUE(MID(D263,IFERROR(SEARCH("m ",D263)+2,IFERROR(SEARCH("h ",D263)+2,1)),SEARCH("s",D263)-IFERROR(SEARCH("m ",D263)+2,IFERROR(SEARCH("h ",D263)+2,1)))),0)</x:f>
        <x:v>5785</x:v>
      </x:c>
      <x:c r="R263" t="str">
        <x:f>IF(P263="","No",IF(COUNTIF('Employee Attendance'!$D$2:$D$670,P263)&gt;0,"Yes","No"))</x:f>
        <x:v>Yes</x:v>
      </x:c>
    </x:row>
    <x:row r="264">
      <x:c r="A264" t="s">
        <x:v>2670</x:v>
      </x:c>
      <x:c r="B264" t="s">
        <x:v>2671</x:v>
      </x:c>
      <x:c r="C264" t="s">
        <x:v>1851</x:v>
      </x:c>
      <x:c r="D264" t="s">
        <x:v>2672</x:v>
      </x:c>
      <x:c r="E264" t="s">
        <x:v>2673</x:v>
      </x:c>
      <x:c r="F264" t="s">
        <x:v>2673</x:v>
      </x:c>
      <x:c r="G264" t="s">
        <x:v>1690</x:v>
      </x:c>
      <x:c r="P264" t="str">
        <x:f>LOWER(TRIM(SUBSTITUTE(E264,CHAR(160)," ")))</x:f>
        <x:v>stephen.ochieng@pwc.com</x:v>
      </x:c>
      <x:c r="Q264" t="n">
        <x:f>IFERROR(VALUE(LEFT(D264,SEARCH("h",D264)-1)),0)*3600+IFERROR(VALUE(MID(D264,IFERROR(SEARCH("h ",D264)+2,1),SEARCH("m",D264)-IFERROR(SEARCH("h ",D264)+2,1))),0)*60+IFERROR(VALUE(MID(D264,IFERROR(SEARCH("m ",D264)+2,IFERROR(SEARCH("h ",D264)+2,1)),SEARCH("s",D264)-IFERROR(SEARCH("m ",D264)+2,IFERROR(SEARCH("h ",D264)+2,1)))),0)</x:f>
        <x:v>6407</x:v>
      </x:c>
      <x:c r="R264" t="str">
        <x:f>IF(P264="","No",IF(COUNTIF('Employee Attendance'!$D$2:$D$670,P264)&gt;0,"Yes","No"))</x:f>
        <x:v>Yes</x:v>
      </x:c>
    </x:row>
    <x:row r="265">
      <x:c r="A265" t="s">
        <x:v>2674</x:v>
      </x:c>
      <x:c r="B265" t="s">
        <x:v>2675</x:v>
      </x:c>
      <x:c r="C265" t="s">
        <x:v>2676</x:v>
      </x:c>
      <x:c r="D265" t="s">
        <x:v>2677</x:v>
      </x:c>
      <x:c r="E265" t="s">
        <x:v>2678</x:v>
      </x:c>
      <x:c r="F265" t="s">
        <x:v>2678</x:v>
      </x:c>
      <x:c r="G265" t="s">
        <x:v>1690</x:v>
      </x:c>
      <x:c r="P265" t="str">
        <x:f>LOWER(TRIM(SUBSTITUTE(E265,CHAR(160)," ")))</x:f>
        <x:v>hemisha.bhookhul@pwc.com</x:v>
      </x:c>
      <x:c r="Q265" t="n">
        <x:f>IFERROR(VALUE(LEFT(D265,SEARCH("h",D265)-1)),0)*3600+IFERROR(VALUE(MID(D265,IFERROR(SEARCH("h ",D265)+2,1),SEARCH("m",D265)-IFERROR(SEARCH("h ",D265)+2,1))),0)*60+IFERROR(VALUE(MID(D265,IFERROR(SEARCH("m ",D265)+2,IFERROR(SEARCH("h ",D265)+2,1)),SEARCH("s",D265)-IFERROR(SEARCH("m ",D265)+2,IFERROR(SEARCH("h ",D265)+2,1)))),0)</x:f>
        <x:v>5992</x:v>
      </x:c>
      <x:c r="R265" t="str">
        <x:f>IF(P265="","No",IF(COUNTIF('Employee Attendance'!$D$2:$D$670,P265)&gt;0,"Yes","No"))</x:f>
        <x:v>Yes</x:v>
      </x:c>
    </x:row>
    <x:row r="266">
      <x:c r="A266" t="s">
        <x:v>2679</x:v>
      </x:c>
      <x:c r="B266" t="s">
        <x:v>2464</x:v>
      </x:c>
      <x:c r="C266" t="s">
        <x:v>1714</x:v>
      </x:c>
      <x:c r="D266" t="s">
        <x:v>739</x:v>
      </x:c>
      <x:c r="E266" t="s">
        <x:v>2680</x:v>
      </x:c>
      <x:c r="F266" t="s">
        <x:v>2680</x:v>
      </x:c>
      <x:c r="G266" t="s">
        <x:v>1690</x:v>
      </x:c>
      <x:c r="P266" t="str">
        <x:f>LOWER(TRIM(SUBSTITUTE(E266,CHAR(160)," ")))</x:f>
        <x:v>twesha.nuckecheddy@pwc.com</x:v>
      </x:c>
      <x:c r="Q266" t="n">
        <x:f>IFERROR(VALUE(LEFT(D266,SEARCH("h",D266)-1)),0)*3600+IFERROR(VALUE(MID(D266,IFERROR(SEARCH("h ",D266)+2,1),SEARCH("m",D266)-IFERROR(SEARCH("h ",D266)+2,1))),0)*60+IFERROR(VALUE(MID(D266,IFERROR(SEARCH("m ",D266)+2,IFERROR(SEARCH("h ",D266)+2,1)),SEARCH("s",D266)-IFERROR(SEARCH("m ",D266)+2,IFERROR(SEARCH("h ",D266)+2,1)))),0)</x:f>
        <x:v>6375</x:v>
      </x:c>
      <x:c r="R266" t="str">
        <x:f>IF(P266="","No",IF(COUNTIF('Employee Attendance'!$D$2:$D$670,P266)&gt;0,"Yes","No"))</x:f>
        <x:v>Yes</x:v>
      </x:c>
    </x:row>
    <x:row r="267">
      <x:c r="A267" t="s">
        <x:v>2681</x:v>
      </x:c>
      <x:c r="B267" t="s">
        <x:v>2682</x:v>
      </x:c>
      <x:c r="C267" t="s">
        <x:v>2683</x:v>
      </x:c>
      <x:c r="D267" t="s">
        <x:v>2684</x:v>
      </x:c>
      <x:c r="E267" t="s">
        <x:v>2685</x:v>
      </x:c>
      <x:c r="F267" t="s">
        <x:v>2685</x:v>
      </x:c>
      <x:c r="G267" t="s">
        <x:v>1690</x:v>
      </x:c>
      <x:c r="O267">
        <x:v>1</x:v>
      </x:c>
      <x:c r="P267" t="str">
        <x:f>LOWER(TRIM(SUBSTITUTE(E267,CHAR(160)," ")))</x:f>
        <x:v>kooshika.sookun@pwc.com</x:v>
      </x:c>
      <x:c r="Q267" t="n">
        <x:f>IFERROR(VALUE(LEFT(D267,SEARCH("h",D267)-1)),0)*3600+IFERROR(VALUE(MID(D267,IFERROR(SEARCH("h ",D267)+2,1),SEARCH("m",D267)-IFERROR(SEARCH("h ",D267)+2,1))),0)*60+IFERROR(VALUE(MID(D267,IFERROR(SEARCH("m ",D267)+2,IFERROR(SEARCH("h ",D267)+2,1)),SEARCH("s",D267)-IFERROR(SEARCH("m ",D267)+2,IFERROR(SEARCH("h ",D267)+2,1)))),0)</x:f>
        <x:v>5160</x:v>
      </x:c>
      <x:c r="R267" t="str">
        <x:f>IF(P267="","No",IF(COUNTIF('Employee Attendance'!$D$2:$D$670,P267)&gt;0,"Yes","No"))</x:f>
        <x:v>Yes</x:v>
      </x:c>
    </x:row>
    <x:row r="268">
      <x:c r="A268" t="s">
        <x:v>2686</x:v>
      </x:c>
      <x:c r="B268" t="s">
        <x:v>2682</x:v>
      </x:c>
      <x:c r="C268" t="s">
        <x:v>1678</x:v>
      </x:c>
      <x:c r="D268" t="s">
        <x:v>2687</x:v>
      </x:c>
      <x:c r="E268" t="s">
        <x:v>2688</x:v>
      </x:c>
      <x:c r="F268" t="s">
        <x:v>2688</x:v>
      </x:c>
      <x:c r="G268" t="s">
        <x:v>1690</x:v>
      </x:c>
      <x:c r="P268" t="str">
        <x:f>LOWER(TRIM(SUBSTITUTE(E268,CHAR(160)," ")))</x:f>
        <x:v>lucy.ngugi@pwc.com</x:v>
      </x:c>
      <x:c r="Q268" t="n">
        <x:f>IFERROR(VALUE(LEFT(D268,SEARCH("h",D268)-1)),0)*3600+IFERROR(VALUE(MID(D268,IFERROR(SEARCH("h ",D268)+2,1),SEARCH("m",D268)-IFERROR(SEARCH("h ",D268)+2,1))),0)*60+IFERROR(VALUE(MID(D268,IFERROR(SEARCH("m ",D268)+2,IFERROR(SEARCH("h ",D268)+2,1)),SEARCH("s",D268)-IFERROR(SEARCH("m ",D268)+2,IFERROR(SEARCH("h ",D268)+2,1)))),0)</x:f>
        <x:v>6321</x:v>
      </x:c>
      <x:c r="R268" t="str">
        <x:f>IF(P268="","No",IF(COUNTIF('Employee Attendance'!$D$2:$D$670,P268)&gt;0,"Yes","No"))</x:f>
        <x:v>Yes</x:v>
      </x:c>
    </x:row>
    <x:row r="269">
      <x:c r="A269" t="s">
        <x:v>2689</x:v>
      </x:c>
      <x:c r="B269" t="s">
        <x:v>2690</x:v>
      </x:c>
      <x:c r="C269" t="s">
        <x:v>1797</x:v>
      </x:c>
      <x:c r="D269" t="s">
        <x:v>865</x:v>
      </x:c>
      <x:c r="E269" t="s">
        <x:v>2691</x:v>
      </x:c>
      <x:c r="F269" t="s">
        <x:v>2691</x:v>
      </x:c>
      <x:c r="G269" t="s">
        <x:v>1690</x:v>
      </x:c>
      <x:c r="P269" t="str">
        <x:f>LOWER(TRIM(SUBSTITUTE(E269,CHAR(160)," ")))</x:f>
        <x:v>teresiah.maina@pwc.com</x:v>
      </x:c>
      <x:c r="Q269" t="n">
        <x:f>IFERROR(VALUE(LEFT(D269,SEARCH("h",D269)-1)),0)*3600+IFERROR(VALUE(MID(D269,IFERROR(SEARCH("h ",D269)+2,1),SEARCH("m",D269)-IFERROR(SEARCH("h ",D269)+2,1))),0)*60+IFERROR(VALUE(MID(D269,IFERROR(SEARCH("m ",D269)+2,IFERROR(SEARCH("h ",D269)+2,1)),SEARCH("s",D269)-IFERROR(SEARCH("m ",D269)+2,IFERROR(SEARCH("h ",D269)+2,1)))),0)</x:f>
        <x:v>6315</x:v>
      </x:c>
      <x:c r="R269" t="str">
        <x:f>IF(P269="","No",IF(COUNTIF('Employee Attendance'!$D$2:$D$670,P269)&gt;0,"Yes","No"))</x:f>
        <x:v>Yes</x:v>
      </x:c>
    </x:row>
    <x:row r="270">
      <x:c r="A270" t="s">
        <x:v>2692</x:v>
      </x:c>
      <x:c r="B270" t="s">
        <x:v>2693</x:v>
      </x:c>
      <x:c r="C270" t="s">
        <x:v>2566</x:v>
      </x:c>
      <x:c r="D270" t="s">
        <x:v>2694</x:v>
      </x:c>
      <x:c r="E270" t="s">
        <x:v>2695</x:v>
      </x:c>
      <x:c r="F270" t="s">
        <x:v>2695</x:v>
      </x:c>
      <x:c r="G270" t="s">
        <x:v>1690</x:v>
      </x:c>
      <x:c r="P270" t="str">
        <x:f>LOWER(TRIM(SUBSTITUTE(E270,CHAR(160)," ")))</x:f>
        <x:v>dooleshsingh.jankee@pwc.com</x:v>
      </x:c>
      <x:c r="Q270" t="n">
        <x:f>IFERROR(VALUE(LEFT(D270,SEARCH("h",D270)-1)),0)*3600+IFERROR(VALUE(MID(D270,IFERROR(SEARCH("h ",D270)+2,1),SEARCH("m",D270)-IFERROR(SEARCH("h ",D270)+2,1))),0)*60+IFERROR(VALUE(MID(D270,IFERROR(SEARCH("m ",D270)+2,IFERROR(SEARCH("h ",D270)+2,1)),SEARCH("s",D270)-IFERROR(SEARCH("m ",D270)+2,IFERROR(SEARCH("h ",D270)+2,1)))),0)</x:f>
        <x:v>6364</x:v>
      </x:c>
      <x:c r="R270" t="str">
        <x:f>IF(P270="","No",IF(COUNTIF('Employee Attendance'!$D$2:$D$670,P270)&gt;0,"Yes","No"))</x:f>
        <x:v>Yes</x:v>
      </x:c>
    </x:row>
    <x:row r="271">
      <x:c r="A271" t="s">
        <x:v>2696</x:v>
      </x:c>
      <x:c r="B271" t="s">
        <x:v>2693</x:v>
      </x:c>
      <x:c r="C271" t="s">
        <x:v>2697</x:v>
      </x:c>
      <x:c r="D271" t="s">
        <x:v>2687</x:v>
      </x:c>
      <x:c r="E271" t="s">
        <x:v>2698</x:v>
      </x:c>
      <x:c r="F271" t="s">
        <x:v>2698</x:v>
      </x:c>
      <x:c r="G271" t="s">
        <x:v>1690</x:v>
      </x:c>
      <x:c r="P271" t="str">
        <x:f>LOWER(TRIM(SUBSTITUTE(E271,CHAR(160)," ")))</x:f>
        <x:v>lorna.ramsamy@pwc.com</x:v>
      </x:c>
      <x:c r="Q271" t="n">
        <x:f>IFERROR(VALUE(LEFT(D271,SEARCH("h",D271)-1)),0)*3600+IFERROR(VALUE(MID(D271,IFERROR(SEARCH("h ",D271)+2,1),SEARCH("m",D271)-IFERROR(SEARCH("h ",D271)+2,1))),0)*60+IFERROR(VALUE(MID(D271,IFERROR(SEARCH("m ",D271)+2,IFERROR(SEARCH("h ",D271)+2,1)),SEARCH("s",D271)-IFERROR(SEARCH("m ",D271)+2,IFERROR(SEARCH("h ",D271)+2,1)))),0)</x:f>
        <x:v>6321</x:v>
      </x:c>
      <x:c r="R271" t="str">
        <x:f>IF(P271="","No",IF(COUNTIF('Employee Attendance'!$D$2:$D$670,P271)&gt;0,"Yes","No"))</x:f>
        <x:v>Yes</x:v>
      </x:c>
    </x:row>
    <x:row r="272">
      <x:c r="A272" t="s">
        <x:v>2699</x:v>
      </x:c>
      <x:c r="B272" t="s">
        <x:v>2700</x:v>
      </x:c>
      <x:c r="C272" t="s">
        <x:v>2701</x:v>
      </x:c>
      <x:c r="D272" t="s">
        <x:v>2702</x:v>
      </x:c>
      <x:c r="E272" t="s">
        <x:v>2703</x:v>
      </x:c>
      <x:c r="F272" t="s">
        <x:v>2703</x:v>
      </x:c>
      <x:c r="G272" t="s">
        <x:v>1690</x:v>
      </x:c>
      <x:c r="O272">
        <x:v>1</x:v>
      </x:c>
      <x:c r="P272" t="str">
        <x:f>LOWER(TRIM(SUBSTITUTE(E272,CHAR(160)," ")))</x:f>
        <x:v>jovia.namulinda@pwc.com</x:v>
      </x:c>
      <x:c r="Q272" t="n">
        <x:f>IFERROR(VALUE(LEFT(D272,SEARCH("h",D272)-1)),0)*3600+IFERROR(VALUE(MID(D272,IFERROR(SEARCH("h ",D272)+2,1),SEARCH("m",D272)-IFERROR(SEARCH("h ",D272)+2,1))),0)*60+IFERROR(VALUE(MID(D272,IFERROR(SEARCH("m ",D272)+2,IFERROR(SEARCH("h ",D272)+2,1)),SEARCH("s",D272)-IFERROR(SEARCH("m ",D272)+2,IFERROR(SEARCH("h ",D272)+2,1)))),0)</x:f>
        <x:v>6099</x:v>
      </x:c>
      <x:c r="R272" t="str">
        <x:f>IF(P272="","No",IF(COUNTIF('Employee Attendance'!$D$2:$D$670,P272)&gt;0,"Yes","No"))</x:f>
        <x:v>Yes</x:v>
      </x:c>
    </x:row>
    <x:row r="273">
      <x:c r="A273" t="s">
        <x:v>754</x:v>
      </x:c>
      <x:c r="B273" t="s">
        <x:v>2704</x:v>
      </x:c>
      <x:c r="C273" t="s">
        <x:v>2705</x:v>
      </x:c>
      <x:c r="D273" t="s">
        <x:v>2706</x:v>
      </x:c>
      <x:c r="E273" t="s">
        <x:v>757</x:v>
      </x:c>
      <x:c r="F273" t="s">
        <x:v>757</x:v>
      </x:c>
      <x:c r="G273" t="s">
        <x:v>1690</x:v>
      </x:c>
      <x:c r="P273" t="str">
        <x:f>LOWER(TRIM(SUBSTITUTE(E273,CHAR(160)," ")))</x:f>
        <x:v>edwin.musire@pwc.com</x:v>
      </x:c>
      <x:c r="Q273" t="n">
        <x:f>IFERROR(VALUE(LEFT(D273,SEARCH("h",D273)-1)),0)*3600+IFERROR(VALUE(MID(D273,IFERROR(SEARCH("h ",D273)+2,1),SEARCH("m",D273)-IFERROR(SEARCH("h ",D273)+2,1))),0)*60+IFERROR(VALUE(MID(D273,IFERROR(SEARCH("m ",D273)+2,IFERROR(SEARCH("h ",D273)+2,1)),SEARCH("s",D273)-IFERROR(SEARCH("m ",D273)+2,IFERROR(SEARCH("h ",D273)+2,1)))),0)</x:f>
        <x:v>6109</x:v>
      </x:c>
      <x:c r="R273" t="str">
        <x:f>IF(P273="","No",IF(COUNTIF('Employee Attendance'!$D$2:$D$670,P273)&gt;0,"Yes","No"))</x:f>
        <x:v>Yes</x:v>
      </x:c>
    </x:row>
    <x:row r="274">
      <x:c r="A274" t="s">
        <x:v>2707</x:v>
      </x:c>
      <x:c r="B274" t="s">
        <x:v>2708</x:v>
      </x:c>
      <x:c r="C274" t="s">
        <x:v>2709</x:v>
      </x:c>
      <x:c r="D274" t="s">
        <x:v>2710</x:v>
      </x:c>
      <x:c r="E274" t="s">
        <x:v>2711</x:v>
      </x:c>
      <x:c r="F274" t="s">
        <x:v>2711</x:v>
      </x:c>
      <x:c r="G274" t="s">
        <x:v>1690</x:v>
      </x:c>
      <x:c r="P274" t="str">
        <x:f>LOWER(TRIM(SUBSTITUTE(E274,CHAR(160)," ")))</x:f>
        <x:v>esther.wilson@pwc.com</x:v>
      </x:c>
      <x:c r="Q274" t="n">
        <x:f>IFERROR(VALUE(LEFT(D274,SEARCH("h",D274)-1)),0)*3600+IFERROR(VALUE(MID(D274,IFERROR(SEARCH("h ",D274)+2,1),SEARCH("m",D274)-IFERROR(SEARCH("h ",D274)+2,1))),0)*60+IFERROR(VALUE(MID(D274,IFERROR(SEARCH("m ",D274)+2,IFERROR(SEARCH("h ",D274)+2,1)),SEARCH("s",D274)-IFERROR(SEARCH("m ",D274)+2,IFERROR(SEARCH("h ",D274)+2,1)))),0)</x:f>
        <x:v>6297</x:v>
      </x:c>
      <x:c r="R274" t="str">
        <x:f>IF(P274="","No",IF(COUNTIF('Employee Attendance'!$D$2:$D$670,P274)&gt;0,"Yes","No"))</x:f>
        <x:v>Yes</x:v>
      </x:c>
    </x:row>
    <x:row r="275">
      <x:c r="A275" t="s">
        <x:v>2712</x:v>
      </x:c>
      <x:c r="B275" t="s">
        <x:v>2713</x:v>
      </x:c>
      <x:c r="C275" t="s">
        <x:v>2714</x:v>
      </x:c>
      <x:c r="D275" t="s">
        <x:v>2715</x:v>
      </x:c>
      <x:c r="E275" t="s">
        <x:v>2716</x:v>
      </x:c>
      <x:c r="F275" t="s">
        <x:v>2716</x:v>
      </x:c>
      <x:c r="G275" t="s">
        <x:v>1690</x:v>
      </x:c>
      <x:c r="P275" t="str">
        <x:f>LOWER(TRIM(SUBSTITUTE(E275,CHAR(160)," ")))</x:f>
        <x:v>ebby.syombua@pwc.com</x:v>
      </x:c>
      <x:c r="Q275" t="n">
        <x:f>IFERROR(VALUE(LEFT(D275,SEARCH("h",D275)-1)),0)*3600+IFERROR(VALUE(MID(D275,IFERROR(SEARCH("h ",D275)+2,1),SEARCH("m",D275)-IFERROR(SEARCH("h ",D275)+2,1))),0)*60+IFERROR(VALUE(MID(D275,IFERROR(SEARCH("m ",D275)+2,IFERROR(SEARCH("h ",D275)+2,1)),SEARCH("s",D275)-IFERROR(SEARCH("m ",D275)+2,IFERROR(SEARCH("h ",D275)+2,1)))),0)</x:f>
        <x:v>169</x:v>
      </x:c>
      <x:c r="R275" t="str">
        <x:f>IF(P275="","No",IF(COUNTIF('Employee Attendance'!$D$2:$D$670,P275)&gt;0,"Yes","No"))</x:f>
        <x:v>Yes</x:v>
      </x:c>
    </x:row>
    <x:row r="276">
      <x:c r="A276" t="s">
        <x:v>2717</x:v>
      </x:c>
      <x:c r="B276" t="s">
        <x:v>2718</x:v>
      </x:c>
      <x:c r="C276" t="s">
        <x:v>2414</x:v>
      </x:c>
      <x:c r="D276" t="s">
        <x:v>2719</x:v>
      </x:c>
      <x:c r="E276" t="s">
        <x:v>2720</x:v>
      </x:c>
      <x:c r="F276" t="s">
        <x:v>2720</x:v>
      </x:c>
      <x:c r="G276" t="s">
        <x:v>1690</x:v>
      </x:c>
      <x:c r="P276" t="str">
        <x:f>LOWER(TRIM(SUBSTITUTE(E276,CHAR(160)," ")))</x:f>
        <x:v>yohane.y.mwanza@pwc.com</x:v>
      </x:c>
      <x:c r="Q276" t="n">
        <x:f>IFERROR(VALUE(LEFT(D276,SEARCH("h",D276)-1)),0)*3600+IFERROR(VALUE(MID(D276,IFERROR(SEARCH("h ",D276)+2,1),SEARCH("m",D276)-IFERROR(SEARCH("h ",D276)+2,1))),0)*60+IFERROR(VALUE(MID(D276,IFERROR(SEARCH("m ",D276)+2,IFERROR(SEARCH("h ",D276)+2,1)),SEARCH("s",D276)-IFERROR(SEARCH("m ",D276)+2,IFERROR(SEARCH("h ",D276)+2,1)))),0)</x:f>
        <x:v>6325</x:v>
      </x:c>
      <x:c r="R276" t="str">
        <x:f>IF(P276="","No",IF(COUNTIF('Employee Attendance'!$D$2:$D$670,P276)&gt;0,"Yes","No"))</x:f>
        <x:v>Yes</x:v>
      </x:c>
    </x:row>
    <x:row r="277">
      <x:c r="A277" t="s">
        <x:v>2721</x:v>
      </x:c>
      <x:c r="B277" t="s">
        <x:v>2722</x:v>
      </x:c>
      <x:c r="C277" t="s">
        <x:v>2723</x:v>
      </x:c>
      <x:c r="D277" t="s">
        <x:v>2724</x:v>
      </x:c>
      <x:c r="E277" t="s">
        <x:v>2725</x:v>
      </x:c>
      <x:c r="F277" t="s">
        <x:v>2725</x:v>
      </x:c>
      <x:c r="G277" t="s">
        <x:v>1690</x:v>
      </x:c>
      <x:c r="P277" t="str">
        <x:f>LOWER(TRIM(SUBSTITUTE(E277,CHAR(160)," ")))</x:f>
        <x:v>serah.omwenga@pwc.com</x:v>
      </x:c>
      <x:c r="Q277" t="n">
        <x:f>IFERROR(VALUE(LEFT(D277,SEARCH("h",D277)-1)),0)*3600+IFERROR(VALUE(MID(D277,IFERROR(SEARCH("h ",D277)+2,1),SEARCH("m",D277)-IFERROR(SEARCH("h ",D277)+2,1))),0)*60+IFERROR(VALUE(MID(D277,IFERROR(SEARCH("m ",D277)+2,IFERROR(SEARCH("h ",D277)+2,1)),SEARCH("s",D277)-IFERROR(SEARCH("m ",D277)+2,IFERROR(SEARCH("h ",D277)+2,1)))),0)</x:f>
        <x:v>6234</x:v>
      </x:c>
      <x:c r="R277" t="str">
        <x:f>IF(P277="","No",IF(COUNTIF('Employee Attendance'!$D$2:$D$670,P277)&gt;0,"Yes","No"))</x:f>
        <x:v>Yes</x:v>
      </x:c>
    </x:row>
    <x:row r="278">
      <x:c r="A278" t="s">
        <x:v>2726</x:v>
      </x:c>
      <x:c r="B278" t="s">
        <x:v>2727</x:v>
      </x:c>
      <x:c r="C278" t="s">
        <x:v>2728</x:v>
      </x:c>
      <x:c r="D278" t="s">
        <x:v>2729</x:v>
      </x:c>
      <x:c r="E278" t="s">
        <x:v>2730</x:v>
      </x:c>
      <x:c r="F278" t="s">
        <x:v>2730</x:v>
      </x:c>
      <x:c r="G278" t="s">
        <x:v>1690</x:v>
      </x:c>
      <x:c r="P278" t="str">
        <x:f>LOWER(TRIM(SUBSTITUTE(E278,CHAR(160)," ")))</x:f>
        <x:v>angelayeyoo.mosha@pwc.com</x:v>
      </x:c>
      <x:c r="Q278" t="n">
        <x:f>IFERROR(VALUE(LEFT(D278,SEARCH("h",D278)-1)),0)*3600+IFERROR(VALUE(MID(D278,IFERROR(SEARCH("h ",D278)+2,1),SEARCH("m",D278)-IFERROR(SEARCH("h ",D278)+2,1))),0)*60+IFERROR(VALUE(MID(D278,IFERROR(SEARCH("m ",D278)+2,IFERROR(SEARCH("h ",D278)+2,1)),SEARCH("s",D278)-IFERROR(SEARCH("m ",D278)+2,IFERROR(SEARCH("h ",D278)+2,1)))),0)</x:f>
        <x:v>6197</x:v>
      </x:c>
      <x:c r="R278" t="str">
        <x:f>IF(P278="","No",IF(COUNTIF('Employee Attendance'!$D$2:$D$670,P278)&gt;0,"Yes","No"))</x:f>
        <x:v>Yes</x:v>
      </x:c>
    </x:row>
    <x:row r="279">
      <x:c r="A279" t="s">
        <x:v>2731</x:v>
      </x:c>
      <x:c r="B279" t="s">
        <x:v>2732</x:v>
      </x:c>
      <x:c r="C279" t="s">
        <x:v>2728</x:v>
      </x:c>
      <x:c r="D279" t="s">
        <x:v>2733</x:v>
      </x:c>
      <x:c r="E279" t="s">
        <x:v>2734</x:v>
      </x:c>
      <x:c r="F279" t="s">
        <x:v>2734</x:v>
      </x:c>
      <x:c r="G279" t="s">
        <x:v>1690</x:v>
      </x:c>
      <x:c r="P279" t="str">
        <x:f>LOWER(TRIM(SUBSTITUTE(E279,CHAR(160)," ")))</x:f>
        <x:v>feliciano.fevrier@pwc.com</x:v>
      </x:c>
      <x:c r="Q279" t="n">
        <x:f>IFERROR(VALUE(LEFT(D279,SEARCH("h",D279)-1)),0)*3600+IFERROR(VALUE(MID(D279,IFERROR(SEARCH("h ",D279)+2,1),SEARCH("m",D279)-IFERROR(SEARCH("h ",D279)+2,1))),0)*60+IFERROR(VALUE(MID(D279,IFERROR(SEARCH("m ",D279)+2,IFERROR(SEARCH("h ",D279)+2,1)),SEARCH("s",D279)-IFERROR(SEARCH("m ",D279)+2,IFERROR(SEARCH("h ",D279)+2,1)))),0)</x:f>
        <x:v>6168</x:v>
      </x:c>
      <x:c r="R279" t="str">
        <x:f>IF(P279="","No",IF(COUNTIF('Employee Attendance'!$D$2:$D$670,P279)&gt;0,"Yes","No"))</x:f>
        <x:v>Yes</x:v>
      </x:c>
    </x:row>
    <x:row r="280">
      <x:c r="A280" t="s">
        <x:v>2735</x:v>
      </x:c>
      <x:c r="B280" t="s">
        <x:v>2736</x:v>
      </x:c>
      <x:c r="C280" t="s">
        <x:v>1683</x:v>
      </x:c>
      <x:c r="D280" t="s">
        <x:v>2737</x:v>
      </x:c>
      <x:c r="E280" t="s">
        <x:v>2738</x:v>
      </x:c>
      <x:c r="F280" t="s">
        <x:v>2738</x:v>
      </x:c>
      <x:c r="G280" t="s">
        <x:v>1690</x:v>
      </x:c>
      <x:c r="P280" t="str">
        <x:f>LOWER(TRIM(SUBSTITUTE(E280,CHAR(160)," ")))</x:f>
        <x:v>hussain.mustun@pwc.com</x:v>
      </x:c>
      <x:c r="Q280" t="n">
        <x:f>IFERROR(VALUE(LEFT(D280,SEARCH("h",D280)-1)),0)*3600+IFERROR(VALUE(MID(D280,IFERROR(SEARCH("h ",D280)+2,1),SEARCH("m",D280)-IFERROR(SEARCH("h ",D280)+2,1))),0)*60+IFERROR(VALUE(MID(D280,IFERROR(SEARCH("m ",D280)+2,IFERROR(SEARCH("h ",D280)+2,1)),SEARCH("s",D280)-IFERROR(SEARCH("m ",D280)+2,IFERROR(SEARCH("h ",D280)+2,1)))),0)</x:f>
        <x:v>6114</x:v>
      </x:c>
      <x:c r="R280" t="str">
        <x:f>IF(P280="","No",IF(COUNTIF('Employee Attendance'!$D$2:$D$670,P280)&gt;0,"Yes","No"))</x:f>
        <x:v>Yes</x:v>
      </x:c>
    </x:row>
    <x:row r="281">
      <x:c r="A281" t="s">
        <x:v>2739</x:v>
      </x:c>
      <x:c r="B281" t="s">
        <x:v>2740</x:v>
      </x:c>
      <x:c r="C281" t="s">
        <x:v>2015</x:v>
      </x:c>
      <x:c r="D281" t="s">
        <x:v>2741</x:v>
      </x:c>
      <x:c r="E281" t="s">
        <x:v>2742</x:v>
      </x:c>
      <x:c r="F281" t="s">
        <x:v>2742</x:v>
      </x:c>
      <x:c r="G281" t="s">
        <x:v>1690</x:v>
      </x:c>
      <x:c r="P281" t="str">
        <x:f>LOWER(TRIM(SUBSTITUTE(E281,CHAR(160)," ")))</x:f>
        <x:v>geofrey.bukyana@pwc.com</x:v>
      </x:c>
      <x:c r="Q281" t="n">
        <x:f>IFERROR(VALUE(LEFT(D281,SEARCH("h",D281)-1)),0)*3600+IFERROR(VALUE(MID(D281,IFERROR(SEARCH("h ",D281)+2,1),SEARCH("m",D281)-IFERROR(SEARCH("h ",D281)+2,1))),0)*60+IFERROR(VALUE(MID(D281,IFERROR(SEARCH("m ",D281)+2,IFERROR(SEARCH("h ",D281)+2,1)),SEARCH("s",D281)-IFERROR(SEARCH("m ",D281)+2,IFERROR(SEARCH("h ",D281)+2,1)))),0)</x:f>
        <x:v>6074</x:v>
      </x:c>
      <x:c r="R281" t="str">
        <x:f>IF(P281="","No",IF(COUNTIF('Employee Attendance'!$D$2:$D$670,P281)&gt;0,"Yes","No"))</x:f>
        <x:v>Yes</x:v>
      </x:c>
    </x:row>
    <x:row r="282">
      <x:c r="A282" t="s">
        <x:v>2743</x:v>
      </x:c>
      <x:c r="B282" t="s">
        <x:v>2744</x:v>
      </x:c>
      <x:c r="C282" t="s">
        <x:v>2745</x:v>
      </x:c>
      <x:c r="D282" t="s">
        <x:v>2746</x:v>
      </x:c>
      <x:c r="E282" t="s">
        <x:v>2747</x:v>
      </x:c>
      <x:c r="F282" t="s">
        <x:v>2747</x:v>
      </x:c>
      <x:c r="G282" t="s">
        <x:v>1690</x:v>
      </x:c>
      <x:c r="O282">
        <x:v>5</x:v>
      </x:c>
      <x:c r="P282" t="str">
        <x:f>LOWER(TRIM(SUBSTITUTE(E282,CHAR(160)," ")))</x:f>
        <x:v>sharon.sidialo@pwc.com</x:v>
      </x:c>
      <x:c r="Q282" t="n">
        <x:f>IFERROR(VALUE(LEFT(D282,SEARCH("h",D282)-1)),0)*3600+IFERROR(VALUE(MID(D282,IFERROR(SEARCH("h ",D282)+2,1),SEARCH("m",D282)-IFERROR(SEARCH("h ",D282)+2,1))),0)*60+IFERROR(VALUE(MID(D282,IFERROR(SEARCH("m ",D282)+2,IFERROR(SEARCH("h ",D282)+2,1)),SEARCH("s",D282)-IFERROR(SEARCH("m ",D282)+2,IFERROR(SEARCH("h ",D282)+2,1)))),0)</x:f>
        <x:v>3946</x:v>
      </x:c>
      <x:c r="R282" t="str">
        <x:f>IF(P282="","No",IF(COUNTIF('Employee Attendance'!$D$2:$D$670,P282)&gt;0,"Yes","No"))</x:f>
        <x:v>Yes</x:v>
      </x:c>
    </x:row>
    <x:row r="283">
      <x:c r="A283" t="s">
        <x:v>2748</x:v>
      </x:c>
      <x:c r="B283" t="s">
        <x:v>2749</x:v>
      </x:c>
      <x:c r="C283" t="s">
        <x:v>1873</x:v>
      </x:c>
      <x:c r="D283" t="s">
        <x:v>2750</x:v>
      </x:c>
      <x:c r="E283" t="s">
        <x:v>2751</x:v>
      </x:c>
      <x:c r="F283" t="s">
        <x:v>2751</x:v>
      </x:c>
      <x:c r="G283" t="s">
        <x:v>1690</x:v>
      </x:c>
      <x:c r="P283" t="str">
        <x:f>LOWER(TRIM(SUBSTITUTE(E283,CHAR(160)," ")))</x:f>
        <x:v>hadassah.phiri@pwc.com</x:v>
      </x:c>
      <x:c r="Q283" t="n">
        <x:f>IFERROR(VALUE(LEFT(D283,SEARCH("h",D283)-1)),0)*3600+IFERROR(VALUE(MID(D283,IFERROR(SEARCH("h ",D283)+2,1),SEARCH("m",D283)-IFERROR(SEARCH("h ",D283)+2,1))),0)*60+IFERROR(VALUE(MID(D283,IFERROR(SEARCH("m ",D283)+2,IFERROR(SEARCH("h ",D283)+2,1)),SEARCH("s",D283)-IFERROR(SEARCH("m ",D283)+2,IFERROR(SEARCH("h ",D283)+2,1)))),0)</x:f>
        <x:v>6062</x:v>
      </x:c>
      <x:c r="R283" t="str">
        <x:f>IF(P283="","No",IF(COUNTIF('Employee Attendance'!$D$2:$D$670,P283)&gt;0,"Yes","No"))</x:f>
        <x:v>Yes</x:v>
      </x:c>
    </x:row>
    <x:row r="284">
      <x:c r="A284" t="s">
        <x:v>2752</x:v>
      </x:c>
      <x:c r="B284" t="s">
        <x:v>2753</x:v>
      </x:c>
      <x:c r="C284" t="s">
        <x:v>2754</x:v>
      </x:c>
      <x:c r="D284" t="s">
        <x:v>2755</x:v>
      </x:c>
      <x:c r="E284" t="s">
        <x:v>2756</x:v>
      </x:c>
      <x:c r="F284" t="s">
        <x:v>2756</x:v>
      </x:c>
      <x:c r="G284" t="s">
        <x:v>1690</x:v>
      </x:c>
      <x:c r="P284" t="str">
        <x:f>LOWER(TRIM(SUBSTITUTE(E284,CHAR(160)," ")))</x:f>
        <x:v>kesha.seeputhy@pwc.com</x:v>
      </x:c>
      <x:c r="Q284" t="n">
        <x:f>IFERROR(VALUE(LEFT(D284,SEARCH("h",D284)-1)),0)*3600+IFERROR(VALUE(MID(D284,IFERROR(SEARCH("h ",D284)+2,1),SEARCH("m",D284)-IFERROR(SEARCH("h ",D284)+2,1))),0)*60+IFERROR(VALUE(MID(D284,IFERROR(SEARCH("m ",D284)+2,IFERROR(SEARCH("h ",D284)+2,1)),SEARCH("s",D284)-IFERROR(SEARCH("m ",D284)+2,IFERROR(SEARCH("h ",D284)+2,1)))),0)</x:f>
        <x:v>6551</x:v>
      </x:c>
      <x:c r="R284" t="str">
        <x:f>IF(P284="","No",IF(COUNTIF('Employee Attendance'!$D$2:$D$670,P284)&gt;0,"Yes","No"))</x:f>
        <x:v>Yes</x:v>
      </x:c>
    </x:row>
    <x:row r="285">
      <x:c r="A285" t="s">
        <x:v>2757</x:v>
      </x:c>
      <x:c r="B285" t="s">
        <x:v>2758</x:v>
      </x:c>
      <x:c r="C285" t="s">
        <x:v>2594</x:v>
      </x:c>
      <x:c r="D285" t="s">
        <x:v>2759</x:v>
      </x:c>
      <x:c r="E285" t="s">
        <x:v>2760</x:v>
      </x:c>
      <x:c r="F285" t="s">
        <x:v>2760</x:v>
      </x:c>
      <x:c r="G285" t="s">
        <x:v>1690</x:v>
      </x:c>
      <x:c r="P285" t="str">
        <x:f>LOWER(TRIM(SUBSTITUTE(E285,CHAR(160)," ")))</x:f>
        <x:v>babra.truphena@pwc.com</x:v>
      </x:c>
      <x:c r="Q285" t="n">
        <x:f>IFERROR(VALUE(LEFT(D285,SEARCH("h",D285)-1)),0)*3600+IFERROR(VALUE(MID(D285,IFERROR(SEARCH("h ",D285)+2,1),SEARCH("m",D285)-IFERROR(SEARCH("h ",D285)+2,1))),0)*60+IFERROR(VALUE(MID(D285,IFERROR(SEARCH("m ",D285)+2,IFERROR(SEARCH("h ",D285)+2,1)),SEARCH("s",D285)-IFERROR(SEARCH("m ",D285)+2,IFERROR(SEARCH("h ",D285)+2,1)))),0)</x:f>
        <x:v>3596</x:v>
      </x:c>
      <x:c r="R285" t="str">
        <x:f>IF(P285="","No",IF(COUNTIF('Employee Attendance'!$D$2:$D$670,P285)&gt;0,"Yes","No"))</x:f>
        <x:v>Yes</x:v>
      </x:c>
    </x:row>
    <x:row r="286">
      <x:c r="A286" t="s">
        <x:v>2761</x:v>
      </x:c>
      <x:c r="B286" t="s">
        <x:v>2762</x:v>
      </x:c>
      <x:c r="C286" t="s">
        <x:v>2763</x:v>
      </x:c>
      <x:c r="D286" t="s">
        <x:v>2764</x:v>
      </x:c>
      <x:c r="E286" t="s">
        <x:v>2765</x:v>
      </x:c>
      <x:c r="F286" t="s">
        <x:v>2765</x:v>
      </x:c>
      <x:c r="G286" t="s">
        <x:v>1690</x:v>
      </x:c>
      <x:c r="P286" t="str">
        <x:f>LOWER(TRIM(SUBSTITUTE(E286,CHAR(160)," ")))</x:f>
        <x:v>obeid.mluha@pwc.com</x:v>
      </x:c>
      <x:c r="Q286" t="n">
        <x:f>IFERROR(VALUE(LEFT(D286,SEARCH("h",D286)-1)),0)*3600+IFERROR(VALUE(MID(D286,IFERROR(SEARCH("h ",D286)+2,1),SEARCH("m",D286)-IFERROR(SEARCH("h ",D286)+2,1))),0)*60+IFERROR(VALUE(MID(D286,IFERROR(SEARCH("m ",D286)+2,IFERROR(SEARCH("h ",D286)+2,1)),SEARCH("s",D286)-IFERROR(SEARCH("m ",D286)+2,IFERROR(SEARCH("h ",D286)+2,1)))),0)</x:f>
        <x:v>6701</x:v>
      </x:c>
      <x:c r="R286" t="str">
        <x:f>IF(P286="","No",IF(COUNTIF('Employee Attendance'!$D$2:$D$670,P286)&gt;0,"Yes","No"))</x:f>
        <x:v>Yes</x:v>
      </x:c>
    </x:row>
    <x:row r="287">
      <x:c r="A287" t="s">
        <x:v>2766</x:v>
      </x:c>
      <x:c r="B287" t="s">
        <x:v>2767</x:v>
      </x:c>
      <x:c r="C287" t="s">
        <x:v>2768</x:v>
      </x:c>
      <x:c r="D287" t="s">
        <x:v>2769</x:v>
      </x:c>
      <x:c r="E287" t="s">
        <x:v>2770</x:v>
      </x:c>
      <x:c r="F287" t="s">
        <x:v>2770</x:v>
      </x:c>
      <x:c r="G287" t="s">
        <x:v>1690</x:v>
      </x:c>
      <x:c r="P287" t="str">
        <x:f>LOWER(TRIM(SUBSTITUTE(E287,CHAR(160)," ")))</x:f>
        <x:v>mahima.nowrung@pwc.com</x:v>
      </x:c>
      <x:c r="Q287" t="n">
        <x:f>IFERROR(VALUE(LEFT(D287,SEARCH("h",D287)-1)),0)*3600+IFERROR(VALUE(MID(D287,IFERROR(SEARCH("h ",D287)+2,1),SEARCH("m",D287)-IFERROR(SEARCH("h ",D287)+2,1))),0)*60+IFERROR(VALUE(MID(D287,IFERROR(SEARCH("m ",D287)+2,IFERROR(SEARCH("h ",D287)+2,1)),SEARCH("s",D287)-IFERROR(SEARCH("m ",D287)+2,IFERROR(SEARCH("h ",D287)+2,1)))),0)</x:f>
        <x:v>6065</x:v>
      </x:c>
      <x:c r="R287" t="str">
        <x:f>IF(P287="","No",IF(COUNTIF('Employee Attendance'!$D$2:$D$670,P287)&gt;0,"Yes","No"))</x:f>
        <x:v>Yes</x:v>
      </x:c>
    </x:row>
    <x:row r="288">
      <x:c r="A288" t="s">
        <x:v>2771</x:v>
      </x:c>
      <x:c r="B288" t="s">
        <x:v>2772</x:v>
      </x:c>
      <x:c r="C288" t="s">
        <x:v>1675</x:v>
      </x:c>
      <x:c r="D288" t="s">
        <x:v>2773</x:v>
      </x:c>
      <x:c r="E288" t="s">
        <x:v>2774</x:v>
      </x:c>
      <x:c r="F288" t="s">
        <x:v>2774</x:v>
      </x:c>
      <x:c r="G288" t="s">
        <x:v>1690</x:v>
      </x:c>
      <x:c r="P288" t="str">
        <x:f>LOWER(TRIM(SUBSTITUTE(E288,CHAR(160)," ")))</x:f>
        <x:v>rael.sumahili@pwc.com</x:v>
      </x:c>
      <x:c r="Q288" t="n">
        <x:f>IFERROR(VALUE(LEFT(D288,SEARCH("h",D288)-1)),0)*3600+IFERROR(VALUE(MID(D288,IFERROR(SEARCH("h ",D288)+2,1),SEARCH("m",D288)-IFERROR(SEARCH("h ",D288)+2,1))),0)*60+IFERROR(VALUE(MID(D288,IFERROR(SEARCH("m ",D288)+2,IFERROR(SEARCH("h ",D288)+2,1)),SEARCH("s",D288)-IFERROR(SEARCH("m ",D288)+2,IFERROR(SEARCH("h ",D288)+2,1)))),0)</x:f>
        <x:v>5971</x:v>
      </x:c>
      <x:c r="R288" t="str">
        <x:f>IF(P288="","No",IF(COUNTIF('Employee Attendance'!$D$2:$D$670,P288)&gt;0,"Yes","No"))</x:f>
        <x:v>Yes</x:v>
      </x:c>
    </x:row>
    <x:row r="289">
      <x:c r="A289" t="s">
        <x:v>2775</x:v>
      </x:c>
      <x:c r="B289" t="s">
        <x:v>2776</x:v>
      </x:c>
      <x:c r="C289" t="s">
        <x:v>2584</x:v>
      </x:c>
      <x:c r="D289" t="s">
        <x:v>2777</x:v>
      </x:c>
      <x:c r="E289" t="s">
        <x:v>2778</x:v>
      </x:c>
      <x:c r="F289" t="s">
        <x:v>2778</x:v>
      </x:c>
      <x:c r="G289" t="s">
        <x:v>1690</x:v>
      </x:c>
      <x:c r="P289" t="str">
        <x:f>LOWER(TRIM(SUBSTITUTE(E289,CHAR(160)," ")))</x:f>
        <x:v>jerry.zaipuna@pwc.com</x:v>
      </x:c>
      <x:c r="Q289" t="n">
        <x:f>IFERROR(VALUE(LEFT(D289,SEARCH("h",D289)-1)),0)*3600+IFERROR(VALUE(MID(D289,IFERROR(SEARCH("h ",D289)+2,1),SEARCH("m",D289)-IFERROR(SEARCH("h ",D289)+2,1))),0)*60+IFERROR(VALUE(MID(D289,IFERROR(SEARCH("m ",D289)+2,IFERROR(SEARCH("h ",D289)+2,1)),SEARCH("s",D289)-IFERROR(SEARCH("m ",D289)+2,IFERROR(SEARCH("h ",D289)+2,1)))),0)</x:f>
        <x:v>5974</x:v>
      </x:c>
      <x:c r="R289" t="str">
        <x:f>IF(P289="","No",IF(COUNTIF('Employee Attendance'!$D$2:$D$670,P289)&gt;0,"Yes","No"))</x:f>
        <x:v>Yes</x:v>
      </x:c>
    </x:row>
    <x:row r="290">
      <x:c r="A290" t="s">
        <x:v>2779</x:v>
      </x:c>
      <x:c r="B290" t="s">
        <x:v>2780</x:v>
      </x:c>
      <x:c r="C290" t="s">
        <x:v>2147</x:v>
      </x:c>
      <x:c r="D290" t="s">
        <x:v>2781</x:v>
      </x:c>
      <x:c r="E290" t="s">
        <x:v>2782</x:v>
      </x:c>
      <x:c r="F290" t="s">
        <x:v>2782</x:v>
      </x:c>
      <x:c r="G290" t="s">
        <x:v>1690</x:v>
      </x:c>
      <x:c r="P290" t="str">
        <x:f>LOWER(TRIM(SUBSTITUTE(E290,CHAR(160)," ")))</x:f>
        <x:v>emmanuel.shoo@pwc.com</x:v>
      </x:c>
      <x:c r="Q290" t="n">
        <x:f>IFERROR(VALUE(LEFT(D290,SEARCH("h",D290)-1)),0)*3600+IFERROR(VALUE(MID(D290,IFERROR(SEARCH("h ",D290)+2,1),SEARCH("m",D290)-IFERROR(SEARCH("h ",D290)+2,1))),0)*60+IFERROR(VALUE(MID(D290,IFERROR(SEARCH("m ",D290)+2,IFERROR(SEARCH("h ",D290)+2,1)),SEARCH("s",D290)-IFERROR(SEARCH("m ",D290)+2,IFERROR(SEARCH("h ",D290)+2,1)))),0)</x:f>
        <x:v>5948</x:v>
      </x:c>
      <x:c r="R290" t="str">
        <x:f>IF(P290="","No",IF(COUNTIF('Employee Attendance'!$D$2:$D$670,P290)&gt;0,"Yes","No"))</x:f>
        <x:v>Yes</x:v>
      </x:c>
    </x:row>
    <x:row r="291">
      <x:c r="A291" t="s">
        <x:v>2783</x:v>
      </x:c>
      <x:c r="B291" t="s">
        <x:v>2784</x:v>
      </x:c>
      <x:c r="C291" t="s">
        <x:v>2147</x:v>
      </x:c>
      <x:c r="D291" t="s">
        <x:v>2785</x:v>
      </x:c>
      <x:c r="E291" t="s">
        <x:v>2786</x:v>
      </x:c>
      <x:c r="F291" t="s">
        <x:v>2786</x:v>
      </x:c>
      <x:c r="G291" t="s">
        <x:v>1690</x:v>
      </x:c>
      <x:c r="O291">
        <x:v>1</x:v>
      </x:c>
      <x:c r="P291" t="str">
        <x:f>LOWER(TRIM(SUBSTITUTE(E291,CHAR(160)," ")))</x:f>
        <x:v>stanford.m.phiri@pwc.com</x:v>
      </x:c>
      <x:c r="Q291" t="n">
        <x:f>IFERROR(VALUE(LEFT(D291,SEARCH("h",D291)-1)),0)*3600+IFERROR(VALUE(MID(D291,IFERROR(SEARCH("h ",D291)+2,1),SEARCH("m",D291)-IFERROR(SEARCH("h ",D291)+2,1))),0)*60+IFERROR(VALUE(MID(D291,IFERROR(SEARCH("m ",D291)+2,IFERROR(SEARCH("h ",D291)+2,1)),SEARCH("s",D291)-IFERROR(SEARCH("m ",D291)+2,IFERROR(SEARCH("h ",D291)+2,1)))),0)</x:f>
        <x:v>5894</x:v>
      </x:c>
      <x:c r="R291" t="str">
        <x:f>IF(P291="","No",IF(COUNTIF('Employee Attendance'!$D$2:$D$670,P291)&gt;0,"Yes","No"))</x:f>
        <x:v>Yes</x:v>
      </x:c>
    </x:row>
    <x:row r="292">
      <x:c r="A292" t="s">
        <x:v>88</x:v>
      </x:c>
      <x:c r="B292" t="s">
        <x:v>2787</x:v>
      </x:c>
      <x:c r="C292" t="s">
        <x:v>1928</x:v>
      </x:c>
      <x:c r="D292" t="s">
        <x:v>2788</x:v>
      </x:c>
      <x:c r="E292" t="s">
        <x:v>92</x:v>
      </x:c>
      <x:c r="F292" t="s">
        <x:v>92</x:v>
      </x:c>
      <x:c r="G292" t="s">
        <x:v>1690</x:v>
      </x:c>
      <x:c r="P292" t="str">
        <x:f>LOWER(TRIM(SUBSTITUTE(E292,CHAR(160)," ")))</x:f>
        <x:v>drishtee.gopee@pwc.com</x:v>
      </x:c>
      <x:c r="Q292" t="n">
        <x:f>IFERROR(VALUE(LEFT(D292,SEARCH("h",D292)-1)),0)*3600+IFERROR(VALUE(MID(D292,IFERROR(SEARCH("h ",D292)+2,1),SEARCH("m",D292)-IFERROR(SEARCH("h ",D292)+2,1))),0)*60+IFERROR(VALUE(MID(D292,IFERROR(SEARCH("m ",D292)+2,IFERROR(SEARCH("h ",D292)+2,1)),SEARCH("s",D292)-IFERROR(SEARCH("m ",D292)+2,IFERROR(SEARCH("h ",D292)+2,1)))),0)</x:f>
        <x:v>5862</x:v>
      </x:c>
      <x:c r="R292" t="str">
        <x:f>IF(P292="","No",IF(COUNTIF('Employee Attendance'!$D$2:$D$670,P292)&gt;0,"Yes","No"))</x:f>
        <x:v>Yes</x:v>
      </x:c>
    </x:row>
    <x:row r="293">
      <x:c r="A293" t="s">
        <x:v>2789</x:v>
      </x:c>
      <x:c r="B293" t="s">
        <x:v>2790</x:v>
      </x:c>
      <x:c r="C293" t="s">
        <x:v>1698</x:v>
      </x:c>
      <x:c r="D293" t="s">
        <x:v>2791</x:v>
      </x:c>
      <x:c r="E293" t="s">
        <x:v>2792</x:v>
      </x:c>
      <x:c r="F293" t="s">
        <x:v>2792</x:v>
      </x:c>
      <x:c r="G293" t="s">
        <x:v>1690</x:v>
      </x:c>
      <x:c r="P293" t="str">
        <x:f>LOWER(TRIM(SUBSTITUTE(E293,CHAR(160)," ")))</x:f>
        <x:v>neeve-ann.godda@pwc.com</x:v>
      </x:c>
      <x:c r="Q293" t="n">
        <x:f>IFERROR(VALUE(LEFT(D293,SEARCH("h",D293)-1)),0)*3600+IFERROR(VALUE(MID(D293,IFERROR(SEARCH("h ",D293)+2,1),SEARCH("m",D293)-IFERROR(SEARCH("h ",D293)+2,1))),0)*60+IFERROR(VALUE(MID(D293,IFERROR(SEARCH("m ",D293)+2,IFERROR(SEARCH("h ",D293)+2,1)),SEARCH("s",D293)-IFERROR(SEARCH("m ",D293)+2,IFERROR(SEARCH("h ",D293)+2,1)))),0)</x:f>
        <x:v>5848</x:v>
      </x:c>
      <x:c r="R293" t="str">
        <x:f>IF(P293="","No",IF(COUNTIF('Employee Attendance'!$D$2:$D$670,P293)&gt;0,"Yes","No"))</x:f>
        <x:v>Yes</x:v>
      </x:c>
    </x:row>
    <x:row r="294">
      <x:c r="A294" t="s">
        <x:v>2793</x:v>
      </x:c>
      <x:c r="B294" t="s">
        <x:v>2794</x:v>
      </x:c>
      <x:c r="C294" t="s">
        <x:v>1969</x:v>
      </x:c>
      <x:c r="D294" t="s">
        <x:v>2795</x:v>
      </x:c>
      <x:c r="E294" t="s">
        <x:v>2796</x:v>
      </x:c>
      <x:c r="F294" t="s">
        <x:v>2796</x:v>
      </x:c>
      <x:c r="G294" t="s">
        <x:v>1690</x:v>
      </x:c>
      <x:c r="H294">
        <x:v>1</x:v>
      </x:c>
      <x:c r="P294" t="str">
        <x:f>LOWER(TRIM(SUBSTITUTE(E294,CHAR(160)," ")))</x:f>
        <x:v>rovena.c.choytah@pwc.com</x:v>
      </x:c>
      <x:c r="Q294" t="n">
        <x:f>IFERROR(VALUE(LEFT(D294,SEARCH("h",D294)-1)),0)*3600+IFERROR(VALUE(MID(D294,IFERROR(SEARCH("h ",D294)+2,1),SEARCH("m",D294)-IFERROR(SEARCH("h ",D294)+2,1))),0)*60+IFERROR(VALUE(MID(D294,IFERROR(SEARCH("m ",D294)+2,IFERROR(SEARCH("h ",D294)+2,1)),SEARCH("s",D294)-IFERROR(SEARCH("m ",D294)+2,IFERROR(SEARCH("h ",D294)+2,1)))),0)</x:f>
        <x:v>5857</x:v>
      </x:c>
      <x:c r="R294" t="str">
        <x:f>IF(P294="","No",IF(COUNTIF('Employee Attendance'!$D$2:$D$670,P294)&gt;0,"Yes","No"))</x:f>
        <x:v>Yes</x:v>
      </x:c>
    </x:row>
    <x:row r="295">
      <x:c r="A295" t="s">
        <x:v>570</x:v>
      </x:c>
      <x:c r="B295" t="s">
        <x:v>2794</x:v>
      </x:c>
      <x:c r="C295" t="s">
        <x:v>1675</x:v>
      </x:c>
      <x:c r="D295" t="s">
        <x:v>2797</x:v>
      </x:c>
      <x:c r="E295" t="s">
        <x:v>574</x:v>
      </x:c>
      <x:c r="F295" t="s">
        <x:v>574</x:v>
      </x:c>
      <x:c r="G295" t="s">
        <x:v>1690</x:v>
      </x:c>
      <x:c r="P295" t="str">
        <x:f>LOWER(TRIM(SUBSTITUTE(E295,CHAR(160)," ")))</x:f>
        <x:v>alvine.oyonga@pwc.com</x:v>
      </x:c>
      <x:c r="Q295" t="n">
        <x:f>IFERROR(VALUE(LEFT(D295,SEARCH("h",D295)-1)),0)*3600+IFERROR(VALUE(MID(D295,IFERROR(SEARCH("h ",D295)+2,1),SEARCH("m",D295)-IFERROR(SEARCH("h ",D295)+2,1))),0)*60+IFERROR(VALUE(MID(D295,IFERROR(SEARCH("m ",D295)+2,IFERROR(SEARCH("h ",D295)+2,1)),SEARCH("s",D295)-IFERROR(SEARCH("m ",D295)+2,IFERROR(SEARCH("h ",D295)+2,1)))),0)</x:f>
        <x:v>5852</x:v>
      </x:c>
      <x:c r="R295" t="str">
        <x:f>IF(P295="","No",IF(COUNTIF('Employee Attendance'!$D$2:$D$670,P295)&gt;0,"Yes","No"))</x:f>
        <x:v>Yes</x:v>
      </x:c>
    </x:row>
    <x:row r="296">
      <x:c r="A296" t="s">
        <x:v>2798</x:v>
      </x:c>
      <x:c r="B296" t="s">
        <x:v>2799</x:v>
      </x:c>
      <x:c r="C296" t="s">
        <x:v>1675</x:v>
      </x:c>
      <x:c r="D296" t="s">
        <x:v>2800</x:v>
      </x:c>
      <x:c r="E296" t="s">
        <x:v>2801</x:v>
      </x:c>
      <x:c r="F296" t="s">
        <x:v>2801</x:v>
      </x:c>
      <x:c r="G296" t="s">
        <x:v>1690</x:v>
      </x:c>
      <x:c r="P296" t="str">
        <x:f>LOWER(TRIM(SUBSTITUTE(E296,CHAR(160)," ")))</x:f>
        <x:v>jemimah.chella@pwc.com</x:v>
      </x:c>
      <x:c r="Q296" t="n">
        <x:f>IFERROR(VALUE(LEFT(D296,SEARCH("h",D296)-1)),0)*3600+IFERROR(VALUE(MID(D296,IFERROR(SEARCH("h ",D296)+2,1),SEARCH("m",D296)-IFERROR(SEARCH("h ",D296)+2,1))),0)*60+IFERROR(VALUE(MID(D296,IFERROR(SEARCH("m ",D296)+2,IFERROR(SEARCH("h ",D296)+2,1)),SEARCH("s",D296)-IFERROR(SEARCH("m ",D296)+2,IFERROR(SEARCH("h ",D296)+2,1)))),0)</x:f>
        <x:v>5818</x:v>
      </x:c>
      <x:c r="R296" t="str">
        <x:f>IF(P296="","No",IF(COUNTIF('Employee Attendance'!$D$2:$D$670,P296)&gt;0,"Yes","No"))</x:f>
        <x:v>Yes</x:v>
      </x:c>
    </x:row>
    <x:row r="297">
      <x:c r="A297" t="s">
        <x:v>2802</x:v>
      </x:c>
      <x:c r="B297" t="s">
        <x:v>2803</x:v>
      </x:c>
      <x:c r="C297" t="s">
        <x:v>2804</x:v>
      </x:c>
      <x:c r="D297" t="s">
        <x:v>2805</x:v>
      </x:c>
      <x:c r="E297" t="s">
        <x:v>2806</x:v>
      </x:c>
      <x:c r="F297" t="s">
        <x:v>2806</x:v>
      </x:c>
      <x:c r="G297" t="s">
        <x:v>1690</x:v>
      </x:c>
      <x:c r="O297">
        <x:v>1</x:v>
      </x:c>
      <x:c r="P297" t="str">
        <x:f>LOWER(TRIM(SUBSTITUTE(E297,CHAR(160)," ")))</x:f>
        <x:v>ghunowa.raj@pwc.com</x:v>
      </x:c>
      <x:c r="Q297" t="n">
        <x:f>IFERROR(VALUE(LEFT(D297,SEARCH("h",D297)-1)),0)*3600+IFERROR(VALUE(MID(D297,IFERROR(SEARCH("h ",D297)+2,1),SEARCH("m",D297)-IFERROR(SEARCH("h ",D297)+2,1))),0)*60+IFERROR(VALUE(MID(D297,IFERROR(SEARCH("m ",D297)+2,IFERROR(SEARCH("h ",D297)+2,1)),SEARCH("s",D297)-IFERROR(SEARCH("m ",D297)+2,IFERROR(SEARCH("h ",D297)+2,1)))),0)</x:f>
        <x:v>5425</x:v>
      </x:c>
      <x:c r="R297" t="str">
        <x:f>IF(P297="","No",IF(COUNTIF('Employee Attendance'!$D$2:$D$670,P297)&gt;0,"Yes","No"))</x:f>
        <x:v>Yes</x:v>
      </x:c>
    </x:row>
    <x:row r="298">
      <x:c r="A298" t="s">
        <x:v>2807</x:v>
      </x:c>
      <x:c r="B298" t="s">
        <x:v>2808</x:v>
      </x:c>
      <x:c r="C298" t="s">
        <x:v>2809</x:v>
      </x:c>
      <x:c r="D298" t="s">
        <x:v>2810</x:v>
      </x:c>
      <x:c r="E298" t="s">
        <x:v>2811</x:v>
      </x:c>
      <x:c r="F298" t="s">
        <x:v>2811</x:v>
      </x:c>
      <x:c r="G298" t="s">
        <x:v>1690</x:v>
      </x:c>
      <x:c r="O298">
        <x:v>2</x:v>
      </x:c>
      <x:c r="P298" t="str">
        <x:f>LOWER(TRIM(SUBSTITUTE(E298,CHAR(160)," ")))</x:f>
        <x:v>keshini.doobah@pwc.com</x:v>
      </x:c>
      <x:c r="Q298" t="n">
        <x:f>IFERROR(VALUE(LEFT(D298,SEARCH("h",D298)-1)),0)*3600+IFERROR(VALUE(MID(D298,IFERROR(SEARCH("h ",D298)+2,1),SEARCH("m",D298)-IFERROR(SEARCH("h ",D298)+2,1))),0)*60+IFERROR(VALUE(MID(D298,IFERROR(SEARCH("m ",D298)+2,IFERROR(SEARCH("h ",D298)+2,1)),SEARCH("s",D298)-IFERROR(SEARCH("m ",D298)+2,IFERROR(SEARCH("h ",D298)+2,1)))),0)</x:f>
        <x:v>6587</x:v>
      </x:c>
      <x:c r="R298" t="str">
        <x:f>IF(P298="","No",IF(COUNTIF('Employee Attendance'!$D$2:$D$670,P298)&gt;0,"Yes","No"))</x:f>
        <x:v>Yes</x:v>
      </x:c>
    </x:row>
    <x:row r="299">
      <x:c r="A299" t="s">
        <x:v>2812</x:v>
      </x:c>
      <x:c r="B299" t="s">
        <x:v>2813</x:v>
      </x:c>
      <x:c r="C299" t="s">
        <x:v>1744</x:v>
      </x:c>
      <x:c r="D299" t="s">
        <x:v>2814</x:v>
      </x:c>
      <x:c r="E299" t="s">
        <x:v>2815</x:v>
      </x:c>
      <x:c r="F299" t="s">
        <x:v>2815</x:v>
      </x:c>
      <x:c r="G299" t="s">
        <x:v>1690</x:v>
      </x:c>
      <x:c r="P299" t="str">
        <x:f>LOWER(TRIM(SUBSTITUTE(E299,CHAR(160)," ")))</x:f>
        <x:v>antony.waweru@pwc.com</x:v>
      </x:c>
      <x:c r="Q299" t="n">
        <x:f>IFERROR(VALUE(LEFT(D299,SEARCH("h",D299)-1)),0)*3600+IFERROR(VALUE(MID(D299,IFERROR(SEARCH("h ",D299)+2,1),SEARCH("m",D299)-IFERROR(SEARCH("h ",D299)+2,1))),0)*60+IFERROR(VALUE(MID(D299,IFERROR(SEARCH("m ",D299)+2,IFERROR(SEARCH("h ",D299)+2,1)),SEARCH("s",D299)-IFERROR(SEARCH("m ",D299)+2,IFERROR(SEARCH("h ",D299)+2,1)))),0)</x:f>
        <x:v>5527</x:v>
      </x:c>
      <x:c r="R299" t="str">
        <x:f>IF(P299="","No",IF(COUNTIF('Employee Attendance'!$D$2:$D$670,P299)&gt;0,"Yes","No"))</x:f>
        <x:v>Yes</x:v>
      </x:c>
    </x:row>
    <x:row r="300">
      <x:c r="A300" t="s">
        <x:v>2816</x:v>
      </x:c>
      <x:c r="B300" t="s">
        <x:v>2817</x:v>
      </x:c>
      <x:c r="C300" t="s">
        <x:v>1687</x:v>
      </x:c>
      <x:c r="D300" t="s">
        <x:v>2818</x:v>
      </x:c>
      <x:c r="E300" t="s">
        <x:v>2819</x:v>
      </x:c>
      <x:c r="F300" t="s">
        <x:v>2819</x:v>
      </x:c>
      <x:c r="G300" t="s">
        <x:v>1690</x:v>
      </x:c>
      <x:c r="J300">
        <x:v>1</x:v>
      </x:c>
      <x:c r="P300" t="str">
        <x:f>LOWER(TRIM(SUBSTITUTE(E300,CHAR(160)," ")))</x:f>
        <x:v>kelvin.wainaina@pwc.com</x:v>
      </x:c>
      <x:c r="Q300" t="n">
        <x:f>IFERROR(VALUE(LEFT(D300,SEARCH("h",D300)-1)),0)*3600+IFERROR(VALUE(MID(D300,IFERROR(SEARCH("h ",D300)+2,1),SEARCH("m",D300)-IFERROR(SEARCH("h ",D300)+2,1))),0)*60+IFERROR(VALUE(MID(D300,IFERROR(SEARCH("m ",D300)+2,IFERROR(SEARCH("h ",D300)+2,1)),SEARCH("s",D300)-IFERROR(SEARCH("m ",D300)+2,IFERROR(SEARCH("h ",D300)+2,1)))),0)</x:f>
        <x:v>5750</x:v>
      </x:c>
      <x:c r="R300" t="str">
        <x:f>IF(P300="","No",IF(COUNTIF('Employee Attendance'!$D$2:$D$670,P300)&gt;0,"Yes","No"))</x:f>
        <x:v>Yes</x:v>
      </x:c>
    </x:row>
    <x:row r="301">
      <x:c r="A301" t="s">
        <x:v>1264</x:v>
      </x:c>
      <x:c r="B301" t="s">
        <x:v>2820</x:v>
      </x:c>
      <x:c r="C301" t="s">
        <x:v>1810</x:v>
      </x:c>
      <x:c r="D301" t="s">
        <x:v>2821</x:v>
      </x:c>
      <x:c r="E301" t="s">
        <x:v>1268</x:v>
      </x:c>
      <x:c r="F301" t="s">
        <x:v>1268</x:v>
      </x:c>
      <x:c r="G301" t="s">
        <x:v>1690</x:v>
      </x:c>
      <x:c r="P301" t="str">
        <x:f>LOWER(TRIM(SUBSTITUTE(E301,CHAR(160)," ")))</x:f>
        <x:v>ndanji.simukoko@pwc.com</x:v>
      </x:c>
      <x:c r="Q301" t="n">
        <x:f>IFERROR(VALUE(LEFT(D301,SEARCH("h",D301)-1)),0)*3600+IFERROR(VALUE(MID(D301,IFERROR(SEARCH("h ",D301)+2,1),SEARCH("m",D301)-IFERROR(SEARCH("h ",D301)+2,1))),0)*60+IFERROR(VALUE(MID(D301,IFERROR(SEARCH("m ",D301)+2,IFERROR(SEARCH("h ",D301)+2,1)),SEARCH("s",D301)-IFERROR(SEARCH("m ",D301)+2,IFERROR(SEARCH("h ",D301)+2,1)))),0)</x:f>
        <x:v>5735</x:v>
      </x:c>
      <x:c r="R301" t="str">
        <x:f>IF(P301="","No",IF(COUNTIF('Employee Attendance'!$D$2:$D$670,P301)&gt;0,"Yes","No"))</x:f>
        <x:v>Yes</x:v>
      </x:c>
    </x:row>
    <x:row r="302">
      <x:c r="A302" t="s">
        <x:v>2822</x:v>
      </x:c>
      <x:c r="B302" t="s">
        <x:v>2823</x:v>
      </x:c>
      <x:c r="C302" t="s">
        <x:v>2824</x:v>
      </x:c>
      <x:c r="D302" t="s">
        <x:v>2825</x:v>
      </x:c>
      <x:c r="E302" t="s">
        <x:v>2826</x:v>
      </x:c>
      <x:c r="F302" t="s">
        <x:v>2826</x:v>
      </x:c>
      <x:c r="G302" t="s">
        <x:v>1690</x:v>
      </x:c>
      <x:c r="P302" t="str">
        <x:f>LOWER(TRIM(SUBSTITUTE(E302,CHAR(160)," ")))</x:f>
        <x:v>kaunda.j.mwenya@pwc.com</x:v>
      </x:c>
      <x:c r="Q302" t="n">
        <x:f>IFERROR(VALUE(LEFT(D302,SEARCH("h",D302)-1)),0)*3600+IFERROR(VALUE(MID(D302,IFERROR(SEARCH("h ",D302)+2,1),SEARCH("m",D302)-IFERROR(SEARCH("h ",D302)+2,1))),0)*60+IFERROR(VALUE(MID(D302,IFERROR(SEARCH("m ",D302)+2,IFERROR(SEARCH("h ",D302)+2,1)),SEARCH("s",D302)-IFERROR(SEARCH("m ",D302)+2,IFERROR(SEARCH("h ",D302)+2,1)))),0)</x:f>
        <x:v>4576</x:v>
      </x:c>
      <x:c r="R302" t="str">
        <x:f>IF(P302="","No",IF(COUNTIF('Employee Attendance'!$D$2:$D$670,P302)&gt;0,"Yes","No"))</x:f>
        <x:v>Yes</x:v>
      </x:c>
    </x:row>
    <x:row r="303">
      <x:c r="A303" t="s">
        <x:v>2827</x:v>
      </x:c>
      <x:c r="B303" t="s">
        <x:v>2828</x:v>
      </x:c>
      <x:c r="C303" t="s">
        <x:v>2051</x:v>
      </x:c>
      <x:c r="D303" t="s">
        <x:v>2829</x:v>
      </x:c>
      <x:c r="E303" t="s">
        <x:v>2830</x:v>
      </x:c>
      <x:c r="F303" t="s">
        <x:v>2830</x:v>
      </x:c>
      <x:c r="G303" t="s">
        <x:v>1690</x:v>
      </x:c>
      <x:c r="P303" t="str">
        <x:f>LOWER(TRIM(SUBSTITUTE(E303,CHAR(160)," ")))</x:f>
        <x:v>gregory.lallman@pwc.com</x:v>
      </x:c>
      <x:c r="Q303" t="n">
        <x:f>IFERROR(VALUE(LEFT(D303,SEARCH("h",D303)-1)),0)*3600+IFERROR(VALUE(MID(D303,IFERROR(SEARCH("h ",D303)+2,1),SEARCH("m",D303)-IFERROR(SEARCH("h ",D303)+2,1))),0)*60+IFERROR(VALUE(MID(D303,IFERROR(SEARCH("m ",D303)+2,IFERROR(SEARCH("h ",D303)+2,1)),SEARCH("s",D303)-IFERROR(SEARCH("m ",D303)+2,IFERROR(SEARCH("h ",D303)+2,1)))),0)</x:f>
        <x:v>5703</x:v>
      </x:c>
      <x:c r="R303" t="str">
        <x:f>IF(P303="","No",IF(COUNTIF('Employee Attendance'!$D$2:$D$670,P303)&gt;0,"Yes","No"))</x:f>
        <x:v>Yes</x:v>
      </x:c>
    </x:row>
    <x:row r="304">
      <x:c r="A304" t="s">
        <x:v>2831</x:v>
      </x:c>
      <x:c r="B304" t="s">
        <x:v>2832</x:v>
      </x:c>
      <x:c r="C304" t="s">
        <x:v>2046</x:v>
      </x:c>
      <x:c r="D304" t="s">
        <x:v>2833</x:v>
      </x:c>
      <x:c r="E304" t="s">
        <x:v>2834</x:v>
      </x:c>
      <x:c r="F304" t="s">
        <x:v>2834</x:v>
      </x:c>
      <x:c r="G304" t="s">
        <x:v>1690</x:v>
      </x:c>
      <x:c r="P304" t="str">
        <x:f>LOWER(TRIM(SUBSTITUTE(E304,CHAR(160)," ")))</x:f>
        <x:v>jahnavi.meetan@pwc.com</x:v>
      </x:c>
      <x:c r="Q304" t="n">
        <x:f>IFERROR(VALUE(LEFT(D304,SEARCH("h",D304)-1)),0)*3600+IFERROR(VALUE(MID(D304,IFERROR(SEARCH("h ",D304)+2,1),SEARCH("m",D304)-IFERROR(SEARCH("h ",D304)+2,1))),0)*60+IFERROR(VALUE(MID(D304,IFERROR(SEARCH("m ",D304)+2,IFERROR(SEARCH("h ",D304)+2,1)),SEARCH("s",D304)-IFERROR(SEARCH("m ",D304)+2,IFERROR(SEARCH("h ",D304)+2,1)))),0)</x:f>
        <x:v>5699</x:v>
      </x:c>
      <x:c r="R304" t="str">
        <x:f>IF(P304="","No",IF(COUNTIF('Employee Attendance'!$D$2:$D$670,P304)&gt;0,"Yes","No"))</x:f>
        <x:v>Yes</x:v>
      </x:c>
    </x:row>
    <x:row r="305">
      <x:c r="A305" t="s">
        <x:v>2835</x:v>
      </x:c>
      <x:c r="B305" t="s">
        <x:v>2836</x:v>
      </x:c>
      <x:c r="C305" t="s">
        <x:v>2837</x:v>
      </x:c>
      <x:c r="D305" t="s">
        <x:v>2838</x:v>
      </x:c>
      <x:c r="E305" t="s">
        <x:v>2839</x:v>
      </x:c>
      <x:c r="F305" t="s">
        <x:v>2839</x:v>
      </x:c>
      <x:c r="G305" t="s">
        <x:v>1690</x:v>
      </x:c>
      <x:c r="P305" t="str">
        <x:f>LOWER(TRIM(SUBSTITUTE(E305,CHAR(160)," ")))</x:f>
        <x:v>angella.mwai@pwc.com</x:v>
      </x:c>
      <x:c r="Q305" t="n">
        <x:f>IFERROR(VALUE(LEFT(D305,SEARCH("h",D305)-1)),0)*3600+IFERROR(VALUE(MID(D305,IFERROR(SEARCH("h ",D305)+2,1),SEARCH("m",D305)-IFERROR(SEARCH("h ",D305)+2,1))),0)*60+IFERROR(VALUE(MID(D305,IFERROR(SEARCH("m ",D305)+2,IFERROR(SEARCH("h ",D305)+2,1)),SEARCH("s",D305)-IFERROR(SEARCH("m ",D305)+2,IFERROR(SEARCH("h ",D305)+2,1)))),0)</x:f>
        <x:v>5614</x:v>
      </x:c>
      <x:c r="R305" t="str">
        <x:f>IF(P305="","No",IF(COUNTIF('Employee Attendance'!$D$2:$D$670,P305)&gt;0,"Yes","No"))</x:f>
        <x:v>Yes</x:v>
      </x:c>
    </x:row>
    <x:row r="306">
      <x:c r="A306" t="s">
        <x:v>2840</x:v>
      </x:c>
      <x:c r="B306" t="s">
        <x:v>2841</x:v>
      </x:c>
      <x:c r="C306" t="s">
        <x:v>2842</x:v>
      </x:c>
      <x:c r="D306" t="s">
        <x:v>2843</x:v>
      </x:c>
      <x:c r="E306" t="s">
        <x:v>2844</x:v>
      </x:c>
      <x:c r="F306" t="s">
        <x:v>2844</x:v>
      </x:c>
      <x:c r="G306" t="s">
        <x:v>1690</x:v>
      </x:c>
      <x:c r="P306" t="str">
        <x:f>LOWER(TRIM(SUBSTITUTE(E306,CHAR(160)," ")))</x:f>
        <x:v>faith.edeni@pwc.com</x:v>
      </x:c>
      <x:c r="Q306" t="n">
        <x:f>IFERROR(VALUE(LEFT(D306,SEARCH("h",D306)-1)),0)*3600+IFERROR(VALUE(MID(D306,IFERROR(SEARCH("h ",D306)+2,1),SEARCH("m",D306)-IFERROR(SEARCH("h ",D306)+2,1))),0)*60+IFERROR(VALUE(MID(D306,IFERROR(SEARCH("m ",D306)+2,IFERROR(SEARCH("h ",D306)+2,1)),SEARCH("s",D306)-IFERROR(SEARCH("m ",D306)+2,IFERROR(SEARCH("h ",D306)+2,1)))),0)</x:f>
        <x:v>5191</x:v>
      </x:c>
      <x:c r="R306" t="str">
        <x:f>IF(P306="","No",IF(COUNTIF('Employee Attendance'!$D$2:$D$670,P306)&gt;0,"Yes","No"))</x:f>
        <x:v>Yes</x:v>
      </x:c>
    </x:row>
    <x:row r="307">
      <x:c r="A307" t="s">
        <x:v>2845</x:v>
      </x:c>
      <x:c r="B307" t="s">
        <x:v>2846</x:v>
      </x:c>
      <x:c r="C307" t="s">
        <x:v>2165</x:v>
      </x:c>
      <x:c r="D307" t="s">
        <x:v>2847</x:v>
      </x:c>
      <x:c r="E307" t="s">
        <x:v>2848</x:v>
      </x:c>
      <x:c r="F307" t="s">
        <x:v>2848</x:v>
      </x:c>
      <x:c r="G307" t="s">
        <x:v>1690</x:v>
      </x:c>
      <x:c r="P307" t="str">
        <x:f>LOWER(TRIM(SUBSTITUTE(E307,CHAR(160)," ")))</x:f>
        <x:v>khushal.newoor@pwc.com</x:v>
      </x:c>
      <x:c r="Q307" t="n">
        <x:f>IFERROR(VALUE(LEFT(D307,SEARCH("h",D307)-1)),0)*3600+IFERROR(VALUE(MID(D307,IFERROR(SEARCH("h ",D307)+2,1),SEARCH("m",D307)-IFERROR(SEARCH("h ",D307)+2,1))),0)*60+IFERROR(VALUE(MID(D307,IFERROR(SEARCH("m ",D307)+2,IFERROR(SEARCH("h ",D307)+2,1)),SEARCH("s",D307)-IFERROR(SEARCH("m ",D307)+2,IFERROR(SEARCH("h ",D307)+2,1)))),0)</x:f>
        <x:v>5618</x:v>
      </x:c>
      <x:c r="R307" t="str">
        <x:f>IF(P307="","No",IF(COUNTIF('Employee Attendance'!$D$2:$D$670,P307)&gt;0,"Yes","No"))</x:f>
        <x:v>Yes</x:v>
      </x:c>
    </x:row>
    <x:row r="308">
      <x:c r="A308" t="s">
        <x:v>2849</x:v>
      </x:c>
      <x:c r="B308" t="s">
        <x:v>2850</x:v>
      </x:c>
      <x:c r="C308" t="s">
        <x:v>1851</x:v>
      </x:c>
      <x:c r="D308" t="s">
        <x:v>2851</x:v>
      </x:c>
      <x:c r="E308" t="s">
        <x:v>2852</x:v>
      </x:c>
      <x:c r="F308" t="s">
        <x:v>2852</x:v>
      </x:c>
      <x:c r="G308" t="s">
        <x:v>1690</x:v>
      </x:c>
      <x:c r="P308" t="str">
        <x:f>LOWER(TRIM(SUBSTITUTE(E308,CHAR(160)," ")))</x:f>
        <x:v>katayi.kachinda@pwc.com</x:v>
      </x:c>
      <x:c r="Q308" t="n">
        <x:f>IFERROR(VALUE(LEFT(D308,SEARCH("h",D308)-1)),0)*3600+IFERROR(VALUE(MID(D308,IFERROR(SEARCH("h ",D308)+2,1),SEARCH("m",D308)-IFERROR(SEARCH("h ",D308)+2,1))),0)*60+IFERROR(VALUE(MID(D308,IFERROR(SEARCH("m ",D308)+2,IFERROR(SEARCH("h ",D308)+2,1)),SEARCH("s",D308)-IFERROR(SEARCH("m ",D308)+2,IFERROR(SEARCH("h ",D308)+2,1)))),0)</x:f>
        <x:v>4085</x:v>
      </x:c>
      <x:c r="R308" t="str">
        <x:f>IF(P308="","No",IF(COUNTIF('Employee Attendance'!$D$2:$D$670,P308)&gt;0,"Yes","No"))</x:f>
        <x:v>Yes</x:v>
      </x:c>
    </x:row>
    <x:row r="309">
      <x:c r="A309" t="s">
        <x:v>2853</x:v>
      </x:c>
      <x:c r="B309" t="s">
        <x:v>2854</x:v>
      </x:c>
      <x:c r="C309" t="s">
        <x:v>1873</x:v>
      </x:c>
      <x:c r="D309" t="s">
        <x:v>2855</x:v>
      </x:c>
      <x:c r="E309" t="s">
        <x:v>2856</x:v>
      </x:c>
      <x:c r="F309" t="s">
        <x:v>2856</x:v>
      </x:c>
      <x:c r="G309" t="s">
        <x:v>1690</x:v>
      </x:c>
      <x:c r="O309">
        <x:v>1</x:v>
      </x:c>
      <x:c r="P309" t="str">
        <x:f>LOWER(TRIM(SUBSTITUTE(E309,CHAR(160)," ")))</x:f>
        <x:v>pearl.koon@pwc.com</x:v>
      </x:c>
      <x:c r="Q309" t="n">
        <x:f>IFERROR(VALUE(LEFT(D309,SEARCH("h",D309)-1)),0)*3600+IFERROR(VALUE(MID(D309,IFERROR(SEARCH("h ",D309)+2,1),SEARCH("m",D309)-IFERROR(SEARCH("h ",D309)+2,1))),0)*60+IFERROR(VALUE(MID(D309,IFERROR(SEARCH("m ",D309)+2,IFERROR(SEARCH("h ",D309)+2,1)),SEARCH("s",D309)-IFERROR(SEARCH("m ",D309)+2,IFERROR(SEARCH("h ",D309)+2,1)))),0)</x:f>
        <x:v>5520</x:v>
      </x:c>
      <x:c r="R309" t="str">
        <x:f>IF(P309="","No",IF(COUNTIF('Employee Attendance'!$D$2:$D$670,P309)&gt;0,"Yes","No"))</x:f>
        <x:v>Yes</x:v>
      </x:c>
    </x:row>
    <x:row r="310">
      <x:c r="A310" t="s">
        <x:v>1246</x:v>
      </x:c>
      <x:c r="B310" t="s">
        <x:v>2857</x:v>
      </x:c>
      <x:c r="C310" t="s">
        <x:v>2046</x:v>
      </x:c>
      <x:c r="D310" t="s">
        <x:v>2858</x:v>
      </x:c>
      <x:c r="E310" t="s">
        <x:v>1249</x:v>
      </x:c>
      <x:c r="F310" t="s">
        <x:v>1249</x:v>
      </x:c>
      <x:c r="G310" t="s">
        <x:v>1690</x:v>
      </x:c>
      <x:c r="P310" t="str">
        <x:f>LOWER(TRIM(SUBSTITUTE(E310,CHAR(160)," ")))</x:f>
        <x:v>luc.meunier@pwc.com</x:v>
      </x:c>
      <x:c r="Q310" t="n">
        <x:f>IFERROR(VALUE(LEFT(D310,SEARCH("h",D310)-1)),0)*3600+IFERROR(VALUE(MID(D310,IFERROR(SEARCH("h ",D310)+2,1),SEARCH("m",D310)-IFERROR(SEARCH("h ",D310)+2,1))),0)*60+IFERROR(VALUE(MID(D310,IFERROR(SEARCH("m ",D310)+2,IFERROR(SEARCH("h ",D310)+2,1)),SEARCH("s",D310)-IFERROR(SEARCH("m ",D310)+2,IFERROR(SEARCH("h ",D310)+2,1)))),0)</x:f>
        <x:v>5537</x:v>
      </x:c>
      <x:c r="R310" t="str">
        <x:f>IF(P310="","No",IF(COUNTIF('Employee Attendance'!$D$2:$D$670,P310)&gt;0,"Yes","No"))</x:f>
        <x:v>Yes</x:v>
      </x:c>
    </x:row>
    <x:row r="311">
      <x:c r="A311" t="s">
        <x:v>825</x:v>
      </x:c>
      <x:c r="B311" t="s">
        <x:v>2859</x:v>
      </x:c>
      <x:c r="C311" t="s">
        <x:v>2860</x:v>
      </x:c>
      <x:c r="D311" t="s">
        <x:v>2861</x:v>
      </x:c>
      <x:c r="E311" t="s">
        <x:v>828</x:v>
      </x:c>
      <x:c r="F311" t="s">
        <x:v>828</x:v>
      </x:c>
      <x:c r="G311" t="s">
        <x:v>1690</x:v>
      </x:c>
      <x:c r="P311" t="str">
        <x:f>LOWER(TRIM(SUBSTITUTE(E311,CHAR(160)," ")))</x:f>
        <x:v>nancy.shamge@pwc.com</x:v>
      </x:c>
      <x:c r="Q311" t="n">
        <x:f>IFERROR(VALUE(LEFT(D311,SEARCH("h",D311)-1)),0)*3600+IFERROR(VALUE(MID(D311,IFERROR(SEARCH("h ",D311)+2,1),SEARCH("m",D311)-IFERROR(SEARCH("h ",D311)+2,1))),0)*60+IFERROR(VALUE(MID(D311,IFERROR(SEARCH("m ",D311)+2,IFERROR(SEARCH("h ",D311)+2,1)),SEARCH("s",D311)-IFERROR(SEARCH("m ",D311)+2,IFERROR(SEARCH("h ",D311)+2,1)))),0)</x:f>
        <x:v>142</x:v>
      </x:c>
      <x:c r="R311" t="str">
        <x:f>IF(P311="","No",IF(COUNTIF('Employee Attendance'!$D$2:$D$670,P311)&gt;0,"Yes","No"))</x:f>
        <x:v>Yes</x:v>
      </x:c>
    </x:row>
    <x:row r="312">
      <x:c r="A312" t="s">
        <x:v>2862</x:v>
      </x:c>
      <x:c r="B312" t="s">
        <x:v>2863</x:v>
      </x:c>
      <x:c r="C312" t="s">
        <x:v>2864</x:v>
      </x:c>
      <x:c r="D312" t="s">
        <x:v>2865</x:v>
      </x:c>
      <x:c r="E312" t="s">
        <x:v>2866</x:v>
      </x:c>
      <x:c r="F312" t="s">
        <x:v>2866</x:v>
      </x:c>
      <x:c r="G312" t="s">
        <x:v>1690</x:v>
      </x:c>
      <x:c r="P312" t="str">
        <x:f>LOWER(TRIM(SUBSTITUTE(E312,CHAR(160)," ")))</x:f>
        <x:v>josiane.tuyizere@pwc.com</x:v>
      </x:c>
      <x:c r="Q312" t="n">
        <x:f>IFERROR(VALUE(LEFT(D312,SEARCH("h",D312)-1)),0)*3600+IFERROR(VALUE(MID(D312,IFERROR(SEARCH("h ",D312)+2,1),SEARCH("m",D312)-IFERROR(SEARCH("h ",D312)+2,1))),0)*60+IFERROR(VALUE(MID(D312,IFERROR(SEARCH("m ",D312)+2,IFERROR(SEARCH("h ",D312)+2,1)),SEARCH("s",D312)-IFERROR(SEARCH("m ",D312)+2,IFERROR(SEARCH("h ",D312)+2,1)))),0)</x:f>
        <x:v>3989</x:v>
      </x:c>
      <x:c r="R312" t="str">
        <x:f>IF(P312="","No",IF(COUNTIF('Employee Attendance'!$D$2:$D$670,P312)&gt;0,"Yes","No"))</x:f>
        <x:v>Yes</x:v>
      </x:c>
    </x:row>
    <x:row r="313">
      <x:c r="A313" t="s">
        <x:v>2867</x:v>
      </x:c>
      <x:c r="B313" t="s">
        <x:v>2868</x:v>
      </x:c>
      <x:c r="C313" t="s">
        <x:v>2869</x:v>
      </x:c>
      <x:c r="D313" t="s">
        <x:v>2870</x:v>
      </x:c>
      <x:c r="E313" t="s">
        <x:v>2871</x:v>
      </x:c>
      <x:c r="F313" t="s">
        <x:v>2871</x:v>
      </x:c>
      <x:c r="G313" t="s">
        <x:v>1690</x:v>
      </x:c>
      <x:c r="O313">
        <x:v>1</x:v>
      </x:c>
      <x:c r="P313" t="str">
        <x:f>LOWER(TRIM(SUBSTITUTE(E313,CHAR(160)," ")))</x:f>
        <x:v>jackline.mollel@pwc.com</x:v>
      </x:c>
      <x:c r="Q313" t="n">
        <x:f>IFERROR(VALUE(LEFT(D313,SEARCH("h",D313)-1)),0)*3600+IFERROR(VALUE(MID(D313,IFERROR(SEARCH("h ",D313)+2,1),SEARCH("m",D313)-IFERROR(SEARCH("h ",D313)+2,1))),0)*60+IFERROR(VALUE(MID(D313,IFERROR(SEARCH("m ",D313)+2,IFERROR(SEARCH("h ",D313)+2,1)),SEARCH("s",D313)-IFERROR(SEARCH("m ",D313)+2,IFERROR(SEARCH("h ",D313)+2,1)))),0)</x:f>
        <x:v>5482</x:v>
      </x:c>
      <x:c r="R313" t="str">
        <x:f>IF(P313="","No",IF(COUNTIF('Employee Attendance'!$D$2:$D$670,P313)&gt;0,"Yes","No"))</x:f>
        <x:v>Yes</x:v>
      </x:c>
    </x:row>
    <x:row r="314">
      <x:c r="A314" t="s">
        <x:v>2872</x:v>
      </x:c>
      <x:c r="B314" t="s">
        <x:v>2873</x:v>
      </x:c>
      <x:c r="C314" t="s">
        <x:v>1998</x:v>
      </x:c>
      <x:c r="D314" t="s">
        <x:v>2874</x:v>
      </x:c>
      <x:c r="E314" t="s">
        <x:v>2875</x:v>
      </x:c>
      <x:c r="F314" t="s">
        <x:v>2875</x:v>
      </x:c>
      <x:c r="G314" t="s">
        <x:v>1690</x:v>
      </x:c>
      <x:c r="O314">
        <x:v>2</x:v>
      </x:c>
      <x:c r="P314" t="str">
        <x:f>LOWER(TRIM(SUBSTITUTE(E314,CHAR(160)," ")))</x:f>
        <x:v>godbless.kafimbi@pwc.com</x:v>
      </x:c>
      <x:c r="Q314" t="n">
        <x:f>IFERROR(VALUE(LEFT(D314,SEARCH("h",D314)-1)),0)*3600+IFERROR(VALUE(MID(D314,IFERROR(SEARCH("h ",D314)+2,1),SEARCH("m",D314)-IFERROR(SEARCH("h ",D314)+2,1))),0)*60+IFERROR(VALUE(MID(D314,IFERROR(SEARCH("m ",D314)+2,IFERROR(SEARCH("h ",D314)+2,1)),SEARCH("s",D314)-IFERROR(SEARCH("m ",D314)+2,IFERROR(SEARCH("h ",D314)+2,1)))),0)</x:f>
        <x:v>5254</x:v>
      </x:c>
      <x:c r="R314" t="str">
        <x:f>IF(P314="","No",IF(COUNTIF('Employee Attendance'!$D$2:$D$670,P314)&gt;0,"Yes","No"))</x:f>
        <x:v>Yes</x:v>
      </x:c>
    </x:row>
    <x:row r="315">
      <x:c r="A315" t="s">
        <x:v>2876</x:v>
      </x:c>
      <x:c r="B315" t="s">
        <x:v>2877</x:v>
      </x:c>
      <x:c r="C315" t="s">
        <x:v>2878</x:v>
      </x:c>
      <x:c r="D315" t="s">
        <x:v>2879</x:v>
      </x:c>
      <x:c r="E315" t="s">
        <x:v>2880</x:v>
      </x:c>
      <x:c r="F315" t="s">
        <x:v>2880</x:v>
      </x:c>
      <x:c r="G315" t="s">
        <x:v>1690</x:v>
      </x:c>
      <x:c r="P315" t="str">
        <x:f>LOWER(TRIM(SUBSTITUTE(E315,CHAR(160)," ")))</x:f>
        <x:v>abdulswamadu.ssekajja@pwc.com</x:v>
      </x:c>
      <x:c r="Q315" t="n">
        <x:f>IFERROR(VALUE(LEFT(D315,SEARCH("h",D315)-1)),0)*3600+IFERROR(VALUE(MID(D315,IFERROR(SEARCH("h ",D315)+2,1),SEARCH("m",D315)-IFERROR(SEARCH("h ",D315)+2,1))),0)*60+IFERROR(VALUE(MID(D315,IFERROR(SEARCH("m ",D315)+2,IFERROR(SEARCH("h ",D315)+2,1)),SEARCH("s",D315)-IFERROR(SEARCH("m ",D315)+2,IFERROR(SEARCH("h ",D315)+2,1)))),0)</x:f>
        <x:v>5854</x:v>
      </x:c>
      <x:c r="R315" t="str">
        <x:f>IF(P315="","No",IF(COUNTIF('Employee Attendance'!$D$2:$D$670,P315)&gt;0,"Yes","No"))</x:f>
        <x:v>Yes</x:v>
      </x:c>
    </x:row>
    <x:row r="316">
      <x:c r="A316" t="s">
        <x:v>2881</x:v>
      </x:c>
      <x:c r="B316" t="s">
        <x:v>2882</x:v>
      </x:c>
      <x:c r="C316" t="s">
        <x:v>2107</x:v>
      </x:c>
      <x:c r="D316" t="s">
        <x:v>2883</x:v>
      </x:c>
      <x:c r="E316" t="s">
        <x:v>2884</x:v>
      </x:c>
      <x:c r="F316" t="s">
        <x:v>2884</x:v>
      </x:c>
      <x:c r="G316" t="s">
        <x:v>1690</x:v>
      </x:c>
      <x:c r="P316" t="str">
        <x:f>LOWER(TRIM(SUBSTITUTE(E316,CHAR(160)," ")))</x:f>
        <x:v>anna.mlay@pwc.com</x:v>
      </x:c>
      <x:c r="Q316" t="n">
        <x:f>IFERROR(VALUE(LEFT(D316,SEARCH("h",D316)-1)),0)*3600+IFERROR(VALUE(MID(D316,IFERROR(SEARCH("h ",D316)+2,1),SEARCH("m",D316)-IFERROR(SEARCH("h ",D316)+2,1))),0)*60+IFERROR(VALUE(MID(D316,IFERROR(SEARCH("m ",D316)+2,IFERROR(SEARCH("h ",D316)+2,1)),SEARCH("s",D316)-IFERROR(SEARCH("m ",D316)+2,IFERROR(SEARCH("h ",D316)+2,1)))),0)</x:f>
        <x:v>5313</x:v>
      </x:c>
      <x:c r="R316" t="str">
        <x:f>IF(P316="","No",IF(COUNTIF('Employee Attendance'!$D$2:$D$670,P316)&gt;0,"Yes","No"))</x:f>
        <x:v>Yes</x:v>
      </x:c>
    </x:row>
    <x:row r="317">
      <x:c r="A317" t="s">
        <x:v>2885</x:v>
      </x:c>
      <x:c r="B317" t="s">
        <x:v>2886</x:v>
      </x:c>
      <x:c r="C317" t="s">
        <x:v>2651</x:v>
      </x:c>
      <x:c r="D317" t="s">
        <x:v>1129</x:v>
      </x:c>
      <x:c r="E317" t="s">
        <x:v>2887</x:v>
      </x:c>
      <x:c r="F317" t="s">
        <x:v>2887</x:v>
      </x:c>
      <x:c r="G317" t="s">
        <x:v>1690</x:v>
      </x:c>
      <x:c r="P317" t="str">
        <x:f>LOWER(TRIM(SUBSTITUTE(E317,CHAR(160)," ")))</x:f>
        <x:v>mahir.perbhoo@pwc.com</x:v>
      </x:c>
      <x:c r="Q317" t="n">
        <x:f>IFERROR(VALUE(LEFT(D317,SEARCH("h",D317)-1)),0)*3600+IFERROR(VALUE(MID(D317,IFERROR(SEARCH("h ",D317)+2,1),SEARCH("m",D317)-IFERROR(SEARCH("h ",D317)+2,1))),0)*60+IFERROR(VALUE(MID(D317,IFERROR(SEARCH("m ",D317)+2,IFERROR(SEARCH("h ",D317)+2,1)),SEARCH("s",D317)-IFERROR(SEARCH("m ",D317)+2,IFERROR(SEARCH("h ",D317)+2,1)))),0)</x:f>
        <x:v>5450</x:v>
      </x:c>
      <x:c r="R317" t="str">
        <x:f>IF(P317="","No",IF(COUNTIF('Employee Attendance'!$D$2:$D$670,P317)&gt;0,"Yes","No"))</x:f>
        <x:v>Yes</x:v>
      </x:c>
    </x:row>
    <x:row r="318">
      <x:c r="A318" t="s">
        <x:v>2888</x:v>
      </x:c>
      <x:c r="B318" t="s">
        <x:v>2889</x:v>
      </x:c>
      <x:c r="C318" t="s">
        <x:v>2890</x:v>
      </x:c>
      <x:c r="D318" t="s">
        <x:v>2891</x:v>
      </x:c>
      <x:c r="E318" t="s">
        <x:v>2892</x:v>
      </x:c>
      <x:c r="F318" t="s">
        <x:v>2892</x:v>
      </x:c>
      <x:c r="G318" t="s">
        <x:v>1690</x:v>
      </x:c>
      <x:c r="O318">
        <x:v>1</x:v>
      </x:c>
      <x:c r="P318" t="str">
        <x:f>LOWER(TRIM(SUBSTITUTE(E318,CHAR(160)," ")))</x:f>
        <x:v>dhanishta.issuree@pwc.com</x:v>
      </x:c>
      <x:c r="Q318" t="n">
        <x:f>IFERROR(VALUE(LEFT(D318,SEARCH("h",D318)-1)),0)*3600+IFERROR(VALUE(MID(D318,IFERROR(SEARCH("h ",D318)+2,1),SEARCH("m",D318)-IFERROR(SEARCH("h ",D318)+2,1))),0)*60+IFERROR(VALUE(MID(D318,IFERROR(SEARCH("m ",D318)+2,IFERROR(SEARCH("h ",D318)+2,1)),SEARCH("s",D318)-IFERROR(SEARCH("m ",D318)+2,IFERROR(SEARCH("h ",D318)+2,1)))),0)</x:f>
        <x:v>5266</x:v>
      </x:c>
      <x:c r="R318" t="str">
        <x:f>IF(P318="","No",IF(COUNTIF('Employee Attendance'!$D$2:$D$670,P318)&gt;0,"Yes","No"))</x:f>
        <x:v>Yes</x:v>
      </x:c>
    </x:row>
    <x:row r="319">
      <x:c r="A319" t="s">
        <x:v>2893</x:v>
      </x:c>
      <x:c r="B319" t="s">
        <x:v>2889</x:v>
      </x:c>
      <x:c r="C319" t="s">
        <x:v>2015</x:v>
      </x:c>
      <x:c r="D319" t="s">
        <x:v>2894</x:v>
      </x:c>
      <x:c r="E319" t="s">
        <x:v>2895</x:v>
      </x:c>
      <x:c r="F319" t="s">
        <x:v>2895</x:v>
      </x:c>
      <x:c r="G319" t="s">
        <x:v>1690</x:v>
      </x:c>
      <x:c r="P319" t="str">
        <x:f>LOWER(TRIM(SUBSTITUTE(E319,CHAR(160)," ")))</x:f>
        <x:v>aaliya.nubheebucus@pwc.com</x:v>
      </x:c>
      <x:c r="Q319" t="n">
        <x:f>IFERROR(VALUE(LEFT(D319,SEARCH("h",D319)-1)),0)*3600+IFERROR(VALUE(MID(D319,IFERROR(SEARCH("h ",D319)+2,1),SEARCH("m",D319)-IFERROR(SEARCH("h ",D319)+2,1))),0)*60+IFERROR(VALUE(MID(D319,IFERROR(SEARCH("m ",D319)+2,IFERROR(SEARCH("h ",D319)+2,1)),SEARCH("s",D319)-IFERROR(SEARCH("m ",D319)+2,IFERROR(SEARCH("h ",D319)+2,1)))),0)</x:f>
        <x:v>5393</x:v>
      </x:c>
      <x:c r="R319" t="str">
        <x:f>IF(P319="","No",IF(COUNTIF('Employee Attendance'!$D$2:$D$670,P319)&gt;0,"Yes","No"))</x:f>
        <x:v>Yes</x:v>
      </x:c>
    </x:row>
    <x:row r="320">
      <x:c r="A320" t="s">
        <x:v>2896</x:v>
      </x:c>
      <x:c r="B320" t="s">
        <x:v>2897</x:v>
      </x:c>
      <x:c r="C320" t="s">
        <x:v>2898</x:v>
      </x:c>
      <x:c r="D320" t="s">
        <x:v>2899</x:v>
      </x:c>
      <x:c r="E320" t="s">
        <x:v>2900</x:v>
      </x:c>
      <x:c r="F320" t="s">
        <x:v>2900</x:v>
      </x:c>
      <x:c r="G320" t="s">
        <x:v>1690</x:v>
      </x:c>
      <x:c r="P320" t="str">
        <x:f>LOWER(TRIM(SUBSTITUTE(E320,CHAR(160)," ")))</x:f>
        <x:v>duncan.miguna@pwc.com</x:v>
      </x:c>
      <x:c r="Q320" t="n">
        <x:f>IFERROR(VALUE(LEFT(D320,SEARCH("h",D320)-1)),0)*3600+IFERROR(VALUE(MID(D320,IFERROR(SEARCH("h ",D320)+2,1),SEARCH("m",D320)-IFERROR(SEARCH("h ",D320)+2,1))),0)*60+IFERROR(VALUE(MID(D320,IFERROR(SEARCH("m ",D320)+2,IFERROR(SEARCH("h ",D320)+2,1)),SEARCH("s",D320)-IFERROR(SEARCH("m ",D320)+2,IFERROR(SEARCH("h ",D320)+2,1)))),0)</x:f>
        <x:v>7101</x:v>
      </x:c>
      <x:c r="R320" t="str">
        <x:f>IF(P320="","No",IF(COUNTIF('Employee Attendance'!$D$2:$D$670,P320)&gt;0,"Yes","No"))</x:f>
        <x:v>Yes</x:v>
      </x:c>
    </x:row>
    <x:row r="321">
      <x:c r="A321" t="s">
        <x:v>1095</x:v>
      </x:c>
      <x:c r="B321" t="s">
        <x:v>2901</x:v>
      </x:c>
      <x:c r="C321" t="s">
        <x:v>2902</x:v>
      </x:c>
      <x:c r="D321" t="s">
        <x:v>2903</x:v>
      </x:c>
      <x:c r="E321" t="s">
        <x:v>1098</x:v>
      </x:c>
      <x:c r="F321" t="s">
        <x:v>1098</x:v>
      </x:c>
      <x:c r="G321" t="s">
        <x:v>1690</x:v>
      </x:c>
      <x:c r="P321" t="str">
        <x:f>LOWER(TRIM(SUBSTITUTE(E321,CHAR(160)," ")))</x:f>
        <x:v>assery.msangi@pwc.com</x:v>
      </x:c>
      <x:c r="Q321" t="n">
        <x:f>IFERROR(VALUE(LEFT(D321,SEARCH("h",D321)-1)),0)*3600+IFERROR(VALUE(MID(D321,IFERROR(SEARCH("h ",D321)+2,1),SEARCH("m",D321)-IFERROR(SEARCH("h ",D321)+2,1))),0)*60+IFERROR(VALUE(MID(D321,IFERROR(SEARCH("m ",D321)+2,IFERROR(SEARCH("h ",D321)+2,1)),SEARCH("s",D321)-IFERROR(SEARCH("m ",D321)+2,IFERROR(SEARCH("h ",D321)+2,1)))),0)</x:f>
        <x:v>7663</x:v>
      </x:c>
      <x:c r="R321" t="str">
        <x:f>IF(P321="","No",IF(COUNTIF('Employee Attendance'!$D$2:$D$670,P321)&gt;0,"Yes","No"))</x:f>
        <x:v>Yes</x:v>
      </x:c>
    </x:row>
    <x:row r="322">
      <x:c r="A322" t="s">
        <x:v>2904</x:v>
      </x:c>
      <x:c r="B322" t="s">
        <x:v>2905</x:v>
      </x:c>
      <x:c r="C322" t="s">
        <x:v>2906</x:v>
      </x:c>
      <x:c r="D322" t="s">
        <x:v>2907</x:v>
      </x:c>
      <x:c r="E322" t="s">
        <x:v>2908</x:v>
      </x:c>
      <x:c r="F322" t="s">
        <x:v>2908</x:v>
      </x:c>
      <x:c r="G322" t="s">
        <x:v>1690</x:v>
      </x:c>
      <x:c r="P322" t="str">
        <x:f>LOWER(TRIM(SUBSTITUTE(E322,CHAR(160)," ")))</x:f>
        <x:v>david.kalumbu@pwc.com</x:v>
      </x:c>
      <x:c r="Q322" t="n">
        <x:f>IFERROR(VALUE(LEFT(D322,SEARCH("h",D322)-1)),0)*3600+IFERROR(VALUE(MID(D322,IFERROR(SEARCH("h ",D322)+2,1),SEARCH("m",D322)-IFERROR(SEARCH("h ",D322)+2,1))),0)*60+IFERROR(VALUE(MID(D322,IFERROR(SEARCH("m ",D322)+2,IFERROR(SEARCH("h ",D322)+2,1)),SEARCH("s",D322)-IFERROR(SEARCH("m ",D322)+2,IFERROR(SEARCH("h ",D322)+2,1)))),0)</x:f>
        <x:v>5287</x:v>
      </x:c>
      <x:c r="R322" t="str">
        <x:f>IF(P322="","No",IF(COUNTIF('Employee Attendance'!$D$2:$D$670,P322)&gt;0,"Yes","No"))</x:f>
        <x:v>Yes</x:v>
      </x:c>
    </x:row>
    <x:row r="323">
      <x:c r="A323" t="s">
        <x:v>2909</x:v>
      </x:c>
      <x:c r="B323" t="s">
        <x:v>2910</x:v>
      </x:c>
      <x:c r="C323" t="s">
        <x:v>2911</x:v>
      </x:c>
      <x:c r="D323" t="s">
        <x:v>2912</x:v>
      </x:c>
      <x:c r="E323" t="s">
        <x:v>2913</x:v>
      </x:c>
      <x:c r="F323" t="s">
        <x:v>2913</x:v>
      </x:c>
      <x:c r="G323" t="s">
        <x:v>1690</x:v>
      </x:c>
      <x:c r="P323" t="str">
        <x:f>LOWER(TRIM(SUBSTITUTE(E323,CHAR(160)," ")))</x:f>
        <x:v>keshika.nuthoo@pwc.com</x:v>
      </x:c>
      <x:c r="Q323" t="n">
        <x:f>IFERROR(VALUE(LEFT(D323,SEARCH("h",D323)-1)),0)*3600+IFERROR(VALUE(MID(D323,IFERROR(SEARCH("h ",D323)+2,1),SEARCH("m",D323)-IFERROR(SEARCH("h ",D323)+2,1))),0)*60+IFERROR(VALUE(MID(D323,IFERROR(SEARCH("m ",D323)+2,IFERROR(SEARCH("h ",D323)+2,1)),SEARCH("s",D323)-IFERROR(SEARCH("m ",D323)+2,IFERROR(SEARCH("h ",D323)+2,1)))),0)</x:f>
        <x:v>4703</x:v>
      </x:c>
      <x:c r="R323" t="str">
        <x:f>IF(P323="","No",IF(COUNTIF('Employee Attendance'!$D$2:$D$670,P323)&gt;0,"Yes","No"))</x:f>
        <x:v>Yes</x:v>
      </x:c>
    </x:row>
    <x:row r="324">
      <x:c r="A324" t="s">
        <x:v>2914</x:v>
      </x:c>
      <x:c r="B324" t="s">
        <x:v>2915</x:v>
      </x:c>
      <x:c r="C324" t="s">
        <x:v>2005</x:v>
      </x:c>
      <x:c r="D324" t="s">
        <x:v>2916</x:v>
      </x:c>
      <x:c r="E324" t="s">
        <x:v>2917</x:v>
      </x:c>
      <x:c r="F324" t="s">
        <x:v>2917</x:v>
      </x:c>
      <x:c r="G324" t="s">
        <x:v>1690</x:v>
      </x:c>
      <x:c r="P324" t="str">
        <x:f>LOWER(TRIM(SUBSTITUTE(E324,CHAR(160)," ")))</x:f>
        <x:v>purvashi.ramracheea@pwc.com</x:v>
      </x:c>
      <x:c r="Q324" t="n">
        <x:f>IFERROR(VALUE(LEFT(D324,SEARCH("h",D324)-1)),0)*3600+IFERROR(VALUE(MID(D324,IFERROR(SEARCH("h ",D324)+2,1),SEARCH("m",D324)-IFERROR(SEARCH("h ",D324)+2,1))),0)*60+IFERROR(VALUE(MID(D324,IFERROR(SEARCH("m ",D324)+2,IFERROR(SEARCH("h ",D324)+2,1)),SEARCH("s",D324)-IFERROR(SEARCH("m ",D324)+2,IFERROR(SEARCH("h ",D324)+2,1)))),0)</x:f>
        <x:v>5250</x:v>
      </x:c>
      <x:c r="R324" t="str">
        <x:f>IF(P324="","No",IF(COUNTIF('Employee Attendance'!$D$2:$D$670,P324)&gt;0,"Yes","No"))</x:f>
        <x:v>Yes</x:v>
      </x:c>
    </x:row>
    <x:row r="325">
      <x:c r="A325" t="s">
        <x:v>2918</x:v>
      </x:c>
      <x:c r="B325" t="s">
        <x:v>2919</x:v>
      </x:c>
      <x:c r="C325" t="s">
        <x:v>2920</x:v>
      </x:c>
      <x:c r="D325" t="s">
        <x:v>2921</x:v>
      </x:c>
      <x:c r="E325" t="s">
        <x:v>2922</x:v>
      </x:c>
      <x:c r="F325" t="s">
        <x:v>2922</x:v>
      </x:c>
      <x:c r="G325" t="s">
        <x:v>1690</x:v>
      </x:c>
      <x:c r="P325" t="str">
        <x:f>LOWER(TRIM(SUBSTITUTE(E325,CHAR(160)," ")))</x:f>
        <x:v>susan.m.mugera@pwc.com</x:v>
      </x:c>
      <x:c r="Q325" t="n">
        <x:f>IFERROR(VALUE(LEFT(D325,SEARCH("h",D325)-1)),0)*3600+IFERROR(VALUE(MID(D325,IFERROR(SEARCH("h ",D325)+2,1),SEARCH("m",D325)-IFERROR(SEARCH("h ",D325)+2,1))),0)*60+IFERROR(VALUE(MID(D325,IFERROR(SEARCH("m ",D325)+2,IFERROR(SEARCH("h ",D325)+2,1)),SEARCH("s",D325)-IFERROR(SEARCH("m ",D325)+2,IFERROR(SEARCH("h ",D325)+2,1)))),0)</x:f>
        <x:v>5238</x:v>
      </x:c>
      <x:c r="R325" t="str">
        <x:f>IF(P325="","No",IF(COUNTIF('Employee Attendance'!$D$2:$D$670,P325)&gt;0,"Yes","No"))</x:f>
        <x:v>Yes</x:v>
      </x:c>
    </x:row>
    <x:row r="326">
      <x:c r="A326" t="s">
        <x:v>2923</x:v>
      </x:c>
      <x:c r="B326" t="s">
        <x:v>2924</x:v>
      </x:c>
      <x:c r="C326" t="s">
        <x:v>1873</x:v>
      </x:c>
      <x:c r="D326" t="s">
        <x:v>2925</x:v>
      </x:c>
      <x:c r="E326" t="s">
        <x:v>2926</x:v>
      </x:c>
      <x:c r="F326" t="s">
        <x:v>2926</x:v>
      </x:c>
      <x:c r="G326" t="s">
        <x:v>1690</x:v>
      </x:c>
      <x:c r="O326">
        <x:v>1</x:v>
      </x:c>
      <x:c r="P326" t="str">
        <x:f>LOWER(TRIM(SUBSTITUTE(E326,CHAR(160)," ")))</x:f>
        <x:v>chisela.k.chileshe@pwc.com</x:v>
      </x:c>
      <x:c r="Q326" t="n">
        <x:f>IFERROR(VALUE(LEFT(D326,SEARCH("h",D326)-1)),0)*3600+IFERROR(VALUE(MID(D326,IFERROR(SEARCH("h ",D326)+2,1),SEARCH("m",D326)-IFERROR(SEARCH("h ",D326)+2,1))),0)*60+IFERROR(VALUE(MID(D326,IFERROR(SEARCH("m ",D326)+2,IFERROR(SEARCH("h ",D326)+2,1)),SEARCH("s",D326)-IFERROR(SEARCH("m ",D326)+2,IFERROR(SEARCH("h ",D326)+2,1)))),0)</x:f>
        <x:v>5219</x:v>
      </x:c>
      <x:c r="R326" t="str">
        <x:f>IF(P326="","No",IF(COUNTIF('Employee Attendance'!$D$2:$D$670,P326)&gt;0,"Yes","No"))</x:f>
        <x:v>Yes</x:v>
      </x:c>
    </x:row>
    <x:row r="327">
      <x:c r="A327" t="s">
        <x:v>2927</x:v>
      </x:c>
      <x:c r="B327" t="s">
        <x:v>2928</x:v>
      </x:c>
      <x:c r="C327" t="s">
        <x:v>2929</x:v>
      </x:c>
      <x:c r="D327" t="s">
        <x:v>2930</x:v>
      </x:c>
      <x:c r="E327" t="s">
        <x:v>2931</x:v>
      </x:c>
      <x:c r="F327" t="s">
        <x:v>2931</x:v>
      </x:c>
      <x:c r="G327" t="s">
        <x:v>1690</x:v>
      </x:c>
      <x:c r="P327" t="str">
        <x:f>LOWER(TRIM(SUBSTITUTE(E327,CHAR(160)," ")))</x:f>
        <x:v>glory.madunda@pwc.com</x:v>
      </x:c>
      <x:c r="Q327" t="n">
        <x:f>IFERROR(VALUE(LEFT(D327,SEARCH("h",D327)-1)),0)*3600+IFERROR(VALUE(MID(D327,IFERROR(SEARCH("h ",D327)+2,1),SEARCH("m",D327)-IFERROR(SEARCH("h ",D327)+2,1))),0)*60+IFERROR(VALUE(MID(D327,IFERROR(SEARCH("m ",D327)+2,IFERROR(SEARCH("h ",D327)+2,1)),SEARCH("s",D327)-IFERROR(SEARCH("m ",D327)+2,IFERROR(SEARCH("h ",D327)+2,1)))),0)</x:f>
        <x:v>5358</x:v>
      </x:c>
      <x:c r="R327" t="str">
        <x:f>IF(P327="","No",IF(COUNTIF('Employee Attendance'!$D$2:$D$670,P327)&gt;0,"Yes","No"))</x:f>
        <x:v>Yes</x:v>
      </x:c>
    </x:row>
    <x:row r="328">
      <x:c r="A328" t="s">
        <x:v>2932</x:v>
      </x:c>
      <x:c r="B328" t="s">
        <x:v>2933</x:v>
      </x:c>
      <x:c r="C328" t="s">
        <x:v>2123</x:v>
      </x:c>
      <x:c r="D328" t="s">
        <x:v>2925</x:v>
      </x:c>
      <x:c r="E328" t="s">
        <x:v>2934</x:v>
      </x:c>
      <x:c r="F328" t="s">
        <x:v>2934</x:v>
      </x:c>
      <x:c r="G328" t="s">
        <x:v>1690</x:v>
      </x:c>
      <x:c r="O328">
        <x:v>1</x:v>
      </x:c>
      <x:c r="P328" t="str">
        <x:f>LOWER(TRIM(SUBSTITUTE(E328,CHAR(160)," ")))</x:f>
        <x:v>yesha.dwarka@pwc.com</x:v>
      </x:c>
      <x:c r="Q328" t="n">
        <x:f>IFERROR(VALUE(LEFT(D328,SEARCH("h",D328)-1)),0)*3600+IFERROR(VALUE(MID(D328,IFERROR(SEARCH("h ",D328)+2,1),SEARCH("m",D328)-IFERROR(SEARCH("h ",D328)+2,1))),0)*60+IFERROR(VALUE(MID(D328,IFERROR(SEARCH("m ",D328)+2,IFERROR(SEARCH("h ",D328)+2,1)),SEARCH("s",D328)-IFERROR(SEARCH("m ",D328)+2,IFERROR(SEARCH("h ",D328)+2,1)))),0)</x:f>
        <x:v>5219</x:v>
      </x:c>
      <x:c r="R328" t="str">
        <x:f>IF(P328="","No",IF(COUNTIF('Employee Attendance'!$D$2:$D$670,P328)&gt;0,"Yes","No"))</x:f>
        <x:v>Yes</x:v>
      </x:c>
    </x:row>
    <x:row r="329">
      <x:c r="A329" t="s">
        <x:v>2935</x:v>
      </x:c>
      <x:c r="B329" t="s">
        <x:v>2936</x:v>
      </x:c>
      <x:c r="C329" t="s">
        <x:v>2937</x:v>
      </x:c>
      <x:c r="D329" t="s">
        <x:v>2938</x:v>
      </x:c>
      <x:c r="E329" t="s">
        <x:v>2939</x:v>
      </x:c>
      <x:c r="F329" t="s">
        <x:v>2939</x:v>
      </x:c>
      <x:c r="G329" t="s">
        <x:v>1690</x:v>
      </x:c>
      <x:c r="P329" t="str">
        <x:f>LOWER(TRIM(SUBSTITUTE(E329,CHAR(160)," ")))</x:f>
        <x:v>victor.mbago@pwc.com</x:v>
      </x:c>
      <x:c r="Q329" t="n">
        <x:f>IFERROR(VALUE(LEFT(D329,SEARCH("h",D329)-1)),0)*3600+IFERROR(VALUE(MID(D329,IFERROR(SEARCH("h ",D329)+2,1),SEARCH("m",D329)-IFERROR(SEARCH("h ",D329)+2,1))),0)*60+IFERROR(VALUE(MID(D329,IFERROR(SEARCH("m ",D329)+2,IFERROR(SEARCH("h ",D329)+2,1)),SEARCH("s",D329)-IFERROR(SEARCH("m ",D329)+2,IFERROR(SEARCH("h ",D329)+2,1)))),0)</x:f>
        <x:v>4691</x:v>
      </x:c>
      <x:c r="R329" t="str">
        <x:f>IF(P329="","No",IF(COUNTIF('Employee Attendance'!$D$2:$D$670,P329)&gt;0,"Yes","No"))</x:f>
        <x:v>Yes</x:v>
      </x:c>
    </x:row>
    <x:row r="330">
      <x:c r="A330" t="s">
        <x:v>2940</x:v>
      </x:c>
      <x:c r="B330" t="s">
        <x:v>2941</x:v>
      </x:c>
      <x:c r="C330" t="s">
        <x:v>2942</x:v>
      </x:c>
      <x:c r="D330" t="s">
        <x:v>2943</x:v>
      </x:c>
      <x:c r="E330" t="s">
        <x:v>2944</x:v>
      </x:c>
      <x:c r="F330" t="s">
        <x:v>2944</x:v>
      </x:c>
      <x:c r="G330" t="s">
        <x:v>1690</x:v>
      </x:c>
      <x:c r="O330">
        <x:v>1</x:v>
      </x:c>
      <x:c r="P330" t="str">
        <x:f>LOWER(TRIM(SUBSTITUTE(E330,CHAR(160)," ")))</x:f>
        <x:v>catherine.rutenge@pwc.com</x:v>
      </x:c>
      <x:c r="Q330" t="n">
        <x:f>IFERROR(VALUE(LEFT(D330,SEARCH("h",D330)-1)),0)*3600+IFERROR(VALUE(MID(D330,IFERROR(SEARCH("h ",D330)+2,1),SEARCH("m",D330)-IFERROR(SEARCH("h ",D330)+2,1))),0)*60+IFERROR(VALUE(MID(D330,IFERROR(SEARCH("m ",D330)+2,IFERROR(SEARCH("h ",D330)+2,1)),SEARCH("s",D330)-IFERROR(SEARCH("m ",D330)+2,IFERROR(SEARCH("h ",D330)+2,1)))),0)</x:f>
        <x:v>4786</x:v>
      </x:c>
      <x:c r="R330" t="str">
        <x:f>IF(P330="","No",IF(COUNTIF('Employee Attendance'!$D$2:$D$670,P330)&gt;0,"Yes","No"))</x:f>
        <x:v>Yes</x:v>
      </x:c>
    </x:row>
    <x:row r="331">
      <x:c r="A331" t="s">
        <x:v>2945</x:v>
      </x:c>
      <x:c r="B331" t="s">
        <x:v>2946</x:v>
      </x:c>
      <x:c r="C331" t="s">
        <x:v>2947</x:v>
      </x:c>
      <x:c r="D331" t="s">
        <x:v>2948</x:v>
      </x:c>
      <x:c r="E331" t="s">
        <x:v>2949</x:v>
      </x:c>
      <x:c r="F331" t="s">
        <x:v>2949</x:v>
      </x:c>
      <x:c r="G331" t="s">
        <x:v>1690</x:v>
      </x:c>
      <x:c r="P331" t="str">
        <x:f>LOWER(TRIM(SUBSTITUTE(E331,CHAR(160)," ")))</x:f>
        <x:v>farhaan.salamuth@pwc.com</x:v>
      </x:c>
      <x:c r="Q331" t="n">
        <x:f>IFERROR(VALUE(LEFT(D331,SEARCH("h",D331)-1)),0)*3600+IFERROR(VALUE(MID(D331,IFERROR(SEARCH("h ",D331)+2,1),SEARCH("m",D331)-IFERROR(SEARCH("h ",D331)+2,1))),0)*60+IFERROR(VALUE(MID(D331,IFERROR(SEARCH("m ",D331)+2,IFERROR(SEARCH("h ",D331)+2,1)),SEARCH("s",D331)-IFERROR(SEARCH("m ",D331)+2,IFERROR(SEARCH("h ",D331)+2,1)))),0)</x:f>
        <x:v>5338</x:v>
      </x:c>
      <x:c r="R331" t="str">
        <x:f>IF(P331="","No",IF(COUNTIF('Employee Attendance'!$D$2:$D$670,P331)&gt;0,"Yes","No"))</x:f>
        <x:v>Yes</x:v>
      </x:c>
    </x:row>
    <x:row r="332">
      <x:c r="A332" t="s">
        <x:v>2950</x:v>
      </x:c>
      <x:c r="B332" t="s">
        <x:v>2951</x:v>
      </x:c>
      <x:c r="C332" t="s">
        <x:v>2636</x:v>
      </x:c>
      <x:c r="D332" t="s">
        <x:v>2952</x:v>
      </x:c>
      <x:c r="E332" t="s">
        <x:v>2953</x:v>
      </x:c>
      <x:c r="F332" t="s">
        <x:v>2953</x:v>
      </x:c>
      <x:c r="G332" t="s">
        <x:v>1690</x:v>
      </x:c>
      <x:c r="P332" t="str">
        <x:f>LOWER(TRIM(SUBSTITUTE(E332,CHAR(160)," ")))</x:f>
        <x:v>darshil.ramyed@pwc.com</x:v>
      </x:c>
      <x:c r="Q332" t="n">
        <x:f>IFERROR(VALUE(LEFT(D332,SEARCH("h",D332)-1)),0)*3600+IFERROR(VALUE(MID(D332,IFERROR(SEARCH("h ",D332)+2,1),SEARCH("m",D332)-IFERROR(SEARCH("h ",D332)+2,1))),0)*60+IFERROR(VALUE(MID(D332,IFERROR(SEARCH("m ",D332)+2,IFERROR(SEARCH("h ",D332)+2,1)),SEARCH("s",D332)-IFERROR(SEARCH("m ",D332)+2,IFERROR(SEARCH("h ",D332)+2,1)))),0)</x:f>
        <x:v>5145</x:v>
      </x:c>
      <x:c r="R332" t="str">
        <x:f>IF(P332="","No",IF(COUNTIF('Employee Attendance'!$D$2:$D$670,P332)&gt;0,"Yes","No"))</x:f>
        <x:v>Yes</x:v>
      </x:c>
    </x:row>
    <x:row r="333">
      <x:c r="A333" t="s">
        <x:v>2954</x:v>
      </x:c>
      <x:c r="B333" t="s">
        <x:v>2951</x:v>
      </x:c>
      <x:c r="C333" t="s">
        <x:v>1777</x:v>
      </x:c>
      <x:c r="D333" t="s">
        <x:v>2955</x:v>
      </x:c>
      <x:c r="E333" t="s">
        <x:v>2956</x:v>
      </x:c>
      <x:c r="F333" t="s">
        <x:v>2956</x:v>
      </x:c>
      <x:c r="G333" t="s">
        <x:v>1690</x:v>
      </x:c>
      <x:c r="M333">
        <x:v>2</x:v>
      </x:c>
      <x:c r="P333" t="str">
        <x:f>LOWER(TRIM(SUBSTITUTE(E333,CHAR(160)," ")))</x:f>
        <x:v>masela.chishinga@pwc.com</x:v>
      </x:c>
      <x:c r="Q333" t="n">
        <x:f>IFERROR(VALUE(LEFT(D333,SEARCH("h",D333)-1)),0)*3600+IFERROR(VALUE(MID(D333,IFERROR(SEARCH("h ",D333)+2,1),SEARCH("m",D333)-IFERROR(SEARCH("h ",D333)+2,1))),0)*60+IFERROR(VALUE(MID(D333,IFERROR(SEARCH("m ",D333)+2,IFERROR(SEARCH("h ",D333)+2,1)),SEARCH("s",D333)-IFERROR(SEARCH("m ",D333)+2,IFERROR(SEARCH("h ",D333)+2,1)))),0)</x:f>
        <x:v>5115</x:v>
      </x:c>
      <x:c r="R333" t="str">
        <x:f>IF(P333="","No",IF(COUNTIF('Employee Attendance'!$D$2:$D$670,P333)&gt;0,"Yes","No"))</x:f>
        <x:v>Yes</x:v>
      </x:c>
    </x:row>
    <x:row r="334">
      <x:c r="A334" t="s">
        <x:v>2957</x:v>
      </x:c>
      <x:c r="B334" t="s">
        <x:v>2958</x:v>
      </x:c>
      <x:c r="C334" t="s">
        <x:v>2959</x:v>
      </x:c>
      <x:c r="D334" t="s">
        <x:v>2960</x:v>
      </x:c>
      <x:c r="E334" t="s">
        <x:v>2961</x:v>
      </x:c>
      <x:c r="F334" t="s">
        <x:v>2961</x:v>
      </x:c>
      <x:c r="G334" t="s">
        <x:v>1690</x:v>
      </x:c>
      <x:c r="P334" t="str">
        <x:f>LOWER(TRIM(SUBSTITUTE(E334,CHAR(160)," ")))</x:f>
        <x:v>nardos.demeke@pwc.com</x:v>
      </x:c>
      <x:c r="Q334" t="n">
        <x:f>IFERROR(VALUE(LEFT(D334,SEARCH("h",D334)-1)),0)*3600+IFERROR(VALUE(MID(D334,IFERROR(SEARCH("h ",D334)+2,1),SEARCH("m",D334)-IFERROR(SEARCH("h ",D334)+2,1))),0)*60+IFERROR(VALUE(MID(D334,IFERROR(SEARCH("m ",D334)+2,IFERROR(SEARCH("h ",D334)+2,1)),SEARCH("s",D334)-IFERROR(SEARCH("m ",D334)+2,IFERROR(SEARCH("h ",D334)+2,1)))),0)</x:f>
        <x:v>11917</x:v>
      </x:c>
      <x:c r="R334" t="str">
        <x:f>IF(P334="","No",IF(COUNTIF('Employee Attendance'!$D$2:$D$670,P334)&gt;0,"Yes","No"))</x:f>
        <x:v>Yes</x:v>
      </x:c>
    </x:row>
    <x:row r="335">
      <x:c r="A335" t="s">
        <x:v>2962</x:v>
      </x:c>
      <x:c r="B335" t="s">
        <x:v>2963</x:v>
      </x:c>
      <x:c r="C335" t="s">
        <x:v>2723</x:v>
      </x:c>
      <x:c r="D335" t="s">
        <x:v>2964</x:v>
      </x:c>
      <x:c r="E335" t="s">
        <x:v>2965</x:v>
      </x:c>
      <x:c r="F335" t="s">
        <x:v>2965</x:v>
      </x:c>
      <x:c r="G335" t="s">
        <x:v>1690</x:v>
      </x:c>
      <x:c r="P335" t="str">
        <x:f>LOWER(TRIM(SUBSTITUTE(E335,CHAR(160)," ")))</x:f>
        <x:v>mary.lisa.leong@pwc.com</x:v>
      </x:c>
      <x:c r="Q335" t="n">
        <x:f>IFERROR(VALUE(LEFT(D335,SEARCH("h",D335)-1)),0)*3600+IFERROR(VALUE(MID(D335,IFERROR(SEARCH("h ",D335)+2,1),SEARCH("m",D335)-IFERROR(SEARCH("h ",D335)+2,1))),0)*60+IFERROR(VALUE(MID(D335,IFERROR(SEARCH("m ",D335)+2,IFERROR(SEARCH("h ",D335)+2,1)),SEARCH("s",D335)-IFERROR(SEARCH("m ",D335)+2,IFERROR(SEARCH("h ",D335)+2,1)))),0)</x:f>
        <x:v>4931</x:v>
      </x:c>
      <x:c r="R335" t="str">
        <x:f>IF(P335="","No",IF(COUNTIF('Employee Attendance'!$D$2:$D$670,P335)&gt;0,"Yes","No"))</x:f>
        <x:v>Yes</x:v>
      </x:c>
    </x:row>
    <x:row r="336">
      <x:c r="A336" t="s">
        <x:v>2966</x:v>
      </x:c>
      <x:c r="B336" t="s">
        <x:v>2967</x:v>
      </x:c>
      <x:c r="C336" t="s">
        <x:v>2968</x:v>
      </x:c>
      <x:c r="D336" t="s">
        <x:v>2969</x:v>
      </x:c>
      <x:c r="E336" t="s">
        <x:v>2970</x:v>
      </x:c>
      <x:c r="F336" t="s">
        <x:v>2970</x:v>
      </x:c>
      <x:c r="G336" t="s">
        <x:v>1690</x:v>
      </x:c>
      <x:c r="P336" t="str">
        <x:f>LOWER(TRIM(SUBSTITUTE(E336,CHAR(160)," ")))</x:f>
        <x:v>charvi.dowtal@pwc.com</x:v>
      </x:c>
      <x:c r="Q336" t="n">
        <x:f>IFERROR(VALUE(LEFT(D336,SEARCH("h",D336)-1)),0)*3600+IFERROR(VALUE(MID(D336,IFERROR(SEARCH("h ",D336)+2,1),SEARCH("m",D336)-IFERROR(SEARCH("h ",D336)+2,1))),0)*60+IFERROR(VALUE(MID(D336,IFERROR(SEARCH("m ",D336)+2,IFERROR(SEARCH("h ",D336)+2,1)),SEARCH("s",D336)-IFERROR(SEARCH("m ",D336)+2,IFERROR(SEARCH("h ",D336)+2,1)))),0)</x:f>
        <x:v>5188</x:v>
      </x:c>
      <x:c r="R336" t="str">
        <x:f>IF(P336="","No",IF(COUNTIF('Employee Attendance'!$D$2:$D$670,P336)&gt;0,"Yes","No"))</x:f>
        <x:v>Yes</x:v>
      </x:c>
    </x:row>
    <x:row r="337">
      <x:c r="A337" t="s">
        <x:v>2971</x:v>
      </x:c>
      <x:c r="B337" t="s">
        <x:v>2972</x:v>
      </x:c>
      <x:c r="C337" t="s">
        <x:v>1802</x:v>
      </x:c>
      <x:c r="D337" t="s">
        <x:v>2973</x:v>
      </x:c>
      <x:c r="E337" t="s">
        <x:v>2974</x:v>
      </x:c>
      <x:c r="F337" t="s">
        <x:v>2974</x:v>
      </x:c>
      <x:c r="G337" t="s">
        <x:v>1690</x:v>
      </x:c>
      <x:c r="P337" t="str">
        <x:f>LOWER(TRIM(SUBSTITUTE(E337,CHAR(160)," ")))</x:f>
        <x:v>amelie.fanfan@pwc.com</x:v>
      </x:c>
      <x:c r="Q337" t="n">
        <x:f>IFERROR(VALUE(LEFT(D337,SEARCH("h",D337)-1)),0)*3600+IFERROR(VALUE(MID(D337,IFERROR(SEARCH("h ",D337)+2,1),SEARCH("m",D337)-IFERROR(SEARCH("h ",D337)+2,1))),0)*60+IFERROR(VALUE(MID(D337,IFERROR(SEARCH("m ",D337)+2,IFERROR(SEARCH("h ",D337)+2,1)),SEARCH("s",D337)-IFERROR(SEARCH("m ",D337)+2,IFERROR(SEARCH("h ",D337)+2,1)))),0)</x:f>
        <x:v>4796</x:v>
      </x:c>
      <x:c r="R337" t="str">
        <x:f>IF(P337="","No",IF(COUNTIF('Employee Attendance'!$D$2:$D$670,P337)&gt;0,"Yes","No"))</x:f>
        <x:v>Yes</x:v>
      </x:c>
    </x:row>
    <x:row r="338">
      <x:c r="A338" t="s">
        <x:v>342</x:v>
      </x:c>
      <x:c r="B338" t="s">
        <x:v>2975</x:v>
      </x:c>
      <x:c r="C338" t="s">
        <x:v>1851</x:v>
      </x:c>
      <x:c r="D338" t="s">
        <x:v>2976</x:v>
      </x:c>
      <x:c r="E338" t="s">
        <x:v>346</x:v>
      </x:c>
      <x:c r="F338" t="s">
        <x:v>346</x:v>
      </x:c>
      <x:c r="G338" t="s">
        <x:v>1690</x:v>
      </x:c>
      <x:c r="P338" t="str">
        <x:f>LOWER(TRIM(SUBSTITUTE(E338,CHAR(160)," ")))</x:f>
        <x:v>brayan.laizer@pwc.com</x:v>
      </x:c>
      <x:c r="Q338" t="n">
        <x:f>IFERROR(VALUE(LEFT(D338,SEARCH("h",D338)-1)),0)*3600+IFERROR(VALUE(MID(D338,IFERROR(SEARCH("h ",D338)+2,1),SEARCH("m",D338)-IFERROR(SEARCH("h ",D338)+2,1))),0)*60+IFERROR(VALUE(MID(D338,IFERROR(SEARCH("m ",D338)+2,IFERROR(SEARCH("h ",D338)+2,1)),SEARCH("s",D338)-IFERROR(SEARCH("m ",D338)+2,IFERROR(SEARCH("h ",D338)+2,1)))),0)</x:f>
        <x:v>4736</x:v>
      </x:c>
      <x:c r="R338" t="str">
        <x:f>IF(P338="","No",IF(COUNTIF('Employee Attendance'!$D$2:$D$670,P338)&gt;0,"Yes","No"))</x:f>
        <x:v>Yes</x:v>
      </x:c>
    </x:row>
    <x:row r="339">
      <x:c r="A339" t="s">
        <x:v>2977</x:v>
      </x:c>
      <x:c r="B339" t="s">
        <x:v>2978</x:v>
      </x:c>
      <x:c r="C339" t="s">
        <x:v>1902</x:v>
      </x:c>
      <x:c r="D339" t="s">
        <x:v>2979</x:v>
      </x:c>
      <x:c r="E339" t="s">
        <x:v>2980</x:v>
      </x:c>
      <x:c r="F339" t="s">
        <x:v>2980</x:v>
      </x:c>
      <x:c r="G339" t="s">
        <x:v>1690</x:v>
      </x:c>
      <x:c r="O339">
        <x:v>1</x:v>
      </x:c>
      <x:c r="P339" t="str">
        <x:f>LOWER(TRIM(SUBSTITUTE(E339,CHAR(160)," ")))</x:f>
        <x:v>isaac.ntwali@pwc.com</x:v>
      </x:c>
      <x:c r="Q339" t="n">
        <x:f>IFERROR(VALUE(LEFT(D339,SEARCH("h",D339)-1)),0)*3600+IFERROR(VALUE(MID(D339,IFERROR(SEARCH("h ",D339)+2,1),SEARCH("m",D339)-IFERROR(SEARCH("h ",D339)+2,1))),0)*60+IFERROR(VALUE(MID(D339,IFERROR(SEARCH("m ",D339)+2,IFERROR(SEARCH("h ",D339)+2,1)),SEARCH("s",D339)-IFERROR(SEARCH("m ",D339)+2,IFERROR(SEARCH("h ",D339)+2,1)))),0)</x:f>
        <x:v>4723</x:v>
      </x:c>
      <x:c r="R339" t="str">
        <x:f>IF(P339="","No",IF(COUNTIF('Employee Attendance'!$D$2:$D$670,P339)&gt;0,"Yes","No"))</x:f>
        <x:v>Yes</x:v>
      </x:c>
    </x:row>
    <x:row r="340">
      <x:c r="A340" t="s">
        <x:v>1053</x:v>
      </x:c>
      <x:c r="B340" t="s">
        <x:v>2981</x:v>
      </x:c>
      <x:c r="C340" t="s">
        <x:v>2982</x:v>
      </x:c>
      <x:c r="D340" t="s">
        <x:v>2983</x:v>
      </x:c>
      <x:c r="E340" t="s">
        <x:v>1057</x:v>
      </x:c>
      <x:c r="F340" t="s">
        <x:v>1057</x:v>
      </x:c>
      <x:c r="G340" t="s">
        <x:v>1690</x:v>
      </x:c>
      <x:c r="P340" t="str">
        <x:f>LOWER(TRIM(SUBSTITUTE(E340,CHAR(160)," ")))</x:f>
        <x:v>marion.basil@pwc.com</x:v>
      </x:c>
      <x:c r="Q340" t="n">
        <x:f>IFERROR(VALUE(LEFT(D340,SEARCH("h",D340)-1)),0)*3600+IFERROR(VALUE(MID(D340,IFERROR(SEARCH("h ",D340)+2,1),SEARCH("m",D340)-IFERROR(SEARCH("h ",D340)+2,1))),0)*60+IFERROR(VALUE(MID(D340,IFERROR(SEARCH("m ",D340)+2,IFERROR(SEARCH("h ",D340)+2,1)),SEARCH("s",D340)-IFERROR(SEARCH("m ",D340)+2,IFERROR(SEARCH("h ",D340)+2,1)))),0)</x:f>
        <x:v>4726</x:v>
      </x:c>
      <x:c r="R340" t="str">
        <x:f>IF(P340="","No",IF(COUNTIF('Employee Attendance'!$D$2:$D$670,P340)&gt;0,"Yes","No"))</x:f>
        <x:v>Yes</x:v>
      </x:c>
    </x:row>
    <x:row r="341">
      <x:c r="A341" t="s">
        <x:v>2984</x:v>
      </x:c>
      <x:c r="B341" t="s">
        <x:v>2985</x:v>
      </x:c>
      <x:c r="C341" t="s">
        <x:v>2986</x:v>
      </x:c>
      <x:c r="D341" t="s">
        <x:v>2987</x:v>
      </x:c>
      <x:c r="E341" t="s">
        <x:v>2988</x:v>
      </x:c>
      <x:c r="F341" t="s">
        <x:v>2988</x:v>
      </x:c>
      <x:c r="G341" t="s">
        <x:v>1690</x:v>
      </x:c>
      <x:c r="P341" t="str">
        <x:f>LOWER(TRIM(SUBSTITUTE(E341,CHAR(160)," ")))</x:f>
        <x:v>joshua.nzali@pwc.com</x:v>
      </x:c>
      <x:c r="Q341" t="n">
        <x:f>IFERROR(VALUE(LEFT(D341,SEARCH("h",D341)-1)),0)*3600+IFERROR(VALUE(MID(D341,IFERROR(SEARCH("h ",D341)+2,1),SEARCH("m",D341)-IFERROR(SEARCH("h ",D341)+2,1))),0)*60+IFERROR(VALUE(MID(D341,IFERROR(SEARCH("m ",D341)+2,IFERROR(SEARCH("h ",D341)+2,1)),SEARCH("s",D341)-IFERROR(SEARCH("m ",D341)+2,IFERROR(SEARCH("h ",D341)+2,1)))),0)</x:f>
        <x:v>8382</x:v>
      </x:c>
      <x:c r="R341" t="str">
        <x:f>IF(P341="","No",IF(COUNTIF('Employee Attendance'!$D$2:$D$670,P341)&gt;0,"Yes","No"))</x:f>
        <x:v>Yes</x:v>
      </x:c>
    </x:row>
    <x:row r="342">
      <x:c r="A342" t="s">
        <x:v>2989</x:v>
      </x:c>
      <x:c r="B342" t="s">
        <x:v>2990</x:v>
      </x:c>
      <x:c r="C342" t="s">
        <x:v>2991</x:v>
      </x:c>
      <x:c r="D342" t="s">
        <x:v>2992</x:v>
      </x:c>
      <x:c r="E342" t="s">
        <x:v>2993</x:v>
      </x:c>
      <x:c r="F342" t="s">
        <x:v>2993</x:v>
      </x:c>
      <x:c r="G342" t="s">
        <x:v>1690</x:v>
      </x:c>
      <x:c r="P342" t="str">
        <x:f>LOWER(TRIM(SUBSTITUTE(E342,CHAR(160)," ")))</x:f>
        <x:v>vaishnavi.gungaram@pwc.com</x:v>
      </x:c>
      <x:c r="Q342" t="n">
        <x:f>IFERROR(VALUE(LEFT(D342,SEARCH("h",D342)-1)),0)*3600+IFERROR(VALUE(MID(D342,IFERROR(SEARCH("h ",D342)+2,1),SEARCH("m",D342)-IFERROR(SEARCH("h ",D342)+2,1))),0)*60+IFERROR(VALUE(MID(D342,IFERROR(SEARCH("m ",D342)+2,IFERROR(SEARCH("h ",D342)+2,1)),SEARCH("s",D342)-IFERROR(SEARCH("m ",D342)+2,IFERROR(SEARCH("h ",D342)+2,1)))),0)</x:f>
        <x:v>7204</x:v>
      </x:c>
      <x:c r="R342" t="str">
        <x:f>IF(P342="","No",IF(COUNTIF('Employee Attendance'!$D$2:$D$670,P342)&gt;0,"Yes","No"))</x:f>
        <x:v>Yes</x:v>
      </x:c>
    </x:row>
    <x:row r="343">
      <x:c r="A343" t="s">
        <x:v>2994</x:v>
      </x:c>
      <x:c r="B343" t="s">
        <x:v>2995</x:v>
      </x:c>
      <x:c r="C343" t="s">
        <x:v>1894</x:v>
      </x:c>
      <x:c r="D343" t="s">
        <x:v>2996</x:v>
      </x:c>
      <x:c r="E343" t="s">
        <x:v>2997</x:v>
      </x:c>
      <x:c r="F343" t="s">
        <x:v>2997</x:v>
      </x:c>
      <x:c r="G343" t="s">
        <x:v>1690</x:v>
      </x:c>
      <x:c r="P343" t="str">
        <x:f>LOWER(TRIM(SUBSTITUTE(E343,CHAR(160)," ")))</x:f>
        <x:v>tushita.ruttun@pwc.com</x:v>
      </x:c>
      <x:c r="Q343" t="n">
        <x:f>IFERROR(VALUE(LEFT(D343,SEARCH("h",D343)-1)),0)*3600+IFERROR(VALUE(MID(D343,IFERROR(SEARCH("h ",D343)+2,1),SEARCH("m",D343)-IFERROR(SEARCH("h ",D343)+2,1))),0)*60+IFERROR(VALUE(MID(D343,IFERROR(SEARCH("m ",D343)+2,IFERROR(SEARCH("h ",D343)+2,1)),SEARCH("s",D343)-IFERROR(SEARCH("m ",D343)+2,IFERROR(SEARCH("h ",D343)+2,1)))),0)</x:f>
        <x:v>4632</x:v>
      </x:c>
      <x:c r="R343" t="str">
        <x:f>IF(P343="","No",IF(COUNTIF('Employee Attendance'!$D$2:$D$670,P343)&gt;0,"Yes","No"))</x:f>
        <x:v>Yes</x:v>
      </x:c>
    </x:row>
    <x:row r="344">
      <x:c r="A344" t="s">
        <x:v>1104</x:v>
      </x:c>
      <x:c r="B344" t="s">
        <x:v>2998</x:v>
      </x:c>
      <x:c r="C344" t="s">
        <x:v>2999</x:v>
      </x:c>
      <x:c r="D344" t="s">
        <x:v>3000</x:v>
      </x:c>
      <x:c r="E344" t="s">
        <x:v>1108</x:v>
      </x:c>
      <x:c r="F344" t="s">
        <x:v>1108</x:v>
      </x:c>
      <x:c r="G344" t="s">
        <x:v>1690</x:v>
      </x:c>
      <x:c r="P344" t="str">
        <x:f>LOWER(TRIM(SUBSTITUTE(E344,CHAR(160)," ")))</x:f>
        <x:v>farouk.kasadha@pwc.com</x:v>
      </x:c>
      <x:c r="Q344" t="n">
        <x:f>IFERROR(VALUE(LEFT(D344,SEARCH("h",D344)-1)),0)*3600+IFERROR(VALUE(MID(D344,IFERROR(SEARCH("h ",D344)+2,1),SEARCH("m",D344)-IFERROR(SEARCH("h ",D344)+2,1))),0)*60+IFERROR(VALUE(MID(D344,IFERROR(SEARCH("m ",D344)+2,IFERROR(SEARCH("h ",D344)+2,1)),SEARCH("s",D344)-IFERROR(SEARCH("m ",D344)+2,IFERROR(SEARCH("h ",D344)+2,1)))),0)</x:f>
        <x:v>5615</x:v>
      </x:c>
      <x:c r="R344" t="str">
        <x:f>IF(P344="","No",IF(COUNTIF('Employee Attendance'!$D$2:$D$670,P344)&gt;0,"Yes","No"))</x:f>
        <x:v>Yes</x:v>
      </x:c>
    </x:row>
    <x:row r="345">
      <x:c r="A345" t="s">
        <x:v>322</x:v>
      </x:c>
      <x:c r="B345" t="s">
        <x:v>3001</x:v>
      </x:c>
      <x:c r="C345" t="s">
        <x:v>3002</x:v>
      </x:c>
      <x:c r="D345" t="s">
        <x:v>3003</x:v>
      </x:c>
      <x:c r="E345" t="s">
        <x:v>326</x:v>
      </x:c>
      <x:c r="F345" t="s">
        <x:v>326</x:v>
      </x:c>
      <x:c r="G345" t="s">
        <x:v>1690</x:v>
      </x:c>
      <x:c r="P345" t="str">
        <x:f>LOWER(TRIM(SUBSTITUTE(E345,CHAR(160)," ")))</x:f>
        <x:v>rose.muasya@pwc.com</x:v>
      </x:c>
      <x:c r="Q345" t="n">
        <x:f>IFERROR(VALUE(LEFT(D345,SEARCH("h",D345)-1)),0)*3600+IFERROR(VALUE(MID(D345,IFERROR(SEARCH("h ",D345)+2,1),SEARCH("m",D345)-IFERROR(SEARCH("h ",D345)+2,1))),0)*60+IFERROR(VALUE(MID(D345,IFERROR(SEARCH("m ",D345)+2,IFERROR(SEARCH("h ",D345)+2,1)),SEARCH("s",D345)-IFERROR(SEARCH("m ",D345)+2,IFERROR(SEARCH("h ",D345)+2,1)))),0)</x:f>
        <x:v>1576</x:v>
      </x:c>
      <x:c r="R345" t="str">
        <x:f>IF(P345="","No",IF(COUNTIF('Employee Attendance'!$D$2:$D$670,P345)&gt;0,"Yes","No"))</x:f>
        <x:v>Yes</x:v>
      </x:c>
    </x:row>
    <x:row r="346">
      <x:c r="A346" t="s">
        <x:v>3004</x:v>
      </x:c>
      <x:c r="B346" t="s">
        <x:v>3005</x:v>
      </x:c>
      <x:c r="C346" t="s">
        <x:v>3006</x:v>
      </x:c>
      <x:c r="D346" t="s">
        <x:v>3007</x:v>
      </x:c>
      <x:c r="E346" t="s">
        <x:v>3008</x:v>
      </x:c>
      <x:c r="F346" t="s">
        <x:v>3008</x:v>
      </x:c>
      <x:c r="G346" t="s">
        <x:v>1690</x:v>
      </x:c>
      <x:c r="P346" t="str">
        <x:f>LOWER(TRIM(SUBSTITUTE(E346,CHAR(160)," ")))</x:f>
        <x:v>eyosisas.sahlu@pwc.com</x:v>
      </x:c>
      <x:c r="Q346" t="n">
        <x:f>IFERROR(VALUE(LEFT(D346,SEARCH("h",D346)-1)),0)*3600+IFERROR(VALUE(MID(D346,IFERROR(SEARCH("h ",D346)+2,1),SEARCH("m",D346)-IFERROR(SEARCH("h ",D346)+2,1))),0)*60+IFERROR(VALUE(MID(D346,IFERROR(SEARCH("m ",D346)+2,IFERROR(SEARCH("h ",D346)+2,1)),SEARCH("s",D346)-IFERROR(SEARCH("m ",D346)+2,IFERROR(SEARCH("h ",D346)+2,1)))),0)</x:f>
        <x:v>1972</x:v>
      </x:c>
      <x:c r="R346" t="str">
        <x:f>IF(P346="","No",IF(COUNTIF('Employee Attendance'!$D$2:$D$670,P346)&gt;0,"Yes","No"))</x:f>
        <x:v>Yes</x:v>
      </x:c>
    </x:row>
    <x:row r="347">
      <x:c r="A347" t="s">
        <x:v>3009</x:v>
      </x:c>
      <x:c r="B347" t="s">
        <x:v>3010</x:v>
      </x:c>
      <x:c r="C347" t="s">
        <x:v>3011</x:v>
      </x:c>
      <x:c r="D347" t="s">
        <x:v>3012</x:v>
      </x:c>
      <x:c r="E347" t="s">
        <x:v>3013</x:v>
      </x:c>
      <x:c r="F347" t="s">
        <x:v>3013</x:v>
      </x:c>
      <x:c r="G347" t="s">
        <x:v>1690</x:v>
      </x:c>
      <x:c r="P347" t="str">
        <x:f>LOWER(TRIM(SUBSTITUTE(E347,CHAR(160)," ")))</x:f>
        <x:v>sahil.ramyed@pwc.com</x:v>
      </x:c>
      <x:c r="Q347" t="n">
        <x:f>IFERROR(VALUE(LEFT(D347,SEARCH("h",D347)-1)),0)*3600+IFERROR(VALUE(MID(D347,IFERROR(SEARCH("h ",D347)+2,1),SEARCH("m",D347)-IFERROR(SEARCH("h ",D347)+2,1))),0)*60+IFERROR(VALUE(MID(D347,IFERROR(SEARCH("m ",D347)+2,IFERROR(SEARCH("h ",D347)+2,1)),SEARCH("s",D347)-IFERROR(SEARCH("m ",D347)+2,IFERROR(SEARCH("h ",D347)+2,1)))),0)</x:f>
        <x:v>4687</x:v>
      </x:c>
      <x:c r="R347" t="str">
        <x:f>IF(P347="","No",IF(COUNTIF('Employee Attendance'!$D$2:$D$670,P347)&gt;0,"Yes","No"))</x:f>
        <x:v>Yes</x:v>
      </x:c>
    </x:row>
    <x:row r="348">
      <x:c r="A348" t="s">
        <x:v>158</x:v>
      </x:c>
      <x:c r="B348" t="s">
        <x:v>3014</x:v>
      </x:c>
      <x:c r="C348" t="s">
        <x:v>1748</x:v>
      </x:c>
      <x:c r="D348" t="s">
        <x:v>3015</x:v>
      </x:c>
      <x:c r="E348" t="s">
        <x:v>162</x:v>
      </x:c>
      <x:c r="F348" t="s">
        <x:v>162</x:v>
      </x:c>
      <x:c r="G348" t="s">
        <x:v>1690</x:v>
      </x:c>
      <x:c r="P348" t="str">
        <x:f>LOWER(TRIM(SUBSTITUTE(E348,CHAR(160)," ")))</x:f>
        <x:v>georgina.mkuchu@pwc.com</x:v>
      </x:c>
      <x:c r="Q348" t="n">
        <x:f>IFERROR(VALUE(LEFT(D348,SEARCH("h",D348)-1)),0)*3600+IFERROR(VALUE(MID(D348,IFERROR(SEARCH("h ",D348)+2,1),SEARCH("m",D348)-IFERROR(SEARCH("h ",D348)+2,1))),0)*60+IFERROR(VALUE(MID(D348,IFERROR(SEARCH("m ",D348)+2,IFERROR(SEARCH("h ",D348)+2,1)),SEARCH("s",D348)-IFERROR(SEARCH("m ",D348)+2,IFERROR(SEARCH("h ",D348)+2,1)))),0)</x:f>
        <x:v>4564</x:v>
      </x:c>
      <x:c r="R348" t="str">
        <x:f>IF(P348="","No",IF(COUNTIF('Employee Attendance'!$D$2:$D$670,P348)&gt;0,"Yes","No"))</x:f>
        <x:v>Yes</x:v>
      </x:c>
    </x:row>
    <x:row r="349">
      <x:c r="A349" t="s">
        <x:v>3016</x:v>
      </x:c>
      <x:c r="B349" t="s">
        <x:v>3017</x:v>
      </x:c>
      <x:c r="C349" t="s">
        <x:v>2631</x:v>
      </x:c>
      <x:c r="D349" t="s">
        <x:v>3018</x:v>
      </x:c>
      <x:c r="E349" t="s">
        <x:v>3019</x:v>
      </x:c>
      <x:c r="F349" t="s">
        <x:v>3019</x:v>
      </x:c>
      <x:c r="G349" t="s">
        <x:v>1690</x:v>
      </x:c>
      <x:c r="P349" t="str">
        <x:f>LOWER(TRIM(SUBSTITUTE(E349,CHAR(160)," ")))</x:f>
        <x:v>dylan.how.nee.hee.hafee@pwc.com</x:v>
      </x:c>
      <x:c r="Q349" t="n">
        <x:f>IFERROR(VALUE(LEFT(D349,SEARCH("h",D349)-1)),0)*3600+IFERROR(VALUE(MID(D349,IFERROR(SEARCH("h ",D349)+2,1),SEARCH("m",D349)-IFERROR(SEARCH("h ",D349)+2,1))),0)*60+IFERROR(VALUE(MID(D349,IFERROR(SEARCH("m ",D349)+2,IFERROR(SEARCH("h ",D349)+2,1)),SEARCH("s",D349)-IFERROR(SEARCH("m ",D349)+2,IFERROR(SEARCH("h ",D349)+2,1)))),0)</x:f>
        <x:v>4055</x:v>
      </x:c>
      <x:c r="R349" t="str">
        <x:f>IF(P349="","No",IF(COUNTIF('Employee Attendance'!$D$2:$D$670,P349)&gt;0,"Yes","No"))</x:f>
        <x:v>Yes</x:v>
      </x:c>
    </x:row>
    <x:row r="350">
      <x:c r="A350" t="s">
        <x:v>3020</x:v>
      </x:c>
      <x:c r="B350" t="s">
        <x:v>3021</x:v>
      </x:c>
      <x:c r="C350" t="s">
        <x:v>2180</x:v>
      </x:c>
      <x:c r="D350" t="s">
        <x:v>3022</x:v>
      </x:c>
      <x:c r="E350" t="s">
        <x:v>3023</x:v>
      </x:c>
      <x:c r="F350" t="s">
        <x:v>3023</x:v>
      </x:c>
      <x:c r="G350" t="s">
        <x:v>1690</x:v>
      </x:c>
      <x:c r="P350" t="str">
        <x:f>LOWER(TRIM(SUBSTITUTE(E350,CHAR(160)," ")))</x:f>
        <x:v>catherine.hyagila@pwc.com</x:v>
      </x:c>
      <x:c r="Q350" t="n">
        <x:f>IFERROR(VALUE(LEFT(D350,SEARCH("h",D350)-1)),0)*3600+IFERROR(VALUE(MID(D350,IFERROR(SEARCH("h ",D350)+2,1),SEARCH("m",D350)-IFERROR(SEARCH("h ",D350)+2,1))),0)*60+IFERROR(VALUE(MID(D350,IFERROR(SEARCH("m ",D350)+2,IFERROR(SEARCH("h ",D350)+2,1)),SEARCH("s",D350)-IFERROR(SEARCH("m ",D350)+2,IFERROR(SEARCH("h ",D350)+2,1)))),0)</x:f>
        <x:v>4487</x:v>
      </x:c>
      <x:c r="R350" t="str">
        <x:f>IF(P350="","No",IF(COUNTIF('Employee Attendance'!$D$2:$D$670,P350)&gt;0,"Yes","No"))</x:f>
        <x:v>Yes</x:v>
      </x:c>
    </x:row>
    <x:row r="351">
      <x:c r="A351" t="s">
        <x:v>3024</x:v>
      </x:c>
      <x:c r="B351" t="s">
        <x:v>3025</x:v>
      </x:c>
      <x:c r="C351" t="s">
        <x:v>1675</x:v>
      </x:c>
      <x:c r="D351" t="s">
        <x:v>3026</x:v>
      </x:c>
      <x:c r="E351" t="s">
        <x:v>3027</x:v>
      </x:c>
      <x:c r="F351" t="s">
        <x:v>3027</x:v>
      </x:c>
      <x:c r="G351" t="s">
        <x:v>1690</x:v>
      </x:c>
      <x:c r="O351">
        <x:v>1</x:v>
      </x:c>
      <x:c r="P351" t="str">
        <x:f>LOWER(TRIM(SUBSTITUTE(E351,CHAR(160)," ")))</x:f>
        <x:v>john.s.li@pwc.com</x:v>
      </x:c>
      <x:c r="Q351" t="n">
        <x:f>IFERROR(VALUE(LEFT(D351,SEARCH("h",D351)-1)),0)*3600+IFERROR(VALUE(MID(D351,IFERROR(SEARCH("h ",D351)+2,1),SEARCH("m",D351)-IFERROR(SEARCH("h ",D351)+2,1))),0)*60+IFERROR(VALUE(MID(D351,IFERROR(SEARCH("m ",D351)+2,IFERROR(SEARCH("h ",D351)+2,1)),SEARCH("s",D351)-IFERROR(SEARCH("m ",D351)+2,IFERROR(SEARCH("h ",D351)+2,1)))),0)</x:f>
        <x:v>4407</x:v>
      </x:c>
      <x:c r="R351" t="str">
        <x:f>IF(P351="","No",IF(COUNTIF('Employee Attendance'!$D$2:$D$670,P351)&gt;0,"Yes","No"))</x:f>
        <x:v>Yes</x:v>
      </x:c>
    </x:row>
    <x:row r="352">
      <x:c r="A352" t="s">
        <x:v>3028</x:v>
      </x:c>
      <x:c r="B352" t="s">
        <x:v>3029</x:v>
      </x:c>
      <x:c r="C352" t="s">
        <x:v>1670</x:v>
      </x:c>
      <x:c r="D352" t="s">
        <x:v>3030</x:v>
      </x:c>
      <x:c r="E352" t="s">
        <x:v>3031</x:v>
      </x:c>
      <x:c r="F352" t="s">
        <x:v>3031</x:v>
      </x:c>
      <x:c r="G352" t="s">
        <x:v>1690</x:v>
      </x:c>
      <x:c r="J352">
        <x:v>1</x:v>
      </x:c>
      <x:c r="P352" t="str">
        <x:f>LOWER(TRIM(SUBSTITUTE(E352,CHAR(160)," ")))</x:f>
        <x:v>caleb.b.ogola@pwc.com</x:v>
      </x:c>
      <x:c r="Q352" t="n">
        <x:f>IFERROR(VALUE(LEFT(D352,SEARCH("h",D352)-1)),0)*3600+IFERROR(VALUE(MID(D352,IFERROR(SEARCH("h ",D352)+2,1),SEARCH("m",D352)-IFERROR(SEARCH("h ",D352)+2,1))),0)*60+IFERROR(VALUE(MID(D352,IFERROR(SEARCH("m ",D352)+2,IFERROR(SEARCH("h ",D352)+2,1)),SEARCH("s",D352)-IFERROR(SEARCH("m ",D352)+2,IFERROR(SEARCH("h ",D352)+2,1)))),0)</x:f>
        <x:v>4400</x:v>
      </x:c>
      <x:c r="R352" t="str">
        <x:f>IF(P352="","No",IF(COUNTIF('Employee Attendance'!$D$2:$D$670,P352)&gt;0,"Yes","No"))</x:f>
        <x:v>Yes</x:v>
      </x:c>
    </x:row>
    <x:row r="353">
      <x:c r="A353" t="s">
        <x:v>3032</x:v>
      </x:c>
      <x:c r="B353" t="s">
        <x:v>3033</x:v>
      </x:c>
      <x:c r="C353" t="s">
        <x:v>3034</x:v>
      </x:c>
      <x:c r="D353" t="s">
        <x:v>3035</x:v>
      </x:c>
      <x:c r="E353" t="s">
        <x:v>3036</x:v>
      </x:c>
      <x:c r="F353" t="s">
        <x:v>3036</x:v>
      </x:c>
      <x:c r="G353" t="s">
        <x:v>1690</x:v>
      </x:c>
      <x:c r="O353">
        <x:v>2</x:v>
      </x:c>
      <x:c r="P353" t="str">
        <x:f>LOWER(TRIM(SUBSTITUTE(E353,CHAR(160)," ")))</x:f>
        <x:v>phelister.odhiambo@pwc.com</x:v>
      </x:c>
      <x:c r="Q353" t="n">
        <x:f>IFERROR(VALUE(LEFT(D353,SEARCH("h",D353)-1)),0)*3600+IFERROR(VALUE(MID(D353,IFERROR(SEARCH("h ",D353)+2,1),SEARCH("m",D353)-IFERROR(SEARCH("h ",D353)+2,1))),0)*60+IFERROR(VALUE(MID(D353,IFERROR(SEARCH("m ",D353)+2,IFERROR(SEARCH("h ",D353)+2,1)),SEARCH("s",D353)-IFERROR(SEARCH("m ",D353)+2,IFERROR(SEARCH("h ",D353)+2,1)))),0)</x:f>
        <x:v>3653</x:v>
      </x:c>
      <x:c r="R353" t="str">
        <x:f>IF(P353="","No",IF(COUNTIF('Employee Attendance'!$D$2:$D$670,P353)&gt;0,"Yes","No"))</x:f>
        <x:v>Yes</x:v>
      </x:c>
    </x:row>
    <x:row r="354">
      <x:c r="A354" t="s">
        <x:v>149</x:v>
      </x:c>
      <x:c r="B354" t="s">
        <x:v>3037</x:v>
      </x:c>
      <x:c r="C354" t="s">
        <x:v>1902</x:v>
      </x:c>
      <x:c r="D354" t="s">
        <x:v>3038</x:v>
      </x:c>
      <x:c r="E354" t="s">
        <x:v>152</x:v>
      </x:c>
      <x:c r="F354" t="s">
        <x:v>152</x:v>
      </x:c>
      <x:c r="G354" t="s">
        <x:v>1690</x:v>
      </x:c>
      <x:c r="P354" t="str">
        <x:f>LOWER(TRIM(SUBSTITUTE(E354,CHAR(160)," ")))</x:f>
        <x:v>maureen.benedict@pwc.com</x:v>
      </x:c>
      <x:c r="Q354" t="n">
        <x:f>IFERROR(VALUE(LEFT(D354,SEARCH("h",D354)-1)),0)*3600+IFERROR(VALUE(MID(D354,IFERROR(SEARCH("h ",D354)+2,1),SEARCH("m",D354)-IFERROR(SEARCH("h ",D354)+2,1))),0)*60+IFERROR(VALUE(MID(D354,IFERROR(SEARCH("m ",D354)+2,IFERROR(SEARCH("h ",D354)+2,1)),SEARCH("s",D354)-IFERROR(SEARCH("m ",D354)+2,IFERROR(SEARCH("h ",D354)+2,1)))),0)</x:f>
        <x:v>4329</x:v>
      </x:c>
      <x:c r="R354" t="str">
        <x:f>IF(P354="","No",IF(COUNTIF('Employee Attendance'!$D$2:$D$670,P354)&gt;0,"Yes","No"))</x:f>
        <x:v>Yes</x:v>
      </x:c>
    </x:row>
    <x:row r="355">
      <x:c r="A355" t="s">
        <x:v>3039</x:v>
      </x:c>
      <x:c r="B355" t="s">
        <x:v>3040</x:v>
      </x:c>
      <x:c r="C355" t="s">
        <x:v>1675</x:v>
      </x:c>
      <x:c r="D355" t="s">
        <x:v>3041</x:v>
      </x:c>
      <x:c r="E355" t="s">
        <x:v>3042</x:v>
      </x:c>
      <x:c r="F355" t="s">
        <x:v>3042</x:v>
      </x:c>
      <x:c r="G355" t="s">
        <x:v>1690</x:v>
      </x:c>
      <x:c r="O355">
        <x:v>2</x:v>
      </x:c>
      <x:c r="P355" t="str">
        <x:f>LOWER(TRIM(SUBSTITUTE(E355,CHAR(160)," ")))</x:f>
        <x:v>michael.mwendwa@pwc.com</x:v>
      </x:c>
      <x:c r="Q355" t="n">
        <x:f>IFERROR(VALUE(LEFT(D355,SEARCH("h",D355)-1)),0)*3600+IFERROR(VALUE(MID(D355,IFERROR(SEARCH("h ",D355)+2,1),SEARCH("m",D355)-IFERROR(SEARCH("h ",D355)+2,1))),0)*60+IFERROR(VALUE(MID(D355,IFERROR(SEARCH("m ",D355)+2,IFERROR(SEARCH("h ",D355)+2,1)),SEARCH("s",D355)-IFERROR(SEARCH("m ",D355)+2,IFERROR(SEARCH("h ",D355)+2,1)))),0)</x:f>
        <x:v>2527</x:v>
      </x:c>
      <x:c r="R355" t="str">
        <x:f>IF(P355="","No",IF(COUNTIF('Employee Attendance'!$D$2:$D$670,P355)&gt;0,"Yes","No"))</x:f>
        <x:v>Yes</x:v>
      </x:c>
    </x:row>
    <x:row r="356">
      <x:c r="A356" t="s">
        <x:v>3043</x:v>
      </x:c>
      <x:c r="B356" t="s">
        <x:v>3044</x:v>
      </x:c>
      <x:c r="C356" t="s">
        <x:v>3045</x:v>
      </x:c>
      <x:c r="D356" t="s">
        <x:v>3046</x:v>
      </x:c>
      <x:c r="E356" t="s">
        <x:v>3047</x:v>
      </x:c>
      <x:c r="F356" t="s">
        <x:v>3047</x:v>
      </x:c>
      <x:c r="G356" t="s">
        <x:v>1690</x:v>
      </x:c>
      <x:c r="P356" t="str">
        <x:f>LOWER(TRIM(SUBSTITUTE(E356,CHAR(160)," ")))</x:f>
        <x:v>kelvin.atieno@pwc.com</x:v>
      </x:c>
      <x:c r="Q356" t="n">
        <x:f>IFERROR(VALUE(LEFT(D356,SEARCH("h",D356)-1)),0)*3600+IFERROR(VALUE(MID(D356,IFERROR(SEARCH("h ",D356)+2,1),SEARCH("m",D356)-IFERROR(SEARCH("h ",D356)+2,1))),0)*60+IFERROR(VALUE(MID(D356,IFERROR(SEARCH("m ",D356)+2,IFERROR(SEARCH("h ",D356)+2,1)),SEARCH("s",D356)-IFERROR(SEARCH("m ",D356)+2,IFERROR(SEARCH("h ",D356)+2,1)))),0)</x:f>
        <x:v>2351</x:v>
      </x:c>
      <x:c r="R356" t="str">
        <x:f>IF(P356="","No",IF(COUNTIF('Employee Attendance'!$D$2:$D$670,P356)&gt;0,"Yes","No"))</x:f>
        <x:v>Yes</x:v>
      </x:c>
    </x:row>
    <x:row r="357">
      <x:c r="A357" t="s">
        <x:v>794</x:v>
      </x:c>
      <x:c r="B357" t="s">
        <x:v>3048</x:v>
      </x:c>
      <x:c r="C357" t="s">
        <x:v>2005</x:v>
      </x:c>
      <x:c r="D357" t="s">
        <x:v>3049</x:v>
      </x:c>
      <x:c r="E357" t="s">
        <x:v>797</x:v>
      </x:c>
      <x:c r="F357" t="s">
        <x:v>797</x:v>
      </x:c>
      <x:c r="G357" t="s">
        <x:v>1690</x:v>
      </x:c>
      <x:c r="O357">
        <x:v>1</x:v>
      </x:c>
      <x:c r="P357" t="str">
        <x:f>LOWER(TRIM(SUBSTITUTE(E357,CHAR(160)," ")))</x:f>
        <x:v>maria.amasi@pwc.com</x:v>
      </x:c>
      <x:c r="Q357" t="n">
        <x:f>IFERROR(VALUE(LEFT(D357,SEARCH("h",D357)-1)),0)*3600+IFERROR(VALUE(MID(D357,IFERROR(SEARCH("h ",D357)+2,1),SEARCH("m",D357)-IFERROR(SEARCH("h ",D357)+2,1))),0)*60+IFERROR(VALUE(MID(D357,IFERROR(SEARCH("m ",D357)+2,IFERROR(SEARCH("h ",D357)+2,1)),SEARCH("s",D357)-IFERROR(SEARCH("m ",D357)+2,IFERROR(SEARCH("h ",D357)+2,1)))),0)</x:f>
        <x:v>4060</x:v>
      </x:c>
      <x:c r="R357" t="str">
        <x:f>IF(P357="","No",IF(COUNTIF('Employee Attendance'!$D$2:$D$670,P357)&gt;0,"Yes","No"))</x:f>
        <x:v>Yes</x:v>
      </x:c>
    </x:row>
    <x:row r="358">
      <x:c r="A358" t="s">
        <x:v>3050</x:v>
      </x:c>
      <x:c r="B358" t="s">
        <x:v>3051</x:v>
      </x:c>
      <x:c r="C358" t="s">
        <x:v>1837</x:v>
      </x:c>
      <x:c r="D358" t="s">
        <x:v>3052</x:v>
      </x:c>
      <x:c r="E358" t="s">
        <x:v>3053</x:v>
      </x:c>
      <x:c r="F358" t="s">
        <x:v>3053</x:v>
      </x:c>
      <x:c r="G358" t="s">
        <x:v>1690</x:v>
      </x:c>
      <x:c r="O358">
        <x:v>1</x:v>
      </x:c>
      <x:c r="P358" t="str">
        <x:f>LOWER(TRIM(SUBSTITUTE(E358,CHAR(160)," ")))</x:f>
        <x:v>cynthia.waithaka@pwc.com</x:v>
      </x:c>
      <x:c r="Q358" t="n">
        <x:f>IFERROR(VALUE(LEFT(D358,SEARCH("h",D358)-1)),0)*3600+IFERROR(VALUE(MID(D358,IFERROR(SEARCH("h ",D358)+2,1),SEARCH("m",D358)-IFERROR(SEARCH("h ",D358)+2,1))),0)*60+IFERROR(VALUE(MID(D358,IFERROR(SEARCH("m ",D358)+2,IFERROR(SEARCH("h ",D358)+2,1)),SEARCH("s",D358)-IFERROR(SEARCH("m ",D358)+2,IFERROR(SEARCH("h ",D358)+2,1)))),0)</x:f>
        <x:v>4079</x:v>
      </x:c>
      <x:c r="R358" t="str">
        <x:f>IF(P358="","No",IF(COUNTIF('Employee Attendance'!$D$2:$D$670,P358)&gt;0,"Yes","No"))</x:f>
        <x:v>Yes</x:v>
      </x:c>
    </x:row>
    <x:row r="359">
      <x:c r="A359" t="s">
        <x:v>424</x:v>
      </x:c>
      <x:c r="B359" t="s">
        <x:v>3054</x:v>
      </x:c>
      <x:c r="C359" t="s">
        <x:v>3055</x:v>
      </x:c>
      <x:c r="D359" t="s">
        <x:v>3056</x:v>
      </x:c>
      <x:c r="E359" t="s">
        <x:v>428</x:v>
      </x:c>
      <x:c r="F359" t="s">
        <x:v>428</x:v>
      </x:c>
      <x:c r="G359" t="s">
        <x:v>1690</x:v>
      </x:c>
      <x:c r="P359" t="str">
        <x:f>LOWER(TRIM(SUBSTITUTE(E359,CHAR(160)," ")))</x:f>
        <x:v>candy.kida@pwc.com</x:v>
      </x:c>
      <x:c r="Q359" t="n">
        <x:f>IFERROR(VALUE(LEFT(D359,SEARCH("h",D359)-1)),0)*3600+IFERROR(VALUE(MID(D359,IFERROR(SEARCH("h ",D359)+2,1),SEARCH("m",D359)-IFERROR(SEARCH("h ",D359)+2,1))),0)*60+IFERROR(VALUE(MID(D359,IFERROR(SEARCH("m ",D359)+2,IFERROR(SEARCH("h ",D359)+2,1)),SEARCH("s",D359)-IFERROR(SEARCH("m ",D359)+2,IFERROR(SEARCH("h ",D359)+2,1)))),0)</x:f>
        <x:v>3273</x:v>
      </x:c>
      <x:c r="R359" t="str">
        <x:f>IF(P359="","No",IF(COUNTIF('Employee Attendance'!$D$2:$D$670,P359)&gt;0,"Yes","No"))</x:f>
        <x:v>Yes</x:v>
      </x:c>
    </x:row>
    <x:row r="360">
      <x:c r="A360" t="s">
        <x:v>3057</x:v>
      </x:c>
      <x:c r="B360" t="s">
        <x:v>3058</x:v>
      </x:c>
      <x:c r="C360" t="s">
        <x:v>1683</x:v>
      </x:c>
      <x:c r="D360" t="s">
        <x:v>3059</x:v>
      </x:c>
      <x:c r="E360" t="s">
        <x:v>3060</x:v>
      </x:c>
      <x:c r="F360" t="s">
        <x:v>3060</x:v>
      </x:c>
      <x:c r="G360" t="s">
        <x:v>1690</x:v>
      </x:c>
      <x:c r="P360" t="str">
        <x:f>LOWER(TRIM(SUBSTITUTE(E360,CHAR(160)," ")))</x:f>
        <x:v>maureen.carmagnole@pwc.com</x:v>
      </x:c>
      <x:c r="Q360" t="n">
        <x:f>IFERROR(VALUE(LEFT(D360,SEARCH("h",D360)-1)),0)*3600+IFERROR(VALUE(MID(D360,IFERROR(SEARCH("h ",D360)+2,1),SEARCH("m",D360)-IFERROR(SEARCH("h ",D360)+2,1))),0)*60+IFERROR(VALUE(MID(D360,IFERROR(SEARCH("m ",D360)+2,IFERROR(SEARCH("h ",D360)+2,1)),SEARCH("s",D360)-IFERROR(SEARCH("m ",D360)+2,IFERROR(SEARCH("h ",D360)+2,1)))),0)</x:f>
        <x:v>4041</x:v>
      </x:c>
      <x:c r="R360" t="str">
        <x:f>IF(P360="","No",IF(COUNTIF('Employee Attendance'!$D$2:$D$670,P360)&gt;0,"Yes","No"))</x:f>
        <x:v>Yes</x:v>
      </x:c>
    </x:row>
    <x:row r="361">
      <x:c r="A361" t="s">
        <x:v>3061</x:v>
      </x:c>
      <x:c r="B361" t="s">
        <x:v>3062</x:v>
      </x:c>
      <x:c r="C361" t="s">
        <x:v>3063</x:v>
      </x:c>
      <x:c r="D361" t="s">
        <x:v>3064</x:v>
      </x:c>
      <x:c r="E361" t="s">
        <x:v>3065</x:v>
      </x:c>
      <x:c r="F361" t="s">
        <x:v>3065</x:v>
      </x:c>
      <x:c r="G361" t="s">
        <x:v>1690</x:v>
      </x:c>
      <x:c r="P361" t="str">
        <x:f>LOWER(TRIM(SUBSTITUTE(E361,CHAR(160)," ")))</x:f>
        <x:v>sheila.brelu-brelu@pwc.com</x:v>
      </x:c>
      <x:c r="Q361" t="n">
        <x:f>IFERROR(VALUE(LEFT(D361,SEARCH("h",D361)-1)),0)*3600+IFERROR(VALUE(MID(D361,IFERROR(SEARCH("h ",D361)+2,1),SEARCH("m",D361)-IFERROR(SEARCH("h ",D361)+2,1))),0)*60+IFERROR(VALUE(MID(D361,IFERROR(SEARCH("m ",D361)+2,IFERROR(SEARCH("h ",D361)+2,1)),SEARCH("s",D361)-IFERROR(SEARCH("m ",D361)+2,IFERROR(SEARCH("h ",D361)+2,1)))),0)</x:f>
        <x:v>4619</x:v>
      </x:c>
      <x:c r="R361" t="str">
        <x:f>IF(P361="","No",IF(COUNTIF('Employee Attendance'!$D$2:$D$670,P361)&gt;0,"Yes","No"))</x:f>
        <x:v>Yes</x:v>
      </x:c>
    </x:row>
    <x:row r="362">
      <x:c r="A362" t="s">
        <x:v>3066</x:v>
      </x:c>
      <x:c r="B362" t="s">
        <x:v>3067</x:v>
      </x:c>
      <x:c r="C362" t="s">
        <x:v>1969</x:v>
      </x:c>
      <x:c r="D362" t="s">
        <x:v>3068</x:v>
      </x:c>
      <x:c r="E362" t="s">
        <x:v>3069</x:v>
      </x:c>
      <x:c r="F362" t="s">
        <x:v>3069</x:v>
      </x:c>
      <x:c r="G362" t="s">
        <x:v>1690</x:v>
      </x:c>
      <x:c r="O362">
        <x:v>1</x:v>
      </x:c>
      <x:c r="P362" t="str">
        <x:f>LOWER(TRIM(SUBSTITUTE(E362,CHAR(160)," ")))</x:f>
        <x:v>christina.dinala@pwc.com</x:v>
      </x:c>
      <x:c r="Q362" t="n">
        <x:f>IFERROR(VALUE(LEFT(D362,SEARCH("h",D362)-1)),0)*3600+IFERROR(VALUE(MID(D362,IFERROR(SEARCH("h ",D362)+2,1),SEARCH("m",D362)-IFERROR(SEARCH("h ",D362)+2,1))),0)*60+IFERROR(VALUE(MID(D362,IFERROR(SEARCH("m ",D362)+2,IFERROR(SEARCH("h ",D362)+2,1)),SEARCH("s",D362)-IFERROR(SEARCH("m ",D362)+2,IFERROR(SEARCH("h ",D362)+2,1)))),0)</x:f>
        <x:v>3182</x:v>
      </x:c>
      <x:c r="R362" t="str">
        <x:f>IF(P362="","No",IF(COUNTIF('Employee Attendance'!$D$2:$D$670,P362)&gt;0,"Yes","No"))</x:f>
        <x:v>Yes</x:v>
      </x:c>
    </x:row>
    <x:row r="363">
      <x:c r="A363" t="s">
        <x:v>3070</x:v>
      </x:c>
      <x:c r="B363" t="s">
        <x:v>3071</x:v>
      </x:c>
      <x:c r="C363" t="s">
        <x:v>1802</x:v>
      </x:c>
      <x:c r="D363" t="s">
        <x:v>3072</x:v>
      </x:c>
      <x:c r="E363" t="s">
        <x:v>3073</x:v>
      </x:c>
      <x:c r="F363" t="s">
        <x:v>3073</x:v>
      </x:c>
      <x:c r="G363" t="s">
        <x:v>1690</x:v>
      </x:c>
      <x:c r="P363" t="str">
        <x:f>LOWER(TRIM(SUBSTITUTE(E363,CHAR(160)," ")))</x:f>
        <x:v>edmond.oluoch@pwc.com</x:v>
      </x:c>
      <x:c r="Q363" t="n">
        <x:f>IFERROR(VALUE(LEFT(D363,SEARCH("h",D363)-1)),0)*3600+IFERROR(VALUE(MID(D363,IFERROR(SEARCH("h ",D363)+2,1),SEARCH("m",D363)-IFERROR(SEARCH("h ",D363)+2,1))),0)*60+IFERROR(VALUE(MID(D363,IFERROR(SEARCH("m ",D363)+2,IFERROR(SEARCH("h ",D363)+2,1)),SEARCH("s",D363)-IFERROR(SEARCH("m ",D363)+2,IFERROR(SEARCH("h ",D363)+2,1)))),0)</x:f>
        <x:v>3267</x:v>
      </x:c>
      <x:c r="R363" t="str">
        <x:f>IF(P363="","No",IF(COUNTIF('Employee Attendance'!$D$2:$D$670,P363)&gt;0,"Yes","No"))</x:f>
        <x:v>Yes</x:v>
      </x:c>
    </x:row>
    <x:row r="364">
      <x:c r="A364" t="s">
        <x:v>3074</x:v>
      </x:c>
      <x:c r="B364" t="s">
        <x:v>3075</x:v>
      </x:c>
      <x:c r="C364" t="s">
        <x:v>1969</x:v>
      </x:c>
      <x:c r="D364" t="s">
        <x:v>3076</x:v>
      </x:c>
      <x:c r="E364" t="s">
        <x:v>3077</x:v>
      </x:c>
      <x:c r="F364" t="s">
        <x:v>3077</x:v>
      </x:c>
      <x:c r="G364" t="s">
        <x:v>1690</x:v>
      </x:c>
      <x:c r="P364" t="str">
        <x:f>LOWER(TRIM(SUBSTITUTE(E364,CHAR(160)," ")))</x:f>
        <x:v>noah.tembo@pwc.com</x:v>
      </x:c>
      <x:c r="Q364" t="n">
        <x:f>IFERROR(VALUE(LEFT(D364,SEARCH("h",D364)-1)),0)*3600+IFERROR(VALUE(MID(D364,IFERROR(SEARCH("h ",D364)+2,1),SEARCH("m",D364)-IFERROR(SEARCH("h ",D364)+2,1))),0)*60+IFERROR(VALUE(MID(D364,IFERROR(SEARCH("m ",D364)+2,IFERROR(SEARCH("h ",D364)+2,1)),SEARCH("s",D364)-IFERROR(SEARCH("m ",D364)+2,IFERROR(SEARCH("h ",D364)+2,1)))),0)</x:f>
        <x:v>3856</x:v>
      </x:c>
      <x:c r="R364" t="str">
        <x:f>IF(P364="","No",IF(COUNTIF('Employee Attendance'!$D$2:$D$670,P364)&gt;0,"Yes","No"))</x:f>
        <x:v>Yes</x:v>
      </x:c>
    </x:row>
    <x:row r="365">
      <x:c r="A365" t="s">
        <x:v>203</x:v>
      </x:c>
      <x:c r="B365" t="s">
        <x:v>3078</x:v>
      </x:c>
      <x:c r="C365" t="s">
        <x:v>2467</x:v>
      </x:c>
      <x:c r="D365" t="s">
        <x:v>3079</x:v>
      </x:c>
      <x:c r="E365" t="s">
        <x:v>207</x:v>
      </x:c>
      <x:c r="F365" t="s">
        <x:v>207</x:v>
      </x:c>
      <x:c r="G365" t="s">
        <x:v>1690</x:v>
      </x:c>
      <x:c r="P365" t="str">
        <x:f>LOWER(TRIM(SUBSTITUTE(E365,CHAR(160)," ")))</x:f>
        <x:v>richard.john@pwc.com</x:v>
      </x:c>
      <x:c r="Q365" t="n">
        <x:f>IFERROR(VALUE(LEFT(D365,SEARCH("h",D365)-1)),0)*3600+IFERROR(VALUE(MID(D365,IFERROR(SEARCH("h ",D365)+2,1),SEARCH("m",D365)-IFERROR(SEARCH("h ",D365)+2,1))),0)*60+IFERROR(VALUE(MID(D365,IFERROR(SEARCH("m ",D365)+2,IFERROR(SEARCH("h ",D365)+2,1)),SEARCH("s",D365)-IFERROR(SEARCH("m ",D365)+2,IFERROR(SEARCH("h ",D365)+2,1)))),0)</x:f>
        <x:v>3890</x:v>
      </x:c>
      <x:c r="R365" t="str">
        <x:f>IF(P365="","No",IF(COUNTIF('Employee Attendance'!$D$2:$D$670,P365)&gt;0,"Yes","No"))</x:f>
        <x:v>Yes</x:v>
      </x:c>
    </x:row>
    <x:row r="366">
      <x:c r="A366" t="s">
        <x:v>3080</x:v>
      </x:c>
      <x:c r="B366" t="s">
        <x:v>3081</x:v>
      </x:c>
      <x:c r="C366" t="s">
        <x:v>3082</x:v>
      </x:c>
      <x:c r="D366" t="s">
        <x:v>3083</x:v>
      </x:c>
      <x:c r="E366" t="s">
        <x:v>3084</x:v>
      </x:c>
      <x:c r="F366" t="s">
        <x:v>3084</x:v>
      </x:c>
      <x:c r="G366" t="s">
        <x:v>1690</x:v>
      </x:c>
      <x:c r="P366" t="str">
        <x:f>LOWER(TRIM(SUBSTITUTE(E366,CHAR(160)," ")))</x:f>
        <x:v>ved.bishundat@pwc.com</x:v>
      </x:c>
      <x:c r="Q366" t="n">
        <x:f>IFERROR(VALUE(LEFT(D366,SEARCH("h",D366)-1)),0)*3600+IFERROR(VALUE(MID(D366,IFERROR(SEARCH("h ",D366)+2,1),SEARCH("m",D366)-IFERROR(SEARCH("h ",D366)+2,1))),0)*60+IFERROR(VALUE(MID(D366,IFERROR(SEARCH("m ",D366)+2,IFERROR(SEARCH("h ",D366)+2,1)),SEARCH("s",D366)-IFERROR(SEARCH("m ",D366)+2,IFERROR(SEARCH("h ",D366)+2,1)))),0)</x:f>
        <x:v>2323</x:v>
      </x:c>
      <x:c r="R366" t="str">
        <x:f>IF(P366="","No",IF(COUNTIF('Employee Attendance'!$D$2:$D$670,P366)&gt;0,"Yes","No"))</x:f>
        <x:v>Yes</x:v>
      </x:c>
    </x:row>
    <x:row r="367">
      <x:c r="A367" t="s">
        <x:v>745</x:v>
      </x:c>
      <x:c r="B367" t="s">
        <x:v>3085</x:v>
      </x:c>
      <x:c r="C367" t="s">
        <x:v>3086</x:v>
      </x:c>
      <x:c r="D367" t="s">
        <x:v>3087</x:v>
      </x:c>
      <x:c r="E367" t="s">
        <x:v>748</x:v>
      </x:c>
      <x:c r="F367" t="s">
        <x:v>748</x:v>
      </x:c>
      <x:c r="G367" t="s">
        <x:v>1690</x:v>
      </x:c>
      <x:c r="P367" t="str">
        <x:f>LOWER(TRIM(SUBSTITUTE(E367,CHAR(160)," ")))</x:f>
        <x:v>shriya.seesurrun@pwc.com</x:v>
      </x:c>
      <x:c r="Q367" t="n">
        <x:f>IFERROR(VALUE(LEFT(D367,SEARCH("h",D367)-1)),0)*3600+IFERROR(VALUE(MID(D367,IFERROR(SEARCH("h ",D367)+2,1),SEARCH("m",D367)-IFERROR(SEARCH("h ",D367)+2,1))),0)*60+IFERROR(VALUE(MID(D367,IFERROR(SEARCH("m ",D367)+2,IFERROR(SEARCH("h ",D367)+2,1)),SEARCH("s",D367)-IFERROR(SEARCH("m ",D367)+2,IFERROR(SEARCH("h ",D367)+2,1)))),0)</x:f>
        <x:v>3859</x:v>
      </x:c>
      <x:c r="R367" t="str">
        <x:f>IF(P367="","No",IF(COUNTIF('Employee Attendance'!$D$2:$D$670,P367)&gt;0,"Yes","No"))</x:f>
        <x:v>Yes</x:v>
      </x:c>
    </x:row>
    <x:row r="368">
      <x:c r="A368" t="s">
        <x:v>3088</x:v>
      </x:c>
      <x:c r="B368" t="s">
        <x:v>3089</x:v>
      </x:c>
      <x:c r="C368" t="s">
        <x:v>1894</x:v>
      </x:c>
      <x:c r="D368" t="s">
        <x:v>3090</x:v>
      </x:c>
      <x:c r="E368" t="s">
        <x:v>3091</x:v>
      </x:c>
      <x:c r="F368" t="s">
        <x:v>3091</x:v>
      </x:c>
      <x:c r="G368" t="s">
        <x:v>1690</x:v>
      </x:c>
      <x:c r="O368">
        <x:v>1</x:v>
      </x:c>
      <x:c r="P368" t="str">
        <x:f>LOWER(TRIM(SUBSTITUTE(E368,CHAR(160)," ")))</x:f>
        <x:v>nigel.clint@pwc.com</x:v>
      </x:c>
      <x:c r="Q368" t="n">
        <x:f>IFERROR(VALUE(LEFT(D368,SEARCH("h",D368)-1)),0)*3600+IFERROR(VALUE(MID(D368,IFERROR(SEARCH("h ",D368)+2,1),SEARCH("m",D368)-IFERROR(SEARCH("h ",D368)+2,1))),0)*60+IFERROR(VALUE(MID(D368,IFERROR(SEARCH("m ",D368)+2,IFERROR(SEARCH("h ",D368)+2,1)),SEARCH("s",D368)-IFERROR(SEARCH("m ",D368)+2,IFERROR(SEARCH("h ",D368)+2,1)))),0)</x:f>
        <x:v>3604</x:v>
      </x:c>
      <x:c r="R368" t="str">
        <x:f>IF(P368="","No",IF(COUNTIF('Employee Attendance'!$D$2:$D$670,P368)&gt;0,"Yes","No"))</x:f>
        <x:v>Yes</x:v>
      </x:c>
    </x:row>
    <x:row r="369">
      <x:c r="A369" t="s">
        <x:v>3092</x:v>
      </x:c>
      <x:c r="B369" t="s">
        <x:v>3093</x:v>
      </x:c>
      <x:c r="C369" t="s">
        <x:v>2542</x:v>
      </x:c>
      <x:c r="D369" t="s">
        <x:v>3094</x:v>
      </x:c>
      <x:c r="E369" t="s">
        <x:v>3095</x:v>
      </x:c>
      <x:c r="F369" t="s">
        <x:v>3095</x:v>
      </x:c>
      <x:c r="G369" t="s">
        <x:v>1690</x:v>
      </x:c>
      <x:c r="P369" t="str">
        <x:f>LOWER(TRIM(SUBSTITUTE(E369,CHAR(160)," ")))</x:f>
        <x:v>chiteta.katungu@pwc.com</x:v>
      </x:c>
      <x:c r="Q369" t="n">
        <x:f>IFERROR(VALUE(LEFT(D369,SEARCH("h",D369)-1)),0)*3600+IFERROR(VALUE(MID(D369,IFERROR(SEARCH("h ",D369)+2,1),SEARCH("m",D369)-IFERROR(SEARCH("h ",D369)+2,1))),0)*60+IFERROR(VALUE(MID(D369,IFERROR(SEARCH("m ",D369)+2,IFERROR(SEARCH("h ",D369)+2,1)),SEARCH("s",D369)-IFERROR(SEARCH("m ",D369)+2,IFERROR(SEARCH("h ",D369)+2,1)))),0)</x:f>
        <x:v>3725</x:v>
      </x:c>
      <x:c r="R369" t="str">
        <x:f>IF(P369="","No",IF(COUNTIF('Employee Attendance'!$D$2:$D$670,P369)&gt;0,"Yes","No"))</x:f>
        <x:v>Yes</x:v>
      </x:c>
    </x:row>
    <x:row r="370">
      <x:c r="A370" t="s">
        <x:v>3096</x:v>
      </x:c>
      <x:c r="B370" t="s">
        <x:v>3097</x:v>
      </x:c>
      <x:c r="C370" t="s">
        <x:v>2065</x:v>
      </x:c>
      <x:c r="D370" t="s">
        <x:v>3098</x:v>
      </x:c>
      <x:c r="E370" t="s">
        <x:v>3099</x:v>
      </x:c>
      <x:c r="F370" t="s">
        <x:v>3099</x:v>
      </x:c>
      <x:c r="G370" t="s">
        <x:v>1690</x:v>
      </x:c>
      <x:c r="P370" t="str">
        <x:f>LOWER(TRIM(SUBSTITUTE(E370,CHAR(160)," ")))</x:f>
        <x:v>keshika.k.kasary@pwc.com</x:v>
      </x:c>
      <x:c r="Q370" t="n">
        <x:f>IFERROR(VALUE(LEFT(D370,SEARCH("h",D370)-1)),0)*3600+IFERROR(VALUE(MID(D370,IFERROR(SEARCH("h ",D370)+2,1),SEARCH("m",D370)-IFERROR(SEARCH("h ",D370)+2,1))),0)*60+IFERROR(VALUE(MID(D370,IFERROR(SEARCH("m ",D370)+2,IFERROR(SEARCH("h ",D370)+2,1)),SEARCH("s",D370)-IFERROR(SEARCH("m ",D370)+2,IFERROR(SEARCH("h ",D370)+2,1)))),0)</x:f>
        <x:v>3712</x:v>
      </x:c>
      <x:c r="R370" t="str">
        <x:f>IF(P370="","No",IF(COUNTIF('Employee Attendance'!$D$2:$D$670,P370)&gt;0,"Yes","No"))</x:f>
        <x:v>Yes</x:v>
      </x:c>
    </x:row>
    <x:row r="371">
      <x:c r="A371" t="s">
        <x:v>327</x:v>
      </x:c>
      <x:c r="B371" t="s">
        <x:v>3100</x:v>
      </x:c>
      <x:c r="C371" t="s">
        <x:v>3101</x:v>
      </x:c>
      <x:c r="D371" t="s">
        <x:v>3102</x:v>
      </x:c>
      <x:c r="E371" t="s">
        <x:v>331</x:v>
      </x:c>
      <x:c r="F371" t="s">
        <x:v>331</x:v>
      </x:c>
      <x:c r="G371" t="s">
        <x:v>1690</x:v>
      </x:c>
      <x:c r="P371" t="str">
        <x:f>LOWER(TRIM(SUBSTITUTE(E371,CHAR(160)," ")))</x:f>
        <x:v>esmeralda.kavishe@pwc.com</x:v>
      </x:c>
      <x:c r="Q371" t="n">
        <x:f>IFERROR(VALUE(LEFT(D371,SEARCH("h",D371)-1)),0)*3600+IFERROR(VALUE(MID(D371,IFERROR(SEARCH("h ",D371)+2,1),SEARCH("m",D371)-IFERROR(SEARCH("h ",D371)+2,1))),0)*60+IFERROR(VALUE(MID(D371,IFERROR(SEARCH("m ",D371)+2,IFERROR(SEARCH("h ",D371)+2,1)),SEARCH("s",D371)-IFERROR(SEARCH("m ",D371)+2,IFERROR(SEARCH("h ",D371)+2,1)))),0)</x:f>
        <x:v>3552</x:v>
      </x:c>
      <x:c r="R371" t="str">
        <x:f>IF(P371="","No",IF(COUNTIF('Employee Attendance'!$D$2:$D$670,P371)&gt;0,"Yes","No"))</x:f>
        <x:v>Yes</x:v>
      </x:c>
    </x:row>
    <x:row r="372">
      <x:c r="A372" t="s">
        <x:v>561</x:v>
      </x:c>
      <x:c r="B372" t="s">
        <x:v>3103</x:v>
      </x:c>
      <x:c r="C372" t="s">
        <x:v>2709</x:v>
      </x:c>
      <x:c r="D372" t="s">
        <x:v>3104</x:v>
      </x:c>
      <x:c r="E372" t="s">
        <x:v>565</x:v>
      </x:c>
      <x:c r="F372" t="s">
        <x:v>565</x:v>
      </x:c>
      <x:c r="G372" t="s">
        <x:v>1690</x:v>
      </x:c>
      <x:c r="P372" t="str">
        <x:f>LOWER(TRIM(SUBSTITUTE(E372,CHAR(160)," ")))</x:f>
        <x:v>benedict.odero@pwc.com</x:v>
      </x:c>
      <x:c r="Q372" t="n">
        <x:f>IFERROR(VALUE(LEFT(D372,SEARCH("h",D372)-1)),0)*3600+IFERROR(VALUE(MID(D372,IFERROR(SEARCH("h ",D372)+2,1),SEARCH("m",D372)-IFERROR(SEARCH("h ",D372)+2,1))),0)*60+IFERROR(VALUE(MID(D372,IFERROR(SEARCH("m ",D372)+2,IFERROR(SEARCH("h ",D372)+2,1)),SEARCH("s",D372)-IFERROR(SEARCH("m ",D372)+2,IFERROR(SEARCH("h ",D372)+2,1)))),0)</x:f>
        <x:v>3535</x:v>
      </x:c>
      <x:c r="R372" t="str">
        <x:f>IF(P372="","No",IF(COUNTIF('Employee Attendance'!$D$2:$D$670,P372)&gt;0,"Yes","No"))</x:f>
        <x:v>Yes</x:v>
      </x:c>
    </x:row>
    <x:row r="373">
      <x:c r="A373" t="s">
        <x:v>1334</x:v>
      </x:c>
      <x:c r="B373" t="s">
        <x:v>3105</x:v>
      </x:c>
      <x:c r="C373" t="s">
        <x:v>3106</x:v>
      </x:c>
      <x:c r="D373" t="s">
        <x:v>3107</x:v>
      </x:c>
      <x:c r="E373" t="s">
        <x:v>1337</x:v>
      </x:c>
      <x:c r="F373" t="s">
        <x:v>1337</x:v>
      </x:c>
      <x:c r="G373" t="s">
        <x:v>1690</x:v>
      </x:c>
      <x:c r="O373">
        <x:v>1</x:v>
      </x:c>
      <x:c r="P373" t="str">
        <x:f>LOWER(TRIM(SUBSTITUTE(E373,CHAR(160)," ")))</x:f>
        <x:v>ndana.simataa@pwc.com</x:v>
      </x:c>
      <x:c r="Q373" t="n">
        <x:f>IFERROR(VALUE(LEFT(D373,SEARCH("h",D373)-1)),0)*3600+IFERROR(VALUE(MID(D373,IFERROR(SEARCH("h ",D373)+2,1),SEARCH("m",D373)-IFERROR(SEARCH("h ",D373)+2,1))),0)*60+IFERROR(VALUE(MID(D373,IFERROR(SEARCH("m ",D373)+2,IFERROR(SEARCH("h ",D373)+2,1)),SEARCH("s",D373)-IFERROR(SEARCH("m ",D373)+2,IFERROR(SEARCH("h ",D373)+2,1)))),0)</x:f>
        <x:v>2861</x:v>
      </x:c>
      <x:c r="R373" t="str">
        <x:f>IF(P373="","No",IF(COUNTIF('Employee Attendance'!$D$2:$D$670,P373)&gt;0,"Yes","No"))</x:f>
        <x:v>Yes</x:v>
      </x:c>
    </x:row>
    <x:row r="374">
      <x:c r="A374" t="s">
        <x:v>1215</x:v>
      </x:c>
      <x:c r="B374" t="s">
        <x:v>3108</x:v>
      </x:c>
      <x:c r="C374" t="s">
        <x:v>3109</x:v>
      </x:c>
      <x:c r="D374" t="s">
        <x:v>125</x:v>
      </x:c>
      <x:c r="E374" t="s">
        <x:v>1218</x:v>
      </x:c>
      <x:c r="F374" t="s">
        <x:v>1218</x:v>
      </x:c>
      <x:c r="G374" t="s">
        <x:v>1690</x:v>
      </x:c>
      <x:c r="P374" t="str">
        <x:f>LOWER(TRIM(SUBSTITUTE(E374,CHAR(160)," ")))</x:f>
        <x:v>irene.m.mtebe@pwc.com</x:v>
      </x:c>
      <x:c r="Q374" t="n">
        <x:f>IFERROR(VALUE(LEFT(D374,SEARCH("h",D374)-1)),0)*3600+IFERROR(VALUE(MID(D374,IFERROR(SEARCH("h ",D374)+2,1),SEARCH("m",D374)-IFERROR(SEARCH("h ",D374)+2,1))),0)*60+IFERROR(VALUE(MID(D374,IFERROR(SEARCH("m ",D374)+2,IFERROR(SEARCH("h ",D374)+2,1)),SEARCH("s",D374)-IFERROR(SEARCH("m ",D374)+2,IFERROR(SEARCH("h ",D374)+2,1)))),0)</x:f>
        <x:v>59</x:v>
      </x:c>
      <x:c r="R374" t="str">
        <x:f>IF(P374="","No",IF(COUNTIF('Employee Attendance'!$D$2:$D$670,P374)&gt;0,"Yes","No"))</x:f>
        <x:v>Yes</x:v>
      </x:c>
    </x:row>
    <x:row r="375">
      <x:c r="A375" t="s">
        <x:v>1351</x:v>
      </x:c>
      <x:c r="B375" t="s">
        <x:v>3110</x:v>
      </x:c>
      <x:c r="C375" t="s">
        <x:v>3111</x:v>
      </x:c>
      <x:c r="D375" t="s">
        <x:v>3112</x:v>
      </x:c>
      <x:c r="E375" t="s">
        <x:v>1355</x:v>
      </x:c>
      <x:c r="F375" t="s">
        <x:v>1355</x:v>
      </x:c>
      <x:c r="G375" t="s">
        <x:v>1690</x:v>
      </x:c>
      <x:c r="P375" t="str">
        <x:f>LOWER(TRIM(SUBSTITUTE(E375,CHAR(160)," ")))</x:f>
        <x:v>cyrus.muturi@pwc.com</x:v>
      </x:c>
      <x:c r="Q375" t="n">
        <x:f>IFERROR(VALUE(LEFT(D375,SEARCH("h",D375)-1)),0)*3600+IFERROR(VALUE(MID(D375,IFERROR(SEARCH("h ",D375)+2,1),SEARCH("m",D375)-IFERROR(SEARCH("h ",D375)+2,1))),0)*60+IFERROR(VALUE(MID(D375,IFERROR(SEARCH("m ",D375)+2,IFERROR(SEARCH("h ",D375)+2,1)),SEARCH("s",D375)-IFERROR(SEARCH("m ",D375)+2,IFERROR(SEARCH("h ",D375)+2,1)))),0)</x:f>
        <x:v>665</x:v>
      </x:c>
      <x:c r="R375" t="str">
        <x:f>IF(P375="","No",IF(COUNTIF('Employee Attendance'!$D$2:$D$670,P375)&gt;0,"Yes","No"))</x:f>
        <x:v>Yes</x:v>
      </x:c>
    </x:row>
    <x:row r="376">
      <x:c r="A376" t="s">
        <x:v>3113</x:v>
      </x:c>
      <x:c r="B376" t="s">
        <x:v>3114</x:v>
      </x:c>
      <x:c r="C376" t="s">
        <x:v>2496</x:v>
      </x:c>
      <x:c r="D376" t="s">
        <x:v>3115</x:v>
      </x:c>
      <x:c r="E376" t="s">
        <x:v>3116</x:v>
      </x:c>
      <x:c r="F376" t="s">
        <x:v>3116</x:v>
      </x:c>
      <x:c r="G376" t="s">
        <x:v>1690</x:v>
      </x:c>
      <x:c r="P376" t="str">
        <x:f>LOWER(TRIM(SUBSTITUTE(E376,CHAR(160)," ")))</x:f>
        <x:v>dhatree.langur@pwc.com</x:v>
      </x:c>
      <x:c r="Q376" t="n">
        <x:f>IFERROR(VALUE(LEFT(D376,SEARCH("h",D376)-1)),0)*3600+IFERROR(VALUE(MID(D376,IFERROR(SEARCH("h ",D376)+2,1),SEARCH("m",D376)-IFERROR(SEARCH("h ",D376)+2,1))),0)*60+IFERROR(VALUE(MID(D376,IFERROR(SEARCH("m ",D376)+2,IFERROR(SEARCH("h ",D376)+2,1)),SEARCH("s",D376)-IFERROR(SEARCH("m ",D376)+2,IFERROR(SEARCH("h ",D376)+2,1)))),0)</x:f>
        <x:v>3314</x:v>
      </x:c>
      <x:c r="R376" t="str">
        <x:f>IF(P376="","No",IF(COUNTIF('Employee Attendance'!$D$2:$D$670,P376)&gt;0,"Yes","No"))</x:f>
        <x:v>Yes</x:v>
      </x:c>
    </x:row>
    <x:row r="377">
      <x:c r="A377" t="s">
        <x:v>1127</x:v>
      </x:c>
      <x:c r="B377" t="s">
        <x:v>3117</x:v>
      </x:c>
      <x:c r="C377" t="s">
        <x:v>2920</x:v>
      </x:c>
      <x:c r="D377" t="s">
        <x:v>3118</x:v>
      </x:c>
      <x:c r="E377" t="s">
        <x:v>1130</x:v>
      </x:c>
      <x:c r="F377" t="s">
        <x:v>1130</x:v>
      </x:c>
      <x:c r="G377" t="s">
        <x:v>1690</x:v>
      </x:c>
      <x:c r="P377" t="str">
        <x:f>LOWER(TRIM(SUBSTITUTE(E377,CHAR(160)," ")))</x:f>
        <x:v>taufiq.ishimwe@pwc.com</x:v>
      </x:c>
      <x:c r="Q377" t="n">
        <x:f>IFERROR(VALUE(LEFT(D377,SEARCH("h",D377)-1)),0)*3600+IFERROR(VALUE(MID(D377,IFERROR(SEARCH("h ",D377)+2,1),SEARCH("m",D377)-IFERROR(SEARCH("h ",D377)+2,1))),0)*60+IFERROR(VALUE(MID(D377,IFERROR(SEARCH("m ",D377)+2,IFERROR(SEARCH("h ",D377)+2,1)),SEARCH("s",D377)-IFERROR(SEARCH("m ",D377)+2,IFERROR(SEARCH("h ",D377)+2,1)))),0)</x:f>
        <x:v>3168</x:v>
      </x:c>
      <x:c r="R377" t="str">
        <x:f>IF(P377="","No",IF(COUNTIF('Employee Attendance'!$D$2:$D$670,P377)&gt;0,"Yes","No"))</x:f>
        <x:v>Yes</x:v>
      </x:c>
    </x:row>
    <x:row r="378">
      <x:c r="A378" t="s">
        <x:v>3119</x:v>
      </x:c>
      <x:c r="B378" t="s">
        <x:v>3120</x:v>
      </x:c>
      <x:c r="C378" t="s">
        <x:v>1744</x:v>
      </x:c>
      <x:c r="D378" t="s">
        <x:v>3121</x:v>
      </x:c>
      <x:c r="E378" t="s">
        <x:v>3122</x:v>
      </x:c>
      <x:c r="F378" t="s">
        <x:v>3122</x:v>
      </x:c>
      <x:c r="G378" t="s">
        <x:v>1690</x:v>
      </x:c>
      <x:c r="P378" t="str">
        <x:f>LOWER(TRIM(SUBSTITUTE(E378,CHAR(160)," ")))</x:f>
        <x:v>mwaka.njobvu@pwc.com</x:v>
      </x:c>
      <x:c r="Q378" t="n">
        <x:f>IFERROR(VALUE(LEFT(D378,SEARCH("h",D378)-1)),0)*3600+IFERROR(VALUE(MID(D378,IFERROR(SEARCH("h ",D378)+2,1),SEARCH("m",D378)-IFERROR(SEARCH("h ",D378)+2,1))),0)*60+IFERROR(VALUE(MID(D378,IFERROR(SEARCH("m ",D378)+2,IFERROR(SEARCH("h ",D378)+2,1)),SEARCH("s",D378)-IFERROR(SEARCH("m ",D378)+2,IFERROR(SEARCH("h ",D378)+2,1)))),0)</x:f>
        <x:v>3154</x:v>
      </x:c>
      <x:c r="R378" t="str">
        <x:f>IF(P378="","No",IF(COUNTIF('Employee Attendance'!$D$2:$D$670,P378)&gt;0,"Yes","No"))</x:f>
        <x:v>Yes</x:v>
      </x:c>
    </x:row>
    <x:row r="379">
      <x:c r="A379" t="s">
        <x:v>3123</x:v>
      </x:c>
      <x:c r="B379" t="s">
        <x:v>3124</x:v>
      </x:c>
      <x:c r="C379" t="s">
        <x:v>2147</x:v>
      </x:c>
      <x:c r="D379" t="s">
        <x:v>3125</x:v>
      </x:c>
      <x:c r="E379" t="s">
        <x:v>3126</x:v>
      </x:c>
      <x:c r="F379" t="s">
        <x:v>3126</x:v>
      </x:c>
      <x:c r="G379" t="s">
        <x:v>1690</x:v>
      </x:c>
      <x:c r="P379" t="str">
        <x:f>LOWER(TRIM(SUBSTITUTE(E379,CHAR(160)," ")))</x:f>
        <x:v>chilufya.mwansa@pwc.com</x:v>
      </x:c>
      <x:c r="Q379" t="n">
        <x:f>IFERROR(VALUE(LEFT(D379,SEARCH("h",D379)-1)),0)*3600+IFERROR(VALUE(MID(D379,IFERROR(SEARCH("h ",D379)+2,1),SEARCH("m",D379)-IFERROR(SEARCH("h ",D379)+2,1))),0)*60+IFERROR(VALUE(MID(D379,IFERROR(SEARCH("m ",D379)+2,IFERROR(SEARCH("h ",D379)+2,1)),SEARCH("s",D379)-IFERROR(SEARCH("m ",D379)+2,IFERROR(SEARCH("h ",D379)+2,1)))),0)</x:f>
        <x:v>3138</x:v>
      </x:c>
      <x:c r="R379" t="str">
        <x:f>IF(P379="","No",IF(COUNTIF('Employee Attendance'!$D$2:$D$670,P379)&gt;0,"Yes","No"))</x:f>
        <x:v>Yes</x:v>
      </x:c>
    </x:row>
    <x:row r="380">
      <x:c r="A380" t="s">
        <x:v>3127</x:v>
      </x:c>
      <x:c r="B380" t="s">
        <x:v>3128</x:v>
      </x:c>
      <x:c r="C380" t="s">
        <x:v>1851</x:v>
      </x:c>
      <x:c r="D380" t="s">
        <x:v>3129</x:v>
      </x:c>
      <x:c r="E380" t="s">
        <x:v>3130</x:v>
      </x:c>
      <x:c r="F380" t="s">
        <x:v>3130</x:v>
      </x:c>
      <x:c r="G380" t="s">
        <x:v>1690</x:v>
      </x:c>
      <x:c r="P380" t="str">
        <x:f>LOWER(TRIM(SUBSTITUTE(E380,CHAR(160)," ")))</x:f>
        <x:v>grace.namatovu@pwc.com</x:v>
      </x:c>
      <x:c r="Q380" t="n">
        <x:f>IFERROR(VALUE(LEFT(D380,SEARCH("h",D380)-1)),0)*3600+IFERROR(VALUE(MID(D380,IFERROR(SEARCH("h ",D380)+2,1),SEARCH("m",D380)-IFERROR(SEARCH("h ",D380)+2,1))),0)*60+IFERROR(VALUE(MID(D380,IFERROR(SEARCH("m ",D380)+2,IFERROR(SEARCH("h ",D380)+2,1)),SEARCH("s",D380)-IFERROR(SEARCH("m ",D380)+2,IFERROR(SEARCH("h ",D380)+2,1)))),0)</x:f>
        <x:v>3117</x:v>
      </x:c>
      <x:c r="R380" t="str">
        <x:f>IF(P380="","No",IF(COUNTIF('Employee Attendance'!$D$2:$D$670,P380)&gt;0,"Yes","No"))</x:f>
        <x:v>Yes</x:v>
      </x:c>
    </x:row>
    <x:row r="381">
      <x:c r="A381" t="s">
        <x:v>3131</x:v>
      </x:c>
      <x:c r="B381" t="s">
        <x:v>3132</x:v>
      </x:c>
      <x:c r="C381" t="s">
        <x:v>1802</x:v>
      </x:c>
      <x:c r="D381" t="s">
        <x:v>3133</x:v>
      </x:c>
      <x:c r="E381" t="s">
        <x:v>3134</x:v>
      </x:c>
      <x:c r="F381" t="s">
        <x:v>3134</x:v>
      </x:c>
      <x:c r="G381" t="s">
        <x:v>1690</x:v>
      </x:c>
      <x:c r="P381" t="str">
        <x:f>LOWER(TRIM(SUBSTITUTE(E381,CHAR(160)," ")))</x:f>
        <x:v>washington.ochako@pwc.com</x:v>
      </x:c>
      <x:c r="Q381" t="n">
        <x:f>IFERROR(VALUE(LEFT(D381,SEARCH("h",D381)-1)),0)*3600+IFERROR(VALUE(MID(D381,IFERROR(SEARCH("h ",D381)+2,1),SEARCH("m",D381)-IFERROR(SEARCH("h ",D381)+2,1))),0)*60+IFERROR(VALUE(MID(D381,IFERROR(SEARCH("m ",D381)+2,IFERROR(SEARCH("h ",D381)+2,1)),SEARCH("s",D381)-IFERROR(SEARCH("m ",D381)+2,IFERROR(SEARCH("h ",D381)+2,1)))),0)</x:f>
        <x:v>3112</x:v>
      </x:c>
      <x:c r="R381" t="str">
        <x:f>IF(P381="","No",IF(COUNTIF('Employee Attendance'!$D$2:$D$670,P381)&gt;0,"Yes","No"))</x:f>
        <x:v>Yes</x:v>
      </x:c>
    </x:row>
    <x:row r="382">
      <x:c r="A382" t="s">
        <x:v>1185</x:v>
      </x:c>
      <x:c r="B382" t="s">
        <x:v>3135</x:v>
      </x:c>
      <x:c r="C382" t="s">
        <x:v>1873</x:v>
      </x:c>
      <x:c r="D382" t="s">
        <x:v>3136</x:v>
      </x:c>
      <x:c r="E382" t="s">
        <x:v>1189</x:v>
      </x:c>
      <x:c r="F382" t="s">
        <x:v>1189</x:v>
      </x:c>
      <x:c r="G382" t="s">
        <x:v>1690</x:v>
      </x:c>
      <x:c r="P382" t="str">
        <x:f>LOWER(TRIM(SUBSTITUTE(E382,CHAR(160)," ")))</x:f>
        <x:v>linet.muthii@pwc.com</x:v>
      </x:c>
      <x:c r="Q382" t="n">
        <x:f>IFERROR(VALUE(LEFT(D382,SEARCH("h",D382)-1)),0)*3600+IFERROR(VALUE(MID(D382,IFERROR(SEARCH("h ",D382)+2,1),SEARCH("m",D382)-IFERROR(SEARCH("h ",D382)+2,1))),0)*60+IFERROR(VALUE(MID(D382,IFERROR(SEARCH("m ",D382)+2,IFERROR(SEARCH("h ",D382)+2,1)),SEARCH("s",D382)-IFERROR(SEARCH("m ",D382)+2,IFERROR(SEARCH("h ",D382)+2,1)))),0)</x:f>
        <x:v>3002</x:v>
      </x:c>
      <x:c r="R382" t="str">
        <x:f>IF(P382="","No",IF(COUNTIF('Employee Attendance'!$D$2:$D$670,P382)&gt;0,"Yes","No"))</x:f>
        <x:v>Yes</x:v>
      </x:c>
    </x:row>
    <x:row r="383">
      <x:c r="A383" t="s">
        <x:v>3137</x:v>
      </x:c>
      <x:c r="B383" t="s">
        <x:v>3138</x:v>
      </x:c>
      <x:c r="C383" t="s">
        <x:v>1698</x:v>
      </x:c>
      <x:c r="D383" t="s">
        <x:v>3139</x:v>
      </x:c>
      <x:c r="E383" t="s">
        <x:v>3140</x:v>
      </x:c>
      <x:c r="F383" t="s">
        <x:v>3140</x:v>
      </x:c>
      <x:c r="G383" t="s">
        <x:v>1690</x:v>
      </x:c>
      <x:c r="P383" t="str">
        <x:f>LOWER(TRIM(SUBSTITUTE(E383,CHAR(160)," ")))</x:f>
        <x:v>perday.sardes@pwc.com</x:v>
      </x:c>
      <x:c r="Q383" t="n">
        <x:f>IFERROR(VALUE(LEFT(D383,SEARCH("h",D383)-1)),0)*3600+IFERROR(VALUE(MID(D383,IFERROR(SEARCH("h ",D383)+2,1),SEARCH("m",D383)-IFERROR(SEARCH("h ",D383)+2,1))),0)*60+IFERROR(VALUE(MID(D383,IFERROR(SEARCH("m ",D383)+2,IFERROR(SEARCH("h ",D383)+2,1)),SEARCH("s",D383)-IFERROR(SEARCH("m ",D383)+2,IFERROR(SEARCH("h ",D383)+2,1)))),0)</x:f>
        <x:v>2908</x:v>
      </x:c>
      <x:c r="R383" t="str">
        <x:f>IF(P383="","No",IF(COUNTIF('Employee Attendance'!$D$2:$D$670,P383)&gt;0,"Yes","No"))</x:f>
        <x:v>Yes</x:v>
      </x:c>
    </x:row>
    <x:row r="384">
      <x:c r="A384" t="s">
        <x:v>3141</x:v>
      </x:c>
      <x:c r="B384" t="s">
        <x:v>3142</x:v>
      </x:c>
      <x:c r="C384" t="s">
        <x:v>1698</x:v>
      </x:c>
      <x:c r="D384" t="s">
        <x:v>3143</x:v>
      </x:c>
      <x:c r="E384" t="s">
        <x:v>3144</x:v>
      </x:c>
      <x:c r="F384" t="s">
        <x:v>3144</x:v>
      </x:c>
      <x:c r="G384" t="s">
        <x:v>1690</x:v>
      </x:c>
      <x:c r="P384" t="str">
        <x:f>LOWER(TRIM(SUBSTITUTE(E384,CHAR(160)," ")))</x:f>
        <x:v>nelly.muriungi@pwc.com</x:v>
      </x:c>
      <x:c r="Q384" t="n">
        <x:f>IFERROR(VALUE(LEFT(D384,SEARCH("h",D384)-1)),0)*3600+IFERROR(VALUE(MID(D384,IFERROR(SEARCH("h ",D384)+2,1),SEARCH("m",D384)-IFERROR(SEARCH("h ",D384)+2,1))),0)*60+IFERROR(VALUE(MID(D384,IFERROR(SEARCH("m ",D384)+2,IFERROR(SEARCH("h ",D384)+2,1)),SEARCH("s",D384)-IFERROR(SEARCH("m ",D384)+2,IFERROR(SEARCH("h ",D384)+2,1)))),0)</x:f>
        <x:v>2089</x:v>
      </x:c>
      <x:c r="R384" t="str">
        <x:f>IF(P384="","No",IF(COUNTIF('Employee Attendance'!$D$2:$D$670,P384)&gt;0,"Yes","No"))</x:f>
        <x:v>Yes</x:v>
      </x:c>
    </x:row>
    <x:row r="385">
      <x:c r="A385" t="s">
        <x:v>916</x:v>
      </x:c>
      <x:c r="B385" t="s">
        <x:v>3145</x:v>
      </x:c>
      <x:c r="C385" t="s">
        <x:v>1687</x:v>
      </x:c>
      <x:c r="D385" t="s">
        <x:v>3146</x:v>
      </x:c>
      <x:c r="E385" t="s">
        <x:v>920</x:v>
      </x:c>
      <x:c r="F385" t="s">
        <x:v>920</x:v>
      </x:c>
      <x:c r="G385" t="s">
        <x:v>1690</x:v>
      </x:c>
      <x:c r="O385">
        <x:v>1</x:v>
      </x:c>
      <x:c r="P385" t="str">
        <x:f>LOWER(TRIM(SUBSTITUTE(E385,CHAR(160)," ")))</x:f>
        <x:v>mary.juma@pwc.com</x:v>
      </x:c>
      <x:c r="Q385" t="n">
        <x:f>IFERROR(VALUE(LEFT(D385,SEARCH("h",D385)-1)),0)*3600+IFERROR(VALUE(MID(D385,IFERROR(SEARCH("h ",D385)+2,1),SEARCH("m",D385)-IFERROR(SEARCH("h ",D385)+2,1))),0)*60+IFERROR(VALUE(MID(D385,IFERROR(SEARCH("m ",D385)+2,IFERROR(SEARCH("h ",D385)+2,1)),SEARCH("s",D385)-IFERROR(SEARCH("m ",D385)+2,IFERROR(SEARCH("h ",D385)+2,1)))),0)</x:f>
        <x:v>2858</x:v>
      </x:c>
      <x:c r="R385" t="str">
        <x:f>IF(P385="","No",IF(COUNTIF('Employee Attendance'!$D$2:$D$670,P385)&gt;0,"Yes","No"))</x:f>
        <x:v>Yes</x:v>
      </x:c>
    </x:row>
    <x:row r="386">
      <x:c r="A386" t="s">
        <x:v>3147</x:v>
      </x:c>
      <x:c r="B386" t="s">
        <x:v>3148</x:v>
      </x:c>
      <x:c r="C386" t="s">
        <x:v>1889</x:v>
      </x:c>
      <x:c r="D386" t="s">
        <x:v>3149</x:v>
      </x:c>
      <x:c r="E386" t="s">
        <x:v>3150</x:v>
      </x:c>
      <x:c r="F386" t="s">
        <x:v>3150</x:v>
      </x:c>
      <x:c r="G386" t="s">
        <x:v>1690</x:v>
      </x:c>
      <x:c r="P386" t="str">
        <x:f>LOWER(TRIM(SUBSTITUTE(E386,CHAR(160)," ")))</x:f>
        <x:v>anold.ngoli@pwc.com</x:v>
      </x:c>
      <x:c r="Q386" t="n">
        <x:f>IFERROR(VALUE(LEFT(D386,SEARCH("h",D386)-1)),0)*3600+IFERROR(VALUE(MID(D386,IFERROR(SEARCH("h ",D386)+2,1),SEARCH("m",D386)-IFERROR(SEARCH("h ",D386)+2,1))),0)*60+IFERROR(VALUE(MID(D386,IFERROR(SEARCH("m ",D386)+2,IFERROR(SEARCH("h ",D386)+2,1)),SEARCH("s",D386)-IFERROR(SEARCH("m ",D386)+2,IFERROR(SEARCH("h ",D386)+2,1)))),0)</x:f>
        <x:v>2847</x:v>
      </x:c>
      <x:c r="R386" t="str">
        <x:f>IF(P386="","No",IF(COUNTIF('Employee Attendance'!$D$2:$D$670,P386)&gt;0,"Yes","No"))</x:f>
        <x:v>Yes</x:v>
      </x:c>
    </x:row>
    <x:row r="387">
      <x:c r="A387" t="s">
        <x:v>949</x:v>
      </x:c>
      <x:c r="B387" t="s">
        <x:v>3151</x:v>
      </x:c>
      <x:c r="C387" t="s">
        <x:v>3152</x:v>
      </x:c>
      <x:c r="D387" t="s">
        <x:v>3153</x:v>
      </x:c>
      <x:c r="E387" t="s">
        <x:v>953</x:v>
      </x:c>
      <x:c r="F387" t="s">
        <x:v>953</x:v>
      </x:c>
      <x:c r="G387" t="s">
        <x:v>1690</x:v>
      </x:c>
      <x:c r="P387" t="str">
        <x:f>LOWER(TRIM(SUBSTITUTE(E387,CHAR(160)," ")))</x:f>
        <x:v>tamandani.mwalusaka@pwc.com</x:v>
      </x:c>
      <x:c r="Q387" t="n">
        <x:f>IFERROR(VALUE(LEFT(D387,SEARCH("h",D387)-1)),0)*3600+IFERROR(VALUE(MID(D387,IFERROR(SEARCH("h ",D387)+2,1),SEARCH("m",D387)-IFERROR(SEARCH("h ",D387)+2,1))),0)*60+IFERROR(VALUE(MID(D387,IFERROR(SEARCH("m ",D387)+2,IFERROR(SEARCH("h ",D387)+2,1)),SEARCH("s",D387)-IFERROR(SEARCH("m ",D387)+2,IFERROR(SEARCH("h ",D387)+2,1)))),0)</x:f>
        <x:v>3165</x:v>
      </x:c>
      <x:c r="R387" t="str">
        <x:f>IF(P387="","No",IF(COUNTIF('Employee Attendance'!$D$2:$D$670,P387)&gt;0,"Yes","No"))</x:f>
        <x:v>Yes</x:v>
      </x:c>
    </x:row>
    <x:row r="388">
      <x:c r="A388" t="s">
        <x:v>3154</x:v>
      </x:c>
      <x:c r="B388" t="s">
        <x:v>3155</x:v>
      </x:c>
      <x:c r="C388" t="s">
        <x:v>3156</x:v>
      </x:c>
      <x:c r="D388" t="s">
        <x:v>3157</x:v>
      </x:c>
      <x:c r="E388" t="s">
        <x:v>3158</x:v>
      </x:c>
      <x:c r="F388" t="s">
        <x:v>3158</x:v>
      </x:c>
      <x:c r="G388" t="s">
        <x:v>1690</x:v>
      </x:c>
      <x:c r="O388">
        <x:v>1</x:v>
      </x:c>
      <x:c r="P388" t="str">
        <x:f>LOWER(TRIM(SUBSTITUTE(E388,CHAR(160)," ")))</x:f>
        <x:v>pritika.roy@pwc.com</x:v>
      </x:c>
      <x:c r="Q388" t="n">
        <x:f>IFERROR(VALUE(LEFT(D388,SEARCH("h",D388)-1)),0)*3600+IFERROR(VALUE(MID(D388,IFERROR(SEARCH("h ",D388)+2,1),SEARCH("m",D388)-IFERROR(SEARCH("h ",D388)+2,1))),0)*60+IFERROR(VALUE(MID(D388,IFERROR(SEARCH("m ",D388)+2,IFERROR(SEARCH("h ",D388)+2,1)),SEARCH("s",D388)-IFERROR(SEARCH("m ",D388)+2,IFERROR(SEARCH("h ",D388)+2,1)))),0)</x:f>
        <x:v>5176</x:v>
      </x:c>
      <x:c r="R388" t="str">
        <x:f>IF(P388="","No",IF(COUNTIF('Employee Attendance'!$D$2:$D$670,P388)&gt;0,"Yes","No"))</x:f>
        <x:v>Yes</x:v>
      </x:c>
    </x:row>
    <x:row r="389">
      <x:c r="A389" t="s">
        <x:v>1310</x:v>
      </x:c>
      <x:c r="B389" t="s">
        <x:v>3159</x:v>
      </x:c>
      <x:c r="C389" t="s">
        <x:v>2046</x:v>
      </x:c>
      <x:c r="D389" t="s">
        <x:v>3160</x:v>
      </x:c>
      <x:c r="E389" t="s">
        <x:v>1314</x:v>
      </x:c>
      <x:c r="F389" t="s">
        <x:v>1314</x:v>
      </x:c>
      <x:c r="G389" t="s">
        <x:v>1690</x:v>
      </x:c>
      <x:c r="P389" t="str">
        <x:f>LOWER(TRIM(SUBSTITUTE(E389,CHAR(160)," ")))</x:f>
        <x:v>davidson.a.ringo@pwc.com</x:v>
      </x:c>
      <x:c r="Q389" t="n">
        <x:f>IFERROR(VALUE(LEFT(D389,SEARCH("h",D389)-1)),0)*3600+IFERROR(VALUE(MID(D389,IFERROR(SEARCH("h ",D389)+2,1),SEARCH("m",D389)-IFERROR(SEARCH("h ",D389)+2,1))),0)*60+IFERROR(VALUE(MID(D389,IFERROR(SEARCH("m ",D389)+2,IFERROR(SEARCH("h ",D389)+2,1)),SEARCH("s",D389)-IFERROR(SEARCH("m ",D389)+2,IFERROR(SEARCH("h ",D389)+2,1)))),0)</x:f>
        <x:v>2257</x:v>
      </x:c>
      <x:c r="R389" t="str">
        <x:f>IF(P389="","No",IF(COUNTIF('Employee Attendance'!$D$2:$D$670,P389)&gt;0,"Yes","No"))</x:f>
        <x:v>Yes</x:v>
      </x:c>
    </x:row>
    <x:row r="390">
      <x:c r="A390" t="s">
        <x:v>3161</x:v>
      </x:c>
      <x:c r="B390" t="s">
        <x:v>3162</x:v>
      </x:c>
      <x:c r="C390" t="s">
        <x:v>3163</x:v>
      </x:c>
      <x:c r="D390" t="s">
        <x:v>3164</x:v>
      </x:c>
      <x:c r="E390" t="s">
        <x:v>3165</x:v>
      </x:c>
      <x:c r="F390" t="s">
        <x:v>3165</x:v>
      </x:c>
      <x:c r="G390" t="s">
        <x:v>1690</x:v>
      </x:c>
      <x:c r="P390" t="str">
        <x:f>LOWER(TRIM(SUBSTITUTE(E390,CHAR(160)," ")))</x:f>
        <x:v>mulenga.chileshe@pwc.com</x:v>
      </x:c>
      <x:c r="Q390" t="n">
        <x:f>IFERROR(VALUE(LEFT(D390,SEARCH("h",D390)-1)),0)*3600+IFERROR(VALUE(MID(D390,IFERROR(SEARCH("h ",D390)+2,1),SEARCH("m",D390)-IFERROR(SEARCH("h ",D390)+2,1))),0)*60+IFERROR(VALUE(MID(D390,IFERROR(SEARCH("m ",D390)+2,IFERROR(SEARCH("h ",D390)+2,1)),SEARCH("s",D390)-IFERROR(SEARCH("m ",D390)+2,IFERROR(SEARCH("h ",D390)+2,1)))),0)</x:f>
        <x:v>1794</x:v>
      </x:c>
      <x:c r="R390" t="str">
        <x:f>IF(P390="","No",IF(COUNTIF('Employee Attendance'!$D$2:$D$670,P390)&gt;0,"Yes","No"))</x:f>
        <x:v>Yes</x:v>
      </x:c>
    </x:row>
    <x:row r="391">
      <x:c r="A391" t="s">
        <x:v>3166</x:v>
      </x:c>
      <x:c r="B391" t="s">
        <x:v>3167</x:v>
      </x:c>
      <x:c r="C391" t="s">
        <x:v>1998</x:v>
      </x:c>
      <x:c r="D391" t="s">
        <x:v>3168</x:v>
      </x:c>
      <x:c r="E391" t="s">
        <x:v>3169</x:v>
      </x:c>
      <x:c r="F391" t="s">
        <x:v>3169</x:v>
      </x:c>
      <x:c r="G391" t="s">
        <x:v>1690</x:v>
      </x:c>
      <x:c r="P391" t="str">
        <x:f>LOWER(TRIM(SUBSTITUTE(E391,CHAR(160)," ")))</x:f>
        <x:v>patricia.kavuma@pwc.com</x:v>
      </x:c>
      <x:c r="Q391" t="n">
        <x:f>IFERROR(VALUE(LEFT(D391,SEARCH("h",D391)-1)),0)*3600+IFERROR(VALUE(MID(D391,IFERROR(SEARCH("h ",D391)+2,1),SEARCH("m",D391)-IFERROR(SEARCH("h ",D391)+2,1))),0)*60+IFERROR(VALUE(MID(D391,IFERROR(SEARCH("m ",D391)+2,IFERROR(SEARCH("h ",D391)+2,1)),SEARCH("s",D391)-IFERROR(SEARCH("m ",D391)+2,IFERROR(SEARCH("h ",D391)+2,1)))),0)</x:f>
        <x:v>2580</x:v>
      </x:c>
      <x:c r="R391" t="str">
        <x:f>IF(P391="","No",IF(COUNTIF('Employee Attendance'!$D$2:$D$670,P391)&gt;0,"Yes","No"))</x:f>
        <x:v>Yes</x:v>
      </x:c>
    </x:row>
    <x:row r="392">
      <x:c r="A392" t="s">
        <x:v>3170</x:v>
      </x:c>
      <x:c r="B392" t="s">
        <x:v>3171</x:v>
      </x:c>
      <x:c r="C392" t="s">
        <x:v>1687</x:v>
      </x:c>
      <x:c r="D392" t="s">
        <x:v>3172</x:v>
      </x:c>
      <x:c r="E392" t="s">
        <x:v>3173</x:v>
      </x:c>
      <x:c r="F392" t="s">
        <x:v>3173</x:v>
      </x:c>
      <x:c r="G392" t="s">
        <x:v>1690</x:v>
      </x:c>
      <x:c r="P392" t="str">
        <x:f>LOWER(TRIM(SUBSTITUTE(E392,CHAR(160)," ")))</x:f>
        <x:v>blessed.moinket@pwc.com</x:v>
      </x:c>
      <x:c r="Q392" t="n">
        <x:f>IFERROR(VALUE(LEFT(D392,SEARCH("h",D392)-1)),0)*3600+IFERROR(VALUE(MID(D392,IFERROR(SEARCH("h ",D392)+2,1),SEARCH("m",D392)-IFERROR(SEARCH("h ",D392)+2,1))),0)*60+IFERROR(VALUE(MID(D392,IFERROR(SEARCH("m ",D392)+2,IFERROR(SEARCH("h ",D392)+2,1)),SEARCH("s",D392)-IFERROR(SEARCH("m ",D392)+2,IFERROR(SEARCH("h ",D392)+2,1)))),0)</x:f>
        <x:v>2477</x:v>
      </x:c>
      <x:c r="R392" t="str">
        <x:f>IF(P392="","No",IF(COUNTIF('Employee Attendance'!$D$2:$D$670,P392)&gt;0,"Yes","No"))</x:f>
        <x:v>Yes</x:v>
      </x:c>
    </x:row>
    <x:row r="393">
      <x:c r="A393" t="s">
        <x:v>3174</x:v>
      </x:c>
      <x:c r="B393" t="s">
        <x:v>3175</x:v>
      </x:c>
      <x:c r="C393" t="s">
        <x:v>2636</x:v>
      </x:c>
      <x:c r="D393" t="s">
        <x:v>3176</x:v>
      </x:c>
      <x:c r="E393" t="s">
        <x:v>3177</x:v>
      </x:c>
      <x:c r="F393" t="s">
        <x:v>3177</x:v>
      </x:c>
      <x:c r="G393" t="s">
        <x:v>1690</x:v>
      </x:c>
      <x:c r="O393">
        <x:v>1</x:v>
      </x:c>
      <x:c r="P393" t="str">
        <x:f>LOWER(TRIM(SUBSTITUTE(E393,CHAR(160)," ")))</x:f>
        <x:v>felix.katongo@pwc.com</x:v>
      </x:c>
      <x:c r="Q393" t="n">
        <x:f>IFERROR(VALUE(LEFT(D393,SEARCH("h",D393)-1)),0)*3600+IFERROR(VALUE(MID(D393,IFERROR(SEARCH("h ",D393)+2,1),SEARCH("m",D393)-IFERROR(SEARCH("h ",D393)+2,1))),0)*60+IFERROR(VALUE(MID(D393,IFERROR(SEARCH("m ",D393)+2,IFERROR(SEARCH("h ",D393)+2,1)),SEARCH("s",D393)-IFERROR(SEARCH("m ",D393)+2,IFERROR(SEARCH("h ",D393)+2,1)))),0)</x:f>
        <x:v>2310</x:v>
      </x:c>
      <x:c r="R393" t="str">
        <x:f>IF(P393="","No",IF(COUNTIF('Employee Attendance'!$D$2:$D$670,P393)&gt;0,"Yes","No"))</x:f>
        <x:v>Yes</x:v>
      </x:c>
    </x:row>
    <x:row r="394">
      <x:c r="A394" t="s">
        <x:v>1228</x:v>
      </x:c>
      <x:c r="B394" t="s">
        <x:v>3178</x:v>
      </x:c>
      <x:c r="C394" t="s">
        <x:v>3179</x:v>
      </x:c>
      <x:c r="D394" t="s">
        <x:v>3180</x:v>
      </x:c>
      <x:c r="E394" t="s">
        <x:v>1232</x:v>
      </x:c>
      <x:c r="F394" t="s">
        <x:v>1232</x:v>
      </x:c>
      <x:c r="G394" t="s">
        <x:v>1690</x:v>
      </x:c>
      <x:c r="P394" t="str">
        <x:f>LOWER(TRIM(SUBSTITUTE(E394,CHAR(160)," ")))</x:f>
        <x:v>peter.placid@pwc.com</x:v>
      </x:c>
      <x:c r="Q394" t="n">
        <x:f>IFERROR(VALUE(LEFT(D394,SEARCH("h",D394)-1)),0)*3600+IFERROR(VALUE(MID(D394,IFERROR(SEARCH("h ",D394)+2,1),SEARCH("m",D394)-IFERROR(SEARCH("h ",D394)+2,1))),0)*60+IFERROR(VALUE(MID(D394,IFERROR(SEARCH("m ",D394)+2,IFERROR(SEARCH("h ",D394)+2,1)),SEARCH("s",D394)-IFERROR(SEARCH("m ",D394)+2,IFERROR(SEARCH("h ",D394)+2,1)))),0)</x:f>
        <x:v>2186</x:v>
      </x:c>
      <x:c r="R394" t="str">
        <x:f>IF(P394="","No",IF(COUNTIF('Employee Attendance'!$D$2:$D$670,P394)&gt;0,"Yes","No"))</x:f>
        <x:v>Yes</x:v>
      </x:c>
    </x:row>
    <x:row r="395">
      <x:c r="A395" t="s">
        <x:v>771</x:v>
      </x:c>
      <x:c r="B395" t="s">
        <x:v>3181</x:v>
      </x:c>
      <x:c r="C395" t="s">
        <x:v>1698</x:v>
      </x:c>
      <x:c r="D395" t="s">
        <x:v>3182</x:v>
      </x:c>
      <x:c r="E395" t="s">
        <x:v>775</x:v>
      </x:c>
      <x:c r="F395" t="s">
        <x:v>775</x:v>
      </x:c>
      <x:c r="G395" t="s">
        <x:v>1690</x:v>
      </x:c>
      <x:c r="P395" t="str">
        <x:f>LOWER(TRIM(SUBSTITUTE(E395,CHAR(160)," ")))</x:f>
        <x:v>lucy.thuo@pwc.com</x:v>
      </x:c>
      <x:c r="Q395" t="n">
        <x:f>IFERROR(VALUE(LEFT(D395,SEARCH("h",D395)-1)),0)*3600+IFERROR(VALUE(MID(D395,IFERROR(SEARCH("h ",D395)+2,1),SEARCH("m",D395)-IFERROR(SEARCH("h ",D395)+2,1))),0)*60+IFERROR(VALUE(MID(D395,IFERROR(SEARCH("m ",D395)+2,IFERROR(SEARCH("h ",D395)+2,1)),SEARCH("s",D395)-IFERROR(SEARCH("m ",D395)+2,IFERROR(SEARCH("h ",D395)+2,1)))),0)</x:f>
        <x:v>1845</x:v>
      </x:c>
      <x:c r="R395" t="str">
        <x:f>IF(P395="","No",IF(COUNTIF('Employee Attendance'!$D$2:$D$670,P395)&gt;0,"Yes","No"))</x:f>
        <x:v>Yes</x:v>
      </x:c>
    </x:row>
    <x:row r="396">
      <x:c r="A396" t="s">
        <x:v>3183</x:v>
      </x:c>
      <x:c r="B396" t="s">
        <x:v>3184</x:v>
      </x:c>
      <x:c r="C396" t="s">
        <x:v>1851</x:v>
      </x:c>
      <x:c r="D396" t="s">
        <x:v>3185</x:v>
      </x:c>
      <x:c r="E396" t="s">
        <x:v>3186</x:v>
      </x:c>
      <x:c r="F396" t="s">
        <x:v>3186</x:v>
      </x:c>
      <x:c r="G396" t="s">
        <x:v>1690</x:v>
      </x:c>
      <x:c r="O396">
        <x:v>2</x:v>
      </x:c>
      <x:c r="P396" t="str">
        <x:f>LOWER(TRIM(SUBSTITUTE(E396,CHAR(160)," ")))</x:f>
        <x:v>raphael.ochieng@pwc.com</x:v>
      </x:c>
      <x:c r="Q396" t="n">
        <x:f>IFERROR(VALUE(LEFT(D396,SEARCH("h",D396)-1)),0)*3600+IFERROR(VALUE(MID(D396,IFERROR(SEARCH("h ",D396)+2,1),SEARCH("m",D396)-IFERROR(SEARCH("h ",D396)+2,1))),0)*60+IFERROR(VALUE(MID(D396,IFERROR(SEARCH("m ",D396)+2,IFERROR(SEARCH("h ",D396)+2,1)),SEARCH("s",D396)-IFERROR(SEARCH("m ",D396)+2,IFERROR(SEARCH("h ",D396)+2,1)))),0)</x:f>
        <x:v>2003</x:v>
      </x:c>
      <x:c r="R396" t="str">
        <x:f>IF(P396="","No",IF(COUNTIF('Employee Attendance'!$D$2:$D$670,P396)&gt;0,"Yes","No"))</x:f>
        <x:v>Yes</x:v>
      </x:c>
    </x:row>
    <x:row r="397">
      <x:c r="A397" t="s">
        <x:v>163</x:v>
      </x:c>
      <x:c r="B397" t="s">
        <x:v>3187</x:v>
      </x:c>
      <x:c r="C397" t="s">
        <x:v>2165</x:v>
      </x:c>
      <x:c r="D397" t="s">
        <x:v>272</x:v>
      </x:c>
      <x:c r="E397" t="s">
        <x:v>167</x:v>
      </x:c>
      <x:c r="F397" t="s">
        <x:v>167</x:v>
      </x:c>
      <x:c r="G397" t="s">
        <x:v>1690</x:v>
      </x:c>
      <x:c r="P397" t="str">
        <x:f>LOWER(TRIM(SUBSTITUTE(E397,CHAR(160)," ")))</x:f>
        <x:v>najim.mwanga@pwc.com</x:v>
      </x:c>
      <x:c r="Q397" t="n">
        <x:f>IFERROR(VALUE(LEFT(D397,SEARCH("h",D397)-1)),0)*3600+IFERROR(VALUE(MID(D397,IFERROR(SEARCH("h ",D397)+2,1),SEARCH("m",D397)-IFERROR(SEARCH("h ",D397)+2,1))),0)*60+IFERROR(VALUE(MID(D397,IFERROR(SEARCH("m ",D397)+2,IFERROR(SEARCH("h ",D397)+2,1)),SEARCH("s",D397)-IFERROR(SEARCH("m ",D397)+2,IFERROR(SEARCH("h ",D397)+2,1)))),0)</x:f>
        <x:v>1999</x:v>
      </x:c>
      <x:c r="R397" t="str">
        <x:f>IF(P397="","No",IF(COUNTIF('Employee Attendance'!$D$2:$D$670,P397)&gt;0,"Yes","No"))</x:f>
        <x:v>Yes</x:v>
      </x:c>
    </x:row>
    <x:row r="398">
      <x:c r="A398" t="s">
        <x:v>3188</x:v>
      </x:c>
      <x:c r="B398" t="s">
        <x:v>3189</x:v>
      </x:c>
      <x:c r="C398" t="s">
        <x:v>2147</x:v>
      </x:c>
      <x:c r="D398" t="s">
        <x:v>3190</x:v>
      </x:c>
      <x:c r="E398" t="s">
        <x:v>3191</x:v>
      </x:c>
      <x:c r="F398" t="s">
        <x:v>3191</x:v>
      </x:c>
      <x:c r="G398" t="s">
        <x:v>1690</x:v>
      </x:c>
      <x:c r="P398" t="str">
        <x:f>LOWER(TRIM(SUBSTITUTE(E398,CHAR(160)," ")))</x:f>
        <x:v>wezi.gondwe@pwc.com</x:v>
      </x:c>
      <x:c r="Q398" t="n">
        <x:f>IFERROR(VALUE(LEFT(D398,SEARCH("h",D398)-1)),0)*3600+IFERROR(VALUE(MID(D398,IFERROR(SEARCH("h ",D398)+2,1),SEARCH("m",D398)-IFERROR(SEARCH("h ",D398)+2,1))),0)*60+IFERROR(VALUE(MID(D398,IFERROR(SEARCH("m ",D398)+2,IFERROR(SEARCH("h ",D398)+2,1)),SEARCH("s",D398)-IFERROR(SEARCH("m ",D398)+2,IFERROR(SEARCH("h ",D398)+2,1)))),0)</x:f>
        <x:v>1951</x:v>
      </x:c>
      <x:c r="R398" t="str">
        <x:f>IF(P398="","No",IF(COUNTIF('Employee Attendance'!$D$2:$D$670,P398)&gt;0,"Yes","No"))</x:f>
        <x:v>Yes</x:v>
      </x:c>
    </x:row>
    <x:row r="399">
      <x:c r="A399" t="s">
        <x:v>3192</x:v>
      </x:c>
      <x:c r="B399" t="s">
        <x:v>3193</x:v>
      </x:c>
      <x:c r="C399" t="s">
        <x:v>1998</x:v>
      </x:c>
      <x:c r="D399" t="s">
        <x:v>3194</x:v>
      </x:c>
      <x:c r="E399" t="s">
        <x:v>3195</x:v>
      </x:c>
      <x:c r="F399" t="s">
        <x:v>3195</x:v>
      </x:c>
      <x:c r="G399" t="s">
        <x:v>1690</x:v>
      </x:c>
      <x:c r="P399" t="str">
        <x:f>LOWER(TRIM(SUBSTITUTE(E399,CHAR(160)," ")))</x:f>
        <x:v>mercy.muraya@pwc.com</x:v>
      </x:c>
      <x:c r="Q399" t="n">
        <x:f>IFERROR(VALUE(LEFT(D399,SEARCH("h",D399)-1)),0)*3600+IFERROR(VALUE(MID(D399,IFERROR(SEARCH("h ",D399)+2,1),SEARCH("m",D399)-IFERROR(SEARCH("h ",D399)+2,1))),0)*60+IFERROR(VALUE(MID(D399,IFERROR(SEARCH("m ",D399)+2,IFERROR(SEARCH("h ",D399)+2,1)),SEARCH("s",D399)-IFERROR(SEARCH("m ",D399)+2,IFERROR(SEARCH("h ",D399)+2,1)))),0)</x:f>
        <x:v>1776</x:v>
      </x:c>
      <x:c r="R399" t="str">
        <x:f>IF(P399="","No",IF(COUNTIF('Employee Attendance'!$D$2:$D$670,P399)&gt;0,"Yes","No"))</x:f>
        <x:v>Yes</x:v>
      </x:c>
    </x:row>
    <x:row r="400">
      <x:c r="A400" t="s">
        <x:v>902</x:v>
      </x:c>
      <x:c r="B400" t="s">
        <x:v>2603</x:v>
      </x:c>
      <x:c r="C400" t="s">
        <x:v>3196</x:v>
      </x:c>
      <x:c r="D400" t="s">
        <x:v>3197</x:v>
      </x:c>
      <x:c r="E400" t="s">
        <x:v>906</x:v>
      </x:c>
      <x:c r="F400" t="s">
        <x:v>906</x:v>
      </x:c>
      <x:c r="G400" t="s">
        <x:v>1690</x:v>
      </x:c>
      <x:c r="P400" t="str">
        <x:f>LOWER(TRIM(SUBSTITUTE(E400,CHAR(160)," ")))</x:f>
        <x:v>davis.ndunguru@pwc.com</x:v>
      </x:c>
      <x:c r="Q400" t="n">
        <x:f>IFERROR(VALUE(LEFT(D400,SEARCH("h",D400)-1)),0)*3600+IFERROR(VALUE(MID(D400,IFERROR(SEARCH("h ",D400)+2,1),SEARCH("m",D400)-IFERROR(SEARCH("h ",D400)+2,1))),0)*60+IFERROR(VALUE(MID(D400,IFERROR(SEARCH("m ",D400)+2,IFERROR(SEARCH("h ",D400)+2,1)),SEARCH("s",D400)-IFERROR(SEARCH("m ",D400)+2,IFERROR(SEARCH("h ",D400)+2,1)))),0)</x:f>
        <x:v>2652</x:v>
      </x:c>
      <x:c r="R400" t="str">
        <x:f>IF(P400="","No",IF(COUNTIF('Employee Attendance'!$D$2:$D$670,P400)&gt;0,"Yes","No"))</x:f>
        <x:v>Yes</x:v>
      </x:c>
    </x:row>
    <x:row r="401">
      <x:c r="A401" t="s">
        <x:v>3198</x:v>
      </x:c>
      <x:c r="B401" t="s">
        <x:v>3199</x:v>
      </x:c>
      <x:c r="C401" t="s">
        <x:v>1956</x:v>
      </x:c>
      <x:c r="D401" t="s">
        <x:v>3200</x:v>
      </x:c>
      <x:c r="E401" t="s">
        <x:v>3201</x:v>
      </x:c>
      <x:c r="F401" t="s">
        <x:v>3201</x:v>
      </x:c>
      <x:c r="G401" t="s">
        <x:v>1690</x:v>
      </x:c>
      <x:c r="P401" t="str">
        <x:f>LOWER(TRIM(SUBSTITUTE(E401,CHAR(160)," ")))</x:f>
        <x:v>amos.masangwa@pwc.com</x:v>
      </x:c>
      <x:c r="Q401" t="n">
        <x:f>IFERROR(VALUE(LEFT(D401,SEARCH("h",D401)-1)),0)*3600+IFERROR(VALUE(MID(D401,IFERROR(SEARCH("h ",D401)+2,1),SEARCH("m",D401)-IFERROR(SEARCH("h ",D401)+2,1))),0)*60+IFERROR(VALUE(MID(D401,IFERROR(SEARCH("m ",D401)+2,IFERROR(SEARCH("h ",D401)+2,1)),SEARCH("s",D401)-IFERROR(SEARCH("m ",D401)+2,IFERROR(SEARCH("h ",D401)+2,1)))),0)</x:f>
        <x:v>1666</x:v>
      </x:c>
      <x:c r="R401" t="str">
        <x:f>IF(P401="","No",IF(COUNTIF('Employee Attendance'!$D$2:$D$670,P401)&gt;0,"Yes","No"))</x:f>
        <x:v>Yes</x:v>
      </x:c>
    </x:row>
    <x:row r="402">
      <x:c r="A402" t="s">
        <x:v>3202</x:v>
      </x:c>
      <x:c r="B402" t="s">
        <x:v>3203</x:v>
      </x:c>
      <x:c r="C402" t="s">
        <x:v>1687</x:v>
      </x:c>
      <x:c r="D402" t="s">
        <x:v>3204</x:v>
      </x:c>
      <x:c r="E402" t="s">
        <x:v>3205</x:v>
      </x:c>
      <x:c r="F402" t="s">
        <x:v>3205</x:v>
      </x:c>
      <x:c r="G402" t="s">
        <x:v>1690</x:v>
      </x:c>
      <x:c r="P402" t="str">
        <x:f>LOWER(TRIM(SUBSTITUTE(E402,CHAR(160)," ")))</x:f>
        <x:v>azmiya.khodadin@pwc.com</x:v>
      </x:c>
      <x:c r="Q402" t="n">
        <x:f>IFERROR(VALUE(LEFT(D402,SEARCH("h",D402)-1)),0)*3600+IFERROR(VALUE(MID(D402,IFERROR(SEARCH("h ",D402)+2,1),SEARCH("m",D402)-IFERROR(SEARCH("h ",D402)+2,1))),0)*60+IFERROR(VALUE(MID(D402,IFERROR(SEARCH("m ",D402)+2,IFERROR(SEARCH("h ",D402)+2,1)),SEARCH("s",D402)-IFERROR(SEARCH("m ",D402)+2,IFERROR(SEARCH("h ",D402)+2,1)))),0)</x:f>
        <x:v>1581</x:v>
      </x:c>
      <x:c r="R402" t="str">
        <x:f>IF(P402="","No",IF(COUNTIF('Employee Attendance'!$D$2:$D$670,P402)&gt;0,"Yes","No"))</x:f>
        <x:v>Yes</x:v>
      </x:c>
    </x:row>
    <x:row r="403">
      <x:c r="A403" t="s">
        <x:v>925</x:v>
      </x:c>
      <x:c r="B403" t="s">
        <x:v>3206</x:v>
      </x:c>
      <x:c r="C403" t="s">
        <x:v>3207</x:v>
      </x:c>
      <x:c r="D403" t="s">
        <x:v>3208</x:v>
      </x:c>
      <x:c r="E403" t="s">
        <x:v>929</x:v>
      </x:c>
      <x:c r="F403" t="s">
        <x:v>929</x:v>
      </x:c>
      <x:c r="G403" t="s">
        <x:v>1690</x:v>
      </x:c>
      <x:c r="P403" t="str">
        <x:f>LOWER(TRIM(SUBSTITUTE(E403,CHAR(160)," ")))</x:f>
        <x:v>rose.mufana@pwc.com</x:v>
      </x:c>
      <x:c r="Q403" t="n">
        <x:f>IFERROR(VALUE(LEFT(D403,SEARCH("h",D403)-1)),0)*3600+IFERROR(VALUE(MID(D403,IFERROR(SEARCH("h ",D403)+2,1),SEARCH("m",D403)-IFERROR(SEARCH("h ",D403)+2,1))),0)*60+IFERROR(VALUE(MID(D403,IFERROR(SEARCH("m ",D403)+2,IFERROR(SEARCH("h ",D403)+2,1)),SEARCH("s",D403)-IFERROR(SEARCH("m ",D403)+2,IFERROR(SEARCH("h ",D403)+2,1)))),0)</x:f>
        <x:v>3191</x:v>
      </x:c>
      <x:c r="R403" t="str">
        <x:f>IF(P403="","No",IF(COUNTIF('Employee Attendance'!$D$2:$D$670,P403)&gt;0,"Yes","No"))</x:f>
        <x:v>Yes</x:v>
      </x:c>
    </x:row>
    <x:row r="404">
      <x:c r="A404" t="s">
        <x:v>3209</x:v>
      </x:c>
      <x:c r="B404" t="s">
        <x:v>3210</x:v>
      </x:c>
      <x:c r="C404" t="s">
        <x:v>1837</x:v>
      </x:c>
      <x:c r="D404" t="s">
        <x:v>2314</x:v>
      </x:c>
      <x:c r="E404" t="s">
        <x:v>3211</x:v>
      </x:c>
      <x:c r="F404" t="s">
        <x:v>3211</x:v>
      </x:c>
      <x:c r="G404" t="s">
        <x:v>1690</x:v>
      </x:c>
      <x:c r="P404" t="str">
        <x:f>LOWER(TRIM(SUBSTITUTE(E404,CHAR(160)," ")))</x:f>
        <x:v>nirvan.bissessur@pwc.com</x:v>
      </x:c>
      <x:c r="Q404" t="n">
        <x:f>IFERROR(VALUE(LEFT(D404,SEARCH("h",D404)-1)),0)*3600+IFERROR(VALUE(MID(D404,IFERROR(SEARCH("h ",D404)+2,1),SEARCH("m",D404)-IFERROR(SEARCH("h ",D404)+2,1))),0)*60+IFERROR(VALUE(MID(D404,IFERROR(SEARCH("m ",D404)+2,IFERROR(SEARCH("h ",D404)+2,1)),SEARCH("s",D404)-IFERROR(SEARCH("m ",D404)+2,IFERROR(SEARCH("h ",D404)+2,1)))),0)</x:f>
        <x:v>1225</x:v>
      </x:c>
      <x:c r="R404" t="str">
        <x:f>IF(P404="","No",IF(COUNTIF('Employee Attendance'!$D$2:$D$670,P404)&gt;0,"Yes","No"))</x:f>
        <x:v>Yes</x:v>
      </x:c>
    </x:row>
    <x:row r="405">
      <x:c r="A405" t="s">
        <x:v>3212</x:v>
      </x:c>
      <x:c r="B405" t="s">
        <x:v>3213</x:v>
      </x:c>
      <x:c r="C405" t="s">
        <x:v>3214</x:v>
      </x:c>
      <x:c r="D405" t="s">
        <x:v>3215</x:v>
      </x:c>
      <x:c r="E405" t="s">
        <x:v>3216</x:v>
      </x:c>
      <x:c r="F405" t="s">
        <x:v>3216</x:v>
      </x:c>
      <x:c r="G405" t="s">
        <x:v>1690</x:v>
      </x:c>
      <x:c r="O405">
        <x:v>1</x:v>
      </x:c>
      <x:c r="P405" t="str">
        <x:f>LOWER(TRIM(SUBSTITUTE(E405,CHAR(160)," ")))</x:f>
        <x:v>elvin.julius@pwc.com</x:v>
      </x:c>
      <x:c r="Q405" t="n">
        <x:f>IFERROR(VALUE(LEFT(D405,SEARCH("h",D405)-1)),0)*3600+IFERROR(VALUE(MID(D405,IFERROR(SEARCH("h ",D405)+2,1),SEARCH("m",D405)-IFERROR(SEARCH("h ",D405)+2,1))),0)*60+IFERROR(VALUE(MID(D405,IFERROR(SEARCH("m ",D405)+2,IFERROR(SEARCH("h ",D405)+2,1)),SEARCH("s",D405)-IFERROR(SEARCH("m ",D405)+2,IFERROR(SEARCH("h ",D405)+2,1)))),0)</x:f>
        <x:v>1321</x:v>
      </x:c>
      <x:c r="R405" t="str">
        <x:f>IF(P405="","No",IF(COUNTIF('Employee Attendance'!$D$2:$D$670,P405)&gt;0,"Yes","No"))</x:f>
        <x:v>Yes</x:v>
      </x:c>
    </x:row>
    <x:row r="406">
      <x:c r="A406" t="s">
        <x:v>3217</x:v>
      </x:c>
      <x:c r="B406" t="s">
        <x:v>3218</x:v>
      </x:c>
      <x:c r="C406" t="s">
        <x:v>3219</x:v>
      </x:c>
      <x:c r="D406" t="s">
        <x:v>3220</x:v>
      </x:c>
      <x:c r="E406" t="s">
        <x:v>3221</x:v>
      </x:c>
      <x:c r="F406" t="s">
        <x:v>3221</x:v>
      </x:c>
      <x:c r="G406" t="s">
        <x:v>1690</x:v>
      </x:c>
      <x:c r="P406" t="str">
        <x:f>LOWER(TRIM(SUBSTITUTE(E406,CHAR(160)," ")))</x:f>
        <x:v>olivier.rey@pwc.com</x:v>
      </x:c>
      <x:c r="Q406" t="n">
        <x:f>IFERROR(VALUE(LEFT(D406,SEARCH("h",D406)-1)),0)*3600+IFERROR(VALUE(MID(D406,IFERROR(SEARCH("h ",D406)+2,1),SEARCH("m",D406)-IFERROR(SEARCH("h ",D406)+2,1))),0)*60+IFERROR(VALUE(MID(D406,IFERROR(SEARCH("m ",D406)+2,IFERROR(SEARCH("h ",D406)+2,1)),SEARCH("s",D406)-IFERROR(SEARCH("m ",D406)+2,IFERROR(SEARCH("h ",D406)+2,1)))),0)</x:f>
        <x:v>194</x:v>
      </x:c>
      <x:c r="R406" t="str">
        <x:f>IF(P406="","No",IF(COUNTIF('Employee Attendance'!$D$2:$D$670,P406)&gt;0,"Yes","No"))</x:f>
        <x:v>Yes</x:v>
      </x:c>
    </x:row>
    <x:row r="407">
      <x:c r="A407" t="s">
        <x:v>1250</x:v>
      </x:c>
      <x:c r="B407" t="s">
        <x:v>3222</x:v>
      </x:c>
      <x:c r="C407" t="s">
        <x:v>1998</x:v>
      </x:c>
      <x:c r="D407" t="s">
        <x:v>3223</x:v>
      </x:c>
      <x:c r="E407" t="s">
        <x:v>1254</x:v>
      </x:c>
      <x:c r="F407" t="s">
        <x:v>1254</x:v>
      </x:c>
      <x:c r="G407" t="s">
        <x:v>1690</x:v>
      </x:c>
      <x:c r="P407" t="str">
        <x:f>LOWER(TRIM(SUBSTITUTE(E407,CHAR(160)," ")))</x:f>
        <x:v>prisca.lifasi@pwc.com</x:v>
      </x:c>
      <x:c r="Q407" t="n">
        <x:f>IFERROR(VALUE(LEFT(D407,SEARCH("h",D407)-1)),0)*3600+IFERROR(VALUE(MID(D407,IFERROR(SEARCH("h ",D407)+2,1),SEARCH("m",D407)-IFERROR(SEARCH("h ",D407)+2,1))),0)*60+IFERROR(VALUE(MID(D407,IFERROR(SEARCH("m ",D407)+2,IFERROR(SEARCH("h ",D407)+2,1)),SEARCH("s",D407)-IFERROR(SEARCH("m ",D407)+2,IFERROR(SEARCH("h ",D407)+2,1)))),0)</x:f>
        <x:v>921</x:v>
      </x:c>
      <x:c r="R407" t="str">
        <x:f>IF(P407="","No",IF(COUNTIF('Employee Attendance'!$D$2:$D$670,P407)&gt;0,"Yes","No"))</x:f>
        <x:v>Yes</x:v>
      </x:c>
    </x:row>
    <x:row r="408">
      <x:c r="A408" t="s">
        <x:v>3224</x:v>
      </x:c>
      <x:c r="B408" t="s">
        <x:v>3225</x:v>
      </x:c>
      <x:c r="C408" t="s">
        <x:v>3226</x:v>
      </x:c>
      <x:c r="D408" t="s">
        <x:v>3227</x:v>
      </x:c>
      <x:c r="E408" t="s">
        <x:v>3228</x:v>
      </x:c>
      <x:c r="F408" t="s">
        <x:v>3228</x:v>
      </x:c>
      <x:c r="G408" t="s">
        <x:v>1690</x:v>
      </x:c>
      <x:c r="P408" t="str">
        <x:f>LOWER(TRIM(SUBSTITUTE(E408,CHAR(160)," ")))</x:f>
        <x:v>douglas.kunda@pwc.com</x:v>
      </x:c>
      <x:c r="Q408" t="n">
        <x:f>IFERROR(VALUE(LEFT(D408,SEARCH("h",D408)-1)),0)*3600+IFERROR(VALUE(MID(D408,IFERROR(SEARCH("h ",D408)+2,1),SEARCH("m",D408)-IFERROR(SEARCH("h ",D408)+2,1))),0)*60+IFERROR(VALUE(MID(D408,IFERROR(SEARCH("m ",D408)+2,IFERROR(SEARCH("h ",D408)+2,1)),SEARCH("s",D408)-IFERROR(SEARCH("m ",D408)+2,IFERROR(SEARCH("h ",D408)+2,1)))),0)</x:f>
        <x:v>768</x:v>
      </x:c>
      <x:c r="R408" t="str">
        <x:f>IF(P408="","No",IF(COUNTIF('Employee Attendance'!$D$2:$D$670,P408)&gt;0,"Yes","No"))</x:f>
        <x:v>Yes</x:v>
      </x:c>
    </x:row>
    <x:row r="409">
      <x:c r="A409" t="s">
        <x:v>3229</x:v>
      </x:c>
      <x:c r="B409" t="s">
        <x:v>3230</x:v>
      </x:c>
      <x:c r="C409" t="s">
        <x:v>3231</x:v>
      </x:c>
      <x:c r="D409" t="s">
        <x:v>3232</x:v>
      </x:c>
      <x:c r="E409" t="s">
        <x:v>3233</x:v>
      </x:c>
      <x:c r="F409" t="s">
        <x:v>3233</x:v>
      </x:c>
      <x:c r="G409" t="s">
        <x:v>1690</x:v>
      </x:c>
      <x:c r="P409" t="str">
        <x:f>LOWER(TRIM(SUBSTITUTE(E409,CHAR(160)," ")))</x:f>
        <x:v>dickson.banda@pwc.com</x:v>
      </x:c>
      <x:c r="Q409" t="n">
        <x:f>IFERROR(VALUE(LEFT(D409,SEARCH("h",D409)-1)),0)*3600+IFERROR(VALUE(MID(D409,IFERROR(SEARCH("h ",D409)+2,1),SEARCH("m",D409)-IFERROR(SEARCH("h ",D409)+2,1))),0)*60+IFERROR(VALUE(MID(D409,IFERROR(SEARCH("m ",D409)+2,IFERROR(SEARCH("h ",D409)+2,1)),SEARCH("s",D409)-IFERROR(SEARCH("m ",D409)+2,IFERROR(SEARCH("h ",D409)+2,1)))),0)</x:f>
        <x:v>450</x:v>
      </x:c>
      <x:c r="R409" t="str">
        <x:f>IF(P409="","No",IF(COUNTIF('Employee Attendance'!$D$2:$D$670,P409)&gt;0,"Yes","No"))</x:f>
        <x:v>Yes</x:v>
      </x:c>
    </x:row>
    <x:row r="410">
      <x:c r="A410" t="s">
        <x:v>3234</x:v>
      </x:c>
      <x:c r="B410" t="s">
        <x:v>3235</x:v>
      </x:c>
      <x:c r="C410" t="s">
        <x:v>1828</x:v>
      </x:c>
      <x:c r="D410" t="s">
        <x:v>3236</x:v>
      </x:c>
      <x:c r="E410" t="s">
        <x:v>3237</x:v>
      </x:c>
      <x:c r="F410" t="s">
        <x:v>3237</x:v>
      </x:c>
      <x:c r="G410" t="s">
        <x:v>1690</x:v>
      </x:c>
      <x:c r="P410" t="str">
        <x:f>LOWER(TRIM(SUBSTITUTE(E410,CHAR(160)," ")))</x:f>
        <x:v>ben.kibet@pwc.com</x:v>
      </x:c>
      <x:c r="Q410" t="n">
        <x:f>IFERROR(VALUE(LEFT(D410,SEARCH("h",D410)-1)),0)*3600+IFERROR(VALUE(MID(D410,IFERROR(SEARCH("h ",D410)+2,1),SEARCH("m",D410)-IFERROR(SEARCH("h ",D410)+2,1))),0)*60+IFERROR(VALUE(MID(D410,IFERROR(SEARCH("m ",D410)+2,IFERROR(SEARCH("h ",D410)+2,1)),SEARCH("s",D410)-IFERROR(SEARCH("m ",D410)+2,IFERROR(SEARCH("h ",D410)+2,1)))),0)</x:f>
        <x:v>119</x:v>
      </x:c>
      <x:c r="R410" t="str">
        <x:f>IF(P410="","No",IF(COUNTIF('Employee Attendance'!$D$2:$D$670,P410)&gt;0,"Yes","No"))</x:f>
        <x:v>Yes</x:v>
      </x:c>
    </x:row>
    <x:row r="411">
      <x:c r="A411" t="s">
        <x:v>3238</x:v>
      </x:c>
      <x:c r="B411" t="s">
        <x:v>2165</x:v>
      </x:c>
      <x:c r="C411" t="s">
        <x:v>3239</x:v>
      </x:c>
      <x:c r="D411" t="s">
        <x:v>3240</x:v>
      </x:c>
      <x:c r="E411" t="s">
        <x:v>3241</x:v>
      </x:c>
      <x:c r="F411" t="s">
        <x:v>3241</x:v>
      </x:c>
      <x:c r="G411" t="s">
        <x:v>1690</x:v>
      </x:c>
      <x:c r="P411" t="str">
        <x:f>LOWER(TRIM(SUBSTITUTE(E411,CHAR(160)," ")))</x:f>
        <x:v>micheal.murungi@pwc.com</x:v>
      </x:c>
      <x:c r="Q411" t="n">
        <x:f>IFERROR(VALUE(LEFT(D411,SEARCH("h",D411)-1)),0)*3600+IFERROR(VALUE(MID(D411,IFERROR(SEARCH("h ",D411)+2,1),SEARCH("m",D411)-IFERROR(SEARCH("h ",D411)+2,1))),0)*60+IFERROR(VALUE(MID(D411,IFERROR(SEARCH("m ",D411)+2,IFERROR(SEARCH("h ",D411)+2,1)),SEARCH("s",D411)-IFERROR(SEARCH("m ",D411)+2,IFERROR(SEARCH("h ",D411)+2,1)))),0)</x:f>
        <x:v>337</x:v>
      </x:c>
      <x:c r="R411" t="str">
        <x:f>IF(P411="","No",IF(COUNTIF('Employee Attendance'!$D$2:$D$670,P411)&gt;0,"Yes","No"))</x:f>
        <x:v>Yes</x:v>
      </x:c>
    </x:row>
    <x:row r="412">
      <x:c r="A412" t="s">
        <x:v>3242</x:v>
      </x:c>
      <x:c r="B412" t="s">
        <x:v>3243</x:v>
      </x:c>
      <x:c r="C412" t="s">
        <x:v>3244</x:v>
      </x:c>
      <x:c r="D412" t="s">
        <x:v>3245</x:v>
      </x:c>
      <x:c r="E412" t="s">
        <x:v>3246</x:v>
      </x:c>
      <x:c r="F412" t="s">
        <x:v>3246</x:v>
      </x:c>
      <x:c r="G412" t="s">
        <x:v>1690</x:v>
      </x:c>
      <x:c r="P412" t="str">
        <x:f>LOWER(TRIM(SUBSTITUTE(E412,CHAR(160)," ")))</x:f>
        <x:v>angelique.mugwaneza@pwc.com</x:v>
      </x:c>
      <x:c r="Q412" t="n">
        <x:f>IFERROR(VALUE(LEFT(D412,SEARCH("h",D412)-1)),0)*3600+IFERROR(VALUE(MID(D412,IFERROR(SEARCH("h ",D412)+2,1),SEARCH("m",D412)-IFERROR(SEARCH("h ",D412)+2,1))),0)*60+IFERROR(VALUE(MID(D412,IFERROR(SEARCH("m ",D412)+2,IFERROR(SEARCH("h ",D412)+2,1)),SEARCH("s",D412)-IFERROR(SEARCH("m ",D412)+2,IFERROR(SEARCH("h ",D412)+2,1)))),0)</x:f>
        <x:v>40</x:v>
      </x:c>
      <x:c r="R412" t="str">
        <x:f>IF(P412="","No",IF(COUNTIF('Employee Attendance'!$D$2:$D$670,P412)&gt;0,"Yes","No"))</x:f>
        <x:v>Yes</x:v>
      </x:c>
    </x:row>
    <x:row r="414">
      <x:c r="A414" s="1" t="s">
        <x:v>1372</x:v>
      </x:c>
    </x:row>
    <x:row r="415">
      <x:c r="A415" t="s">
        <x:v>13</x:v>
      </x:c>
      <x:c r="B415" t="s">
        <x:v>1373</x:v>
      </x:c>
      <x:c r="C415" t="s">
        <x:v>1374</x:v>
      </x:c>
      <x:c r="D415" t="s">
        <x:v>1375</x:v>
      </x:c>
      <x:c r="E415" t="s">
        <x:v>17</x:v>
      </x:c>
      <x:c r="F415" t="s">
        <x:v>19</x:v>
      </x:c>
    </x:row>
    <x:row r="416">
      <x:c r="A416" t="s">
        <x:v>28</x:v>
      </x:c>
      <x:c r="B416" t="s">
        <x:v>1669</x:v>
      </x:c>
      <x:c r="C416" t="s">
        <x:v>1670</x:v>
      </x:c>
      <x:c r="D416" t="s">
        <x:v>1671</x:v>
      </x:c>
      <x:c r="E416" t="s">
        <x:v>32</x:v>
      </x:c>
      <x:c r="F416" t="s">
        <x:v>33</x:v>
      </x:c>
    </x:row>
    <x:row r="417">
      <x:c r="A417" t="s">
        <x:v>34</x:v>
      </x:c>
      <x:c r="B417" t="s">
        <x:v>1672</x:v>
      </x:c>
      <x:c r="C417" t="s">
        <x:v>1956</x:v>
      </x:c>
      <x:c r="D417" t="s">
        <x:v>3247</x:v>
      </x:c>
      <x:c r="E417" t="s">
        <x:v>38</x:v>
      </x:c>
      <x:c r="F417" t="s">
        <x:v>33</x:v>
      </x:c>
    </x:row>
    <x:row r="418">
      <x:c r="A418" t="s">
        <x:v>34</x:v>
      </x:c>
      <x:c r="B418" t="s">
        <x:v>3248</x:v>
      </x:c>
      <x:c r="C418" t="s">
        <x:v>1666</x:v>
      </x:c>
      <x:c r="D418" t="s">
        <x:v>3249</x:v>
      </x:c>
      <x:c r="E418" t="s">
        <x:v>38</x:v>
      </x:c>
      <x:c r="F418" t="s">
        <x:v>33</x:v>
      </x:c>
    </x:row>
    <x:row r="419">
      <x:c r="A419" t="s">
        <x:v>39</x:v>
      </x:c>
      <x:c r="B419" t="s">
        <x:v>1674</x:v>
      </x:c>
      <x:c r="C419" t="s">
        <x:v>1675</x:v>
      </x:c>
      <x:c r="D419" t="s">
        <x:v>1676</x:v>
      </x:c>
      <x:c r="E419" t="s">
        <x:v>43</x:v>
      </x:c>
      <x:c r="F419" t="s">
        <x:v>33</x:v>
      </x:c>
    </x:row>
    <x:row r="420">
      <x:c r="A420" t="s">
        <x:v>443</x:v>
      </x:c>
      <x:c r="B420" t="s">
        <x:v>1677</x:v>
      </x:c>
      <x:c r="C420" t="s">
        <x:v>3250</x:v>
      </x:c>
      <x:c r="D420" t="s">
        <x:v>1444</x:v>
      </x:c>
      <x:c r="E420" t="s">
        <x:v>446</x:v>
      </x:c>
      <x:c r="F420" t="s">
        <x:v>33</x:v>
      </x:c>
    </x:row>
    <x:row r="421">
      <x:c r="A421" t="s">
        <x:v>443</x:v>
      </x:c>
      <x:c r="B421" t="s">
        <x:v>2470</x:v>
      </x:c>
      <x:c r="C421" t="s">
        <x:v>3251</x:v>
      </x:c>
      <x:c r="D421" t="s">
        <x:v>3252</x:v>
      </x:c>
      <x:c r="E421" t="s">
        <x:v>446</x:v>
      </x:c>
      <x:c r="F421" t="s">
        <x:v>33</x:v>
      </x:c>
    </x:row>
    <x:row r="422">
      <x:c r="A422" t="s">
        <x:v>443</x:v>
      </x:c>
      <x:c r="B422" t="s">
        <x:v>3253</x:v>
      </x:c>
      <x:c r="C422" t="s">
        <x:v>3254</x:v>
      </x:c>
      <x:c r="D422" t="s">
        <x:v>3255</x:v>
      </x:c>
      <x:c r="E422" t="s">
        <x:v>446</x:v>
      </x:c>
      <x:c r="F422" t="s">
        <x:v>33</x:v>
      </x:c>
    </x:row>
    <x:row r="423">
      <x:c r="A423" t="s">
        <x:v>443</x:v>
      </x:c>
      <x:c r="B423" t="s">
        <x:v>3256</x:v>
      </x:c>
      <x:c r="C423" t="s">
        <x:v>3257</x:v>
      </x:c>
      <x:c r="D423" t="s">
        <x:v>3258</x:v>
      </x:c>
      <x:c r="E423" t="s">
        <x:v>446</x:v>
      </x:c>
      <x:c r="F423" t="s">
        <x:v>33</x:v>
      </x:c>
    </x:row>
    <x:row r="424">
      <x:c r="A424" t="s">
        <x:v>443</x:v>
      </x:c>
      <x:c r="B424" t="s">
        <x:v>3259</x:v>
      </x:c>
      <x:c r="C424" t="s">
        <x:v>1678</x:v>
      </x:c>
      <x:c r="D424" t="s">
        <x:v>3260</x:v>
      </x:c>
      <x:c r="E424" t="s">
        <x:v>446</x:v>
      </x:c>
      <x:c r="F424" t="s">
        <x:v>33</x:v>
      </x:c>
    </x:row>
    <x:row r="425">
      <x:c r="A425" t="s">
        <x:v>44</x:v>
      </x:c>
      <x:c r="B425" t="s">
        <x:v>1680</x:v>
      </x:c>
      <x:c r="C425" t="s">
        <x:v>1675</x:v>
      </x:c>
      <x:c r="D425" t="s">
        <x:v>1681</x:v>
      </x:c>
      <x:c r="E425" t="s">
        <x:v>48</x:v>
      </x:c>
      <x:c r="F425" t="s">
        <x:v>33</x:v>
      </x:c>
    </x:row>
    <x:row r="426">
      <x:c r="A426" t="s">
        <x:v>49</x:v>
      </x:c>
      <x:c r="B426" t="s">
        <x:v>1682</x:v>
      </x:c>
      <x:c r="C426" t="s">
        <x:v>1683</x:v>
      </x:c>
      <x:c r="D426" t="s">
        <x:v>1684</x:v>
      </x:c>
      <x:c r="E426" t="s">
        <x:v>53</x:v>
      </x:c>
      <x:c r="F426" t="s">
        <x:v>33</x:v>
      </x:c>
    </x:row>
    <x:row r="427">
      <x:c r="A427" t="s">
        <x:v>1685</x:v>
      </x:c>
      <x:c r="B427" t="s">
        <x:v>1686</x:v>
      </x:c>
      <x:c r="C427" t="s">
        <x:v>1687</x:v>
      </x:c>
      <x:c r="D427" t="s">
        <x:v>1688</x:v>
      </x:c>
      <x:c r="E427" t="s">
        <x:v>1689</x:v>
      </x:c>
      <x:c r="F427" t="s">
        <x:v>1690</x:v>
      </x:c>
    </x:row>
    <x:row r="428">
      <x:c r="A428" t="s">
        <x:v>1691</x:v>
      </x:c>
      <x:c r="B428" t="s">
        <x:v>1692</x:v>
      </x:c>
      <x:c r="C428" t="s">
        <x:v>3261</x:v>
      </x:c>
      <x:c r="D428" t="s">
        <x:v>3262</x:v>
      </x:c>
      <x:c r="E428" t="s">
        <x:v>1695</x:v>
      </x:c>
      <x:c r="F428" t="s">
        <x:v>1690</x:v>
      </x:c>
    </x:row>
    <x:row r="429">
      <x:c r="A429" t="s">
        <x:v>1691</x:v>
      </x:c>
      <x:c r="B429" t="s">
        <x:v>3263</x:v>
      </x:c>
      <x:c r="C429" t="s">
        <x:v>3264</x:v>
      </x:c>
      <x:c r="D429" t="s">
        <x:v>3265</x:v>
      </x:c>
      <x:c r="E429" t="s">
        <x:v>1695</x:v>
      </x:c>
      <x:c r="F429" t="s">
        <x:v>1690</x:v>
      </x:c>
    </x:row>
    <x:row r="430">
      <x:c r="A430" t="s">
        <x:v>1691</x:v>
      </x:c>
      <x:c r="B430" t="s">
        <x:v>3266</x:v>
      </x:c>
      <x:c r="C430" t="s">
        <x:v>1693</x:v>
      </x:c>
      <x:c r="D430" t="s">
        <x:v>3267</x:v>
      </x:c>
      <x:c r="E430" t="s">
        <x:v>1695</x:v>
      </x:c>
      <x:c r="F430" t="s">
        <x:v>1690</x:v>
      </x:c>
    </x:row>
    <x:row r="431">
      <x:c r="A431" t="s">
        <x:v>1696</x:v>
      </x:c>
      <x:c r="B431" t="s">
        <x:v>1697</x:v>
      </x:c>
      <x:c r="C431" t="s">
        <x:v>3268</x:v>
      </x:c>
      <x:c r="D431" t="s">
        <x:v>3269</x:v>
      </x:c>
      <x:c r="E431" t="s">
        <x:v>1700</x:v>
      </x:c>
      <x:c r="F431" t="s">
        <x:v>1690</x:v>
      </x:c>
    </x:row>
    <x:row r="432">
      <x:c r="A432" t="s">
        <x:v>1696</x:v>
      </x:c>
      <x:c r="B432" t="s">
        <x:v>3270</x:v>
      </x:c>
      <x:c r="C432" t="s">
        <x:v>3271</x:v>
      </x:c>
      <x:c r="D432" t="s">
        <x:v>1523</x:v>
      </x:c>
      <x:c r="E432" t="s">
        <x:v>1700</x:v>
      </x:c>
      <x:c r="F432" t="s">
        <x:v>1690</x:v>
      </x:c>
    </x:row>
    <x:row r="433">
      <x:c r="A433" t="s">
        <x:v>1696</x:v>
      </x:c>
      <x:c r="B433" t="s">
        <x:v>1910</x:v>
      </x:c>
      <x:c r="C433" t="s">
        <x:v>1698</x:v>
      </x:c>
      <x:c r="D433" t="s">
        <x:v>1924</x:v>
      </x:c>
      <x:c r="E433" t="s">
        <x:v>1700</x:v>
      </x:c>
      <x:c r="F433" t="s">
        <x:v>1690</x:v>
      </x:c>
    </x:row>
    <x:row r="434">
      <x:c r="A434" t="s">
        <x:v>1701</x:v>
      </x:c>
      <x:c r="B434" t="s">
        <x:v>1702</x:v>
      </x:c>
      <x:c r="C434" t="s">
        <x:v>3272</x:v>
      </x:c>
      <x:c r="D434" t="s">
        <x:v>130</x:v>
      </x:c>
      <x:c r="E434" t="s">
        <x:v>1704</x:v>
      </x:c>
      <x:c r="F434" t="s">
        <x:v>1690</x:v>
      </x:c>
    </x:row>
    <x:row r="435">
      <x:c r="A435" t="s">
        <x:v>1701</x:v>
      </x:c>
      <x:c r="B435" t="s">
        <x:v>1866</x:v>
      </x:c>
      <x:c r="C435" t="s">
        <x:v>1678</x:v>
      </x:c>
      <x:c r="D435" t="s">
        <x:v>1878</x:v>
      </x:c>
      <x:c r="E435" t="s">
        <x:v>1704</x:v>
      </x:c>
      <x:c r="F435" t="s">
        <x:v>1690</x:v>
      </x:c>
    </x:row>
    <x:row r="436">
      <x:c r="A436" t="s">
        <x:v>1705</x:v>
      </x:c>
      <x:c r="B436" t="s">
        <x:v>1706</x:v>
      </x:c>
      <x:c r="C436" t="s">
        <x:v>3273</x:v>
      </x:c>
      <x:c r="D436" t="s">
        <x:v>3274</x:v>
      </x:c>
      <x:c r="E436" t="s">
        <x:v>1708</x:v>
      </x:c>
      <x:c r="F436" t="s">
        <x:v>1690</x:v>
      </x:c>
    </x:row>
    <x:row r="437">
      <x:c r="A437" t="s">
        <x:v>1705</x:v>
      </x:c>
      <x:c r="B437" t="s">
        <x:v>3275</x:v>
      </x:c>
      <x:c r="C437" t="s">
        <x:v>1670</x:v>
      </x:c>
      <x:c r="D437" t="s">
        <x:v>3276</x:v>
      </x:c>
      <x:c r="E437" t="s">
        <x:v>1708</x:v>
      </x:c>
      <x:c r="F437" t="s">
        <x:v>1690</x:v>
      </x:c>
    </x:row>
    <x:row r="438">
      <x:c r="A438" t="s">
        <x:v>84</x:v>
      </x:c>
      <x:c r="B438" t="s">
        <x:v>1709</x:v>
      </x:c>
      <x:c r="C438" t="s">
        <x:v>3277</x:v>
      </x:c>
      <x:c r="D438" t="s">
        <x:v>3278</x:v>
      </x:c>
      <x:c r="E438" t="s">
        <x:v>87</x:v>
      </x:c>
      <x:c r="F438" t="s">
        <x:v>1690</x:v>
      </x:c>
    </x:row>
    <x:row r="439">
      <x:c r="A439" t="s">
        <x:v>84</x:v>
      </x:c>
      <x:c r="B439" t="s">
        <x:v>3279</x:v>
      </x:c>
      <x:c r="C439" t="s">
        <x:v>1710</x:v>
      </x:c>
      <x:c r="D439" t="s">
        <x:v>3280</x:v>
      </x:c>
      <x:c r="E439" t="s">
        <x:v>87</x:v>
      </x:c>
      <x:c r="F439" t="s">
        <x:v>1690</x:v>
      </x:c>
    </x:row>
    <x:row r="440">
      <x:c r="A440" t="s">
        <x:v>1712</x:v>
      </x:c>
      <x:c r="B440" t="s">
        <x:v>1713</x:v>
      </x:c>
      <x:c r="C440" t="s">
        <x:v>1714</x:v>
      </x:c>
      <x:c r="D440" t="s">
        <x:v>310</x:v>
      </x:c>
      <x:c r="E440" t="s">
        <x:v>1715</x:v>
      </x:c>
      <x:c r="F440" t="s">
        <x:v>1690</x:v>
      </x:c>
    </x:row>
    <x:row r="441">
      <x:c r="A441" t="s">
        <x:v>1716</x:v>
      </x:c>
      <x:c r="B441" t="s">
        <x:v>1717</x:v>
      </x:c>
      <x:c r="C441" t="s">
        <x:v>3281</x:v>
      </x:c>
      <x:c r="D441" t="s">
        <x:v>3282</x:v>
      </x:c>
      <x:c r="E441" t="s">
        <x:v>1720</x:v>
      </x:c>
      <x:c r="F441" t="s">
        <x:v>1690</x:v>
      </x:c>
    </x:row>
    <x:row r="442">
      <x:c r="A442" t="s">
        <x:v>1716</x:v>
      </x:c>
      <x:c r="B442" t="s">
        <x:v>3283</x:v>
      </x:c>
      <x:c r="C442" t="s">
        <x:v>1718</x:v>
      </x:c>
      <x:c r="D442" t="s">
        <x:v>3284</x:v>
      </x:c>
      <x:c r="E442" t="s">
        <x:v>1720</x:v>
      </x:c>
      <x:c r="F442" t="s">
        <x:v>1690</x:v>
      </x:c>
    </x:row>
    <x:row r="443">
      <x:c r="A443" t="s">
        <x:v>1721</x:v>
      </x:c>
      <x:c r="B443" t="s">
        <x:v>1722</x:v>
      </x:c>
      <x:c r="C443" t="s">
        <x:v>1723</x:v>
      </x:c>
      <x:c r="D443" t="s">
        <x:v>1724</x:v>
      </x:c>
      <x:c r="E443" t="s">
        <x:v>1725</x:v>
      </x:c>
      <x:c r="F443" t="s">
        <x:v>1690</x:v>
      </x:c>
    </x:row>
    <x:row r="444">
      <x:c r="A444" t="s">
        <x:v>1726</x:v>
      </x:c>
      <x:c r="B444" t="s">
        <x:v>1727</x:v>
      </x:c>
      <x:c r="C444" t="s">
        <x:v>1670</x:v>
      </x:c>
      <x:c r="D444" t="s">
        <x:v>1728</x:v>
      </x:c>
      <x:c r="E444" t="s">
        <x:v>1729</x:v>
      </x:c>
      <x:c r="F444" t="s">
        <x:v>1690</x:v>
      </x:c>
    </x:row>
    <x:row r="445">
      <x:c r="A445" t="s">
        <x:v>1730</x:v>
      </x:c>
      <x:c r="B445" t="s">
        <x:v>1731</x:v>
      </x:c>
      <x:c r="C445" t="s">
        <x:v>1732</x:v>
      </x:c>
      <x:c r="D445" t="s">
        <x:v>1733</x:v>
      </x:c>
      <x:c r="E445" t="s">
        <x:v>1734</x:v>
      </x:c>
      <x:c r="F445" t="s">
        <x:v>1690</x:v>
      </x:c>
    </x:row>
    <x:row r="446">
      <x:c r="A446" t="s">
        <x:v>211</x:v>
      </x:c>
      <x:c r="B446" t="s">
        <x:v>1735</x:v>
      </x:c>
      <x:c r="C446" t="s">
        <x:v>1736</x:v>
      </x:c>
      <x:c r="D446" t="s">
        <x:v>1737</x:v>
      </x:c>
      <x:c r="E446" t="s">
        <x:v>215</x:v>
      </x:c>
      <x:c r="F446" t="s">
        <x:v>1690</x:v>
      </x:c>
    </x:row>
    <x:row r="447">
      <x:c r="A447" t="s">
        <x:v>1738</x:v>
      </x:c>
      <x:c r="B447" t="s">
        <x:v>1739</x:v>
      </x:c>
      <x:c r="C447" t="s">
        <x:v>1678</x:v>
      </x:c>
      <x:c r="D447" t="s">
        <x:v>1740</x:v>
      </x:c>
      <x:c r="E447" t="s">
        <x:v>1741</x:v>
      </x:c>
      <x:c r="F447" t="s">
        <x:v>1690</x:v>
      </x:c>
    </x:row>
    <x:row r="448">
      <x:c r="A448" t="s">
        <x:v>1742</x:v>
      </x:c>
      <x:c r="B448" t="s">
        <x:v>1743</x:v>
      </x:c>
      <x:c r="C448" t="s">
        <x:v>3285</x:v>
      </x:c>
      <x:c r="D448" t="s">
        <x:v>1572</x:v>
      </x:c>
      <x:c r="E448" t="s">
        <x:v>1746</x:v>
      </x:c>
      <x:c r="F448" t="s">
        <x:v>1690</x:v>
      </x:c>
    </x:row>
    <x:row r="449">
      <x:c r="A449" t="s">
        <x:v>1742</x:v>
      </x:c>
      <x:c r="B449" t="s">
        <x:v>1814</x:v>
      </x:c>
      <x:c r="C449" t="s">
        <x:v>1744</x:v>
      </x:c>
      <x:c r="D449" t="s">
        <x:v>1798</x:v>
      </x:c>
      <x:c r="E449" t="s">
        <x:v>1746</x:v>
      </x:c>
      <x:c r="F449" t="s">
        <x:v>1690</x:v>
      </x:c>
    </x:row>
    <x:row r="450">
      <x:c r="A450" t="s">
        <x:v>766</x:v>
      </x:c>
      <x:c r="B450" t="s">
        <x:v>1747</x:v>
      </x:c>
      <x:c r="C450" t="s">
        <x:v>1748</x:v>
      </x:c>
      <x:c r="D450" t="s">
        <x:v>1749</x:v>
      </x:c>
      <x:c r="E450" t="s">
        <x:v>770</x:v>
      </x:c>
      <x:c r="F450" t="s">
        <x:v>1690</x:v>
      </x:c>
    </x:row>
    <x:row r="451">
      <x:c r="A451" t="s">
        <x:v>1750</x:v>
      </x:c>
      <x:c r="B451" t="s">
        <x:v>1751</x:v>
      </x:c>
      <x:c r="C451" t="s">
        <x:v>1687</x:v>
      </x:c>
      <x:c r="D451" t="s">
        <x:v>1752</x:v>
      </x:c>
      <x:c r="E451" t="s">
        <x:v>1753</x:v>
      </x:c>
      <x:c r="F451" t="s">
        <x:v>1690</x:v>
      </x:c>
    </x:row>
    <x:row r="452">
      <x:c r="A452" t="s">
        <x:v>1754</x:v>
      </x:c>
      <x:c r="B452" t="s">
        <x:v>1755</x:v>
      </x:c>
      <x:c r="C452" t="s">
        <x:v>3286</x:v>
      </x:c>
      <x:c r="D452" t="s">
        <x:v>1523</x:v>
      </x:c>
      <x:c r="E452" t="s">
        <x:v>1758</x:v>
      </x:c>
      <x:c r="F452" t="s">
        <x:v>1690</x:v>
      </x:c>
    </x:row>
    <x:row r="453">
      <x:c r="A453" t="s">
        <x:v>1754</x:v>
      </x:c>
      <x:c r="B453" t="s">
        <x:v>1796</x:v>
      </x:c>
      <x:c r="C453" t="s">
        <x:v>1756</x:v>
      </x:c>
      <x:c r="D453" t="s">
        <x:v>3287</x:v>
      </x:c>
      <x:c r="E453" t="s">
        <x:v>1758</x:v>
      </x:c>
      <x:c r="F453" t="s">
        <x:v>1690</x:v>
      </x:c>
    </x:row>
    <x:row r="454">
      <x:c r="A454" t="s">
        <x:v>1759</x:v>
      </x:c>
      <x:c r="B454" t="s">
        <x:v>1760</x:v>
      </x:c>
      <x:c r="C454" t="s">
        <x:v>3288</x:v>
      </x:c>
      <x:c r="D454" t="s">
        <x:v>3289</x:v>
      </x:c>
      <x:c r="E454" t="s">
        <x:v>1762</x:v>
      </x:c>
      <x:c r="F454" t="s">
        <x:v>1690</x:v>
      </x:c>
    </x:row>
    <x:row r="455">
      <x:c r="A455" t="s">
        <x:v>1759</x:v>
      </x:c>
      <x:c r="B455" t="s">
        <x:v>3290</x:v>
      </x:c>
      <x:c r="C455" t="s">
        <x:v>1718</x:v>
      </x:c>
      <x:c r="D455" t="s">
        <x:v>3291</x:v>
      </x:c>
      <x:c r="E455" t="s">
        <x:v>1762</x:v>
      </x:c>
      <x:c r="F455" t="s">
        <x:v>1690</x:v>
      </x:c>
    </x:row>
    <x:row r="456">
      <x:c r="A456" t="s">
        <x:v>123</x:v>
      </x:c>
      <x:c r="B456" t="s">
        <x:v>1763</x:v>
      </x:c>
      <x:c r="C456" t="s">
        <x:v>1764</x:v>
      </x:c>
      <x:c r="D456" t="s">
        <x:v>1765</x:v>
      </x:c>
      <x:c r="E456" t="s">
        <x:v>126</x:v>
      </x:c>
      <x:c r="F456" t="s">
        <x:v>1690</x:v>
      </x:c>
    </x:row>
    <x:row r="457">
      <x:c r="A457" t="s">
        <x:v>1766</x:v>
      </x:c>
      <x:c r="B457" t="s">
        <x:v>1767</x:v>
      </x:c>
      <x:c r="C457" t="s">
        <x:v>1768</x:v>
      </x:c>
      <x:c r="D457" t="s">
        <x:v>340</x:v>
      </x:c>
      <x:c r="E457" t="s">
        <x:v>1769</x:v>
      </x:c>
      <x:c r="F457" t="s">
        <x:v>1690</x:v>
      </x:c>
    </x:row>
    <x:row r="458">
      <x:c r="A458" t="s">
        <x:v>719</x:v>
      </x:c>
      <x:c r="B458" t="s">
        <x:v>1770</x:v>
      </x:c>
      <x:c r="C458" t="s">
        <x:v>1710</x:v>
      </x:c>
      <x:c r="D458" t="s">
        <x:v>1771</x:v>
      </x:c>
      <x:c r="E458" t="s">
        <x:v>723</x:v>
      </x:c>
      <x:c r="F458" t="s">
        <x:v>1690</x:v>
      </x:c>
    </x:row>
    <x:row r="459">
      <x:c r="A459" t="s">
        <x:v>619</x:v>
      </x:c>
      <x:c r="B459" t="s">
        <x:v>1772</x:v>
      </x:c>
      <x:c r="C459" t="s">
        <x:v>1773</x:v>
      </x:c>
      <x:c r="D459" t="s">
        <x:v>1774</x:v>
      </x:c>
      <x:c r="E459" t="s">
        <x:v>623</x:v>
      </x:c>
      <x:c r="F459" t="s">
        <x:v>1690</x:v>
      </x:c>
    </x:row>
    <x:row r="460">
      <x:c r="A460" t="s">
        <x:v>1775</x:v>
      </x:c>
      <x:c r="B460" t="s">
        <x:v>1776</x:v>
      </x:c>
      <x:c r="C460" t="s">
        <x:v>1777</x:v>
      </x:c>
      <x:c r="D460" t="s">
        <x:v>1778</x:v>
      </x:c>
      <x:c r="E460" t="s">
        <x:v>1779</x:v>
      </x:c>
      <x:c r="F460" t="s">
        <x:v>1690</x:v>
      </x:c>
    </x:row>
    <x:row r="461">
      <x:c r="A461" t="s">
        <x:v>1780</x:v>
      </x:c>
      <x:c r="B461" t="s">
        <x:v>1781</x:v>
      </x:c>
      <x:c r="C461" t="s">
        <x:v>1670</x:v>
      </x:c>
      <x:c r="D461" t="s">
        <x:v>1782</x:v>
      </x:c>
      <x:c r="E461" t="s">
        <x:v>1783</x:v>
      </x:c>
      <x:c r="F461" t="s">
        <x:v>1690</x:v>
      </x:c>
    </x:row>
    <x:row r="462">
      <x:c r="A462" t="s">
        <x:v>607</x:v>
      </x:c>
      <x:c r="B462" t="s">
        <x:v>1784</x:v>
      </x:c>
      <x:c r="C462" t="s">
        <x:v>1683</x:v>
      </x:c>
      <x:c r="D462" t="s">
        <x:v>1785</x:v>
      </x:c>
      <x:c r="E462" t="s">
        <x:v>610</x:v>
      </x:c>
      <x:c r="F462" t="s">
        <x:v>1690</x:v>
      </x:c>
    </x:row>
    <x:row r="463">
      <x:c r="A463" t="s">
        <x:v>1786</x:v>
      </x:c>
      <x:c r="B463" t="s">
        <x:v>1787</x:v>
      </x:c>
      <x:c r="C463" t="s">
        <x:v>1687</x:v>
      </x:c>
      <x:c r="D463" t="s">
        <x:v>1788</x:v>
      </x:c>
      <x:c r="E463" t="s">
        <x:v>1789</x:v>
      </x:c>
      <x:c r="F463" t="s">
        <x:v>1690</x:v>
      </x:c>
    </x:row>
    <x:row r="464">
      <x:c r="A464" t="s">
        <x:v>1790</x:v>
      </x:c>
      <x:c r="B464" t="s">
        <x:v>1791</x:v>
      </x:c>
      <x:c r="C464" t="s">
        <x:v>1792</x:v>
      </x:c>
      <x:c r="D464" t="s">
        <x:v>1793</x:v>
      </x:c>
      <x:c r="E464" t="s">
        <x:v>1794</x:v>
      </x:c>
      <x:c r="F464" t="s">
        <x:v>1690</x:v>
      </x:c>
    </x:row>
    <x:row r="465">
      <x:c r="A465" t="s">
        <x:v>1795</x:v>
      </x:c>
      <x:c r="B465" t="s">
        <x:v>1796</x:v>
      </x:c>
      <x:c r="C465" t="s">
        <x:v>1797</x:v>
      </x:c>
      <x:c r="D465" t="s">
        <x:v>1798</x:v>
      </x:c>
      <x:c r="E465" t="s">
        <x:v>1799</x:v>
      </x:c>
      <x:c r="F465" t="s">
        <x:v>1690</x:v>
      </x:c>
    </x:row>
    <x:row r="466">
      <x:c r="A466" t="s">
        <x:v>1800</x:v>
      </x:c>
      <x:c r="B466" t="s">
        <x:v>1801</x:v>
      </x:c>
      <x:c r="C466" t="s">
        <x:v>3292</x:v>
      </x:c>
      <x:c r="D466" t="s">
        <x:v>3293</x:v>
      </x:c>
      <x:c r="E466" t="s">
        <x:v>1804</x:v>
      </x:c>
      <x:c r="F466" t="s">
        <x:v>1690</x:v>
      </x:c>
    </x:row>
    <x:row r="467">
      <x:c r="A467" t="s">
        <x:v>1800</x:v>
      </x:c>
      <x:c r="B467" t="s">
        <x:v>3048</x:v>
      </x:c>
      <x:c r="C467" t="s">
        <x:v>1802</x:v>
      </x:c>
      <x:c r="D467" t="s">
        <x:v>3294</x:v>
      </x:c>
      <x:c r="E467" t="s">
        <x:v>1804</x:v>
      </x:c>
      <x:c r="F467" t="s">
        <x:v>1690</x:v>
      </x:c>
    </x:row>
    <x:row r="468">
      <x:c r="A468" t="s">
        <x:v>1805</x:v>
      </x:c>
      <x:c r="B468" t="s">
        <x:v>1806</x:v>
      </x:c>
      <x:c r="C468" t="s">
        <x:v>1678</x:v>
      </x:c>
      <x:c r="D468" t="s">
        <x:v>1798</x:v>
      </x:c>
      <x:c r="E468" t="s">
        <x:v>1807</x:v>
      </x:c>
      <x:c r="F468" t="s">
        <x:v>1690</x:v>
      </x:c>
    </x:row>
    <x:row r="469">
      <x:c r="A469" t="s">
        <x:v>1808</x:v>
      </x:c>
      <x:c r="B469" t="s">
        <x:v>1809</x:v>
      </x:c>
      <x:c r="C469" t="s">
        <x:v>1810</x:v>
      </x:c>
      <x:c r="D469" t="s">
        <x:v>1811</x:v>
      </x:c>
      <x:c r="E469" t="s">
        <x:v>1812</x:v>
      </x:c>
      <x:c r="F469" t="s">
        <x:v>1690</x:v>
      </x:c>
    </x:row>
    <x:row r="470">
      <x:c r="A470" t="s">
        <x:v>1813</x:v>
      </x:c>
      <x:c r="B470" t="s">
        <x:v>1814</x:v>
      </x:c>
      <x:c r="C470" t="s">
        <x:v>3295</x:v>
      </x:c>
      <x:c r="D470" t="s">
        <x:v>3296</x:v>
      </x:c>
      <x:c r="E470" t="s">
        <x:v>1816</x:v>
      </x:c>
      <x:c r="F470" t="s">
        <x:v>1690</x:v>
      </x:c>
    </x:row>
    <x:row r="471">
      <x:c r="A471" t="s">
        <x:v>1813</x:v>
      </x:c>
      <x:c r="B471" t="s">
        <x:v>3297</x:v>
      </x:c>
      <x:c r="C471" t="s">
        <x:v>1687</x:v>
      </x:c>
      <x:c r="D471" t="s">
        <x:v>3298</x:v>
      </x:c>
      <x:c r="E471" t="s">
        <x:v>1816</x:v>
      </x:c>
      <x:c r="F471" t="s">
        <x:v>1690</x:v>
      </x:c>
    </x:row>
    <x:row r="472">
      <x:c r="A472" t="s">
        <x:v>1817</x:v>
      </x:c>
      <x:c r="B472" t="s">
        <x:v>1818</x:v>
      </x:c>
      <x:c r="C472" t="s">
        <x:v>1819</x:v>
      </x:c>
      <x:c r="D472" t="s">
        <x:v>1820</x:v>
      </x:c>
      <x:c r="E472" t="s">
        <x:v>1821</x:v>
      </x:c>
      <x:c r="F472" t="s">
        <x:v>1690</x:v>
      </x:c>
    </x:row>
    <x:row r="473">
      <x:c r="A473" t="s">
        <x:v>1822</x:v>
      </x:c>
      <x:c r="B473" t="s">
        <x:v>1823</x:v>
      </x:c>
      <x:c r="C473" t="s">
        <x:v>3299</x:v>
      </x:c>
      <x:c r="D473" t="s">
        <x:v>2047</x:v>
      </x:c>
      <x:c r="E473" t="s">
        <x:v>1825</x:v>
      </x:c>
      <x:c r="F473" t="s">
        <x:v>1690</x:v>
      </x:c>
    </x:row>
    <x:row r="474">
      <x:c r="A474" t="s">
        <x:v>1822</x:v>
      </x:c>
      <x:c r="B474" t="s">
        <x:v>3300</x:v>
      </x:c>
      <x:c r="C474" t="s">
        <x:v>1675</x:v>
      </x:c>
      <x:c r="D474" t="s">
        <x:v>722</x:v>
      </x:c>
      <x:c r="E474" t="s">
        <x:v>1825</x:v>
      </x:c>
      <x:c r="F474" t="s">
        <x:v>1690</x:v>
      </x:c>
    </x:row>
    <x:row r="475">
      <x:c r="A475" t="s">
        <x:v>1826</x:v>
      </x:c>
      <x:c r="B475" t="s">
        <x:v>1827</x:v>
      </x:c>
      <x:c r="C475" t="s">
        <x:v>1828</x:v>
      </x:c>
      <x:c r="D475" t="s">
        <x:v>1829</x:v>
      </x:c>
      <x:c r="E475" t="s">
        <x:v>1830</x:v>
      </x:c>
      <x:c r="F475" t="s">
        <x:v>1690</x:v>
      </x:c>
    </x:row>
    <x:row r="476">
      <x:c r="A476" t="s">
        <x:v>1831</x:v>
      </x:c>
      <x:c r="B476" t="s">
        <x:v>1832</x:v>
      </x:c>
      <x:c r="C476" t="s">
        <x:v>1683</x:v>
      </x:c>
      <x:c r="D476" t="s">
        <x:v>1833</x:v>
      </x:c>
      <x:c r="E476" t="s">
        <x:v>1834</x:v>
      </x:c>
      <x:c r="F476" t="s">
        <x:v>1690</x:v>
      </x:c>
    </x:row>
    <x:row r="477">
      <x:c r="A477" t="s">
        <x:v>1835</x:v>
      </x:c>
      <x:c r="B477" t="s">
        <x:v>1836</x:v>
      </x:c>
      <x:c r="C477" t="s">
        <x:v>1837</x:v>
      </x:c>
      <x:c r="D477" t="s">
        <x:v>1838</x:v>
      </x:c>
      <x:c r="E477" t="s">
        <x:v>1839</x:v>
      </x:c>
      <x:c r="F477" t="s">
        <x:v>1690</x:v>
      </x:c>
    </x:row>
    <x:row r="478">
      <x:c r="A478" t="s">
        <x:v>1840</x:v>
      </x:c>
      <x:c r="B478" t="s">
        <x:v>1841</x:v>
      </x:c>
      <x:c r="C478" t="s">
        <x:v>1842</x:v>
      </x:c>
      <x:c r="D478" t="s">
        <x:v>1843</x:v>
      </x:c>
      <x:c r="E478" t="s">
        <x:v>1844</x:v>
      </x:c>
      <x:c r="F478" t="s">
        <x:v>1690</x:v>
      </x:c>
    </x:row>
    <x:row r="479">
      <x:c r="A479" t="s">
        <x:v>1845</x:v>
      </x:c>
      <x:c r="B479" t="s">
        <x:v>1846</x:v>
      </x:c>
      <x:c r="C479" t="s">
        <x:v>1797</x:v>
      </x:c>
      <x:c r="D479" t="s">
        <x:v>1847</x:v>
      </x:c>
      <x:c r="E479" t="s">
        <x:v>1848</x:v>
      </x:c>
      <x:c r="F479" t="s">
        <x:v>1690</x:v>
      </x:c>
    </x:row>
    <x:row r="480">
      <x:c r="A480" t="s">
        <x:v>1849</x:v>
      </x:c>
      <x:c r="B480" t="s">
        <x:v>1850</x:v>
      </x:c>
      <x:c r="C480" t="s">
        <x:v>1851</x:v>
      </x:c>
      <x:c r="D480" t="s">
        <x:v>1852</x:v>
      </x:c>
      <x:c r="E480" t="s">
        <x:v>1853</x:v>
      </x:c>
      <x:c r="F480" t="s">
        <x:v>1690</x:v>
      </x:c>
    </x:row>
    <x:row r="481">
      <x:c r="A481" t="s">
        <x:v>1854</x:v>
      </x:c>
      <x:c r="B481" t="s">
        <x:v>1855</x:v>
      </x:c>
      <x:c r="C481" t="s">
        <x:v>3301</x:v>
      </x:c>
      <x:c r="D481" t="s">
        <x:v>3302</x:v>
      </x:c>
      <x:c r="E481" t="s">
        <x:v>1857</x:v>
      </x:c>
      <x:c r="F481" t="s">
        <x:v>1690</x:v>
      </x:c>
    </x:row>
    <x:row r="482">
      <x:c r="A482" t="s">
        <x:v>1854</x:v>
      </x:c>
      <x:c r="B482" t="s">
        <x:v>3303</x:v>
      </x:c>
      <x:c r="C482" t="s">
        <x:v>1675</x:v>
      </x:c>
      <x:c r="D482" t="s">
        <x:v>3304</x:v>
      </x:c>
      <x:c r="E482" t="s">
        <x:v>1857</x:v>
      </x:c>
      <x:c r="F482" t="s">
        <x:v>1690</x:v>
      </x:c>
    </x:row>
    <x:row r="483">
      <x:c r="A483" t="s">
        <x:v>1858</x:v>
      </x:c>
      <x:c r="B483" t="s">
        <x:v>1859</x:v>
      </x:c>
      <x:c r="C483" t="s">
        <x:v>1687</x:v>
      </x:c>
      <x:c r="D483" t="s">
        <x:v>1699</x:v>
      </x:c>
      <x:c r="E483" t="s">
        <x:v>1860</x:v>
      </x:c>
      <x:c r="F483" t="s">
        <x:v>1690</x:v>
      </x:c>
    </x:row>
    <x:row r="484">
      <x:c r="A484" t="s">
        <x:v>1861</x:v>
      </x:c>
      <x:c r="B484" t="s">
        <x:v>1859</x:v>
      </x:c>
      <x:c r="C484" t="s">
        <x:v>1862</x:v>
      </x:c>
      <x:c r="D484" t="s">
        <x:v>1863</x:v>
      </x:c>
      <x:c r="E484" t="s">
        <x:v>1864</x:v>
      </x:c>
      <x:c r="F484" t="s">
        <x:v>1690</x:v>
      </x:c>
    </x:row>
    <x:row r="485">
      <x:c r="A485" t="s">
        <x:v>1865</x:v>
      </x:c>
      <x:c r="B485" t="s">
        <x:v>1866</x:v>
      </x:c>
      <x:c r="C485" t="s">
        <x:v>1670</x:v>
      </x:c>
      <x:c r="D485" t="s">
        <x:v>1867</x:v>
      </x:c>
      <x:c r="E485" t="s">
        <x:v>1868</x:v>
      </x:c>
      <x:c r="F485" t="s">
        <x:v>1690</x:v>
      </x:c>
    </x:row>
    <x:row r="486">
      <x:c r="A486" t="s">
        <x:v>595</x:v>
      </x:c>
      <x:c r="B486" t="s">
        <x:v>1866</x:v>
      </x:c>
      <x:c r="C486" t="s">
        <x:v>3305</x:v>
      </x:c>
      <x:c r="D486" t="s">
        <x:v>3306</x:v>
      </x:c>
      <x:c r="E486" t="s">
        <x:v>598</x:v>
      </x:c>
      <x:c r="F486" t="s">
        <x:v>1690</x:v>
      </x:c>
    </x:row>
    <x:row r="487">
      <x:c r="A487" t="s">
        <x:v>595</x:v>
      </x:c>
      <x:c r="B487" t="s">
        <x:v>3307</x:v>
      </x:c>
      <x:c r="C487" t="s">
        <x:v>1869</x:v>
      </x:c>
      <x:c r="D487" t="s">
        <x:v>3308</x:v>
      </x:c>
      <x:c r="E487" t="s">
        <x:v>598</x:v>
      </x:c>
      <x:c r="F487" t="s">
        <x:v>1690</x:v>
      </x:c>
    </x:row>
    <x:row r="488">
      <x:c r="A488" t="s">
        <x:v>1871</x:v>
      </x:c>
      <x:c r="B488" t="s">
        <x:v>1872</x:v>
      </x:c>
      <x:c r="C488" t="s">
        <x:v>1873</x:v>
      </x:c>
      <x:c r="D488" t="s">
        <x:v>1874</x:v>
      </x:c>
      <x:c r="E488" t="s">
        <x:v>1875</x:v>
      </x:c>
      <x:c r="F488" t="s">
        <x:v>1690</x:v>
      </x:c>
    </x:row>
    <x:row r="489">
      <x:c r="A489" t="s">
        <x:v>1876</x:v>
      </x:c>
      <x:c r="B489" t="s">
        <x:v>1877</x:v>
      </x:c>
      <x:c r="C489" t="s">
        <x:v>1851</x:v>
      </x:c>
      <x:c r="D489" t="s">
        <x:v>1878</x:v>
      </x:c>
      <x:c r="E489" t="s">
        <x:v>1879</x:v>
      </x:c>
      <x:c r="F489" t="s">
        <x:v>1690</x:v>
      </x:c>
    </x:row>
    <x:row r="490">
      <x:c r="A490" t="s">
        <x:v>1880</x:v>
      </x:c>
      <x:c r="B490" t="s">
        <x:v>1881</x:v>
      </x:c>
      <x:c r="C490" t="s">
        <x:v>1670</x:v>
      </x:c>
      <x:c r="D490" t="s">
        <x:v>1882</x:v>
      </x:c>
      <x:c r="E490" t="s">
        <x:v>1883</x:v>
      </x:c>
      <x:c r="F490" t="s">
        <x:v>1690</x:v>
      </x:c>
    </x:row>
    <x:row r="491">
      <x:c r="A491" t="s">
        <x:v>1884</x:v>
      </x:c>
      <x:c r="B491" t="s">
        <x:v>1881</x:v>
      </x:c>
      <x:c r="C491" t="s">
        <x:v>1764</x:v>
      </x:c>
      <x:c r="D491" t="s">
        <x:v>1885</x:v>
      </x:c>
      <x:c r="E491" t="s">
        <x:v>1886</x:v>
      </x:c>
      <x:c r="F491" t="s">
        <x:v>1690</x:v>
      </x:c>
    </x:row>
    <x:row r="492">
      <x:c r="A492" t="s">
        <x:v>1887</x:v>
      </x:c>
      <x:c r="B492" t="s">
        <x:v>1888</x:v>
      </x:c>
      <x:c r="C492" t="s">
        <x:v>1889</x:v>
      </x:c>
      <x:c r="D492" t="s">
        <x:v>1890</x:v>
      </x:c>
      <x:c r="E492" t="s">
        <x:v>1891</x:v>
      </x:c>
      <x:c r="F492" t="s">
        <x:v>1690</x:v>
      </x:c>
    </x:row>
    <x:row r="493">
      <x:c r="A493" t="s">
        <x:v>1892</x:v>
      </x:c>
      <x:c r="B493" t="s">
        <x:v>1893</x:v>
      </x:c>
      <x:c r="C493" t="s">
        <x:v>1894</x:v>
      </x:c>
      <x:c r="D493" t="s">
        <x:v>1895</x:v>
      </x:c>
      <x:c r="E493" t="s">
        <x:v>1896</x:v>
      </x:c>
      <x:c r="F493" t="s">
        <x:v>1690</x:v>
      </x:c>
    </x:row>
    <x:row r="494">
      <x:c r="A494" t="s">
        <x:v>1897</x:v>
      </x:c>
      <x:c r="B494" t="s">
        <x:v>1898</x:v>
      </x:c>
      <x:c r="C494" t="s">
        <x:v>1899</x:v>
      </x:c>
      <x:c r="D494" t="s">
        <x:v>760</x:v>
      </x:c>
      <x:c r="E494" t="s">
        <x:v>1900</x:v>
      </x:c>
      <x:c r="F494" t="s">
        <x:v>1690</x:v>
      </x:c>
    </x:row>
    <x:row r="495">
      <x:c r="A495" t="s">
        <x:v>1901</x:v>
      </x:c>
      <x:c r="B495" t="s">
        <x:v>1898</x:v>
      </x:c>
      <x:c r="C495" t="s">
        <x:v>1902</x:v>
      </x:c>
      <x:c r="D495" t="s">
        <x:v>1903</x:v>
      </x:c>
      <x:c r="E495" t="s">
        <x:v>1904</x:v>
      </x:c>
      <x:c r="F495" t="s">
        <x:v>1690</x:v>
      </x:c>
    </x:row>
    <x:row r="496">
      <x:c r="A496" t="s">
        <x:v>1905</x:v>
      </x:c>
      <x:c r="B496" t="s">
        <x:v>1906</x:v>
      </x:c>
      <x:c r="C496" t="s">
        <x:v>1902</x:v>
      </x:c>
      <x:c r="D496" t="s">
        <x:v>1907</x:v>
      </x:c>
      <x:c r="E496" t="s">
        <x:v>1908</x:v>
      </x:c>
      <x:c r="F496" t="s">
        <x:v>1690</x:v>
      </x:c>
    </x:row>
    <x:row r="497">
      <x:c r="A497" t="s">
        <x:v>1909</x:v>
      </x:c>
      <x:c r="B497" t="s">
        <x:v>1910</x:v>
      </x:c>
      <x:c r="C497" t="s">
        <x:v>1911</x:v>
      </x:c>
      <x:c r="D497" t="s">
        <x:v>1912</x:v>
      </x:c>
      <x:c r="E497" t="s">
        <x:v>1913</x:v>
      </x:c>
      <x:c r="F497" t="s">
        <x:v>1690</x:v>
      </x:c>
    </x:row>
    <x:row r="498">
      <x:c r="A498" t="s">
        <x:v>1914</x:v>
      </x:c>
      <x:c r="B498" t="s">
        <x:v>1915</x:v>
      </x:c>
      <x:c r="C498" t="s">
        <x:v>1698</x:v>
      </x:c>
      <x:c r="D498" t="s">
        <x:v>1916</x:v>
      </x:c>
      <x:c r="E498" t="s">
        <x:v>1917</x:v>
      </x:c>
      <x:c r="F498" t="s">
        <x:v>1690</x:v>
      </x:c>
    </x:row>
    <x:row r="499">
      <x:c r="A499" t="s">
        <x:v>1918</x:v>
      </x:c>
      <x:c r="B499" t="s">
        <x:v>1919</x:v>
      </x:c>
      <x:c r="C499" t="s">
        <x:v>3309</x:v>
      </x:c>
      <x:c r="D499" t="s">
        <x:v>3310</x:v>
      </x:c>
      <x:c r="E499" t="s">
        <x:v>1921</x:v>
      </x:c>
      <x:c r="F499" t="s">
        <x:v>1690</x:v>
      </x:c>
    </x:row>
    <x:row r="500">
      <x:c r="A500" t="s">
        <x:v>1918</x:v>
      </x:c>
      <x:c r="B500" t="s">
        <x:v>3311</x:v>
      </x:c>
      <x:c r="C500" t="s">
        <x:v>1902</x:v>
      </x:c>
      <x:c r="D500" t="s">
        <x:v>3312</x:v>
      </x:c>
      <x:c r="E500" t="s">
        <x:v>1921</x:v>
      </x:c>
      <x:c r="F500" t="s">
        <x:v>1690</x:v>
      </x:c>
    </x:row>
    <x:row r="501">
      <x:c r="A501" t="s">
        <x:v>1922</x:v>
      </x:c>
      <x:c r="B501" t="s">
        <x:v>1923</x:v>
      </x:c>
      <x:c r="C501" t="s">
        <x:v>1675</x:v>
      </x:c>
      <x:c r="D501" t="s">
        <x:v>1924</x:v>
      </x:c>
      <x:c r="E501" t="s">
        <x:v>1925</x:v>
      </x:c>
      <x:c r="F501" t="s">
        <x:v>1690</x:v>
      </x:c>
    </x:row>
    <x:row r="502">
      <x:c r="A502" t="s">
        <x:v>1926</x:v>
      </x:c>
      <x:c r="B502" t="s">
        <x:v>1927</x:v>
      </x:c>
      <x:c r="C502" t="s">
        <x:v>1928</x:v>
      </x:c>
      <x:c r="D502" t="s">
        <x:v>1929</x:v>
      </x:c>
      <x:c r="E502" t="s">
        <x:v>1930</x:v>
      </x:c>
      <x:c r="F502" t="s">
        <x:v>1690</x:v>
      </x:c>
    </x:row>
    <x:row r="503">
      <x:c r="A503" t="s">
        <x:v>1931</x:v>
      </x:c>
      <x:c r="B503" t="s">
        <x:v>1932</x:v>
      </x:c>
      <x:c r="C503" t="s">
        <x:v>1698</x:v>
      </x:c>
      <x:c r="D503" t="s">
        <x:v>206</x:v>
      </x:c>
      <x:c r="E503" t="s">
        <x:v>1933</x:v>
      </x:c>
      <x:c r="F503" t="s">
        <x:v>1690</x:v>
      </x:c>
    </x:row>
    <x:row r="504">
      <x:c r="A504" t="s">
        <x:v>1934</x:v>
      </x:c>
      <x:c r="B504" t="s">
        <x:v>1935</x:v>
      </x:c>
      <x:c r="C504" t="s">
        <x:v>1797</x:v>
      </x:c>
      <x:c r="D504" t="s">
        <x:v>206</x:v>
      </x:c>
      <x:c r="E504" t="s">
        <x:v>1936</x:v>
      </x:c>
      <x:c r="F504" t="s">
        <x:v>1690</x:v>
      </x:c>
    </x:row>
    <x:row r="505">
      <x:c r="A505" t="s">
        <x:v>1937</x:v>
      </x:c>
      <x:c r="B505" t="s">
        <x:v>1938</x:v>
      </x:c>
      <x:c r="C505" t="s">
        <x:v>1683</x:v>
      </x:c>
      <x:c r="D505" t="s">
        <x:v>1939</x:v>
      </x:c>
      <x:c r="E505" t="s">
        <x:v>1940</x:v>
      </x:c>
      <x:c r="F505" t="s">
        <x:v>1690</x:v>
      </x:c>
    </x:row>
    <x:row r="506">
      <x:c r="A506" t="s">
        <x:v>1941</x:v>
      </x:c>
      <x:c r="B506" t="s">
        <x:v>1942</x:v>
      </x:c>
      <x:c r="C506" t="s">
        <x:v>1943</x:v>
      </x:c>
      <x:c r="D506" t="s">
        <x:v>1944</x:v>
      </x:c>
      <x:c r="E506" t="s">
        <x:v>1945</x:v>
      </x:c>
      <x:c r="F506" t="s">
        <x:v>1690</x:v>
      </x:c>
    </x:row>
    <x:row r="507">
      <x:c r="A507" t="s">
        <x:v>1946</x:v>
      </x:c>
      <x:c r="B507" t="s">
        <x:v>1947</x:v>
      </x:c>
      <x:c r="C507" t="s">
        <x:v>1678</x:v>
      </x:c>
      <x:c r="D507" t="s">
        <x:v>1948</x:v>
      </x:c>
      <x:c r="E507" t="s">
        <x:v>1949</x:v>
      </x:c>
      <x:c r="F507" t="s">
        <x:v>1690</x:v>
      </x:c>
    </x:row>
    <x:row r="508">
      <x:c r="A508" t="s">
        <x:v>1950</x:v>
      </x:c>
      <x:c r="B508" t="s">
        <x:v>1951</x:v>
      </x:c>
      <x:c r="C508" t="s">
        <x:v>3313</x:v>
      </x:c>
      <x:c r="D508" t="s">
        <x:v>3314</x:v>
      </x:c>
      <x:c r="E508" t="s">
        <x:v>1953</x:v>
      </x:c>
      <x:c r="F508" t="s">
        <x:v>1690</x:v>
      </x:c>
    </x:row>
    <x:row r="509">
      <x:c r="A509" t="s">
        <x:v>1950</x:v>
      </x:c>
      <x:c r="B509" t="s">
        <x:v>3315</x:v>
      </x:c>
      <x:c r="C509" t="s">
        <x:v>1952</x:v>
      </x:c>
      <x:c r="D509" t="s">
        <x:v>3316</x:v>
      </x:c>
      <x:c r="E509" t="s">
        <x:v>1953</x:v>
      </x:c>
      <x:c r="F509" t="s">
        <x:v>1690</x:v>
      </x:c>
    </x:row>
    <x:row r="510">
      <x:c r="A510" t="s">
        <x:v>1954</x:v>
      </x:c>
      <x:c r="B510" t="s">
        <x:v>1955</x:v>
      </x:c>
      <x:c r="C510" t="s">
        <x:v>1956</x:v>
      </x:c>
      <x:c r="D510" t="s">
        <x:v>1890</x:v>
      </x:c>
      <x:c r="E510" t="s">
        <x:v>1957</x:v>
      </x:c>
      <x:c r="F510" t="s">
        <x:v>1690</x:v>
      </x:c>
    </x:row>
    <x:row r="511">
      <x:c r="A511" t="s">
        <x:v>811</x:v>
      </x:c>
      <x:c r="B511" t="s">
        <x:v>1958</x:v>
      </x:c>
      <x:c r="C511" t="s">
        <x:v>1959</x:v>
      </x:c>
      <x:c r="D511" t="s">
        <x:v>1843</x:v>
      </x:c>
      <x:c r="E511" t="s">
        <x:v>815</x:v>
      </x:c>
      <x:c r="F511" t="s">
        <x:v>1690</x:v>
      </x:c>
    </x:row>
    <x:row r="512">
      <x:c r="A512" t="s">
        <x:v>1960</x:v>
      </x:c>
      <x:c r="B512" t="s">
        <x:v>1961</x:v>
      </x:c>
      <x:c r="C512" t="s">
        <x:v>1802</x:v>
      </x:c>
      <x:c r="D512" t="s">
        <x:v>1699</x:v>
      </x:c>
      <x:c r="E512" t="s">
        <x:v>1962</x:v>
      </x:c>
      <x:c r="F512" t="s">
        <x:v>1690</x:v>
      </x:c>
    </x:row>
    <x:row r="513">
      <x:c r="A513" t="s">
        <x:v>1963</x:v>
      </x:c>
      <x:c r="B513" t="s">
        <x:v>1964</x:v>
      </x:c>
      <x:c r="C513" t="s">
        <x:v>1894</x:v>
      </x:c>
      <x:c r="D513" t="s">
        <x:v>1965</x:v>
      </x:c>
      <x:c r="E513" t="s">
        <x:v>1966</x:v>
      </x:c>
      <x:c r="F513" t="s">
        <x:v>1690</x:v>
      </x:c>
    </x:row>
    <x:row r="514">
      <x:c r="A514" t="s">
        <x:v>1967</x:v>
      </x:c>
      <x:c r="B514" t="s">
        <x:v>1968</x:v>
      </x:c>
      <x:c r="C514" t="s">
        <x:v>1969</x:v>
      </x:c>
      <x:c r="D514" t="s">
        <x:v>1970</x:v>
      </x:c>
      <x:c r="E514" t="s">
        <x:v>1971</x:v>
      </x:c>
      <x:c r="F514" t="s">
        <x:v>1690</x:v>
      </x:c>
    </x:row>
    <x:row r="515">
      <x:c r="A515" t="s">
        <x:v>1972</x:v>
      </x:c>
      <x:c r="B515" t="s">
        <x:v>1973</x:v>
      </x:c>
      <x:c r="C515" t="s">
        <x:v>1718</x:v>
      </x:c>
      <x:c r="D515" t="s">
        <x:v>1974</x:v>
      </x:c>
      <x:c r="E515" t="s">
        <x:v>1975</x:v>
      </x:c>
      <x:c r="F515" t="s">
        <x:v>1690</x:v>
      </x:c>
    </x:row>
    <x:row r="516">
      <x:c r="A516" t="s">
        <x:v>1976</x:v>
      </x:c>
      <x:c r="B516" t="s">
        <x:v>1977</x:v>
      </x:c>
      <x:c r="C516" t="s">
        <x:v>1837</x:v>
      </x:c>
      <x:c r="D516" t="s">
        <x:v>1761</x:v>
      </x:c>
      <x:c r="E516" t="s">
        <x:v>1980</x:v>
      </x:c>
      <x:c r="F516" t="s">
        <x:v>1690</x:v>
      </x:c>
    </x:row>
    <x:row r="517">
      <x:c r="A517" t="s">
        <x:v>1976</x:v>
      </x:c>
      <x:c r="B517" t="s">
        <x:v>3317</x:v>
      </x:c>
      <x:c r="C517" t="s">
        <x:v>1978</x:v>
      </x:c>
      <x:c r="D517" t="s">
        <x:v>1523</x:v>
      </x:c>
      <x:c r="E517" t="s">
        <x:v>1980</x:v>
      </x:c>
      <x:c r="F517" t="s">
        <x:v>1690</x:v>
      </x:c>
    </x:row>
    <x:row r="518">
      <x:c r="A518" t="s">
        <x:v>127</x:v>
      </x:c>
      <x:c r="B518" t="s">
        <x:v>1981</x:v>
      </x:c>
      <x:c r="C518" t="s">
        <x:v>3318</x:v>
      </x:c>
      <x:c r="D518" t="s">
        <x:v>3319</x:v>
      </x:c>
      <x:c r="E518" t="s">
        <x:v>131</x:v>
      </x:c>
      <x:c r="F518" t="s">
        <x:v>1690</x:v>
      </x:c>
    </x:row>
    <x:row r="519">
      <x:c r="A519" t="s">
        <x:v>127</x:v>
      </x:c>
      <x:c r="B519" t="s">
        <x:v>3320</x:v>
      </x:c>
      <x:c r="C519" t="s">
        <x:v>1982</x:v>
      </x:c>
      <x:c r="D519" t="s">
        <x:v>3321</x:v>
      </x:c>
      <x:c r="E519" t="s">
        <x:v>131</x:v>
      </x:c>
      <x:c r="F519" t="s">
        <x:v>1690</x:v>
      </x:c>
    </x:row>
    <x:row r="520">
      <x:c r="A520" t="s">
        <x:v>101</x:v>
      </x:c>
      <x:c r="B520" t="s">
        <x:v>1984</x:v>
      </x:c>
      <x:c r="C520" t="s">
        <x:v>1698</x:v>
      </x:c>
      <x:c r="D520" t="s">
        <x:v>1985</x:v>
      </x:c>
      <x:c r="E520" t="s">
        <x:v>105</x:v>
      </x:c>
      <x:c r="F520" t="s">
        <x:v>1690</x:v>
      </x:c>
    </x:row>
    <x:row r="521">
      <x:c r="A521" t="s">
        <x:v>1986</x:v>
      </x:c>
      <x:c r="B521" t="s">
        <x:v>1987</x:v>
      </x:c>
      <x:c r="C521" t="s">
        <x:v>1902</x:v>
      </x:c>
      <x:c r="D521" t="s">
        <x:v>1988</x:v>
      </x:c>
      <x:c r="E521" t="s">
        <x:v>1989</x:v>
      </x:c>
      <x:c r="F521" t="s">
        <x:v>1690</x:v>
      </x:c>
    </x:row>
    <x:row r="522">
      <x:c r="A522" t="s">
        <x:v>1990</x:v>
      </x:c>
      <x:c r="B522" t="s">
        <x:v>1991</x:v>
      </x:c>
      <x:c r="C522" t="s">
        <x:v>3322</x:v>
      </x:c>
      <x:c r="D522" t="s">
        <x:v>3323</x:v>
      </x:c>
      <x:c r="E522" t="s">
        <x:v>1993</x:v>
      </x:c>
      <x:c r="F522" t="s">
        <x:v>1690</x:v>
      </x:c>
    </x:row>
    <x:row r="523">
      <x:c r="A523" t="s">
        <x:v>1990</x:v>
      </x:c>
      <x:c r="B523" t="s">
        <x:v>3324</x:v>
      </x:c>
      <x:c r="C523" t="s">
        <x:v>3325</x:v>
      </x:c>
      <x:c r="D523" t="s">
        <x:v>3326</x:v>
      </x:c>
      <x:c r="E523" t="s">
        <x:v>1993</x:v>
      </x:c>
      <x:c r="F523" t="s">
        <x:v>1690</x:v>
      </x:c>
    </x:row>
    <x:row r="524">
      <x:c r="A524" t="s">
        <x:v>1990</x:v>
      </x:c>
      <x:c r="B524" t="s">
        <x:v>3327</x:v>
      </x:c>
      <x:c r="C524" t="s">
        <x:v>1902</x:v>
      </x:c>
      <x:c r="D524" t="s">
        <x:v>3328</x:v>
      </x:c>
      <x:c r="E524" t="s">
        <x:v>1993</x:v>
      </x:c>
      <x:c r="F524" t="s">
        <x:v>1690</x:v>
      </x:c>
    </x:row>
    <x:row r="525">
      <x:c r="A525" t="s">
        <x:v>1994</x:v>
      </x:c>
      <x:c r="B525" t="s">
        <x:v>1995</x:v>
      </x:c>
      <x:c r="C525" t="s">
        <x:v>3329</x:v>
      </x:c>
      <x:c r="D525" t="s">
        <x:v>3330</x:v>
      </x:c>
      <x:c r="E525" t="s">
        <x:v>1997</x:v>
      </x:c>
      <x:c r="F525" t="s">
        <x:v>1690</x:v>
      </x:c>
    </x:row>
    <x:row r="526">
      <x:c r="A526" t="s">
        <x:v>1994</x:v>
      </x:c>
      <x:c r="B526" t="s">
        <x:v>3331</x:v>
      </x:c>
      <x:c r="C526" t="s">
        <x:v>1718</x:v>
      </x:c>
      <x:c r="D526" t="s">
        <x:v>3332</x:v>
      </x:c>
      <x:c r="E526" t="s">
        <x:v>1997</x:v>
      </x:c>
      <x:c r="F526" t="s">
        <x:v>1690</x:v>
      </x:c>
    </x:row>
    <x:row r="527">
      <x:c r="A527" t="s">
        <x:v>837</x:v>
      </x:c>
      <x:c r="B527" t="s">
        <x:v>1995</x:v>
      </x:c>
      <x:c r="C527" t="s">
        <x:v>3333</x:v>
      </x:c>
      <x:c r="D527" t="s">
        <x:v>3334</x:v>
      </x:c>
      <x:c r="E527" t="s">
        <x:v>840</x:v>
      </x:c>
      <x:c r="F527" t="s">
        <x:v>1690</x:v>
      </x:c>
    </x:row>
    <x:row r="528">
      <x:c r="A528" t="s">
        <x:v>837</x:v>
      </x:c>
      <x:c r="B528" t="s">
        <x:v>3335</x:v>
      </x:c>
      <x:c r="C528" t="s">
        <x:v>3336</x:v>
      </x:c>
      <x:c r="D528" t="s">
        <x:v>125</x:v>
      </x:c>
      <x:c r="E528" t="s">
        <x:v>840</x:v>
      </x:c>
      <x:c r="F528" t="s">
        <x:v>1690</x:v>
      </x:c>
    </x:row>
    <x:row r="529">
      <x:c r="A529" t="s">
        <x:v>837</x:v>
      </x:c>
      <x:c r="B529" t="s">
        <x:v>3337</x:v>
      </x:c>
      <x:c r="C529" t="s">
        <x:v>1998</x:v>
      </x:c>
      <x:c r="D529" t="s">
        <x:v>3338</x:v>
      </x:c>
      <x:c r="E529" t="s">
        <x:v>840</x:v>
      </x:c>
      <x:c r="F529" t="s">
        <x:v>1690</x:v>
      </x:c>
    </x:row>
    <x:row r="530">
      <x:c r="A530" t="s">
        <x:v>2000</x:v>
      </x:c>
      <x:c r="B530" t="s">
        <x:v>1995</x:v>
      </x:c>
      <x:c r="C530" t="s">
        <x:v>1998</x:v>
      </x:c>
      <x:c r="D530" t="s">
        <x:v>2001</x:v>
      </x:c>
      <x:c r="E530" t="s">
        <x:v>2002</x:v>
      </x:c>
      <x:c r="F530" t="s">
        <x:v>1690</x:v>
      </x:c>
    </x:row>
    <x:row r="531">
      <x:c r="A531" t="s">
        <x:v>2003</x:v>
      </x:c>
      <x:c r="B531" t="s">
        <x:v>2004</x:v>
      </x:c>
      <x:c r="C531" t="s">
        <x:v>2005</x:v>
      </x:c>
      <x:c r="D531" t="s">
        <x:v>2006</x:v>
      </x:c>
      <x:c r="E531" t="s">
        <x:v>2007</x:v>
      </x:c>
      <x:c r="F531" t="s">
        <x:v>1690</x:v>
      </x:c>
    </x:row>
    <x:row r="532">
      <x:c r="A532" t="s">
        <x:v>2008</x:v>
      </x:c>
      <x:c r="B532" t="s">
        <x:v>2009</x:v>
      </x:c>
      <x:c r="C532" t="s">
        <x:v>2010</x:v>
      </x:c>
      <x:c r="D532" t="s">
        <x:v>2011</x:v>
      </x:c>
      <x:c r="E532" t="s">
        <x:v>2012</x:v>
      </x:c>
      <x:c r="F532" t="s">
        <x:v>1690</x:v>
      </x:c>
    </x:row>
    <x:row r="533">
      <x:c r="A533" t="s">
        <x:v>2013</x:v>
      </x:c>
      <x:c r="B533" t="s">
        <x:v>2014</x:v>
      </x:c>
      <x:c r="C533" t="s">
        <x:v>2015</x:v>
      </x:c>
      <x:c r="D533" t="s">
        <x:v>2016</x:v>
      </x:c>
      <x:c r="E533" t="s">
        <x:v>2017</x:v>
      </x:c>
      <x:c r="F533" t="s">
        <x:v>1690</x:v>
      </x:c>
    </x:row>
    <x:row r="534">
      <x:c r="A534" t="s">
        <x:v>2018</x:v>
      </x:c>
      <x:c r="B534" t="s">
        <x:v>2014</x:v>
      </x:c>
      <x:c r="C534" t="s">
        <x:v>1837</x:v>
      </x:c>
      <x:c r="D534" t="s">
        <x:v>2019</x:v>
      </x:c>
      <x:c r="E534" t="s">
        <x:v>2020</x:v>
      </x:c>
      <x:c r="F534" t="s">
        <x:v>1690</x:v>
      </x:c>
    </x:row>
    <x:row r="535">
      <x:c r="A535" t="s">
        <x:v>2021</x:v>
      </x:c>
      <x:c r="B535" t="s">
        <x:v>2022</x:v>
      </x:c>
      <x:c r="C535" t="s">
        <x:v>3339</x:v>
      </x:c>
      <x:c r="D535" t="s">
        <x:v>125</x:v>
      </x:c>
      <x:c r="E535" t="s">
        <x:v>2024</x:v>
      </x:c>
      <x:c r="F535" t="s">
        <x:v>1690</x:v>
      </x:c>
    </x:row>
    <x:row r="536">
      <x:c r="A536" t="s">
        <x:v>2021</x:v>
      </x:c>
      <x:c r="B536" t="s">
        <x:v>2205</x:v>
      </x:c>
      <x:c r="C536" t="s">
        <x:v>3340</x:v>
      </x:c>
      <x:c r="D536" t="s">
        <x:v>3341</x:v>
      </x:c>
      <x:c r="E536" t="s">
        <x:v>2024</x:v>
      </x:c>
      <x:c r="F536" t="s">
        <x:v>1690</x:v>
      </x:c>
    </x:row>
    <x:row r="537">
      <x:c r="A537" t="s">
        <x:v>2021</x:v>
      </x:c>
      <x:c r="B537" t="s">
        <x:v>3342</x:v>
      </x:c>
      <x:c r="C537" t="s">
        <x:v>2023</x:v>
      </x:c>
      <x:c r="D537" t="s">
        <x:v>3343</x:v>
      </x:c>
      <x:c r="E537" t="s">
        <x:v>2024</x:v>
      </x:c>
      <x:c r="F537" t="s">
        <x:v>1690</x:v>
      </x:c>
    </x:row>
    <x:row r="538">
      <x:c r="A538" t="s">
        <x:v>2025</x:v>
      </x:c>
      <x:c r="B538" t="s">
        <x:v>2026</x:v>
      </x:c>
      <x:c r="C538" t="s">
        <x:v>1698</x:v>
      </x:c>
      <x:c r="D538" t="s">
        <x:v>2027</x:v>
      </x:c>
      <x:c r="E538" t="s">
        <x:v>2028</x:v>
      </x:c>
      <x:c r="F538" t="s">
        <x:v>1690</x:v>
      </x:c>
    </x:row>
    <x:row r="539">
      <x:c r="A539" t="s">
        <x:v>2029</x:v>
      </x:c>
      <x:c r="B539" t="s">
        <x:v>2026</x:v>
      </x:c>
      <x:c r="C539" t="s">
        <x:v>3344</x:v>
      </x:c>
      <x:c r="D539" t="s">
        <x:v>3345</x:v>
      </x:c>
      <x:c r="E539" t="s">
        <x:v>2032</x:v>
      </x:c>
      <x:c r="F539" t="s">
        <x:v>1690</x:v>
      </x:c>
    </x:row>
    <x:row r="540">
      <x:c r="A540" t="s">
        <x:v>2029</x:v>
      </x:c>
      <x:c r="B540" t="s">
        <x:v>3159</x:v>
      </x:c>
      <x:c r="C540" t="s">
        <x:v>2030</x:v>
      </x:c>
      <x:c r="D540" t="s">
        <x:v>3346</x:v>
      </x:c>
      <x:c r="E540" t="s">
        <x:v>2032</x:v>
      </x:c>
      <x:c r="F540" t="s">
        <x:v>1690</x:v>
      </x:c>
    </x:row>
    <x:row r="541">
      <x:c r="A541" t="s">
        <x:v>246</x:v>
      </x:c>
      <x:c r="B541" t="s">
        <x:v>2033</x:v>
      </x:c>
      <x:c r="C541" t="s">
        <x:v>3347</x:v>
      </x:c>
      <x:c r="D541" t="s">
        <x:v>3348</x:v>
      </x:c>
      <x:c r="E541" t="s">
        <x:v>250</x:v>
      </x:c>
      <x:c r="F541" t="s">
        <x:v>1690</x:v>
      </x:c>
    </x:row>
    <x:row r="542">
      <x:c r="A542" t="s">
        <x:v>246</x:v>
      </x:c>
      <x:c r="B542" t="s">
        <x:v>3349</x:v>
      </x:c>
      <x:c r="C542" t="s">
        <x:v>2034</x:v>
      </x:c>
      <x:c r="D542" t="s">
        <x:v>3350</x:v>
      </x:c>
      <x:c r="E542" t="s">
        <x:v>250</x:v>
      </x:c>
      <x:c r="F542" t="s">
        <x:v>1690</x:v>
      </x:c>
    </x:row>
    <x:row r="543">
      <x:c r="A543" t="s">
        <x:v>2036</x:v>
      </x:c>
      <x:c r="B543" t="s">
        <x:v>2037</x:v>
      </x:c>
      <x:c r="C543" t="s">
        <x:v>1902</x:v>
      </x:c>
      <x:c r="D543" t="s">
        <x:v>2038</x:v>
      </x:c>
      <x:c r="E543" t="s">
        <x:v>2039</x:v>
      </x:c>
      <x:c r="F543" t="s">
        <x:v>1690</x:v>
      </x:c>
    </x:row>
    <x:row r="544">
      <x:c r="A544" t="s">
        <x:v>2040</x:v>
      </x:c>
      <x:c r="B544" t="s">
        <x:v>2041</x:v>
      </x:c>
      <x:c r="C544" t="s">
        <x:v>1810</x:v>
      </x:c>
      <x:c r="D544" t="s">
        <x:v>2042</x:v>
      </x:c>
      <x:c r="E544" t="s">
        <x:v>2043</x:v>
      </x:c>
      <x:c r="F544" t="s">
        <x:v>1690</x:v>
      </x:c>
    </x:row>
    <x:row r="545">
      <x:c r="A545" t="s">
        <x:v>2044</x:v>
      </x:c>
      <x:c r="B545" t="s">
        <x:v>2045</x:v>
      </x:c>
      <x:c r="C545" t="s">
        <x:v>2046</x:v>
      </x:c>
      <x:c r="D545" t="s">
        <x:v>2047</x:v>
      </x:c>
      <x:c r="E545" t="s">
        <x:v>2048</x:v>
      </x:c>
      <x:c r="F545" t="s">
        <x:v>1690</x:v>
      </x:c>
    </x:row>
    <x:row r="546">
      <x:c r="A546" t="s">
        <x:v>2049</x:v>
      </x:c>
      <x:c r="B546" t="s">
        <x:v>2050</x:v>
      </x:c>
      <x:c r="C546" t="s">
        <x:v>2051</x:v>
      </x:c>
      <x:c r="D546" t="s">
        <x:v>276</x:v>
      </x:c>
      <x:c r="E546" t="s">
        <x:v>2052</x:v>
      </x:c>
      <x:c r="F546" t="s">
        <x:v>1690</x:v>
      </x:c>
    </x:row>
    <x:row r="547">
      <x:c r="A547" t="s">
        <x:v>2053</x:v>
      </x:c>
      <x:c r="B547" t="s">
        <x:v>2054</x:v>
      </x:c>
      <x:c r="C547" t="s">
        <x:v>2055</x:v>
      </x:c>
      <x:c r="D547" t="s">
        <x:v>2056</x:v>
      </x:c>
      <x:c r="E547" t="s">
        <x:v>2057</x:v>
      </x:c>
      <x:c r="F547" t="s">
        <x:v>1690</x:v>
      </x:c>
    </x:row>
    <x:row r="548">
      <x:c r="A548" t="s">
        <x:v>2058</x:v>
      </x:c>
      <x:c r="B548" t="s">
        <x:v>2059</x:v>
      </x:c>
      <x:c r="C548" t="s">
        <x:v>2060</x:v>
      </x:c>
      <x:c r="D548" t="s">
        <x:v>2061</x:v>
      </x:c>
      <x:c r="E548" t="s">
        <x:v>2062</x:v>
      </x:c>
      <x:c r="F548" t="s">
        <x:v>1690</x:v>
      </x:c>
    </x:row>
    <x:row r="549">
      <x:c r="A549" t="s">
        <x:v>2063</x:v>
      </x:c>
      <x:c r="B549" t="s">
        <x:v>2064</x:v>
      </x:c>
      <x:c r="C549" t="s">
        <x:v>3351</x:v>
      </x:c>
      <x:c r="D549" t="s">
        <x:v>3352</x:v>
      </x:c>
      <x:c r="E549" t="s">
        <x:v>2067</x:v>
      </x:c>
      <x:c r="F549" t="s">
        <x:v>1690</x:v>
      </x:c>
    </x:row>
    <x:row r="550">
      <x:c r="A550" t="s">
        <x:v>2063</x:v>
      </x:c>
      <x:c r="B550" t="s">
        <x:v>3353</x:v>
      </x:c>
      <x:c r="C550" t="s">
        <x:v>3354</x:v>
      </x:c>
      <x:c r="D550" t="s">
        <x:v>3355</x:v>
      </x:c>
      <x:c r="E550" t="s">
        <x:v>2067</x:v>
      </x:c>
      <x:c r="F550" t="s">
        <x:v>1690</x:v>
      </x:c>
    </x:row>
    <x:row r="551">
      <x:c r="A551" t="s">
        <x:v>2063</x:v>
      </x:c>
      <x:c r="B551" t="s">
        <x:v>2967</x:v>
      </x:c>
      <x:c r="C551" t="s">
        <x:v>2065</x:v>
      </x:c>
      <x:c r="D551" t="s">
        <x:v>3356</x:v>
      </x:c>
      <x:c r="E551" t="s">
        <x:v>2067</x:v>
      </x:c>
      <x:c r="F551" t="s">
        <x:v>1690</x:v>
      </x:c>
    </x:row>
    <x:row r="552">
      <x:c r="A552" t="s">
        <x:v>2068</x:v>
      </x:c>
      <x:c r="B552" t="s">
        <x:v>2069</x:v>
      </x:c>
      <x:c r="C552" t="s">
        <x:v>1678</x:v>
      </x:c>
      <x:c r="D552" t="s">
        <x:v>2070</x:v>
      </x:c>
      <x:c r="E552" t="s">
        <x:v>2071</x:v>
      </x:c>
      <x:c r="F552" t="s">
        <x:v>1690</x:v>
      </x:c>
    </x:row>
    <x:row r="553">
      <x:c r="A553" t="s">
        <x:v>2072</x:v>
      </x:c>
      <x:c r="B553" t="s">
        <x:v>2073</x:v>
      </x:c>
      <x:c r="C553" t="s">
        <x:v>2074</x:v>
      </x:c>
      <x:c r="D553" t="s">
        <x:v>2075</x:v>
      </x:c>
      <x:c r="E553" t="s">
        <x:v>2076</x:v>
      </x:c>
      <x:c r="F553" t="s">
        <x:v>1690</x:v>
      </x:c>
    </x:row>
    <x:row r="554">
      <x:c r="A554" t="s">
        <x:v>2077</x:v>
      </x:c>
      <x:c r="B554" t="s">
        <x:v>2078</x:v>
      </x:c>
      <x:c r="C554" t="s">
        <x:v>2079</x:v>
      </x:c>
      <x:c r="D554" t="s">
        <x:v>952</x:v>
      </x:c>
      <x:c r="E554" t="s">
        <x:v>2080</x:v>
      </x:c>
      <x:c r="F554" t="s">
        <x:v>1690</x:v>
      </x:c>
    </x:row>
    <x:row r="555">
      <x:c r="A555" t="s">
        <x:v>2081</x:v>
      </x:c>
      <x:c r="B555" t="s">
        <x:v>2082</x:v>
      </x:c>
      <x:c r="C555" t="s">
        <x:v>3357</x:v>
      </x:c>
      <x:c r="D555" t="s">
        <x:v>3358</x:v>
      </x:c>
      <x:c r="E555" t="s">
        <x:v>2084</x:v>
      </x:c>
      <x:c r="F555" t="s">
        <x:v>1690</x:v>
      </x:c>
    </x:row>
    <x:row r="556">
      <x:c r="A556" t="s">
        <x:v>2081</x:v>
      </x:c>
      <x:c r="B556" t="s">
        <x:v>3359</x:v>
      </x:c>
      <x:c r="C556" t="s">
        <x:v>1678</x:v>
      </x:c>
      <x:c r="D556" t="s">
        <x:v>3360</x:v>
      </x:c>
      <x:c r="E556" t="s">
        <x:v>2084</x:v>
      </x:c>
      <x:c r="F556" t="s">
        <x:v>1690</x:v>
      </x:c>
    </x:row>
    <x:row r="557">
      <x:c r="A557" t="s">
        <x:v>2085</x:v>
      </x:c>
      <x:c r="B557" t="s">
        <x:v>2082</x:v>
      </x:c>
      <x:c r="C557" t="s">
        <x:v>3361</x:v>
      </x:c>
      <x:c r="D557" t="s">
        <x:v>3362</x:v>
      </x:c>
      <x:c r="E557" t="s">
        <x:v>2087</x:v>
      </x:c>
      <x:c r="F557" t="s">
        <x:v>1690</x:v>
      </x:c>
    </x:row>
    <x:row r="558">
      <x:c r="A558" t="s">
        <x:v>2085</x:v>
      </x:c>
      <x:c r="B558" t="s">
        <x:v>3363</x:v>
      </x:c>
      <x:c r="C558" t="s">
        <x:v>1683</x:v>
      </x:c>
      <x:c r="D558" t="s">
        <x:v>3364</x:v>
      </x:c>
      <x:c r="E558" t="s">
        <x:v>2087</x:v>
      </x:c>
      <x:c r="F558" t="s">
        <x:v>1690</x:v>
      </x:c>
    </x:row>
    <x:row r="559">
      <x:c r="A559" t="s">
        <x:v>2088</x:v>
      </x:c>
      <x:c r="B559" t="s">
        <x:v>2089</x:v>
      </x:c>
      <x:c r="C559" t="s">
        <x:v>1670</x:v>
      </x:c>
      <x:c r="D559" t="s">
        <x:v>139</x:v>
      </x:c>
      <x:c r="E559" t="s">
        <x:v>2090</x:v>
      </x:c>
      <x:c r="F559" t="s">
        <x:v>1690</x:v>
      </x:c>
    </x:row>
    <x:row r="560">
      <x:c r="A560" t="s">
        <x:v>2091</x:v>
      </x:c>
      <x:c r="B560" t="s">
        <x:v>2092</x:v>
      </x:c>
      <x:c r="C560" t="s">
        <x:v>1873</x:v>
      </x:c>
      <x:c r="D560" t="s">
        <x:v>2093</x:v>
      </x:c>
      <x:c r="E560" t="s">
        <x:v>2094</x:v>
      </x:c>
      <x:c r="F560" t="s">
        <x:v>1690</x:v>
      </x:c>
    </x:row>
    <x:row r="561">
      <x:c r="A561" t="s">
        <x:v>2095</x:v>
      </x:c>
      <x:c r="B561" t="s">
        <x:v>2096</x:v>
      </x:c>
      <x:c r="C561" t="s">
        <x:v>3365</x:v>
      </x:c>
      <x:c r="D561" t="s">
        <x:v>3366</x:v>
      </x:c>
      <x:c r="E561" t="s">
        <x:v>2099</x:v>
      </x:c>
      <x:c r="F561" t="s">
        <x:v>1690</x:v>
      </x:c>
    </x:row>
    <x:row r="562">
      <x:c r="A562" t="s">
        <x:v>2095</x:v>
      </x:c>
      <x:c r="B562" t="s">
        <x:v>3367</x:v>
      </x:c>
      <x:c r="C562" t="s">
        <x:v>2097</x:v>
      </x:c>
      <x:c r="D562" t="s">
        <x:v>3368</x:v>
      </x:c>
      <x:c r="E562" t="s">
        <x:v>2099</x:v>
      </x:c>
      <x:c r="F562" t="s">
        <x:v>1690</x:v>
      </x:c>
    </x:row>
    <x:row r="563">
      <x:c r="A563" t="s">
        <x:v>2100</x:v>
      </x:c>
      <x:c r="B563" t="s">
        <x:v>2101</x:v>
      </x:c>
      <x:c r="C563" t="s">
        <x:v>2102</x:v>
      </x:c>
      <x:c r="D563" t="s">
        <x:v>2103</x:v>
      </x:c>
      <x:c r="E563" t="s">
        <x:v>2104</x:v>
      </x:c>
      <x:c r="F563" t="s">
        <x:v>1690</x:v>
      </x:c>
    </x:row>
    <x:row r="564">
      <x:c r="A564" t="s">
        <x:v>2105</x:v>
      </x:c>
      <x:c r="B564" t="s">
        <x:v>2106</x:v>
      </x:c>
      <x:c r="C564" t="s">
        <x:v>3369</x:v>
      </x:c>
      <x:c r="D564" t="s">
        <x:v>3370</x:v>
      </x:c>
      <x:c r="E564" t="s">
        <x:v>2109</x:v>
      </x:c>
      <x:c r="F564" t="s">
        <x:v>1690</x:v>
      </x:c>
    </x:row>
    <x:row r="565">
      <x:c r="A565" t="s">
        <x:v>2105</x:v>
      </x:c>
      <x:c r="B565" t="s">
        <x:v>3371</x:v>
      </x:c>
      <x:c r="C565" t="s">
        <x:v>2107</x:v>
      </x:c>
      <x:c r="D565" t="s">
        <x:v>1178</x:v>
      </x:c>
      <x:c r="E565" t="s">
        <x:v>2109</x:v>
      </x:c>
      <x:c r="F565" t="s">
        <x:v>1690</x:v>
      </x:c>
    </x:row>
    <x:row r="566">
      <x:c r="A566" t="s">
        <x:v>2110</x:v>
      </x:c>
      <x:c r="B566" t="s">
        <x:v>2111</x:v>
      </x:c>
      <x:c r="C566" t="s">
        <x:v>1889</x:v>
      </x:c>
      <x:c r="D566" t="s">
        <x:v>2112</x:v>
      </x:c>
      <x:c r="E566" t="s">
        <x:v>2113</x:v>
      </x:c>
      <x:c r="F566" t="s">
        <x:v>1690</x:v>
      </x:c>
    </x:row>
    <x:row r="567">
      <x:c r="A567" t="s">
        <x:v>1329</x:v>
      </x:c>
      <x:c r="B567" t="s">
        <x:v>2114</x:v>
      </x:c>
      <x:c r="C567" t="s">
        <x:v>3372</x:v>
      </x:c>
      <x:c r="D567" t="s">
        <x:v>3373</x:v>
      </x:c>
      <x:c r="E567" t="s">
        <x:v>1333</x:v>
      </x:c>
      <x:c r="F567" t="s">
        <x:v>1690</x:v>
      </x:c>
    </x:row>
    <x:row r="568">
      <x:c r="A568" t="s">
        <x:v>1329</x:v>
      </x:c>
      <x:c r="B568" t="s">
        <x:v>3374</x:v>
      </x:c>
      <x:c r="C568" t="s">
        <x:v>1748</x:v>
      </x:c>
      <x:c r="D568" t="s">
        <x:v>3375</x:v>
      </x:c>
      <x:c r="E568" t="s">
        <x:v>1333</x:v>
      </x:c>
      <x:c r="F568" t="s">
        <x:v>1690</x:v>
      </x:c>
    </x:row>
    <x:row r="569">
      <x:c r="A569" t="s">
        <x:v>2116</x:v>
      </x:c>
      <x:c r="B569" t="s">
        <x:v>2117</x:v>
      </x:c>
      <x:c r="C569" t="s">
        <x:v>3376</x:v>
      </x:c>
      <x:c r="D569" t="s">
        <x:v>3377</x:v>
      </x:c>
      <x:c r="E569" t="s">
        <x:v>2120</x:v>
      </x:c>
      <x:c r="F569" t="s">
        <x:v>1690</x:v>
      </x:c>
    </x:row>
    <x:row r="570">
      <x:c r="A570" t="s">
        <x:v>2116</x:v>
      </x:c>
      <x:c r="B570" t="s">
        <x:v>3378</x:v>
      </x:c>
      <x:c r="C570" t="s">
        <x:v>2118</x:v>
      </x:c>
      <x:c r="D570" t="s">
        <x:v>3379</x:v>
      </x:c>
      <x:c r="E570" t="s">
        <x:v>2120</x:v>
      </x:c>
      <x:c r="F570" t="s">
        <x:v>1690</x:v>
      </x:c>
    </x:row>
    <x:row r="571">
      <x:c r="A571" t="s">
        <x:v>2121</x:v>
      </x:c>
      <x:c r="B571" t="s">
        <x:v>2122</x:v>
      </x:c>
      <x:c r="C571" t="s">
        <x:v>3380</x:v>
      </x:c>
      <x:c r="D571" t="s">
        <x:v>3381</x:v>
      </x:c>
      <x:c r="E571" t="s">
        <x:v>2125</x:v>
      </x:c>
      <x:c r="F571" t="s">
        <x:v>1690</x:v>
      </x:c>
    </x:row>
    <x:row r="572">
      <x:c r="A572" t="s">
        <x:v>2121</x:v>
      </x:c>
      <x:c r="B572" t="s">
        <x:v>3382</x:v>
      </x:c>
      <x:c r="C572" t="s">
        <x:v>2123</x:v>
      </x:c>
      <x:c r="D572" t="s">
        <x:v>3383</x:v>
      </x:c>
      <x:c r="E572" t="s">
        <x:v>2125</x:v>
      </x:c>
      <x:c r="F572" t="s">
        <x:v>1690</x:v>
      </x:c>
    </x:row>
    <x:row r="573">
      <x:c r="A573" t="s">
        <x:v>2126</x:v>
      </x:c>
      <x:c r="B573" t="s">
        <x:v>2122</x:v>
      </x:c>
      <x:c r="C573" t="s">
        <x:v>3384</x:v>
      </x:c>
      <x:c r="D573" t="s">
        <x:v>3385</x:v>
      </x:c>
      <x:c r="E573" t="s">
        <x:v>2129</x:v>
      </x:c>
      <x:c r="F573" t="s">
        <x:v>1690</x:v>
      </x:c>
    </x:row>
    <x:row r="574">
      <x:c r="A574" t="s">
        <x:v>2126</x:v>
      </x:c>
      <x:c r="B574" t="s">
        <x:v>3386</x:v>
      </x:c>
      <x:c r="C574" t="s">
        <x:v>2127</x:v>
      </x:c>
      <x:c r="D574" t="s">
        <x:v>3387</x:v>
      </x:c>
      <x:c r="E574" t="s">
        <x:v>2129</x:v>
      </x:c>
      <x:c r="F574" t="s">
        <x:v>1690</x:v>
      </x:c>
    </x:row>
    <x:row r="575">
      <x:c r="A575" t="s">
        <x:v>2130</x:v>
      </x:c>
      <x:c r="B575" t="s">
        <x:v>2131</x:v>
      </x:c>
      <x:c r="C575" t="s">
        <x:v>2132</x:v>
      </x:c>
      <x:c r="D575" t="s">
        <x:v>2133</x:v>
      </x:c>
      <x:c r="E575" t="s">
        <x:v>2134</x:v>
      </x:c>
      <x:c r="F575" t="s">
        <x:v>1690</x:v>
      </x:c>
    </x:row>
    <x:row r="576">
      <x:c r="A576" t="s">
        <x:v>2135</x:v>
      </x:c>
      <x:c r="B576" t="s">
        <x:v>2136</x:v>
      </x:c>
      <x:c r="C576" t="s">
        <x:v>1889</x:v>
      </x:c>
      <x:c r="D576" t="s">
        <x:v>2137</x:v>
      </x:c>
      <x:c r="E576" t="s">
        <x:v>2138</x:v>
      </x:c>
      <x:c r="F576" t="s">
        <x:v>1690</x:v>
      </x:c>
    </x:row>
    <x:row r="577">
      <x:c r="A577" t="s">
        <x:v>1224</x:v>
      </x:c>
      <x:c r="B577" t="s">
        <x:v>2139</x:v>
      </x:c>
      <x:c r="C577" t="s">
        <x:v>2140</x:v>
      </x:c>
      <x:c r="D577" t="s">
        <x:v>1728</x:v>
      </x:c>
      <x:c r="E577" t="s">
        <x:v>1227</x:v>
      </x:c>
      <x:c r="F577" t="s">
        <x:v>1690</x:v>
      </x:c>
    </x:row>
    <x:row r="578">
      <x:c r="A578" t="s">
        <x:v>2141</x:v>
      </x:c>
      <x:c r="B578" t="s">
        <x:v>2139</x:v>
      </x:c>
      <x:c r="C578" t="s">
        <x:v>2142</x:v>
      </x:c>
      <x:c r="D578" t="s">
        <x:v>2143</x:v>
      </x:c>
      <x:c r="E578" t="s">
        <x:v>2144</x:v>
      </x:c>
      <x:c r="F578" t="s">
        <x:v>1690</x:v>
      </x:c>
    </x:row>
    <x:row r="579">
      <x:c r="A579" t="s">
        <x:v>2145</x:v>
      </x:c>
      <x:c r="B579" t="s">
        <x:v>2146</x:v>
      </x:c>
      <x:c r="C579" t="s">
        <x:v>2147</x:v>
      </x:c>
      <x:c r="D579" t="s">
        <x:v>2148</x:v>
      </x:c>
      <x:c r="E579" t="s">
        <x:v>2149</x:v>
      </x:c>
      <x:c r="F579" t="s">
        <x:v>1690</x:v>
      </x:c>
    </x:row>
    <x:row r="580">
      <x:c r="A580" t="s">
        <x:v>1255</x:v>
      </x:c>
      <x:c r="B580" t="s">
        <x:v>2146</x:v>
      </x:c>
      <x:c r="C580" t="s">
        <x:v>1851</x:v>
      </x:c>
      <x:c r="D580" t="s">
        <x:v>2150</x:v>
      </x:c>
      <x:c r="E580" t="s">
        <x:v>1259</x:v>
      </x:c>
      <x:c r="F580" t="s">
        <x:v>1690</x:v>
      </x:c>
    </x:row>
    <x:row r="581">
      <x:c r="A581" t="s">
        <x:v>2151</x:v>
      </x:c>
      <x:c r="B581" t="s">
        <x:v>2152</x:v>
      </x:c>
      <x:c r="C581" t="s">
        <x:v>1802</x:v>
      </x:c>
      <x:c r="D581" t="s">
        <x:v>223</x:v>
      </x:c>
      <x:c r="E581" t="s">
        <x:v>2153</x:v>
      </x:c>
      <x:c r="F581" t="s">
        <x:v>1690</x:v>
      </x:c>
    </x:row>
    <x:row r="582">
      <x:c r="A582" t="s">
        <x:v>2154</x:v>
      </x:c>
      <x:c r="B582" t="s">
        <x:v>2155</x:v>
      </x:c>
      <x:c r="C582" t="s">
        <x:v>1678</x:v>
      </x:c>
      <x:c r="D582" t="s">
        <x:v>2156</x:v>
      </x:c>
      <x:c r="E582" t="s">
        <x:v>2157</x:v>
      </x:c>
      <x:c r="F582" t="s">
        <x:v>1690</x:v>
      </x:c>
    </x:row>
    <x:row r="583">
      <x:c r="A583" t="s">
        <x:v>2158</x:v>
      </x:c>
      <x:c r="B583" t="s">
        <x:v>2159</x:v>
      </x:c>
      <x:c r="C583" t="s">
        <x:v>2160</x:v>
      </x:c>
      <x:c r="D583" t="s">
        <x:v>2161</x:v>
      </x:c>
      <x:c r="E583" t="s">
        <x:v>2162</x:v>
      </x:c>
      <x:c r="F583" t="s">
        <x:v>1690</x:v>
      </x:c>
    </x:row>
    <x:row r="584">
      <x:c r="A584" t="s">
        <x:v>2163</x:v>
      </x:c>
      <x:c r="B584" t="s">
        <x:v>2164</x:v>
      </x:c>
      <x:c r="C584" t="s">
        <x:v>2165</x:v>
      </x:c>
      <x:c r="D584" t="s">
        <x:v>2166</x:v>
      </x:c>
      <x:c r="E584" t="s">
        <x:v>2167</x:v>
      </x:c>
      <x:c r="F584" t="s">
        <x:v>1690</x:v>
      </x:c>
    </x:row>
    <x:row r="585">
      <x:c r="A585" t="s">
        <x:v>2168</x:v>
      </x:c>
      <x:c r="B585" t="s">
        <x:v>2169</x:v>
      </x:c>
      <x:c r="C585" t="s">
        <x:v>2015</x:v>
      </x:c>
      <x:c r="D585" t="s">
        <x:v>2170</x:v>
      </x:c>
      <x:c r="E585" t="s">
        <x:v>2171</x:v>
      </x:c>
      <x:c r="F585" t="s">
        <x:v>1690</x:v>
      </x:c>
    </x:row>
    <x:row r="586">
      <x:c r="A586" t="s">
        <x:v>2172</x:v>
      </x:c>
      <x:c r="B586" t="s">
        <x:v>2173</x:v>
      </x:c>
      <x:c r="C586" t="s">
        <x:v>1894</x:v>
      </x:c>
      <x:c r="D586" t="s">
        <x:v>2174</x:v>
      </x:c>
      <x:c r="E586" t="s">
        <x:v>2175</x:v>
      </x:c>
      <x:c r="F586" t="s">
        <x:v>1690</x:v>
      </x:c>
    </x:row>
    <x:row r="587">
      <x:c r="A587" t="s">
        <x:v>715</x:v>
      </x:c>
      <x:c r="B587" t="s">
        <x:v>2173</x:v>
      </x:c>
      <x:c r="C587" t="s">
        <x:v>2176</x:v>
      </x:c>
      <x:c r="D587" t="s">
        <x:v>2177</x:v>
      </x:c>
      <x:c r="E587" t="s">
        <x:v>718</x:v>
      </x:c>
      <x:c r="F587" t="s">
        <x:v>1690</x:v>
      </x:c>
    </x:row>
    <x:row r="588">
      <x:c r="A588" t="s">
        <x:v>2178</x:v>
      </x:c>
      <x:c r="B588" t="s">
        <x:v>2179</x:v>
      </x:c>
      <x:c r="C588" t="s">
        <x:v>2180</x:v>
      </x:c>
      <x:c r="D588" t="s">
        <x:v>2181</x:v>
      </x:c>
      <x:c r="E588" t="s">
        <x:v>2182</x:v>
      </x:c>
      <x:c r="F588" t="s">
        <x:v>1690</x:v>
      </x:c>
    </x:row>
    <x:row r="589">
      <x:c r="A589" t="s">
        <x:v>2183</x:v>
      </x:c>
      <x:c r="B589" t="s">
        <x:v>2184</x:v>
      </x:c>
      <x:c r="C589" t="s">
        <x:v>2185</x:v>
      </x:c>
      <x:c r="D589" t="s">
        <x:v>2186</x:v>
      </x:c>
      <x:c r="E589" t="s">
        <x:v>2187</x:v>
      </x:c>
      <x:c r="F589" t="s">
        <x:v>1690</x:v>
      </x:c>
    </x:row>
    <x:row r="590">
      <x:c r="A590" t="s">
        <x:v>2188</x:v>
      </x:c>
      <x:c r="B590" t="s">
        <x:v>2189</x:v>
      </x:c>
      <x:c r="C590" t="s">
        <x:v>3388</x:v>
      </x:c>
      <x:c r="D590" t="s">
        <x:v>3389</x:v>
      </x:c>
      <x:c r="E590" t="s">
        <x:v>2192</x:v>
      </x:c>
      <x:c r="F590" t="s">
        <x:v>1690</x:v>
      </x:c>
    </x:row>
    <x:row r="591">
      <x:c r="A591" t="s">
        <x:v>2188</x:v>
      </x:c>
      <x:c r="B591" t="s">
        <x:v>3390</x:v>
      </x:c>
      <x:c r="C591" t="s">
        <x:v>2190</x:v>
      </x:c>
      <x:c r="D591" t="s">
        <x:v>3391</x:v>
      </x:c>
      <x:c r="E591" t="s">
        <x:v>2192</x:v>
      </x:c>
      <x:c r="F591" t="s">
        <x:v>1690</x:v>
      </x:c>
    </x:row>
    <x:row r="592">
      <x:c r="A592" t="s">
        <x:v>2193</x:v>
      </x:c>
      <x:c r="B592" t="s">
        <x:v>2194</x:v>
      </x:c>
      <x:c r="C592" t="s">
        <x:v>3392</x:v>
      </x:c>
      <x:c r="D592" t="s">
        <x:v>3393</x:v>
      </x:c>
      <x:c r="E592" t="s">
        <x:v>2196</x:v>
      </x:c>
      <x:c r="F592" t="s">
        <x:v>1690</x:v>
      </x:c>
    </x:row>
    <x:row r="593">
      <x:c r="A593" t="s">
        <x:v>2193</x:v>
      </x:c>
      <x:c r="B593" t="s">
        <x:v>3394</x:v>
      </x:c>
      <x:c r="C593" t="s">
        <x:v>3395</x:v>
      </x:c>
      <x:c r="D593" t="s">
        <x:v>3396</x:v>
      </x:c>
      <x:c r="E593" t="s">
        <x:v>2196</x:v>
      </x:c>
      <x:c r="F593" t="s">
        <x:v>1690</x:v>
      </x:c>
    </x:row>
    <x:row r="594">
      <x:c r="A594" t="s">
        <x:v>2193</x:v>
      </x:c>
      <x:c r="B594" t="s">
        <x:v>3397</x:v>
      </x:c>
      <x:c r="C594" t="s">
        <x:v>1675</x:v>
      </x:c>
      <x:c r="D594" t="s">
        <x:v>3398</x:v>
      </x:c>
      <x:c r="E594" t="s">
        <x:v>2196</x:v>
      </x:c>
      <x:c r="F594" t="s">
        <x:v>1690</x:v>
      </x:c>
    </x:row>
    <x:row r="595">
      <x:c r="A595" t="s">
        <x:v>184</x:v>
      </x:c>
      <x:c r="B595" t="s">
        <x:v>2197</x:v>
      </x:c>
      <x:c r="C595" t="s">
        <x:v>1894</x:v>
      </x:c>
      <x:c r="D595" t="s">
        <x:v>2198</x:v>
      </x:c>
      <x:c r="E595" t="s">
        <x:v>187</x:v>
      </x:c>
      <x:c r="F595" t="s">
        <x:v>1690</x:v>
      </x:c>
    </x:row>
    <x:row r="596">
      <x:c r="A596" t="s">
        <x:v>599</x:v>
      </x:c>
      <x:c r="B596" t="s">
        <x:v>2199</x:v>
      </x:c>
      <x:c r="C596" t="s">
        <x:v>1928</x:v>
      </x:c>
      <x:c r="D596" t="s">
        <x:v>353</x:v>
      </x:c>
      <x:c r="E596" t="s">
        <x:v>602</x:v>
      </x:c>
      <x:c r="F596" t="s">
        <x:v>1690</x:v>
      </x:c>
    </x:row>
    <x:row r="597">
      <x:c r="A597" t="s">
        <x:v>2200</x:v>
      </x:c>
      <x:c r="B597" t="s">
        <x:v>2201</x:v>
      </x:c>
      <x:c r="C597" t="s">
        <x:v>2015</x:v>
      </x:c>
      <x:c r="D597" t="s">
        <x:v>2202</x:v>
      </x:c>
      <x:c r="E597" t="s">
        <x:v>2203</x:v>
      </x:c>
      <x:c r="F597" t="s">
        <x:v>1690</x:v>
      </x:c>
    </x:row>
    <x:row r="598">
      <x:c r="A598" t="s">
        <x:v>2204</x:v>
      </x:c>
      <x:c r="B598" t="s">
        <x:v>2205</x:v>
      </x:c>
      <x:c r="C598" t="s">
        <x:v>2127</x:v>
      </x:c>
      <x:c r="D598" t="s">
        <x:v>2075</x:v>
      </x:c>
      <x:c r="E598" t="s">
        <x:v>2206</x:v>
      </x:c>
      <x:c r="F598" t="s">
        <x:v>1690</x:v>
      </x:c>
    </x:row>
    <x:row r="599">
      <x:c r="A599" t="s">
        <x:v>2207</x:v>
      </x:c>
      <x:c r="B599" t="s">
        <x:v>2208</x:v>
      </x:c>
      <x:c r="C599" t="s">
        <x:v>2224</x:v>
      </x:c>
      <x:c r="D599" t="s">
        <x:v>3399</x:v>
      </x:c>
      <x:c r="E599" t="s">
        <x:v>2211</x:v>
      </x:c>
      <x:c r="F599" t="s">
        <x:v>1690</x:v>
      </x:c>
    </x:row>
    <x:row r="600">
      <x:c r="A600" t="s">
        <x:v>2207</x:v>
      </x:c>
      <x:c r="B600" t="s">
        <x:v>3400</x:v>
      </x:c>
      <x:c r="C600" t="s">
        <x:v>3401</x:v>
      </x:c>
      <x:c r="D600" t="s">
        <x:v>3402</x:v>
      </x:c>
      <x:c r="E600" t="s">
        <x:v>2211</x:v>
      </x:c>
      <x:c r="F600" t="s">
        <x:v>1690</x:v>
      </x:c>
    </x:row>
    <x:row r="601">
      <x:c r="A601" t="s">
        <x:v>2207</x:v>
      </x:c>
      <x:c r="B601" t="s">
        <x:v>3403</x:v>
      </x:c>
      <x:c r="C601" t="s">
        <x:v>2209</x:v>
      </x:c>
      <x:c r="D601" t="s">
        <x:v>3404</x:v>
      </x:c>
      <x:c r="E601" t="s">
        <x:v>2211</x:v>
      </x:c>
      <x:c r="F601" t="s">
        <x:v>1690</x:v>
      </x:c>
    </x:row>
    <x:row r="602">
      <x:c r="A602" t="s">
        <x:v>934</x:v>
      </x:c>
      <x:c r="B602" t="s">
        <x:v>2212</x:v>
      </x:c>
      <x:c r="C602" t="s">
        <x:v>2804</x:v>
      </x:c>
      <x:c r="D602" t="s">
        <x:v>3405</x:v>
      </x:c>
      <x:c r="E602" t="s">
        <x:v>938</x:v>
      </x:c>
      <x:c r="F602" t="s">
        <x:v>1690</x:v>
      </x:c>
    </x:row>
    <x:row r="603">
      <x:c r="A603" t="s">
        <x:v>934</x:v>
      </x:c>
      <x:c r="B603" t="s">
        <x:v>3406</x:v>
      </x:c>
      <x:c r="C603" t="s">
        <x:v>2213</x:v>
      </x:c>
      <x:c r="D603" t="s">
        <x:v>3407</x:v>
      </x:c>
      <x:c r="E603" t="s">
        <x:v>938</x:v>
      </x:c>
      <x:c r="F603" t="s">
        <x:v>1690</x:v>
      </x:c>
    </x:row>
    <x:row r="604">
      <x:c r="A604" t="s">
        <x:v>2215</x:v>
      </x:c>
      <x:c r="B604" t="s">
        <x:v>2216</x:v>
      </x:c>
      <x:c r="C604" t="s">
        <x:v>1718</x:v>
      </x:c>
      <x:c r="D604" t="s">
        <x:v>2217</x:v>
      </x:c>
      <x:c r="E604" t="s">
        <x:v>2218</x:v>
      </x:c>
      <x:c r="F604" t="s">
        <x:v>1690</x:v>
      </x:c>
    </x:row>
    <x:row r="605">
      <x:c r="A605" t="s">
        <x:v>2219</x:v>
      </x:c>
      <x:c r="B605" t="s">
        <x:v>2216</x:v>
      </x:c>
      <x:c r="C605" t="s">
        <x:v>3408</x:v>
      </x:c>
      <x:c r="D605" t="s">
        <x:v>3409</x:v>
      </x:c>
      <x:c r="E605" t="s">
        <x:v>2222</x:v>
      </x:c>
      <x:c r="F605" t="s">
        <x:v>1690</x:v>
      </x:c>
    </x:row>
    <x:row r="606">
      <x:c r="A606" t="s">
        <x:v>2219</x:v>
      </x:c>
      <x:c r="B606" t="s">
        <x:v>3410</x:v>
      </x:c>
      <x:c r="C606" t="s">
        <x:v>2220</x:v>
      </x:c>
      <x:c r="D606" t="s">
        <x:v>3411</x:v>
      </x:c>
      <x:c r="E606" t="s">
        <x:v>2222</x:v>
      </x:c>
      <x:c r="F606" t="s">
        <x:v>1690</x:v>
      </x:c>
    </x:row>
    <x:row r="607">
      <x:c r="A607" t="s">
        <x:v>2223</x:v>
      </x:c>
      <x:c r="B607" t="s">
        <x:v>2224</x:v>
      </x:c>
      <x:c r="C607" t="s">
        <x:v>2225</x:v>
      </x:c>
      <x:c r="D607" t="s">
        <x:v>2226</x:v>
      </x:c>
      <x:c r="E607" t="s">
        <x:v>2227</x:v>
      </x:c>
      <x:c r="F607" t="s">
        <x:v>1690</x:v>
      </x:c>
    </x:row>
    <x:row r="608">
      <x:c r="A608" t="s">
        <x:v>2228</x:v>
      </x:c>
      <x:c r="B608" t="s">
        <x:v>2229</x:v>
      </x:c>
      <x:c r="C608" t="s">
        <x:v>2180</x:v>
      </x:c>
      <x:c r="D608" t="s">
        <x:v>2230</x:v>
      </x:c>
      <x:c r="E608" t="s">
        <x:v>2231</x:v>
      </x:c>
      <x:c r="F608" t="s">
        <x:v>1690</x:v>
      </x:c>
    </x:row>
    <x:row r="609">
      <x:c r="A609" t="s">
        <x:v>1123</x:v>
      </x:c>
      <x:c r="B609" t="s">
        <x:v>2232</x:v>
      </x:c>
      <x:c r="C609" t="s">
        <x:v>2233</x:v>
      </x:c>
      <x:c r="D609" t="s">
        <x:v>2234</x:v>
      </x:c>
      <x:c r="E609" t="s">
        <x:v>1126</x:v>
      </x:c>
      <x:c r="F609" t="s">
        <x:v>1690</x:v>
      </x:c>
    </x:row>
    <x:row r="610">
      <x:c r="A610" t="s">
        <x:v>2235</x:v>
      </x:c>
      <x:c r="B610" t="s">
        <x:v>2236</x:v>
      </x:c>
      <x:c r="C610" t="s">
        <x:v>1969</x:v>
      </x:c>
      <x:c r="D610" t="s">
        <x:v>2237</x:v>
      </x:c>
      <x:c r="E610" t="s">
        <x:v>2238</x:v>
      </x:c>
      <x:c r="F610" t="s">
        <x:v>1690</x:v>
      </x:c>
    </x:row>
    <x:row r="611">
      <x:c r="A611" t="s">
        <x:v>192</x:v>
      </x:c>
      <x:c r="B611" t="s">
        <x:v>2239</x:v>
      </x:c>
      <x:c r="C611" t="s">
        <x:v>2240</x:v>
      </x:c>
      <x:c r="D611" t="s">
        <x:v>870</x:v>
      </x:c>
      <x:c r="E611" t="s">
        <x:v>193</x:v>
      </x:c>
      <x:c r="F611" t="s">
        <x:v>1690</x:v>
      </x:c>
    </x:row>
    <x:row r="612">
      <x:c r="A612" t="s">
        <x:v>2241</x:v>
      </x:c>
      <x:c r="B612" t="s">
        <x:v>2242</x:v>
      </x:c>
      <x:c r="C612" t="s">
        <x:v>1969</x:v>
      </x:c>
      <x:c r="D612" t="s">
        <x:v>2243</x:v>
      </x:c>
      <x:c r="E612" t="s">
        <x:v>2244</x:v>
      </x:c>
      <x:c r="F612" t="s">
        <x:v>1690</x:v>
      </x:c>
    </x:row>
    <x:row r="613">
      <x:c r="A613" t="s">
        <x:v>2245</x:v>
      </x:c>
      <x:c r="B613" t="s">
        <x:v>2242</x:v>
      </x:c>
      <x:c r="C613" t="s">
        <x:v>3412</x:v>
      </x:c>
      <x:c r="D613" t="s">
        <x:v>1668</x:v>
      </x:c>
      <x:c r="E613" t="s">
        <x:v>2247</x:v>
      </x:c>
      <x:c r="F613" t="s">
        <x:v>1690</x:v>
      </x:c>
    </x:row>
    <x:row r="614">
      <x:c r="A614" t="s">
        <x:v>2245</x:v>
      </x:c>
      <x:c r="B614" t="s">
        <x:v>3413</x:v>
      </x:c>
      <x:c r="C614" t="s">
        <x:v>1698</x:v>
      </x:c>
      <x:c r="D614" t="s">
        <x:v>3414</x:v>
      </x:c>
      <x:c r="E614" t="s">
        <x:v>2247</x:v>
      </x:c>
      <x:c r="F614" t="s">
        <x:v>1690</x:v>
      </x:c>
    </x:row>
    <x:row r="615">
      <x:c r="A615" t="s">
        <x:v>2248</x:v>
      </x:c>
      <x:c r="B615" t="s">
        <x:v>2249</x:v>
      </x:c>
      <x:c r="C615" t="s">
        <x:v>1678</x:v>
      </x:c>
      <x:c r="D615" t="s">
        <x:v>2250</x:v>
      </x:c>
      <x:c r="E615" t="s">
        <x:v>2251</x:v>
      </x:c>
      <x:c r="F615" t="s">
        <x:v>1690</x:v>
      </x:c>
    </x:row>
    <x:row r="616">
      <x:c r="A616" t="s">
        <x:v>2252</x:v>
      </x:c>
      <x:c r="B616" t="s">
        <x:v>2253</x:v>
      </x:c>
      <x:c r="C616" t="s">
        <x:v>3415</x:v>
      </x:c>
      <x:c r="D616" t="s">
        <x:v>2556</x:v>
      </x:c>
      <x:c r="E616" t="s">
        <x:v>2256</x:v>
      </x:c>
      <x:c r="F616" t="s">
        <x:v>1690</x:v>
      </x:c>
    </x:row>
    <x:row r="617">
      <x:c r="A617" t="s">
        <x:v>2252</x:v>
      </x:c>
      <x:c r="B617" t="s">
        <x:v>3416</x:v>
      </x:c>
      <x:c r="C617" t="s">
        <x:v>2254</x:v>
      </x:c>
      <x:c r="D617" t="s">
        <x:v>1509</x:v>
      </x:c>
      <x:c r="E617" t="s">
        <x:v>2256</x:v>
      </x:c>
      <x:c r="F617" t="s">
        <x:v>1690</x:v>
      </x:c>
    </x:row>
    <x:row r="618">
      <x:c r="A618" t="s">
        <x:v>2257</x:v>
      </x:c>
      <x:c r="B618" t="s">
        <x:v>2258</x:v>
      </x:c>
      <x:c r="C618" t="s">
        <x:v>2180</x:v>
      </x:c>
      <x:c r="D618" t="s">
        <x:v>2259</x:v>
      </x:c>
      <x:c r="E618" t="s">
        <x:v>2260</x:v>
      </x:c>
      <x:c r="F618" t="s">
        <x:v>1690</x:v>
      </x:c>
    </x:row>
    <x:row r="619">
      <x:c r="A619" t="s">
        <x:v>2261</x:v>
      </x:c>
      <x:c r="B619" t="s">
        <x:v>2262</x:v>
      </x:c>
      <x:c r="C619" t="s">
        <x:v>3417</x:v>
      </x:c>
      <x:c r="D619" t="s">
        <x:v>3418</x:v>
      </x:c>
      <x:c r="E619" t="s">
        <x:v>2265</x:v>
      </x:c>
      <x:c r="F619" t="s">
        <x:v>1690</x:v>
      </x:c>
    </x:row>
    <x:row r="620">
      <x:c r="A620" t="s">
        <x:v>2261</x:v>
      </x:c>
      <x:c r="B620" t="s">
        <x:v>3419</x:v>
      </x:c>
      <x:c r="C620" t="s">
        <x:v>2263</x:v>
      </x:c>
      <x:c r="D620" t="s">
        <x:v>125</x:v>
      </x:c>
      <x:c r="E620" t="s">
        <x:v>2265</x:v>
      </x:c>
      <x:c r="F620" t="s">
        <x:v>1690</x:v>
      </x:c>
    </x:row>
    <x:row r="621">
      <x:c r="A621" t="s">
        <x:v>890</x:v>
      </x:c>
      <x:c r="B621" t="s">
        <x:v>2262</x:v>
      </x:c>
      <x:c r="C621" t="s">
        <x:v>2266</x:v>
      </x:c>
      <x:c r="D621" t="s">
        <x:v>2267</x:v>
      </x:c>
      <x:c r="E621" t="s">
        <x:v>893</x:v>
      </x:c>
      <x:c r="F621" t="s">
        <x:v>1690</x:v>
      </x:c>
    </x:row>
    <x:row r="622">
      <x:c r="A622" t="s">
        <x:v>2268</x:v>
      </x:c>
      <x:c r="B622" t="s">
        <x:v>2269</x:v>
      </x:c>
      <x:c r="C622" t="s">
        <x:v>3420</x:v>
      </x:c>
      <x:c r="D622" t="s">
        <x:v>3421</x:v>
      </x:c>
      <x:c r="E622" t="s">
        <x:v>2271</x:v>
      </x:c>
      <x:c r="F622" t="s">
        <x:v>1690</x:v>
      </x:c>
    </x:row>
    <x:row r="623">
      <x:c r="A623" t="s">
        <x:v>2268</x:v>
      </x:c>
      <x:c r="B623" t="s">
        <x:v>3422</x:v>
      </x:c>
      <x:c r="C623" t="s">
        <x:v>1687</x:v>
      </x:c>
      <x:c r="D623" t="s">
        <x:v>3423</x:v>
      </x:c>
      <x:c r="E623" t="s">
        <x:v>2271</x:v>
      </x:c>
      <x:c r="F623" t="s">
        <x:v>1690</x:v>
      </x:c>
    </x:row>
    <x:row r="624">
      <x:c r="A624" t="s">
        <x:v>939</x:v>
      </x:c>
      <x:c r="B624" t="s">
        <x:v>2272</x:v>
      </x:c>
      <x:c r="C624" t="s">
        <x:v>2273</x:v>
      </x:c>
      <x:c r="D624" t="s">
        <x:v>2274</x:v>
      </x:c>
      <x:c r="E624" t="s">
        <x:v>943</x:v>
      </x:c>
      <x:c r="F624" t="s">
        <x:v>1690</x:v>
      </x:c>
    </x:row>
    <x:row r="625">
      <x:c r="A625" t="s">
        <x:v>2275</x:v>
      </x:c>
      <x:c r="B625" t="s">
        <x:v>2276</x:v>
      </x:c>
      <x:c r="C625" t="s">
        <x:v>1744</x:v>
      </x:c>
      <x:c r="D625" t="s">
        <x:v>3424</x:v>
      </x:c>
      <x:c r="E625" t="s">
        <x:v>2278</x:v>
      </x:c>
      <x:c r="F625" t="s">
        <x:v>1690</x:v>
      </x:c>
    </x:row>
    <x:row r="626">
      <x:c r="A626" t="s">
        <x:v>2275</x:v>
      </x:c>
      <x:c r="B626" t="s">
        <x:v>3425</x:v>
      </x:c>
      <x:c r="C626" t="s">
        <x:v>2277</x:v>
      </x:c>
      <x:c r="D626" t="s">
        <x:v>227</x:v>
      </x:c>
      <x:c r="E626" t="s">
        <x:v>2278</x:v>
      </x:c>
      <x:c r="F626" t="s">
        <x:v>1690</x:v>
      </x:c>
    </x:row>
    <x:row r="627">
      <x:c r="A627" t="s">
        <x:v>2279</x:v>
      </x:c>
      <x:c r="B627" t="s">
        <x:v>2280</x:v>
      </x:c>
      <x:c r="C627" t="s">
        <x:v>3426</x:v>
      </x:c>
      <x:c r="D627" t="s">
        <x:v>3427</x:v>
      </x:c>
      <x:c r="E627" t="s">
        <x:v>2283</x:v>
      </x:c>
      <x:c r="F627" t="s">
        <x:v>1690</x:v>
      </x:c>
    </x:row>
    <x:row r="628">
      <x:c r="A628" t="s">
        <x:v>2279</x:v>
      </x:c>
      <x:c r="B628" t="s">
        <x:v>3428</x:v>
      </x:c>
      <x:c r="C628" t="s">
        <x:v>2281</x:v>
      </x:c>
      <x:c r="D628" t="s">
        <x:v>3429</x:v>
      </x:c>
      <x:c r="E628" t="s">
        <x:v>2283</x:v>
      </x:c>
      <x:c r="F628" t="s">
        <x:v>1690</x:v>
      </x:c>
    </x:row>
    <x:row r="629">
      <x:c r="A629" t="s">
        <x:v>2284</x:v>
      </x:c>
      <x:c r="B629" t="s">
        <x:v>2285</x:v>
      </x:c>
      <x:c r="C629" t="s">
        <x:v>3430</x:v>
      </x:c>
      <x:c r="D629" t="s">
        <x:v>1526</x:v>
      </x:c>
      <x:c r="E629" t="s">
        <x:v>2288</x:v>
      </x:c>
      <x:c r="F629" t="s">
        <x:v>1690</x:v>
      </x:c>
    </x:row>
    <x:row r="630">
      <x:c r="A630" t="s">
        <x:v>2284</x:v>
      </x:c>
      <x:c r="B630" t="s">
        <x:v>3431</x:v>
      </x:c>
      <x:c r="C630" t="s">
        <x:v>2286</x:v>
      </x:c>
      <x:c r="D630" t="s">
        <x:v>125</x:v>
      </x:c>
      <x:c r="E630" t="s">
        <x:v>2288</x:v>
      </x:c>
      <x:c r="F630" t="s">
        <x:v>1690</x:v>
      </x:c>
    </x:row>
    <x:row r="631">
      <x:c r="A631" t="s">
        <x:v>2289</x:v>
      </x:c>
      <x:c r="B631" t="s">
        <x:v>2290</x:v>
      </x:c>
      <x:c r="C631" t="s">
        <x:v>1683</x:v>
      </x:c>
      <x:c r="D631" t="s">
        <x:v>2291</x:v>
      </x:c>
      <x:c r="E631" t="s">
        <x:v>2292</x:v>
      </x:c>
      <x:c r="F631" t="s">
        <x:v>1690</x:v>
      </x:c>
    </x:row>
    <x:row r="632">
      <x:c r="A632" t="s">
        <x:v>2293</x:v>
      </x:c>
      <x:c r="B632" t="s">
        <x:v>2294</x:v>
      </x:c>
      <x:c r="C632" t="s">
        <x:v>1698</x:v>
      </x:c>
      <x:c r="D632" t="s">
        <x:v>2295</x:v>
      </x:c>
      <x:c r="E632" t="s">
        <x:v>2296</x:v>
      </x:c>
      <x:c r="F632" t="s">
        <x:v>1690</x:v>
      </x:c>
    </x:row>
    <x:row r="633">
      <x:c r="A633" t="s">
        <x:v>2297</x:v>
      </x:c>
      <x:c r="B633" t="s">
        <x:v>2298</x:v>
      </x:c>
      <x:c r="C633" t="s">
        <x:v>3432</x:v>
      </x:c>
      <x:c r="D633" t="s">
        <x:v>3433</x:v>
      </x:c>
      <x:c r="E633" t="s">
        <x:v>2300</x:v>
      </x:c>
      <x:c r="F633" t="s">
        <x:v>1690</x:v>
      </x:c>
    </x:row>
    <x:row r="634">
      <x:c r="A634" t="s">
        <x:v>2297</x:v>
      </x:c>
      <x:c r="B634" t="s">
        <x:v>3434</x:v>
      </x:c>
      <x:c r="C634" t="s">
        <x:v>3435</x:v>
      </x:c>
      <x:c r="D634" t="s">
        <x:v>3436</x:v>
      </x:c>
      <x:c r="E634" t="s">
        <x:v>2300</x:v>
      </x:c>
      <x:c r="F634" t="s">
        <x:v>1690</x:v>
      </x:c>
    </x:row>
    <x:row r="635">
      <x:c r="A635" t="s">
        <x:v>2297</x:v>
      </x:c>
      <x:c r="B635" t="s">
        <x:v>3437</x:v>
      </x:c>
      <x:c r="C635" t="s">
        <x:v>3438</x:v>
      </x:c>
      <x:c r="D635" t="s">
        <x:v>3439</x:v>
      </x:c>
      <x:c r="E635" t="s">
        <x:v>2300</x:v>
      </x:c>
      <x:c r="F635" t="s">
        <x:v>1690</x:v>
      </x:c>
    </x:row>
    <x:row r="636">
      <x:c r="A636" t="s">
        <x:v>2297</x:v>
      </x:c>
      <x:c r="B636" t="s">
        <x:v>3440</x:v>
      </x:c>
      <x:c r="C636" t="s">
        <x:v>2046</x:v>
      </x:c>
      <x:c r="D636" t="s">
        <x:v>3441</x:v>
      </x:c>
      <x:c r="E636" t="s">
        <x:v>2300</x:v>
      </x:c>
      <x:c r="F636" t="s">
        <x:v>1690</x:v>
      </x:c>
    </x:row>
    <x:row r="637">
      <x:c r="A637" t="s">
        <x:v>2301</x:v>
      </x:c>
      <x:c r="B637" t="s">
        <x:v>2302</x:v>
      </x:c>
      <x:c r="C637" t="s">
        <x:v>2107</x:v>
      </x:c>
      <x:c r="D637" t="s">
        <x:v>370</x:v>
      </x:c>
      <x:c r="E637" t="s">
        <x:v>2303</x:v>
      </x:c>
      <x:c r="F637" t="s">
        <x:v>1690</x:v>
      </x:c>
    </x:row>
    <x:row r="638">
      <x:c r="A638" t="s">
        <x:v>270</x:v>
      </x:c>
      <x:c r="B638" t="s">
        <x:v>2304</x:v>
      </x:c>
      <x:c r="C638" t="s">
        <x:v>2305</x:v>
      </x:c>
      <x:c r="D638" t="s">
        <x:v>2306</x:v>
      </x:c>
      <x:c r="E638" t="s">
        <x:v>273</x:v>
      </x:c>
      <x:c r="F638" t="s">
        <x:v>1690</x:v>
      </x:c>
    </x:row>
    <x:row r="639">
      <x:c r="A639" t="s">
        <x:v>2307</x:v>
      </x:c>
      <x:c r="B639" t="s">
        <x:v>2308</x:v>
      </x:c>
      <x:c r="C639" t="s">
        <x:v>3442</x:v>
      </x:c>
      <x:c r="D639" t="s">
        <x:v>3443</x:v>
      </x:c>
      <x:c r="E639" t="s">
        <x:v>2310</x:v>
      </x:c>
      <x:c r="F639" t="s">
        <x:v>1690</x:v>
      </x:c>
    </x:row>
    <x:row r="640">
      <x:c r="A640" t="s">
        <x:v>2307</x:v>
      </x:c>
      <x:c r="B640" t="s">
        <x:v>3444</x:v>
      </x:c>
      <x:c r="C640" t="s">
        <x:v>1969</x:v>
      </x:c>
      <x:c r="D640" t="s">
        <x:v>2729</x:v>
      </x:c>
      <x:c r="E640" t="s">
        <x:v>2310</x:v>
      </x:c>
      <x:c r="F640" t="s">
        <x:v>1690</x:v>
      </x:c>
    </x:row>
    <x:row r="641">
      <x:c r="A641" t="s">
        <x:v>2311</x:v>
      </x:c>
      <x:c r="B641" t="s">
        <x:v>2312</x:v>
      </x:c>
      <x:c r="C641" t="s">
        <x:v>2313</x:v>
      </x:c>
      <x:c r="D641" t="s">
        <x:v>2314</x:v>
      </x:c>
      <x:c r="E641" t="s">
        <x:v>2315</x:v>
      </x:c>
      <x:c r="F641" t="s">
        <x:v>1690</x:v>
      </x:c>
    </x:row>
    <x:row r="642">
      <x:c r="A642" t="s">
        <x:v>2316</x:v>
      </x:c>
      <x:c r="B642" t="s">
        <x:v>2317</x:v>
      </x:c>
      <x:c r="C642" t="s">
        <x:v>2318</x:v>
      </x:c>
      <x:c r="D642" t="s">
        <x:v>2319</x:v>
      </x:c>
      <x:c r="E642" t="s">
        <x:v>2320</x:v>
      </x:c>
      <x:c r="F642" t="s">
        <x:v>1690</x:v>
      </x:c>
    </x:row>
    <x:row r="643">
      <x:c r="A643" t="s">
        <x:v>2321</x:v>
      </x:c>
      <x:c r="B643" t="s">
        <x:v>2322</x:v>
      </x:c>
      <x:c r="C643" t="s">
        <x:v>3445</x:v>
      </x:c>
      <x:c r="D643" t="s">
        <x:v>3446</x:v>
      </x:c>
      <x:c r="E643" t="s">
        <x:v>2324</x:v>
      </x:c>
      <x:c r="F643" t="s">
        <x:v>1690</x:v>
      </x:c>
    </x:row>
    <x:row r="644">
      <x:c r="A644" t="s">
        <x:v>2321</x:v>
      </x:c>
      <x:c r="B644" t="s">
        <x:v>3447</x:v>
      </x:c>
      <x:c r="C644" t="s">
        <x:v>3448</x:v>
      </x:c>
      <x:c r="D644" t="s">
        <x:v>3449</x:v>
      </x:c>
      <x:c r="E644" t="s">
        <x:v>2324</x:v>
      </x:c>
      <x:c r="F644" t="s">
        <x:v>1690</x:v>
      </x:c>
    </x:row>
    <x:row r="645">
      <x:c r="A645" t="s">
        <x:v>2321</x:v>
      </x:c>
      <x:c r="B645" t="s">
        <x:v>3450</x:v>
      </x:c>
      <x:c r="C645" t="s">
        <x:v>2323</x:v>
      </x:c>
      <x:c r="D645" t="s">
        <x:v>3451</x:v>
      </x:c>
      <x:c r="E645" t="s">
        <x:v>2324</x:v>
      </x:c>
      <x:c r="F645" t="s">
        <x:v>1690</x:v>
      </x:c>
    </x:row>
    <x:row r="646">
      <x:c r="A646" t="s">
        <x:v>2325</x:v>
      </x:c>
      <x:c r="B646" t="s">
        <x:v>2322</x:v>
      </x:c>
      <x:c r="C646" t="s">
        <x:v>3452</x:v>
      </x:c>
      <x:c r="D646" t="s">
        <x:v>3453</x:v>
      </x:c>
      <x:c r="E646" t="s">
        <x:v>2328</x:v>
      </x:c>
      <x:c r="F646" t="s">
        <x:v>1690</x:v>
      </x:c>
    </x:row>
    <x:row r="647">
      <x:c r="A647" t="s">
        <x:v>2325</x:v>
      </x:c>
      <x:c r="B647" t="s">
        <x:v>3454</x:v>
      </x:c>
      <x:c r="C647" t="s">
        <x:v>2326</x:v>
      </x:c>
      <x:c r="D647" t="s">
        <x:v>3455</x:v>
      </x:c>
      <x:c r="E647" t="s">
        <x:v>2328</x:v>
      </x:c>
      <x:c r="F647" t="s">
        <x:v>1690</x:v>
      </x:c>
    </x:row>
    <x:row r="648">
      <x:c r="A648" t="s">
        <x:v>2329</x:v>
      </x:c>
      <x:c r="B648" t="s">
        <x:v>2330</x:v>
      </x:c>
      <x:c r="C648" t="s">
        <x:v>2015</x:v>
      </x:c>
      <x:c r="D648" t="s">
        <x:v>2331</x:v>
      </x:c>
      <x:c r="E648" t="s">
        <x:v>2332</x:v>
      </x:c>
      <x:c r="F648" t="s">
        <x:v>1690</x:v>
      </x:c>
    </x:row>
    <x:row r="649">
      <x:c r="A649" t="s">
        <x:v>2333</x:v>
      </x:c>
      <x:c r="B649" t="s">
        <x:v>2334</x:v>
      </x:c>
      <x:c r="C649" t="s">
        <x:v>2220</x:v>
      </x:c>
      <x:c r="D649" t="s">
        <x:v>2335</x:v>
      </x:c>
      <x:c r="E649" t="s">
        <x:v>2336</x:v>
      </x:c>
      <x:c r="F649" t="s">
        <x:v>1690</x:v>
      </x:c>
    </x:row>
    <x:row r="650">
      <x:c r="A650" t="s">
        <x:v>2337</x:v>
      </x:c>
      <x:c r="B650" t="s">
        <x:v>2338</x:v>
      </x:c>
      <x:c r="C650" t="s">
        <x:v>3456</x:v>
      </x:c>
      <x:c r="D650" t="s">
        <x:v>3457</x:v>
      </x:c>
      <x:c r="E650" t="s">
        <x:v>2341</x:v>
      </x:c>
      <x:c r="F650" t="s">
        <x:v>1690</x:v>
      </x:c>
    </x:row>
    <x:row r="651">
      <x:c r="A651" t="s">
        <x:v>2337</x:v>
      </x:c>
      <x:c r="B651" t="s">
        <x:v>3458</x:v>
      </x:c>
      <x:c r="C651" t="s">
        <x:v>2339</x:v>
      </x:c>
      <x:c r="D651" t="s">
        <x:v>3459</x:v>
      </x:c>
      <x:c r="E651" t="s">
        <x:v>2341</x:v>
      </x:c>
      <x:c r="F651" t="s">
        <x:v>1690</x:v>
      </x:c>
    </x:row>
    <x:row r="652">
      <x:c r="A652" t="s">
        <x:v>2342</x:v>
      </x:c>
      <x:c r="B652" t="s">
        <x:v>2338</x:v>
      </x:c>
      <x:c r="C652" t="s">
        <x:v>3460</x:v>
      </x:c>
      <x:c r="D652" t="s">
        <x:v>3461</x:v>
      </x:c>
      <x:c r="E652" t="s">
        <x:v>2345</x:v>
      </x:c>
      <x:c r="F652" t="s">
        <x:v>1690</x:v>
      </x:c>
    </x:row>
    <x:row r="653">
      <x:c r="A653" t="s">
        <x:v>2342</x:v>
      </x:c>
      <x:c r="B653" t="s">
        <x:v>3206</x:v>
      </x:c>
      <x:c r="C653" t="s">
        <x:v>2343</x:v>
      </x:c>
      <x:c r="D653" t="s">
        <x:v>3462</x:v>
      </x:c>
      <x:c r="E653" t="s">
        <x:v>2345</x:v>
      </x:c>
      <x:c r="F653" t="s">
        <x:v>1690</x:v>
      </x:c>
    </x:row>
    <x:row r="654">
      <x:c r="A654" t="s">
        <x:v>173</x:v>
      </x:c>
      <x:c r="B654" t="s">
        <x:v>2338</x:v>
      </x:c>
      <x:c r="C654" t="s">
        <x:v>1902</x:v>
      </x:c>
      <x:c r="D654" t="s">
        <x:v>455</x:v>
      </x:c>
      <x:c r="E654" t="s">
        <x:v>175</x:v>
      </x:c>
      <x:c r="F654" t="s">
        <x:v>1690</x:v>
      </x:c>
    </x:row>
    <x:row r="655">
      <x:c r="A655" t="s">
        <x:v>2346</x:v>
      </x:c>
      <x:c r="B655" t="s">
        <x:v>2347</x:v>
      </x:c>
      <x:c r="C655" t="s">
        <x:v>2348</x:v>
      </x:c>
      <x:c r="D655" t="s">
        <x:v>2137</x:v>
      </x:c>
      <x:c r="E655" t="s">
        <x:v>2349</x:v>
      </x:c>
      <x:c r="F655" t="s">
        <x:v>1690</x:v>
      </x:c>
    </x:row>
    <x:row r="656">
      <x:c r="A656" t="s">
        <x:v>2350</x:v>
      </x:c>
      <x:c r="B656" t="s">
        <x:v>2351</x:v>
      </x:c>
      <x:c r="C656" t="s">
        <x:v>2107</x:v>
      </x:c>
      <x:c r="D656" t="s">
        <x:v>2352</x:v>
      </x:c>
      <x:c r="E656" t="s">
        <x:v>2353</x:v>
      </x:c>
      <x:c r="F656" t="s">
        <x:v>1690</x:v>
      </x:c>
    </x:row>
    <x:row r="657">
      <x:c r="A657" t="s">
        <x:v>2354</x:v>
      </x:c>
      <x:c r="B657" t="s">
        <x:v>2351</x:v>
      </x:c>
      <x:c r="C657" t="s">
        <x:v>3463</x:v>
      </x:c>
      <x:c r="D657" t="s">
        <x:v>3464</x:v>
      </x:c>
      <x:c r="E657" t="s">
        <x:v>2357</x:v>
      </x:c>
      <x:c r="F657" t="s">
        <x:v>1690</x:v>
      </x:c>
    </x:row>
    <x:row r="658">
      <x:c r="A658" t="s">
        <x:v>2354</x:v>
      </x:c>
      <x:c r="B658" t="s">
        <x:v>3465</x:v>
      </x:c>
      <x:c r="C658" t="s">
        <x:v>2355</x:v>
      </x:c>
      <x:c r="D658" t="s">
        <x:v>3466</x:v>
      </x:c>
      <x:c r="E658" t="s">
        <x:v>2357</x:v>
      </x:c>
      <x:c r="F658" t="s">
        <x:v>1690</x:v>
      </x:c>
    </x:row>
    <x:row r="659">
      <x:c r="A659" t="s">
        <x:v>1211</x:v>
      </x:c>
      <x:c r="B659" t="s">
        <x:v>2358</x:v>
      </x:c>
      <x:c r="C659" t="s">
        <x:v>2359</x:v>
      </x:c>
      <x:c r="D659" t="s">
        <x:v>2360</x:v>
      </x:c>
      <x:c r="E659" t="s">
        <x:v>1214</x:v>
      </x:c>
      <x:c r="F659" t="s">
        <x:v>1690</x:v>
      </x:c>
    </x:row>
    <x:row r="660">
      <x:c r="A660" t="s">
        <x:v>2361</x:v>
      </x:c>
      <x:c r="B660" t="s">
        <x:v>2362</x:v>
      </x:c>
      <x:c r="C660" t="s">
        <x:v>1698</x:v>
      </x:c>
      <x:c r="D660" t="s">
        <x:v>2363</x:v>
      </x:c>
      <x:c r="E660" t="s">
        <x:v>2364</x:v>
      </x:c>
      <x:c r="F660" t="s">
        <x:v>1690</x:v>
      </x:c>
    </x:row>
    <x:row r="661">
      <x:c r="A661" t="s">
        <x:v>2365</x:v>
      </x:c>
      <x:c r="B661" t="s">
        <x:v>2366</x:v>
      </x:c>
      <x:c r="C661" t="s">
        <x:v>3467</x:v>
      </x:c>
      <x:c r="D661" t="s">
        <x:v>3455</x:v>
      </x:c>
      <x:c r="E661" t="s">
        <x:v>2369</x:v>
      </x:c>
      <x:c r="F661" t="s">
        <x:v>1690</x:v>
      </x:c>
    </x:row>
    <x:row r="662">
      <x:c r="A662" t="s">
        <x:v>2365</x:v>
      </x:c>
      <x:c r="B662" t="s">
        <x:v>3468</x:v>
      </x:c>
      <x:c r="C662" t="s">
        <x:v>3469</x:v>
      </x:c>
      <x:c r="D662" t="s">
        <x:v>3470</x:v>
      </x:c>
      <x:c r="E662" t="s">
        <x:v>2369</x:v>
      </x:c>
      <x:c r="F662" t="s">
        <x:v>1690</x:v>
      </x:c>
    </x:row>
    <x:row r="663">
      <x:c r="A663" t="s">
        <x:v>2365</x:v>
      </x:c>
      <x:c r="B663" t="s">
        <x:v>3471</x:v>
      </x:c>
      <x:c r="C663" t="s">
        <x:v>2367</x:v>
      </x:c>
      <x:c r="D663" t="s">
        <x:v>3472</x:v>
      </x:c>
      <x:c r="E663" t="s">
        <x:v>2369</x:v>
      </x:c>
      <x:c r="F663" t="s">
        <x:v>1690</x:v>
      </x:c>
    </x:row>
    <x:row r="664">
      <x:c r="A664" t="s">
        <x:v>1180</x:v>
      </x:c>
      <x:c r="B664" t="s">
        <x:v>2370</x:v>
      </x:c>
      <x:c r="C664" t="s">
        <x:v>1928</x:v>
      </x:c>
      <x:c r="D664" t="s">
        <x:v>2371</x:v>
      </x:c>
      <x:c r="E664" t="s">
        <x:v>1184</x:v>
      </x:c>
      <x:c r="F664" t="s">
        <x:v>1690</x:v>
      </x:c>
    </x:row>
    <x:row r="665">
      <x:c r="A665" t="s">
        <x:v>1315</x:v>
      </x:c>
      <x:c r="B665" t="s">
        <x:v>2372</x:v>
      </x:c>
      <x:c r="C665" t="s">
        <x:v>2323</x:v>
      </x:c>
      <x:c r="D665" t="s">
        <x:v>530</x:v>
      </x:c>
      <x:c r="E665" t="s">
        <x:v>1319</x:v>
      </x:c>
      <x:c r="F665" t="s">
        <x:v>1690</x:v>
      </x:c>
    </x:row>
    <x:row r="666">
      <x:c r="A666" t="s">
        <x:v>2373</x:v>
      </x:c>
      <x:c r="B666" t="s">
        <x:v>2374</x:v>
      </x:c>
      <x:c r="C666" t="s">
        <x:v>1842</x:v>
      </x:c>
      <x:c r="D666" t="s">
        <x:v>2375</x:v>
      </x:c>
      <x:c r="E666" t="s">
        <x:v>2376</x:v>
      </x:c>
      <x:c r="F666" t="s">
        <x:v>1690</x:v>
      </x:c>
    </x:row>
    <x:row r="667">
      <x:c r="A667" t="s">
        <x:v>2377</x:v>
      </x:c>
      <x:c r="B667" t="s">
        <x:v>2378</x:v>
      </x:c>
      <x:c r="C667" t="s">
        <x:v>3473</x:v>
      </x:c>
      <x:c r="D667" t="s">
        <x:v>3474</x:v>
      </x:c>
      <x:c r="E667" t="s">
        <x:v>2380</x:v>
      </x:c>
      <x:c r="F667" t="s">
        <x:v>1690</x:v>
      </x:c>
    </x:row>
    <x:row r="668">
      <x:c r="A668" t="s">
        <x:v>2377</x:v>
      </x:c>
      <x:c r="B668" t="s">
        <x:v>3475</x:v>
      </x:c>
      <x:c r="C668" t="s">
        <x:v>1797</x:v>
      </x:c>
      <x:c r="D668" t="s">
        <x:v>3476</x:v>
      </x:c>
      <x:c r="E668" t="s">
        <x:v>2380</x:v>
      </x:c>
      <x:c r="F668" t="s">
        <x:v>1690</x:v>
      </x:c>
    </x:row>
    <x:row r="669">
      <x:c r="A669" t="s">
        <x:v>2381</x:v>
      </x:c>
      <x:c r="B669" t="s">
        <x:v>2382</x:v>
      </x:c>
      <x:c r="C669" t="s">
        <x:v>3477</x:v>
      </x:c>
      <x:c r="D669" t="s">
        <x:v>3478</x:v>
      </x:c>
      <x:c r="E669" t="s">
        <x:v>2385</x:v>
      </x:c>
      <x:c r="F669" t="s">
        <x:v>1690</x:v>
      </x:c>
    </x:row>
    <x:row r="670">
      <x:c r="A670" t="s">
        <x:v>2381</x:v>
      </x:c>
      <x:c r="B670" t="s">
        <x:v>3479</x:v>
      </x:c>
      <x:c r="C670" t="s">
        <x:v>2383</x:v>
      </x:c>
      <x:c r="D670" t="s">
        <x:v>3480</x:v>
      </x:c>
      <x:c r="E670" t="s">
        <x:v>2385</x:v>
      </x:c>
      <x:c r="F670" t="s">
        <x:v>1690</x:v>
      </x:c>
    </x:row>
    <x:row r="671">
      <x:c r="A671" t="s">
        <x:v>2386</x:v>
      </x:c>
      <x:c r="B671" t="s">
        <x:v>2387</x:v>
      </x:c>
      <x:c r="C671" t="s">
        <x:v>1902</x:v>
      </x:c>
      <x:c r="D671" t="s">
        <x:v>2388</x:v>
      </x:c>
      <x:c r="E671" t="s">
        <x:v>2389</x:v>
      </x:c>
      <x:c r="F671" t="s">
        <x:v>1690</x:v>
      </x:c>
    </x:row>
    <x:row r="672">
      <x:c r="A672" t="s">
        <x:v>2390</x:v>
      </x:c>
      <x:c r="B672" t="s">
        <x:v>2391</x:v>
      </x:c>
      <x:c r="C672" t="s">
        <x:v>2392</x:v>
      </x:c>
      <x:c r="D672" t="s">
        <x:v>2393</x:v>
      </x:c>
      <x:c r="E672" t="s">
        <x:v>2394</x:v>
      </x:c>
      <x:c r="F672" t="s">
        <x:v>1690</x:v>
      </x:c>
    </x:row>
    <x:row r="673">
      <x:c r="A673" t="s">
        <x:v>2395</x:v>
      </x:c>
      <x:c r="B673" t="s">
        <x:v>2396</x:v>
      </x:c>
      <x:c r="C673" t="s">
        <x:v>3481</x:v>
      </x:c>
      <x:c r="D673" t="s">
        <x:v>3482</x:v>
      </x:c>
      <x:c r="E673" t="s">
        <x:v>2399</x:v>
      </x:c>
      <x:c r="F673" t="s">
        <x:v>1690</x:v>
      </x:c>
    </x:row>
    <x:row r="674">
      <x:c r="A674" t="s">
        <x:v>2395</x:v>
      </x:c>
      <x:c r="B674" t="s">
        <x:v>3483</x:v>
      </x:c>
      <x:c r="C674" t="s">
        <x:v>3484</x:v>
      </x:c>
      <x:c r="D674" t="s">
        <x:v>3485</x:v>
      </x:c>
      <x:c r="E674" t="s">
        <x:v>2399</x:v>
      </x:c>
      <x:c r="F674" t="s">
        <x:v>1690</x:v>
      </x:c>
    </x:row>
    <x:row r="675">
      <x:c r="A675" t="s">
        <x:v>2395</x:v>
      </x:c>
      <x:c r="B675" t="s">
        <x:v>3486</x:v>
      </x:c>
      <x:c r="C675" t="s">
        <x:v>3487</x:v>
      </x:c>
      <x:c r="D675" t="s">
        <x:v>3488</x:v>
      </x:c>
      <x:c r="E675" t="s">
        <x:v>2399</x:v>
      </x:c>
      <x:c r="F675" t="s">
        <x:v>1690</x:v>
      </x:c>
    </x:row>
    <x:row r="676">
      <x:c r="A676" t="s">
        <x:v>2395</x:v>
      </x:c>
      <x:c r="B676" t="s">
        <x:v>3489</x:v>
      </x:c>
      <x:c r="C676" t="s">
        <x:v>2397</x:v>
      </x:c>
      <x:c r="D676" t="s">
        <x:v>3490</x:v>
      </x:c>
      <x:c r="E676" t="s">
        <x:v>2399</x:v>
      </x:c>
      <x:c r="F676" t="s">
        <x:v>1690</x:v>
      </x:c>
    </x:row>
    <x:row r="677">
      <x:c r="A677" t="s">
        <x:v>2400</x:v>
      </x:c>
      <x:c r="B677" t="s">
        <x:v>2401</x:v>
      </x:c>
      <x:c r="C677" t="s">
        <x:v>3491</x:v>
      </x:c>
      <x:c r="D677" t="s">
        <x:v>3220</x:v>
      </x:c>
      <x:c r="E677" t="s">
        <x:v>2402</x:v>
      </x:c>
      <x:c r="F677" t="s">
        <x:v>1690</x:v>
      </x:c>
    </x:row>
    <x:row r="678">
      <x:c r="A678" t="s">
        <x:v>2400</x:v>
      </x:c>
      <x:c r="B678" t="s">
        <x:v>3492</x:v>
      </x:c>
      <x:c r="C678" t="s">
        <x:v>1678</x:v>
      </x:c>
      <x:c r="D678" t="s">
        <x:v>3493</x:v>
      </x:c>
      <x:c r="E678" t="s">
        <x:v>2402</x:v>
      </x:c>
      <x:c r="F678" t="s">
        <x:v>1690</x:v>
      </x:c>
    </x:row>
    <x:row r="679">
      <x:c r="A679" t="s">
        <x:v>2403</x:v>
      </x:c>
      <x:c r="B679" t="s">
        <x:v>2404</x:v>
      </x:c>
      <x:c r="C679" t="s">
        <x:v>1969</x:v>
      </x:c>
      <x:c r="D679" t="s">
        <x:v>2405</x:v>
      </x:c>
      <x:c r="E679" t="s">
        <x:v>2406</x:v>
      </x:c>
      <x:c r="F679" t="s">
        <x:v>1690</x:v>
      </x:c>
    </x:row>
    <x:row r="680">
      <x:c r="A680" t="s">
        <x:v>2407</x:v>
      </x:c>
      <x:c r="B680" t="s">
        <x:v>2408</x:v>
      </x:c>
      <x:c r="C680" t="s">
        <x:v>2409</x:v>
      </x:c>
      <x:c r="D680" t="s">
        <x:v>2410</x:v>
      </x:c>
      <x:c r="E680" t="s">
        <x:v>2411</x:v>
      </x:c>
      <x:c r="F680" t="s">
        <x:v>1690</x:v>
      </x:c>
    </x:row>
    <x:row r="681">
      <x:c r="A681" t="s">
        <x:v>2412</x:v>
      </x:c>
      <x:c r="B681" t="s">
        <x:v>2413</x:v>
      </x:c>
      <x:c r="C681" t="s">
        <x:v>2414</x:v>
      </x:c>
      <x:c r="D681" t="s">
        <x:v>2415</x:v>
      </x:c>
      <x:c r="E681" t="s">
        <x:v>2416</x:v>
      </x:c>
      <x:c r="F681" t="s">
        <x:v>1690</x:v>
      </x:c>
    </x:row>
    <x:row r="682">
      <x:c r="A682" t="s">
        <x:v>2417</x:v>
      </x:c>
      <x:c r="B682" t="s">
        <x:v>2418</x:v>
      </x:c>
      <x:c r="C682" t="s">
        <x:v>3494</x:v>
      </x:c>
      <x:c r="D682" t="s">
        <x:v>3495</x:v>
      </x:c>
      <x:c r="E682" t="s">
        <x:v>2420</x:v>
      </x:c>
      <x:c r="F682" t="s">
        <x:v>1690</x:v>
      </x:c>
    </x:row>
    <x:row r="683">
      <x:c r="A683" t="s">
        <x:v>2417</x:v>
      </x:c>
      <x:c r="B683" t="s">
        <x:v>3496</x:v>
      </x:c>
      <x:c r="C683" t="s">
        <x:v>3497</x:v>
      </x:c>
      <x:c r="D683" t="s">
        <x:v>3498</x:v>
      </x:c>
      <x:c r="E683" t="s">
        <x:v>2420</x:v>
      </x:c>
      <x:c r="F683" t="s">
        <x:v>1690</x:v>
      </x:c>
    </x:row>
    <x:row r="684">
      <x:c r="A684" t="s">
        <x:v>2417</x:v>
      </x:c>
      <x:c r="B684" t="s">
        <x:v>3499</x:v>
      </x:c>
      <x:c r="C684" t="s">
        <x:v>2165</x:v>
      </x:c>
      <x:c r="D684" t="s">
        <x:v>3500</x:v>
      </x:c>
      <x:c r="E684" t="s">
        <x:v>2420</x:v>
      </x:c>
      <x:c r="F684" t="s">
        <x:v>1690</x:v>
      </x:c>
    </x:row>
    <x:row r="685">
      <x:c r="A685" t="s">
        <x:v>2421</x:v>
      </x:c>
      <x:c r="B685" t="s">
        <x:v>2422</x:v>
      </x:c>
      <x:c r="C685" t="s">
        <x:v>2423</x:v>
      </x:c>
      <x:c r="D685" t="s">
        <x:v>2424</x:v>
      </x:c>
      <x:c r="E685" t="s">
        <x:v>2425</x:v>
      </x:c>
      <x:c r="F685" t="s">
        <x:v>1690</x:v>
      </x:c>
    </x:row>
    <x:row r="686">
      <x:c r="A686" t="s">
        <x:v>2426</x:v>
      </x:c>
      <x:c r="B686" t="s">
        <x:v>2427</x:v>
      </x:c>
      <x:c r="C686" t="s">
        <x:v>2051</x:v>
      </x:c>
      <x:c r="D686" t="s">
        <x:v>2428</x:v>
      </x:c>
      <x:c r="E686" t="s">
        <x:v>2429</x:v>
      </x:c>
      <x:c r="F686" t="s">
        <x:v>1690</x:v>
      </x:c>
    </x:row>
    <x:row r="687">
      <x:c r="A687" t="s">
        <x:v>2430</x:v>
      </x:c>
      <x:c r="B687" t="s">
        <x:v>2431</x:v>
      </x:c>
      <x:c r="C687" t="s">
        <x:v>1851</x:v>
      </x:c>
      <x:c r="D687" t="s">
        <x:v>3501</x:v>
      </x:c>
      <x:c r="E687" t="s">
        <x:v>2433</x:v>
      </x:c>
      <x:c r="F687" t="s">
        <x:v>1690</x:v>
      </x:c>
    </x:row>
    <x:row r="688">
      <x:c r="A688" t="s">
        <x:v>2430</x:v>
      </x:c>
      <x:c r="B688" t="s">
        <x:v>3502</x:v>
      </x:c>
      <x:c r="C688" t="s">
        <x:v>2432</x:v>
      </x:c>
      <x:c r="D688" t="s">
        <x:v>3464</x:v>
      </x:c>
      <x:c r="E688" t="s">
        <x:v>2433</x:v>
      </x:c>
      <x:c r="F688" t="s">
        <x:v>1690</x:v>
      </x:c>
    </x:row>
    <x:row r="689">
      <x:c r="A689" t="s">
        <x:v>2434</x:v>
      </x:c>
      <x:c r="B689" t="s">
        <x:v>2435</x:v>
      </x:c>
      <x:c r="C689" t="s">
        <x:v>2060</x:v>
      </x:c>
      <x:c r="D689" t="s">
        <x:v>2436</x:v>
      </x:c>
      <x:c r="E689" t="s">
        <x:v>2437</x:v>
      </x:c>
      <x:c r="F689" t="s">
        <x:v>1690</x:v>
      </x:c>
    </x:row>
    <x:row r="690">
      <x:c r="A690" t="s">
        <x:v>2438</x:v>
      </x:c>
      <x:c r="B690" t="s">
        <x:v>2439</x:v>
      </x:c>
      <x:c r="C690" t="s">
        <x:v>1687</x:v>
      </x:c>
      <x:c r="D690" t="s">
        <x:v>2440</x:v>
      </x:c>
      <x:c r="E690" t="s">
        <x:v>2441</x:v>
      </x:c>
      <x:c r="F690" t="s">
        <x:v>1690</x:v>
      </x:c>
    </x:row>
    <x:row r="691">
      <x:c r="A691" t="s">
        <x:v>2442</x:v>
      </x:c>
      <x:c r="B691" t="s">
        <x:v>2443</x:v>
      </x:c>
      <x:c r="C691" t="s">
        <x:v>2444</x:v>
      </x:c>
      <x:c r="D691" t="s">
        <x:v>2031</x:v>
      </x:c>
      <x:c r="E691" t="s">
        <x:v>2445</x:v>
      </x:c>
      <x:c r="F691" t="s">
        <x:v>1690</x:v>
      </x:c>
    </x:row>
    <x:row r="692">
      <x:c r="A692" t="s">
        <x:v>2446</x:v>
      </x:c>
      <x:c r="B692" t="s">
        <x:v>2447</x:v>
      </x:c>
      <x:c r="C692" t="s">
        <x:v>2448</x:v>
      </x:c>
      <x:c r="D692" t="s">
        <x:v>2250</x:v>
      </x:c>
      <x:c r="E692" t="s">
        <x:v>2449</x:v>
      </x:c>
      <x:c r="F692" t="s">
        <x:v>1690</x:v>
      </x:c>
    </x:row>
    <x:row r="693">
      <x:c r="A693" t="s">
        <x:v>2450</x:v>
      </x:c>
      <x:c r="B693" t="s">
        <x:v>2447</x:v>
      </x:c>
      <x:c r="C693" t="s">
        <x:v>1714</x:v>
      </x:c>
      <x:c r="D693" t="s">
        <x:v>2451</x:v>
      </x:c>
      <x:c r="E693" t="s">
        <x:v>2452</x:v>
      </x:c>
      <x:c r="F693" t="s">
        <x:v>1690</x:v>
      </x:c>
    </x:row>
    <x:row r="694">
      <x:c r="A694" t="s">
        <x:v>60</x:v>
      </x:c>
      <x:c r="B694" t="s">
        <x:v>2453</x:v>
      </x:c>
      <x:c r="C694" t="s">
        <x:v>3503</x:v>
      </x:c>
      <x:c r="D694" t="s">
        <x:v>3504</x:v>
      </x:c>
      <x:c r="E694" t="s">
        <x:v>64</x:v>
      </x:c>
      <x:c r="F694" t="s">
        <x:v>1690</x:v>
      </x:c>
    </x:row>
    <x:row r="695">
      <x:c r="A695" t="s">
        <x:v>60</x:v>
      </x:c>
      <x:c r="B695" t="s">
        <x:v>3505</x:v>
      </x:c>
      <x:c r="C695" t="s">
        <x:v>1889</x:v>
      </x:c>
      <x:c r="D695" t="s">
        <x:v>3506</x:v>
      </x:c>
      <x:c r="E695" t="s">
        <x:v>64</x:v>
      </x:c>
      <x:c r="F695" t="s">
        <x:v>1690</x:v>
      </x:c>
    </x:row>
    <x:row r="696">
      <x:c r="A696" t="s">
        <x:v>2455</x:v>
      </x:c>
      <x:c r="B696" t="s">
        <x:v>2456</x:v>
      </x:c>
      <x:c r="C696" t="s">
        <x:v>2457</x:v>
      </x:c>
      <x:c r="D696" t="s">
        <x:v>2458</x:v>
      </x:c>
      <x:c r="E696" t="s">
        <x:v>2459</x:v>
      </x:c>
      <x:c r="F696" t="s">
        <x:v>1690</x:v>
      </x:c>
    </x:row>
    <x:row r="697">
      <x:c r="A697" t="s">
        <x:v>2460</x:v>
      </x:c>
      <x:c r="B697" t="s">
        <x:v>2461</x:v>
      </x:c>
      <x:c r="C697" t="s">
        <x:v>1828</x:v>
      </x:c>
      <x:c r="D697" t="s">
        <x:v>580</x:v>
      </x:c>
      <x:c r="E697" t="s">
        <x:v>2462</x:v>
      </x:c>
      <x:c r="F697" t="s">
        <x:v>1690</x:v>
      </x:c>
    </x:row>
    <x:row r="698">
      <x:c r="A698" t="s">
        <x:v>1176</x:v>
      </x:c>
      <x:c r="B698" t="s">
        <x:v>2463</x:v>
      </x:c>
      <x:c r="C698" t="s">
        <x:v>2464</x:v>
      </x:c>
      <x:c r="D698" t="s">
        <x:v>2465</x:v>
      </x:c>
      <x:c r="E698" t="s">
        <x:v>1179</x:v>
      </x:c>
      <x:c r="F698" t="s">
        <x:v>1690</x:v>
      </x:c>
    </x:row>
    <x:row r="699">
      <x:c r="A699" t="s">
        <x:v>2466</x:v>
      </x:c>
      <x:c r="B699" t="s">
        <x:v>2463</x:v>
      </x:c>
      <x:c r="C699" t="s">
        <x:v>2467</x:v>
      </x:c>
      <x:c r="D699" t="s">
        <x:v>2468</x:v>
      </x:c>
      <x:c r="E699" t="s">
        <x:v>2469</x:v>
      </x:c>
      <x:c r="F699" t="s">
        <x:v>1690</x:v>
      </x:c>
    </x:row>
    <x:row r="700">
      <x:c r="A700" t="s">
        <x:v>216</x:v>
      </x:c>
      <x:c r="B700" t="s">
        <x:v>2470</x:v>
      </x:c>
      <x:c r="C700" t="s">
        <x:v>2471</x:v>
      </x:c>
      <x:c r="D700" t="s">
        <x:v>2472</x:v>
      </x:c>
      <x:c r="E700" t="s">
        <x:v>220</x:v>
      </x:c>
      <x:c r="F700" t="s">
        <x:v>1690</x:v>
      </x:c>
    </x:row>
    <x:row r="701">
      <x:c r="A701" t="s">
        <x:v>2473</x:v>
      </x:c>
      <x:c r="B701" t="s">
        <x:v>2474</x:v>
      </x:c>
      <x:c r="C701" t="s">
        <x:v>2051</x:v>
      </x:c>
      <x:c r="D701" t="s">
        <x:v>2475</x:v>
      </x:c>
      <x:c r="E701" t="s">
        <x:v>2476</x:v>
      </x:c>
      <x:c r="F701" t="s">
        <x:v>1690</x:v>
      </x:c>
    </x:row>
    <x:row r="702">
      <x:c r="A702" t="s">
        <x:v>2477</x:v>
      </x:c>
      <x:c r="B702" t="s">
        <x:v>2478</x:v>
      </x:c>
      <x:c r="C702" t="s">
        <x:v>1837</x:v>
      </x:c>
      <x:c r="D702" t="s">
        <x:v>2479</x:v>
      </x:c>
      <x:c r="E702" t="s">
        <x:v>2480</x:v>
      </x:c>
      <x:c r="F702" t="s">
        <x:v>1690</x:v>
      </x:c>
    </x:row>
    <x:row r="703">
      <x:c r="A703" t="s">
        <x:v>2481</x:v>
      </x:c>
      <x:c r="B703" t="s">
        <x:v>2482</x:v>
      </x:c>
      <x:c r="C703" t="s">
        <x:v>3507</x:v>
      </x:c>
      <x:c r="D703" t="s">
        <x:v>3508</x:v>
      </x:c>
      <x:c r="E703" t="s">
        <x:v>2484</x:v>
      </x:c>
      <x:c r="F703" t="s">
        <x:v>1690</x:v>
      </x:c>
    </x:row>
    <x:row r="704">
      <x:c r="A704" t="s">
        <x:v>2481</x:v>
      </x:c>
      <x:c r="B704" t="s">
        <x:v>3288</x:v>
      </x:c>
      <x:c r="C704" t="s">
        <x:v>3509</x:v>
      </x:c>
      <x:c r="D704" t="s">
        <x:v>3249</x:v>
      </x:c>
      <x:c r="E704" t="s">
        <x:v>2484</x:v>
      </x:c>
      <x:c r="F704" t="s">
        <x:v>1690</x:v>
      </x:c>
    </x:row>
    <x:row r="705">
      <x:c r="A705" t="s">
        <x:v>2481</x:v>
      </x:c>
      <x:c r="B705" t="s">
        <x:v>3510</x:v>
      </x:c>
      <x:c r="C705" t="s">
        <x:v>2132</x:v>
      </x:c>
      <x:c r="D705" t="s">
        <x:v>3511</x:v>
      </x:c>
      <x:c r="E705" t="s">
        <x:v>2484</x:v>
      </x:c>
      <x:c r="F705" t="s">
        <x:v>1690</x:v>
      </x:c>
    </x:row>
    <x:row r="706">
      <x:c r="A706" t="s">
        <x:v>1292</x:v>
      </x:c>
      <x:c r="B706" t="s">
        <x:v>2485</x:v>
      </x:c>
      <x:c r="C706" t="s">
        <x:v>1837</x:v>
      </x:c>
      <x:c r="D706" t="s">
        <x:v>2486</x:v>
      </x:c>
      <x:c r="E706" t="s">
        <x:v>1295</x:v>
      </x:c>
      <x:c r="F706" t="s">
        <x:v>1690</x:v>
      </x:c>
    </x:row>
    <x:row r="707">
      <x:c r="A707" t="s">
        <x:v>1347</x:v>
      </x:c>
      <x:c r="B707" t="s">
        <x:v>2487</x:v>
      </x:c>
      <x:c r="C707" t="s">
        <x:v>2488</x:v>
      </x:c>
      <x:c r="D707" t="s">
        <x:v>2489</x:v>
      </x:c>
      <x:c r="E707" t="s">
        <x:v>1350</x:v>
      </x:c>
      <x:c r="F707" t="s">
        <x:v>1690</x:v>
      </x:c>
    </x:row>
    <x:row r="708">
      <x:c r="A708" t="s">
        <x:v>2490</x:v>
      </x:c>
      <x:c r="B708" t="s">
        <x:v>2491</x:v>
      </x:c>
      <x:c r="C708" t="s">
        <x:v>3512</x:v>
      </x:c>
      <x:c r="D708" t="s">
        <x:v>3513</x:v>
      </x:c>
      <x:c r="E708" t="s">
        <x:v>2493</x:v>
      </x:c>
      <x:c r="F708" t="s">
        <x:v>1690</x:v>
      </x:c>
    </x:row>
    <x:row r="709">
      <x:c r="A709" t="s">
        <x:v>2490</x:v>
      </x:c>
      <x:c r="B709" t="s">
        <x:v>3514</x:v>
      </x:c>
      <x:c r="C709" t="s">
        <x:v>3515</x:v>
      </x:c>
      <x:c r="D709" t="s">
        <x:v>3516</x:v>
      </x:c>
      <x:c r="E709" t="s">
        <x:v>2493</x:v>
      </x:c>
      <x:c r="F709" t="s">
        <x:v>1690</x:v>
      </x:c>
    </x:row>
    <x:row r="710">
      <x:c r="A710" t="s">
        <x:v>2490</x:v>
      </x:c>
      <x:c r="B710" t="s">
        <x:v>3517</x:v>
      </x:c>
      <x:c r="C710" t="s">
        <x:v>2492</x:v>
      </x:c>
      <x:c r="D710" t="s">
        <x:v>3518</x:v>
      </x:c>
      <x:c r="E710" t="s">
        <x:v>2493</x:v>
      </x:c>
      <x:c r="F710" t="s">
        <x:v>1690</x:v>
      </x:c>
    </x:row>
    <x:row r="711">
      <x:c r="A711" t="s">
        <x:v>2494</x:v>
      </x:c>
      <x:c r="B711" t="s">
        <x:v>2495</x:v>
      </x:c>
      <x:c r="C711" t="s">
        <x:v>2496</x:v>
      </x:c>
      <x:c r="D711" t="s">
        <x:v>2161</x:v>
      </x:c>
      <x:c r="E711" t="s">
        <x:v>2497</x:v>
      </x:c>
      <x:c r="F711" t="s">
        <x:v>1690</x:v>
      </x:c>
    </x:row>
    <x:row r="712">
      <x:c r="A712" t="s">
        <x:v>2498</x:v>
      </x:c>
      <x:c r="B712" t="s">
        <x:v>2499</x:v>
      </x:c>
      <x:c r="C712" t="s">
        <x:v>2500</x:v>
      </x:c>
      <x:c r="D712" t="s">
        <x:v>2501</x:v>
      </x:c>
      <x:c r="E712" t="s">
        <x:v>2502</x:v>
      </x:c>
      <x:c r="F712" t="s">
        <x:v>1690</x:v>
      </x:c>
    </x:row>
    <x:row r="713">
      <x:c r="A713" t="s">
        <x:v>438</x:v>
      </x:c>
      <x:c r="B713" t="s">
        <x:v>2503</x:v>
      </x:c>
      <x:c r="C713" t="s">
        <x:v>2504</x:v>
      </x:c>
      <x:c r="D713" t="s">
        <x:v>2505</x:v>
      </x:c>
      <x:c r="E713" t="s">
        <x:v>442</x:v>
      </x:c>
      <x:c r="F713" t="s">
        <x:v>1690</x:v>
      </x:c>
    </x:row>
    <x:row r="714">
      <x:c r="A714" t="s">
        <x:v>2506</x:v>
      </x:c>
      <x:c r="B714" t="s">
        <x:v>2507</x:v>
      </x:c>
      <x:c r="C714" t="s">
        <x:v>1851</x:v>
      </x:c>
      <x:c r="D714" t="s">
        <x:v>2508</x:v>
      </x:c>
      <x:c r="E714" t="s">
        <x:v>2509</x:v>
      </x:c>
      <x:c r="F714" t="s">
        <x:v>1690</x:v>
      </x:c>
    </x:row>
    <x:row r="715">
      <x:c r="A715" t="s">
        <x:v>2510</x:v>
      </x:c>
      <x:c r="B715" t="s">
        <x:v>2511</x:v>
      </x:c>
      <x:c r="C715" t="s">
        <x:v>3519</x:v>
      </x:c>
      <x:c r="D715" t="s">
        <x:v>3304</x:v>
      </x:c>
      <x:c r="E715" t="s">
        <x:v>2514</x:v>
      </x:c>
      <x:c r="F715" t="s">
        <x:v>1690</x:v>
      </x:c>
    </x:row>
    <x:row r="716">
      <x:c r="A716" t="s">
        <x:v>2510</x:v>
      </x:c>
      <x:c r="B716" t="s">
        <x:v>3520</x:v>
      </x:c>
      <x:c r="C716" t="s">
        <x:v>3521</x:v>
      </x:c>
      <x:c r="D716" t="s">
        <x:v>3522</x:v>
      </x:c>
      <x:c r="E716" t="s">
        <x:v>2514</x:v>
      </x:c>
      <x:c r="F716" t="s">
        <x:v>1690</x:v>
      </x:c>
    </x:row>
    <x:row r="717">
      <x:c r="A717" t="s">
        <x:v>2510</x:v>
      </x:c>
      <x:c r="B717" t="s">
        <x:v>3523</x:v>
      </x:c>
      <x:c r="C717" t="s">
        <x:v>2512</x:v>
      </x:c>
      <x:c r="D717" t="s">
        <x:v>3524</x:v>
      </x:c>
      <x:c r="E717" t="s">
        <x:v>2514</x:v>
      </x:c>
      <x:c r="F717" t="s">
        <x:v>1690</x:v>
      </x:c>
    </x:row>
    <x:row r="718">
      <x:c r="A718" t="s">
        <x:v>2515</x:v>
      </x:c>
      <x:c r="B718" t="s">
        <x:v>2516</x:v>
      </x:c>
      <x:c r="C718" t="s">
        <x:v>1718</x:v>
      </x:c>
      <x:c r="D718" t="s">
        <x:v>2517</x:v>
      </x:c>
      <x:c r="E718" t="s">
        <x:v>2518</x:v>
      </x:c>
      <x:c r="F718" t="s">
        <x:v>1690</x:v>
      </x:c>
    </x:row>
    <x:row r="719">
      <x:c r="A719" t="s">
        <x:v>2519</x:v>
      </x:c>
      <x:c r="B719" t="s">
        <x:v>2516</x:v>
      </x:c>
      <x:c r="C719" t="s">
        <x:v>3525</x:v>
      </x:c>
      <x:c r="D719" t="s">
        <x:v>3526</x:v>
      </x:c>
      <x:c r="E719" t="s">
        <x:v>2521</x:v>
      </x:c>
      <x:c r="F719" t="s">
        <x:v>1690</x:v>
      </x:c>
    </x:row>
    <x:row r="720">
      <x:c r="A720" t="s">
        <x:v>2519</x:v>
      </x:c>
      <x:c r="B720" t="s">
        <x:v>3527</x:v>
      </x:c>
      <x:c r="C720" t="s">
        <x:v>2520</x:v>
      </x:c>
      <x:c r="D720" t="s">
        <x:v>3528</x:v>
      </x:c>
      <x:c r="E720" t="s">
        <x:v>2521</x:v>
      </x:c>
      <x:c r="F720" t="s">
        <x:v>1690</x:v>
      </x:c>
    </x:row>
    <x:row r="721">
      <x:c r="A721" t="s">
        <x:v>2522</x:v>
      </x:c>
      <x:c r="B721" t="s">
        <x:v>2523</x:v>
      </x:c>
      <x:c r="C721" t="s">
        <x:v>2524</x:v>
      </x:c>
      <x:c r="D721" t="s">
        <x:v>2525</x:v>
      </x:c>
      <x:c r="E721" t="s">
        <x:v>2526</x:v>
      </x:c>
      <x:c r="F721" t="s">
        <x:v>1690</x:v>
      </x:c>
    </x:row>
    <x:row r="722">
      <x:c r="A722" t="s">
        <x:v>2527</x:v>
      </x:c>
      <x:c r="B722" t="s">
        <x:v>2528</x:v>
      </x:c>
      <x:c r="C722" t="s">
        <x:v>1851</x:v>
      </x:c>
      <x:c r="D722" t="s">
        <x:v>2529</x:v>
      </x:c>
      <x:c r="E722" t="s">
        <x:v>2530</x:v>
      </x:c>
      <x:c r="F722" t="s">
        <x:v>1690</x:v>
      </x:c>
    </x:row>
    <x:row r="723">
      <x:c r="A723" t="s">
        <x:v>2531</x:v>
      </x:c>
      <x:c r="B723" t="s">
        <x:v>2532</x:v>
      </x:c>
      <x:c r="C723" t="s">
        <x:v>3529</x:v>
      </x:c>
      <x:c r="D723" t="s">
        <x:v>3530</x:v>
      </x:c>
      <x:c r="E723" t="s">
        <x:v>2534</x:v>
      </x:c>
      <x:c r="F723" t="s">
        <x:v>1690</x:v>
      </x:c>
    </x:row>
    <x:row r="724">
      <x:c r="A724" t="s">
        <x:v>2531</x:v>
      </x:c>
      <x:c r="B724" t="s">
        <x:v>3531</x:v>
      </x:c>
      <x:c r="C724" t="s">
        <x:v>1698</x:v>
      </x:c>
      <x:c r="D724" t="s">
        <x:v>3532</x:v>
      </x:c>
      <x:c r="E724" t="s">
        <x:v>2534</x:v>
      </x:c>
      <x:c r="F724" t="s">
        <x:v>1690</x:v>
      </x:c>
    </x:row>
    <x:row r="725">
      <x:c r="A725" t="s">
        <x:v>2535</x:v>
      </x:c>
      <x:c r="B725" t="s">
        <x:v>2536</x:v>
      </x:c>
      <x:c r="C725" t="s">
        <x:v>3533</x:v>
      </x:c>
      <x:c r="D725" t="s">
        <x:v>3534</x:v>
      </x:c>
      <x:c r="E725" t="s">
        <x:v>2539</x:v>
      </x:c>
      <x:c r="F725" t="s">
        <x:v>1690</x:v>
      </x:c>
    </x:row>
    <x:row r="726">
      <x:c r="A726" t="s">
        <x:v>2535</x:v>
      </x:c>
      <x:c r="B726" t="s">
        <x:v>3535</x:v>
      </x:c>
      <x:c r="C726" t="s">
        <x:v>3536</x:v>
      </x:c>
      <x:c r="D726" t="s">
        <x:v>3537</x:v>
      </x:c>
      <x:c r="E726" t="s">
        <x:v>2539</x:v>
      </x:c>
      <x:c r="F726" t="s">
        <x:v>1690</x:v>
      </x:c>
    </x:row>
    <x:row r="727">
      <x:c r="A727" t="s">
        <x:v>2535</x:v>
      </x:c>
      <x:c r="B727" t="s">
        <x:v>1714</x:v>
      </x:c>
      <x:c r="C727" t="s">
        <x:v>2537</x:v>
      </x:c>
      <x:c r="D727" t="s">
        <x:v>3538</x:v>
      </x:c>
      <x:c r="E727" t="s">
        <x:v>2539</x:v>
      </x:c>
      <x:c r="F727" t="s">
        <x:v>1690</x:v>
      </x:c>
    </x:row>
    <x:row r="728">
      <x:c r="A728" t="s">
        <x:v>2540</x:v>
      </x:c>
      <x:c r="B728" t="s">
        <x:v>2541</x:v>
      </x:c>
      <x:c r="C728" t="s">
        <x:v>3539</x:v>
      </x:c>
      <x:c r="D728" t="s">
        <x:v>3540</x:v>
      </x:c>
      <x:c r="E728" t="s">
        <x:v>2544</x:v>
      </x:c>
      <x:c r="F728" t="s">
        <x:v>1690</x:v>
      </x:c>
    </x:row>
    <x:row r="729">
      <x:c r="A729" t="s">
        <x:v>2540</x:v>
      </x:c>
      <x:c r="B729" t="s">
        <x:v>3541</x:v>
      </x:c>
      <x:c r="C729" t="s">
        <x:v>2542</x:v>
      </x:c>
      <x:c r="D729" t="s">
        <x:v>3542</x:v>
      </x:c>
      <x:c r="E729" t="s">
        <x:v>2544</x:v>
      </x:c>
      <x:c r="F729" t="s">
        <x:v>1690</x:v>
      </x:c>
    </x:row>
    <x:row r="730">
      <x:c r="A730" t="s">
        <x:v>2545</x:v>
      </x:c>
      <x:c r="B730" t="s">
        <x:v>2541</x:v>
      </x:c>
      <x:c r="C730" t="s">
        <x:v>3543</x:v>
      </x:c>
      <x:c r="D730" t="s">
        <x:v>3544</x:v>
      </x:c>
      <x:c r="E730" t="s">
        <x:v>2548</x:v>
      </x:c>
      <x:c r="F730" t="s">
        <x:v>1690</x:v>
      </x:c>
    </x:row>
    <x:row r="731">
      <x:c r="A731" t="s">
        <x:v>2545</x:v>
      </x:c>
      <x:c r="B731" t="s">
        <x:v>3428</x:v>
      </x:c>
      <x:c r="C731" t="s">
        <x:v>2546</x:v>
      </x:c>
      <x:c r="D731" t="s">
        <x:v>3545</x:v>
      </x:c>
      <x:c r="E731" t="s">
        <x:v>2548</x:v>
      </x:c>
      <x:c r="F731" t="s">
        <x:v>1690</x:v>
      </x:c>
    </x:row>
    <x:row r="732">
      <x:c r="A732" t="s">
        <x:v>1361</x:v>
      </x:c>
      <x:c r="B732" t="s">
        <x:v>2541</x:v>
      </x:c>
      <x:c r="C732" t="s">
        <x:v>2549</x:v>
      </x:c>
      <x:c r="D732" t="s">
        <x:v>2550</x:v>
      </x:c>
      <x:c r="E732" t="s">
        <x:v>1364</x:v>
      </x:c>
      <x:c r="F732" t="s">
        <x:v>1690</x:v>
      </x:c>
    </x:row>
    <x:row r="733">
      <x:c r="A733" t="s">
        <x:v>2551</x:v>
      </x:c>
      <x:c r="B733" t="s">
        <x:v>2552</x:v>
      </x:c>
      <x:c r="C733" t="s">
        <x:v>2015</x:v>
      </x:c>
      <x:c r="D733" t="s">
        <x:v>827</x:v>
      </x:c>
      <x:c r="E733" t="s">
        <x:v>2553</x:v>
      </x:c>
      <x:c r="F733" t="s">
        <x:v>1690</x:v>
      </x:c>
    </x:row>
    <x:row r="734">
      <x:c r="A734" t="s">
        <x:v>225</x:v>
      </x:c>
      <x:c r="B734" t="s">
        <x:v>2554</x:v>
      </x:c>
      <x:c r="C734" t="s">
        <x:v>2555</x:v>
      </x:c>
      <x:c r="D734" t="s">
        <x:v>2556</x:v>
      </x:c>
      <x:c r="E734" t="s">
        <x:v>228</x:v>
      </x:c>
      <x:c r="F734" t="s">
        <x:v>1690</x:v>
      </x:c>
    </x:row>
    <x:row r="735">
      <x:c r="A735" t="s">
        <x:v>2557</x:v>
      </x:c>
      <x:c r="B735" t="s">
        <x:v>2554</x:v>
      </x:c>
      <x:c r="C735" t="s">
        <x:v>2023</x:v>
      </x:c>
      <x:c r="D735" t="s">
        <x:v>796</x:v>
      </x:c>
      <x:c r="E735" t="s">
        <x:v>2558</x:v>
      </x:c>
      <x:c r="F735" t="s">
        <x:v>1690</x:v>
      </x:c>
    </x:row>
    <x:row r="736">
      <x:c r="A736" t="s">
        <x:v>2559</x:v>
      </x:c>
      <x:c r="B736" t="s">
        <x:v>2560</x:v>
      </x:c>
      <x:c r="C736" t="s">
        <x:v>3546</x:v>
      </x:c>
      <x:c r="D736" t="s">
        <x:v>3547</x:v>
      </x:c>
      <x:c r="E736" t="s">
        <x:v>2563</x:v>
      </x:c>
      <x:c r="F736" t="s">
        <x:v>1690</x:v>
      </x:c>
    </x:row>
    <x:row r="737">
      <x:c r="A737" t="s">
        <x:v>2559</x:v>
      </x:c>
      <x:c r="B737" t="s">
        <x:v>3548</x:v>
      </x:c>
      <x:c r="C737" t="s">
        <x:v>2561</x:v>
      </x:c>
      <x:c r="D737" t="s">
        <x:v>3549</x:v>
      </x:c>
      <x:c r="E737" t="s">
        <x:v>2563</x:v>
      </x:c>
      <x:c r="F737" t="s">
        <x:v>1690</x:v>
      </x:c>
    </x:row>
    <x:row r="738">
      <x:c r="A738" t="s">
        <x:v>2564</x:v>
      </x:c>
      <x:c r="B738" t="s">
        <x:v>2565</x:v>
      </x:c>
      <x:c r="C738" t="s">
        <x:v>3550</x:v>
      </x:c>
      <x:c r="D738" t="s">
        <x:v>3551</x:v>
      </x:c>
      <x:c r="E738" t="s">
        <x:v>2568</x:v>
      </x:c>
      <x:c r="F738" t="s">
        <x:v>1690</x:v>
      </x:c>
    </x:row>
    <x:row r="739">
      <x:c r="A739" t="s">
        <x:v>2564</x:v>
      </x:c>
      <x:c r="B739" t="s">
        <x:v>3552</x:v>
      </x:c>
      <x:c r="C739" t="s">
        <x:v>3553</x:v>
      </x:c>
      <x:c r="D739" t="s">
        <x:v>1544</x:v>
      </x:c>
      <x:c r="E739" t="s">
        <x:v>2568</x:v>
      </x:c>
      <x:c r="F739" t="s">
        <x:v>1690</x:v>
      </x:c>
    </x:row>
    <x:row r="740">
      <x:c r="A740" t="s">
        <x:v>2564</x:v>
      </x:c>
      <x:c r="B740" t="s">
        <x:v>3554</x:v>
      </x:c>
      <x:c r="C740" t="s">
        <x:v>3555</x:v>
      </x:c>
      <x:c r="D740" t="s">
        <x:v>3556</x:v>
      </x:c>
      <x:c r="E740" t="s">
        <x:v>2568</x:v>
      </x:c>
      <x:c r="F740" t="s">
        <x:v>1690</x:v>
      </x:c>
    </x:row>
    <x:row r="741">
      <x:c r="A741" t="s">
        <x:v>2564</x:v>
      </x:c>
      <x:c r="B741" t="s">
        <x:v>3557</x:v>
      </x:c>
      <x:c r="C741" t="s">
        <x:v>3558</x:v>
      </x:c>
      <x:c r="D741" t="s">
        <x:v>3559</x:v>
      </x:c>
      <x:c r="E741" t="s">
        <x:v>2568</x:v>
      </x:c>
      <x:c r="F741" t="s">
        <x:v>1690</x:v>
      </x:c>
    </x:row>
    <x:row r="742">
      <x:c r="A742" t="s">
        <x:v>2564</x:v>
      </x:c>
      <x:c r="B742" t="s">
        <x:v>3560</x:v>
      </x:c>
      <x:c r="C742" t="s">
        <x:v>3561</x:v>
      </x:c>
      <x:c r="D742" t="s">
        <x:v>3562</x:v>
      </x:c>
      <x:c r="E742" t="s">
        <x:v>2568</x:v>
      </x:c>
      <x:c r="F742" t="s">
        <x:v>1690</x:v>
      </x:c>
    </x:row>
    <x:row r="743">
      <x:c r="A743" t="s">
        <x:v>2564</x:v>
      </x:c>
      <x:c r="B743" t="s">
        <x:v>3563</x:v>
      </x:c>
      <x:c r="C743" t="s">
        <x:v>3564</x:v>
      </x:c>
      <x:c r="D743" t="s">
        <x:v>3565</x:v>
      </x:c>
      <x:c r="E743" t="s">
        <x:v>2568</x:v>
      </x:c>
      <x:c r="F743" t="s">
        <x:v>1690</x:v>
      </x:c>
    </x:row>
    <x:row r="744">
      <x:c r="A744" t="s">
        <x:v>2564</x:v>
      </x:c>
      <x:c r="B744" t="s">
        <x:v>3566</x:v>
      </x:c>
      <x:c r="C744" t="s">
        <x:v>2566</x:v>
      </x:c>
      <x:c r="D744" t="s">
        <x:v>3567</x:v>
      </x:c>
      <x:c r="E744" t="s">
        <x:v>2568</x:v>
      </x:c>
      <x:c r="F744" t="s">
        <x:v>1690</x:v>
      </x:c>
    </x:row>
    <x:row r="745">
      <x:c r="A745" t="s">
        <x:v>2569</x:v>
      </x:c>
      <x:c r="B745" t="s">
        <x:v>2570</x:v>
      </x:c>
      <x:c r="C745" t="s">
        <x:v>1928</x:v>
      </x:c>
      <x:c r="D745" t="s">
        <x:v>2571</x:v>
      </x:c>
      <x:c r="E745" t="s">
        <x:v>2572</x:v>
      </x:c>
      <x:c r="F745" t="s">
        <x:v>1690</x:v>
      </x:c>
    </x:row>
    <x:row r="746">
      <x:c r="A746" t="s">
        <x:v>2573</x:v>
      </x:c>
      <x:c r="B746" t="s">
        <x:v>2574</x:v>
      </x:c>
      <x:c r="C746" t="s">
        <x:v>2575</x:v>
      </x:c>
      <x:c r="D746" t="s">
        <x:v>743</x:v>
      </x:c>
      <x:c r="E746" t="s">
        <x:v>2576</x:v>
      </x:c>
      <x:c r="F746" t="s">
        <x:v>1690</x:v>
      </x:c>
    </x:row>
    <x:row r="747">
      <x:c r="A747" t="s">
        <x:v>317</x:v>
      </x:c>
      <x:c r="B747" t="s">
        <x:v>2577</x:v>
      </x:c>
      <x:c r="C747" t="s">
        <x:v>1744</x:v>
      </x:c>
      <x:c r="D747" t="s">
        <x:v>2578</x:v>
      </x:c>
      <x:c r="E747" t="s">
        <x:v>321</x:v>
      </x:c>
      <x:c r="F747" t="s">
        <x:v>1690</x:v>
      </x:c>
    </x:row>
    <x:row r="748">
      <x:c r="A748" t="s">
        <x:v>2579</x:v>
      </x:c>
      <x:c r="B748" t="s">
        <x:v>2580</x:v>
      </x:c>
      <x:c r="C748" t="s">
        <x:v>1710</x:v>
      </x:c>
      <x:c r="D748" t="s">
        <x:v>1511</x:v>
      </x:c>
      <x:c r="E748" t="s">
        <x:v>2581</x:v>
      </x:c>
      <x:c r="F748" t="s">
        <x:v>1690</x:v>
      </x:c>
    </x:row>
    <x:row r="749">
      <x:c r="A749" t="s">
        <x:v>2582</x:v>
      </x:c>
      <x:c r="B749" t="s">
        <x:v>2583</x:v>
      </x:c>
      <x:c r="C749" t="s">
        <x:v>2584</x:v>
      </x:c>
      <x:c r="D749" t="s">
        <x:v>2585</x:v>
      </x:c>
      <x:c r="E749" t="s">
        <x:v>2586</x:v>
      </x:c>
      <x:c r="F749" t="s">
        <x:v>1690</x:v>
      </x:c>
    </x:row>
    <x:row r="750">
      <x:c r="A750" t="s">
        <x:v>2587</x:v>
      </x:c>
      <x:c r="B750" t="s">
        <x:v>2588</x:v>
      </x:c>
      <x:c r="C750" t="s">
        <x:v>2920</x:v>
      </x:c>
      <x:c r="D750" t="s">
        <x:v>3568</x:v>
      </x:c>
      <x:c r="E750" t="s">
        <x:v>2591</x:v>
      </x:c>
      <x:c r="F750" t="s">
        <x:v>1690</x:v>
      </x:c>
    </x:row>
    <x:row r="751">
      <x:c r="A751" t="s">
        <x:v>2587</x:v>
      </x:c>
      <x:c r="B751" t="s">
        <x:v>2448</x:v>
      </x:c>
      <x:c r="C751" t="s">
        <x:v>2589</x:v>
      </x:c>
      <x:c r="D751" t="s">
        <x:v>3569</x:v>
      </x:c>
      <x:c r="E751" t="s">
        <x:v>2591</x:v>
      </x:c>
      <x:c r="F751" t="s">
        <x:v>1690</x:v>
      </x:c>
    </x:row>
    <x:row r="752">
      <x:c r="A752" t="s">
        <x:v>2592</x:v>
      </x:c>
      <x:c r="B752" t="s">
        <x:v>2593</x:v>
      </x:c>
      <x:c r="C752" t="s">
        <x:v>2594</x:v>
      </x:c>
      <x:c r="D752" t="s">
        <x:v>2595</x:v>
      </x:c>
      <x:c r="E752" t="s">
        <x:v>2596</x:v>
      </x:c>
      <x:c r="F752" t="s">
        <x:v>1690</x:v>
      </x:c>
    </x:row>
    <x:row r="753">
      <x:c r="A753" t="s">
        <x:v>2597</x:v>
      </x:c>
      <x:c r="B753" t="s">
        <x:v>2598</x:v>
      </x:c>
      <x:c r="C753" t="s">
        <x:v>2599</x:v>
      </x:c>
      <x:c r="D753" t="s">
        <x:v>988</x:v>
      </x:c>
      <x:c r="E753" t="s">
        <x:v>2600</x:v>
      </x:c>
      <x:c r="F753" t="s">
        <x:v>1690</x:v>
      </x:c>
    </x:row>
    <x:row r="754">
      <x:c r="A754" t="s">
        <x:v>2601</x:v>
      </x:c>
      <x:c r="B754" t="s">
        <x:v>2602</x:v>
      </x:c>
      <x:c r="C754" t="s">
        <x:v>2603</x:v>
      </x:c>
      <x:c r="D754" t="s">
        <x:v>2604</x:v>
      </x:c>
      <x:c r="E754" t="s">
        <x:v>2605</x:v>
      </x:c>
      <x:c r="F754" t="s">
        <x:v>1690</x:v>
      </x:c>
    </x:row>
    <x:row r="755">
      <x:c r="A755" t="s">
        <x:v>2606</x:v>
      </x:c>
      <x:c r="B755" t="s">
        <x:v>2602</x:v>
      </x:c>
      <x:c r="C755" t="s">
        <x:v>3570</x:v>
      </x:c>
      <x:c r="D755" t="s">
        <x:v>3571</x:v>
      </x:c>
      <x:c r="E755" t="s">
        <x:v>2609</x:v>
      </x:c>
      <x:c r="F755" t="s">
        <x:v>1690</x:v>
      </x:c>
    </x:row>
    <x:row r="756">
      <x:c r="A756" t="s">
        <x:v>2606</x:v>
      </x:c>
      <x:c r="B756" t="s">
        <x:v>2102</x:v>
      </x:c>
      <x:c r="C756" t="s">
        <x:v>2607</x:v>
      </x:c>
      <x:c r="D756" t="s">
        <x:v>2098</x:v>
      </x:c>
      <x:c r="E756" t="s">
        <x:v>2609</x:v>
      </x:c>
      <x:c r="F756" t="s">
        <x:v>1690</x:v>
      </x:c>
    </x:row>
    <x:row r="757">
      <x:c r="A757" t="s">
        <x:v>2610</x:v>
      </x:c>
      <x:c r="B757" t="s">
        <x:v>2611</x:v>
      </x:c>
      <x:c r="C757" t="s">
        <x:v>1837</x:v>
      </x:c>
      <x:c r="D757" t="s">
        <x:v>2612</x:v>
      </x:c>
      <x:c r="E757" t="s">
        <x:v>2613</x:v>
      </x:c>
      <x:c r="F757" t="s">
        <x:v>1690</x:v>
      </x:c>
    </x:row>
    <x:row r="758">
      <x:c r="A758" t="s">
        <x:v>2614</x:v>
      </x:c>
      <x:c r="B758" t="s">
        <x:v>2615</x:v>
      </x:c>
      <x:c r="C758" t="s">
        <x:v>2616</x:v>
      </x:c>
      <x:c r="D758" t="s">
        <x:v>2617</x:v>
      </x:c>
      <x:c r="E758" t="s">
        <x:v>2618</x:v>
      </x:c>
      <x:c r="F758" t="s">
        <x:v>1690</x:v>
      </x:c>
    </x:row>
    <x:row r="759">
      <x:c r="A759" t="s">
        <x:v>2619</x:v>
      </x:c>
      <x:c r="B759" t="s">
        <x:v>2620</x:v>
      </x:c>
      <x:c r="C759" t="s">
        <x:v>2621</x:v>
      </x:c>
      <x:c r="D759" t="s">
        <x:v>2622</x:v>
      </x:c>
      <x:c r="E759" t="s">
        <x:v>2623</x:v>
      </x:c>
      <x:c r="F759" t="s">
        <x:v>1690</x:v>
      </x:c>
    </x:row>
    <x:row r="760">
      <x:c r="A760" t="s">
        <x:v>2624</x:v>
      </x:c>
      <x:c r="B760" t="s">
        <x:v>2625</x:v>
      </x:c>
      <x:c r="C760" t="s">
        <x:v>2626</x:v>
      </x:c>
      <x:c r="D760" t="s">
        <x:v>2627</x:v>
      </x:c>
      <x:c r="E760" t="s">
        <x:v>2628</x:v>
      </x:c>
      <x:c r="F760" t="s">
        <x:v>1690</x:v>
      </x:c>
    </x:row>
    <x:row r="761">
      <x:c r="A761" t="s">
        <x:v>2629</x:v>
      </x:c>
      <x:c r="B761" t="s">
        <x:v>2630</x:v>
      </x:c>
      <x:c r="C761" t="s">
        <x:v>2631</x:v>
      </x:c>
      <x:c r="D761" t="s">
        <x:v>2632</x:v>
      </x:c>
      <x:c r="E761" t="s">
        <x:v>2633</x:v>
      </x:c>
      <x:c r="F761" t="s">
        <x:v>1690</x:v>
      </x:c>
    </x:row>
    <x:row r="762">
      <x:c r="A762" t="s">
        <x:v>2634</x:v>
      </x:c>
      <x:c r="B762" t="s">
        <x:v>2635</x:v>
      </x:c>
      <x:c r="C762" t="s">
        <x:v>3365</x:v>
      </x:c>
      <x:c r="D762" t="s">
        <x:v>3112</x:v>
      </x:c>
      <x:c r="E762" t="s">
        <x:v>2638</x:v>
      </x:c>
      <x:c r="F762" t="s">
        <x:v>1690</x:v>
      </x:c>
    </x:row>
    <x:row r="763">
      <x:c r="A763" t="s">
        <x:v>2634</x:v>
      </x:c>
      <x:c r="B763" t="s">
        <x:v>3572</x:v>
      </x:c>
      <x:c r="C763" t="s">
        <x:v>3257</x:v>
      </x:c>
      <x:c r="D763" t="s">
        <x:v>3573</x:v>
      </x:c>
      <x:c r="E763" t="s">
        <x:v>2638</x:v>
      </x:c>
      <x:c r="F763" t="s">
        <x:v>1690</x:v>
      </x:c>
    </x:row>
    <x:row r="764">
      <x:c r="A764" t="s">
        <x:v>2634</x:v>
      </x:c>
      <x:c r="B764" t="s">
        <x:v>3574</x:v>
      </x:c>
      <x:c r="C764" t="s">
        <x:v>3575</x:v>
      </x:c>
      <x:c r="D764" t="s">
        <x:v>3576</x:v>
      </x:c>
      <x:c r="E764" t="s">
        <x:v>2638</x:v>
      </x:c>
      <x:c r="F764" t="s">
        <x:v>1690</x:v>
      </x:c>
    </x:row>
    <x:row r="765">
      <x:c r="A765" t="s">
        <x:v>2634</x:v>
      </x:c>
      <x:c r="B765" t="s">
        <x:v>3577</x:v>
      </x:c>
      <x:c r="C765" t="s">
        <x:v>2636</x:v>
      </x:c>
      <x:c r="D765" t="s">
        <x:v>3578</x:v>
      </x:c>
      <x:c r="E765" t="s">
        <x:v>2638</x:v>
      </x:c>
      <x:c r="F765" t="s">
        <x:v>1690</x:v>
      </x:c>
    </x:row>
    <x:row r="766">
      <x:c r="A766" t="s">
        <x:v>2639</x:v>
      </x:c>
      <x:c r="B766" t="s">
        <x:v>2640</x:v>
      </x:c>
      <x:c r="C766" t="s">
        <x:v>2641</x:v>
      </x:c>
      <x:c r="D766" t="s">
        <x:v>2642</x:v>
      </x:c>
      <x:c r="E766" t="s">
        <x:v>2643</x:v>
      </x:c>
      <x:c r="F766" t="s">
        <x:v>1690</x:v>
      </x:c>
    </x:row>
    <x:row r="767">
      <x:c r="A767" t="s">
        <x:v>2644</x:v>
      </x:c>
      <x:c r="B767" t="s">
        <x:v>2645</x:v>
      </x:c>
      <x:c r="C767" t="s">
        <x:v>2646</x:v>
      </x:c>
      <x:c r="D767" t="s">
        <x:v>2647</x:v>
      </x:c>
      <x:c r="E767" t="s">
        <x:v>2648</x:v>
      </x:c>
      <x:c r="F767" t="s">
        <x:v>1690</x:v>
      </x:c>
    </x:row>
    <x:row r="768">
      <x:c r="A768" t="s">
        <x:v>2649</x:v>
      </x:c>
      <x:c r="B768" t="s">
        <x:v>2650</x:v>
      </x:c>
      <x:c r="C768" t="s">
        <x:v>3579</x:v>
      </x:c>
      <x:c r="D768" t="s">
        <x:v>3580</x:v>
      </x:c>
      <x:c r="E768" t="s">
        <x:v>2653</x:v>
      </x:c>
      <x:c r="F768" t="s">
        <x:v>1690</x:v>
      </x:c>
    </x:row>
    <x:row r="769">
      <x:c r="A769" t="s">
        <x:v>2649</x:v>
      </x:c>
      <x:c r="B769" t="s">
        <x:v>3581</x:v>
      </x:c>
      <x:c r="C769" t="s">
        <x:v>2651</x:v>
      </x:c>
      <x:c r="D769" t="s">
        <x:v>3582</x:v>
      </x:c>
      <x:c r="E769" t="s">
        <x:v>2653</x:v>
      </x:c>
      <x:c r="F769" t="s">
        <x:v>1690</x:v>
      </x:c>
    </x:row>
    <x:row r="770">
      <x:c r="A770" t="s">
        <x:v>1062</x:v>
      </x:c>
      <x:c r="B770" t="s">
        <x:v>2654</x:v>
      </x:c>
      <x:c r="C770" t="s">
        <x:v>2655</x:v>
      </x:c>
      <x:c r="D770" t="s">
        <x:v>2656</x:v>
      </x:c>
      <x:c r="E770" t="s">
        <x:v>1066</x:v>
      </x:c>
      <x:c r="F770" t="s">
        <x:v>1690</x:v>
      </x:c>
    </x:row>
    <x:row r="771">
      <x:c r="A771" t="s">
        <x:v>2657</x:v>
      </x:c>
      <x:c r="B771" t="s">
        <x:v>2658</x:v>
      </x:c>
      <x:c r="C771" t="s">
        <x:v>1810</x:v>
      </x:c>
      <x:c r="D771" t="s">
        <x:v>2659</x:v>
      </x:c>
      <x:c r="E771" t="s">
        <x:v>2660</x:v>
      </x:c>
      <x:c r="F771" t="s">
        <x:v>1690</x:v>
      </x:c>
    </x:row>
    <x:row r="772">
      <x:c r="A772" t="s">
        <x:v>2661</x:v>
      </x:c>
      <x:c r="B772" t="s">
        <x:v>2662</x:v>
      </x:c>
      <x:c r="C772" t="s">
        <x:v>3583</x:v>
      </x:c>
      <x:c r="D772" t="s">
        <x:v>3584</x:v>
      </x:c>
      <x:c r="E772" t="s">
        <x:v>2665</x:v>
      </x:c>
      <x:c r="F772" t="s">
        <x:v>1690</x:v>
      </x:c>
    </x:row>
    <x:row r="773">
      <x:c r="A773" t="s">
        <x:v>2661</x:v>
      </x:c>
      <x:c r="B773" t="s">
        <x:v>3585</x:v>
      </x:c>
      <x:c r="C773" t="s">
        <x:v>2663</x:v>
      </x:c>
      <x:c r="D773" t="s">
        <x:v>3586</x:v>
      </x:c>
      <x:c r="E773" t="s">
        <x:v>2665</x:v>
      </x:c>
      <x:c r="F773" t="s">
        <x:v>1690</x:v>
      </x:c>
    </x:row>
    <x:row r="774">
      <x:c r="A774" t="s">
        <x:v>2666</x:v>
      </x:c>
      <x:c r="B774" t="s">
        <x:v>2667</x:v>
      </x:c>
      <x:c r="C774" t="s">
        <x:v>3587</x:v>
      </x:c>
      <x:c r="D774" t="s">
        <x:v>3588</x:v>
      </x:c>
      <x:c r="E774" t="s">
        <x:v>2669</x:v>
      </x:c>
      <x:c r="F774" t="s">
        <x:v>1690</x:v>
      </x:c>
    </x:row>
    <x:row r="775">
      <x:c r="A775" t="s">
        <x:v>2666</x:v>
      </x:c>
      <x:c r="B775" t="s">
        <x:v>3589</x:v>
      </x:c>
      <x:c r="C775" t="s">
        <x:v>2051</x:v>
      </x:c>
      <x:c r="D775" t="s">
        <x:v>3590</x:v>
      </x:c>
      <x:c r="E775" t="s">
        <x:v>2669</x:v>
      </x:c>
      <x:c r="F775" t="s">
        <x:v>1690</x:v>
      </x:c>
    </x:row>
    <x:row r="776">
      <x:c r="A776" t="s">
        <x:v>2670</x:v>
      </x:c>
      <x:c r="B776" t="s">
        <x:v>2671</x:v>
      </x:c>
      <x:c r="C776" t="s">
        <x:v>1851</x:v>
      </x:c>
      <x:c r="D776" t="s">
        <x:v>2672</x:v>
      </x:c>
      <x:c r="E776" t="s">
        <x:v>2673</x:v>
      </x:c>
      <x:c r="F776" t="s">
        <x:v>1690</x:v>
      </x:c>
    </x:row>
    <x:row r="777">
      <x:c r="A777" t="s">
        <x:v>2674</x:v>
      </x:c>
      <x:c r="B777" t="s">
        <x:v>2675</x:v>
      </x:c>
      <x:c r="C777" t="s">
        <x:v>3591</x:v>
      </x:c>
      <x:c r="D777" t="s">
        <x:v>3578</x:v>
      </x:c>
      <x:c r="E777" t="s">
        <x:v>2678</x:v>
      </x:c>
      <x:c r="F777" t="s">
        <x:v>1690</x:v>
      </x:c>
    </x:row>
    <x:row r="778">
      <x:c r="A778" t="s">
        <x:v>2674</x:v>
      </x:c>
      <x:c r="B778" t="s">
        <x:v>2339</x:v>
      </x:c>
      <x:c r="C778" t="s">
        <x:v>2676</x:v>
      </x:c>
      <x:c r="D778" t="s">
        <x:v>3592</x:v>
      </x:c>
      <x:c r="E778" t="s">
        <x:v>2678</x:v>
      </x:c>
      <x:c r="F778" t="s">
        <x:v>1690</x:v>
      </x:c>
    </x:row>
    <x:row r="779">
      <x:c r="A779" t="s">
        <x:v>2679</x:v>
      </x:c>
      <x:c r="B779" t="s">
        <x:v>2464</x:v>
      </x:c>
      <x:c r="C779" t="s">
        <x:v>1714</x:v>
      </x:c>
      <x:c r="D779" t="s">
        <x:v>739</x:v>
      </x:c>
      <x:c r="E779" t="s">
        <x:v>2680</x:v>
      </x:c>
      <x:c r="F779" t="s">
        <x:v>1690</x:v>
      </x:c>
    </x:row>
    <x:row r="780">
      <x:c r="A780" t="s">
        <x:v>2681</x:v>
      </x:c>
      <x:c r="B780" t="s">
        <x:v>2682</x:v>
      </x:c>
      <x:c r="C780" t="s">
        <x:v>3479</x:v>
      </x:c>
      <x:c r="D780" t="s">
        <x:v>3593</x:v>
      </x:c>
      <x:c r="E780" t="s">
        <x:v>2685</x:v>
      </x:c>
      <x:c r="F780" t="s">
        <x:v>1690</x:v>
      </x:c>
    </x:row>
    <x:row r="781">
      <x:c r="A781" t="s">
        <x:v>2681</x:v>
      </x:c>
      <x:c r="B781" t="s">
        <x:v>3452</x:v>
      </x:c>
      <x:c r="C781" t="s">
        <x:v>2683</x:v>
      </x:c>
      <x:c r="D781" t="s">
        <x:v>3594</x:v>
      </x:c>
      <x:c r="E781" t="s">
        <x:v>2685</x:v>
      </x:c>
      <x:c r="F781" t="s">
        <x:v>1690</x:v>
      </x:c>
    </x:row>
    <x:row r="782">
      <x:c r="A782" t="s">
        <x:v>2686</x:v>
      </x:c>
      <x:c r="B782" t="s">
        <x:v>2682</x:v>
      </x:c>
      <x:c r="C782" t="s">
        <x:v>1678</x:v>
      </x:c>
      <x:c r="D782" t="s">
        <x:v>2687</x:v>
      </x:c>
      <x:c r="E782" t="s">
        <x:v>2688</x:v>
      </x:c>
      <x:c r="F782" t="s">
        <x:v>1690</x:v>
      </x:c>
    </x:row>
    <x:row r="783">
      <x:c r="A783" t="s">
        <x:v>2689</x:v>
      </x:c>
      <x:c r="B783" t="s">
        <x:v>2690</x:v>
      </x:c>
      <x:c r="C783" t="s">
        <x:v>1797</x:v>
      </x:c>
      <x:c r="D783" t="s">
        <x:v>865</x:v>
      </x:c>
      <x:c r="E783" t="s">
        <x:v>2691</x:v>
      </x:c>
      <x:c r="F783" t="s">
        <x:v>1690</x:v>
      </x:c>
    </x:row>
    <x:row r="784">
      <x:c r="A784" t="s">
        <x:v>2692</x:v>
      </x:c>
      <x:c r="B784" t="s">
        <x:v>2693</x:v>
      </x:c>
      <x:c r="C784" t="s">
        <x:v>2566</x:v>
      </x:c>
      <x:c r="D784" t="s">
        <x:v>2694</x:v>
      </x:c>
      <x:c r="E784" t="s">
        <x:v>2695</x:v>
      </x:c>
      <x:c r="F784" t="s">
        <x:v>1690</x:v>
      </x:c>
    </x:row>
    <x:row r="785">
      <x:c r="A785" t="s">
        <x:v>2696</x:v>
      </x:c>
      <x:c r="B785" t="s">
        <x:v>2693</x:v>
      </x:c>
      <x:c r="C785" t="s">
        <x:v>2697</x:v>
      </x:c>
      <x:c r="D785" t="s">
        <x:v>2687</x:v>
      </x:c>
      <x:c r="E785" t="s">
        <x:v>2698</x:v>
      </x:c>
      <x:c r="F785" t="s">
        <x:v>1690</x:v>
      </x:c>
    </x:row>
    <x:row r="786">
      <x:c r="A786" t="s">
        <x:v>2699</x:v>
      </x:c>
      <x:c r="B786" t="s">
        <x:v>2700</x:v>
      </x:c>
      <x:c r="C786" t="s">
        <x:v>3595</x:v>
      </x:c>
      <x:c r="D786" t="s">
        <x:v>3596</x:v>
      </x:c>
      <x:c r="E786" t="s">
        <x:v>2703</x:v>
      </x:c>
      <x:c r="F786" t="s">
        <x:v>1690</x:v>
      </x:c>
    </x:row>
    <x:row r="787">
      <x:c r="A787" t="s">
        <x:v>2699</x:v>
      </x:c>
      <x:c r="B787" t="s">
        <x:v>3597</x:v>
      </x:c>
      <x:c r="C787" t="s">
        <x:v>2701</x:v>
      </x:c>
      <x:c r="D787" t="s">
        <x:v>3598</x:v>
      </x:c>
      <x:c r="E787" t="s">
        <x:v>2703</x:v>
      </x:c>
      <x:c r="F787" t="s">
        <x:v>1690</x:v>
      </x:c>
    </x:row>
    <x:row r="788">
      <x:c r="A788" t="s">
        <x:v>754</x:v>
      </x:c>
      <x:c r="B788" t="s">
        <x:v>2704</x:v>
      </x:c>
      <x:c r="C788" t="s">
        <x:v>2705</x:v>
      </x:c>
      <x:c r="D788" t="s">
        <x:v>2706</x:v>
      </x:c>
      <x:c r="E788" t="s">
        <x:v>757</x:v>
      </x:c>
      <x:c r="F788" t="s">
        <x:v>1690</x:v>
      </x:c>
    </x:row>
    <x:row r="789">
      <x:c r="A789" t="s">
        <x:v>2707</x:v>
      </x:c>
      <x:c r="B789" t="s">
        <x:v>2708</x:v>
      </x:c>
      <x:c r="C789" t="s">
        <x:v>2709</x:v>
      </x:c>
      <x:c r="D789" t="s">
        <x:v>2710</x:v>
      </x:c>
      <x:c r="E789" t="s">
        <x:v>2711</x:v>
      </x:c>
      <x:c r="F789" t="s">
        <x:v>1690</x:v>
      </x:c>
    </x:row>
    <x:row r="790">
      <x:c r="A790" t="s">
        <x:v>2712</x:v>
      </x:c>
      <x:c r="B790" t="s">
        <x:v>2713</x:v>
      </x:c>
      <x:c r="C790" t="s">
        <x:v>3599</x:v>
      </x:c>
      <x:c r="D790" t="s">
        <x:v>1318</x:v>
      </x:c>
      <x:c r="E790" t="s">
        <x:v>2716</x:v>
      </x:c>
      <x:c r="F790" t="s">
        <x:v>1690</x:v>
      </x:c>
    </x:row>
    <x:row r="791">
      <x:c r="A791" t="s">
        <x:v>2712</x:v>
      </x:c>
      <x:c r="B791" t="s">
        <x:v>3600</x:v>
      </x:c>
      <x:c r="C791" t="s">
        <x:v>2714</x:v>
      </x:c>
      <x:c r="D791" t="s">
        <x:v>1530</x:v>
      </x:c>
      <x:c r="E791" t="s">
        <x:v>2716</x:v>
      </x:c>
      <x:c r="F791" t="s">
        <x:v>1690</x:v>
      </x:c>
    </x:row>
    <x:row r="792">
      <x:c r="A792" t="s">
        <x:v>2717</x:v>
      </x:c>
      <x:c r="B792" t="s">
        <x:v>2718</x:v>
      </x:c>
      <x:c r="C792" t="s">
        <x:v>2414</x:v>
      </x:c>
      <x:c r="D792" t="s">
        <x:v>2719</x:v>
      </x:c>
      <x:c r="E792" t="s">
        <x:v>2720</x:v>
      </x:c>
      <x:c r="F792" t="s">
        <x:v>1690</x:v>
      </x:c>
    </x:row>
    <x:row r="793">
      <x:c r="A793" t="s">
        <x:v>2721</x:v>
      </x:c>
      <x:c r="B793" t="s">
        <x:v>2722</x:v>
      </x:c>
      <x:c r="C793" t="s">
        <x:v>2723</x:v>
      </x:c>
      <x:c r="D793" t="s">
        <x:v>2724</x:v>
      </x:c>
      <x:c r="E793" t="s">
        <x:v>2725</x:v>
      </x:c>
      <x:c r="F793" t="s">
        <x:v>1690</x:v>
      </x:c>
    </x:row>
    <x:row r="794">
      <x:c r="A794" t="s">
        <x:v>2726</x:v>
      </x:c>
      <x:c r="B794" t="s">
        <x:v>2727</x:v>
      </x:c>
      <x:c r="C794" t="s">
        <x:v>2728</x:v>
      </x:c>
      <x:c r="D794" t="s">
        <x:v>2729</x:v>
      </x:c>
      <x:c r="E794" t="s">
        <x:v>2730</x:v>
      </x:c>
      <x:c r="F794" t="s">
        <x:v>1690</x:v>
      </x:c>
    </x:row>
    <x:row r="795">
      <x:c r="A795" t="s">
        <x:v>2731</x:v>
      </x:c>
      <x:c r="B795" t="s">
        <x:v>2732</x:v>
      </x:c>
      <x:c r="C795" t="s">
        <x:v>2728</x:v>
      </x:c>
      <x:c r="D795" t="s">
        <x:v>2733</x:v>
      </x:c>
      <x:c r="E795" t="s">
        <x:v>2734</x:v>
      </x:c>
      <x:c r="F795" t="s">
        <x:v>1690</x:v>
      </x:c>
    </x:row>
    <x:row r="796">
      <x:c r="A796" t="s">
        <x:v>2735</x:v>
      </x:c>
      <x:c r="B796" t="s">
        <x:v>2736</x:v>
      </x:c>
      <x:c r="C796" t="s">
        <x:v>1683</x:v>
      </x:c>
      <x:c r="D796" t="s">
        <x:v>2737</x:v>
      </x:c>
      <x:c r="E796" t="s">
        <x:v>2738</x:v>
      </x:c>
      <x:c r="F796" t="s">
        <x:v>1690</x:v>
      </x:c>
    </x:row>
    <x:row r="797">
      <x:c r="A797" t="s">
        <x:v>2739</x:v>
      </x:c>
      <x:c r="B797" t="s">
        <x:v>2740</x:v>
      </x:c>
      <x:c r="C797" t="s">
        <x:v>2015</x:v>
      </x:c>
      <x:c r="D797" t="s">
        <x:v>2741</x:v>
      </x:c>
      <x:c r="E797" t="s">
        <x:v>2742</x:v>
      </x:c>
      <x:c r="F797" t="s">
        <x:v>1690</x:v>
      </x:c>
    </x:row>
    <x:row r="798">
      <x:c r="A798" t="s">
        <x:v>2743</x:v>
      </x:c>
      <x:c r="B798" t="s">
        <x:v>2744</x:v>
      </x:c>
      <x:c r="C798" t="s">
        <x:v>3601</x:v>
      </x:c>
      <x:c r="D798" t="s">
        <x:v>3602</x:v>
      </x:c>
      <x:c r="E798" t="s">
        <x:v>2747</x:v>
      </x:c>
      <x:c r="F798" t="s">
        <x:v>1690</x:v>
      </x:c>
    </x:row>
    <x:row r="799">
      <x:c r="A799" t="s">
        <x:v>2743</x:v>
      </x:c>
      <x:c r="B799" t="s">
        <x:v>3603</x:v>
      </x:c>
      <x:c r="C799" t="s">
        <x:v>3604</x:v>
      </x:c>
      <x:c r="D799" t="s">
        <x:v>3605</x:v>
      </x:c>
      <x:c r="E799" t="s">
        <x:v>2747</x:v>
      </x:c>
      <x:c r="F799" t="s">
        <x:v>1690</x:v>
      </x:c>
    </x:row>
    <x:row r="800">
      <x:c r="A800" t="s">
        <x:v>2743</x:v>
      </x:c>
      <x:c r="B800" t="s">
        <x:v>3606</x:v>
      </x:c>
      <x:c r="C800" t="s">
        <x:v>2745</x:v>
      </x:c>
      <x:c r="D800" t="s">
        <x:v>3607</x:v>
      </x:c>
      <x:c r="E800" t="s">
        <x:v>2747</x:v>
      </x:c>
      <x:c r="F800" t="s">
        <x:v>1690</x:v>
      </x:c>
    </x:row>
    <x:row r="801">
      <x:c r="A801" t="s">
        <x:v>2748</x:v>
      </x:c>
      <x:c r="B801" t="s">
        <x:v>2749</x:v>
      </x:c>
      <x:c r="C801" t="s">
        <x:v>1873</x:v>
      </x:c>
      <x:c r="D801" t="s">
        <x:v>2750</x:v>
      </x:c>
      <x:c r="E801" t="s">
        <x:v>2751</x:v>
      </x:c>
      <x:c r="F801" t="s">
        <x:v>1690</x:v>
      </x:c>
    </x:row>
    <x:row r="802">
      <x:c r="A802" t="s">
        <x:v>2752</x:v>
      </x:c>
      <x:c r="B802" t="s">
        <x:v>2753</x:v>
      </x:c>
      <x:c r="C802" t="s">
        <x:v>3608</x:v>
      </x:c>
      <x:c r="D802" t="s">
        <x:v>3609</x:v>
      </x:c>
      <x:c r="E802" t="s">
        <x:v>2756</x:v>
      </x:c>
      <x:c r="F802" t="s">
        <x:v>1690</x:v>
      </x:c>
    </x:row>
    <x:row r="803">
      <x:c r="A803" t="s">
        <x:v>2752</x:v>
      </x:c>
      <x:c r="B803" t="s">
        <x:v>3610</x:v>
      </x:c>
      <x:c r="C803" t="s">
        <x:v>2754</x:v>
      </x:c>
      <x:c r="D803" t="s">
        <x:v>3611</x:v>
      </x:c>
      <x:c r="E803" t="s">
        <x:v>2756</x:v>
      </x:c>
      <x:c r="F803" t="s">
        <x:v>1690</x:v>
      </x:c>
    </x:row>
    <x:row r="804">
      <x:c r="A804" t="s">
        <x:v>2757</x:v>
      </x:c>
      <x:c r="B804" t="s">
        <x:v>2758</x:v>
      </x:c>
      <x:c r="C804" t="s">
        <x:v>3612</x:v>
      </x:c>
      <x:c r="D804" t="s">
        <x:v>3613</x:v>
      </x:c>
      <x:c r="E804" t="s">
        <x:v>2760</x:v>
      </x:c>
      <x:c r="F804" t="s">
        <x:v>1690</x:v>
      </x:c>
    </x:row>
    <x:row r="805">
      <x:c r="A805" t="s">
        <x:v>2757</x:v>
      </x:c>
      <x:c r="B805" t="s">
        <x:v>3614</x:v>
      </x:c>
      <x:c r="C805" t="s">
        <x:v>2594</x:v>
      </x:c>
      <x:c r="D805" t="s">
        <x:v>3615</x:v>
      </x:c>
      <x:c r="E805" t="s">
        <x:v>2760</x:v>
      </x:c>
      <x:c r="F805" t="s">
        <x:v>1690</x:v>
      </x:c>
    </x:row>
    <x:row r="806">
      <x:c r="A806" t="s">
        <x:v>2761</x:v>
      </x:c>
      <x:c r="B806" t="s">
        <x:v>2762</x:v>
      </x:c>
      <x:c r="C806" t="s">
        <x:v>2763</x:v>
      </x:c>
      <x:c r="D806" t="s">
        <x:v>2764</x:v>
      </x:c>
      <x:c r="E806" t="s">
        <x:v>2765</x:v>
      </x:c>
      <x:c r="F806" t="s">
        <x:v>1690</x:v>
      </x:c>
    </x:row>
    <x:row r="807">
      <x:c r="A807" t="s">
        <x:v>2766</x:v>
      </x:c>
      <x:c r="B807" t="s">
        <x:v>2767</x:v>
      </x:c>
      <x:c r="C807" t="s">
        <x:v>2768</x:v>
      </x:c>
      <x:c r="D807" t="s">
        <x:v>2769</x:v>
      </x:c>
      <x:c r="E807" t="s">
        <x:v>2770</x:v>
      </x:c>
      <x:c r="F807" t="s">
        <x:v>1690</x:v>
      </x:c>
    </x:row>
    <x:row r="808">
      <x:c r="A808" t="s">
        <x:v>2771</x:v>
      </x:c>
      <x:c r="B808" t="s">
        <x:v>2772</x:v>
      </x:c>
      <x:c r="C808" t="s">
        <x:v>1675</x:v>
      </x:c>
      <x:c r="D808" t="s">
        <x:v>2773</x:v>
      </x:c>
      <x:c r="E808" t="s">
        <x:v>2774</x:v>
      </x:c>
      <x:c r="F808" t="s">
        <x:v>1690</x:v>
      </x:c>
    </x:row>
    <x:row r="809">
      <x:c r="A809" t="s">
        <x:v>2775</x:v>
      </x:c>
      <x:c r="B809" t="s">
        <x:v>2776</x:v>
      </x:c>
      <x:c r="C809" t="s">
        <x:v>2584</x:v>
      </x:c>
      <x:c r="D809" t="s">
        <x:v>2777</x:v>
      </x:c>
      <x:c r="E809" t="s">
        <x:v>2778</x:v>
      </x:c>
      <x:c r="F809" t="s">
        <x:v>1690</x:v>
      </x:c>
    </x:row>
    <x:row r="810">
      <x:c r="A810" t="s">
        <x:v>2779</x:v>
      </x:c>
      <x:c r="B810" t="s">
        <x:v>2780</x:v>
      </x:c>
      <x:c r="C810" t="s">
        <x:v>2147</x:v>
      </x:c>
      <x:c r="D810" t="s">
        <x:v>2781</x:v>
      </x:c>
      <x:c r="E810" t="s">
        <x:v>2782</x:v>
      </x:c>
      <x:c r="F810" t="s">
        <x:v>1690</x:v>
      </x:c>
    </x:row>
    <x:row r="811">
      <x:c r="A811" t="s">
        <x:v>2783</x:v>
      </x:c>
      <x:c r="B811" t="s">
        <x:v>2784</x:v>
      </x:c>
      <x:c r="C811" t="s">
        <x:v>2147</x:v>
      </x:c>
      <x:c r="D811" t="s">
        <x:v>2785</x:v>
      </x:c>
      <x:c r="E811" t="s">
        <x:v>2786</x:v>
      </x:c>
      <x:c r="F811" t="s">
        <x:v>1690</x:v>
      </x:c>
    </x:row>
    <x:row r="812">
      <x:c r="A812" t="s">
        <x:v>88</x:v>
      </x:c>
      <x:c r="B812" t="s">
        <x:v>2787</x:v>
      </x:c>
      <x:c r="C812" t="s">
        <x:v>1928</x:v>
      </x:c>
      <x:c r="D812" t="s">
        <x:v>2788</x:v>
      </x:c>
      <x:c r="E812" t="s">
        <x:v>92</x:v>
      </x:c>
      <x:c r="F812" t="s">
        <x:v>1690</x:v>
      </x:c>
    </x:row>
    <x:row r="813">
      <x:c r="A813" t="s">
        <x:v>2789</x:v>
      </x:c>
      <x:c r="B813" t="s">
        <x:v>2790</x:v>
      </x:c>
      <x:c r="C813" t="s">
        <x:v>1698</x:v>
      </x:c>
      <x:c r="D813" t="s">
        <x:v>2791</x:v>
      </x:c>
      <x:c r="E813" t="s">
        <x:v>2792</x:v>
      </x:c>
      <x:c r="F813" t="s">
        <x:v>1690</x:v>
      </x:c>
    </x:row>
    <x:row r="814">
      <x:c r="A814" t="s">
        <x:v>2793</x:v>
      </x:c>
      <x:c r="B814" t="s">
        <x:v>2794</x:v>
      </x:c>
      <x:c r="C814" t="s">
        <x:v>1969</x:v>
      </x:c>
      <x:c r="D814" t="s">
        <x:v>2795</x:v>
      </x:c>
      <x:c r="E814" t="s">
        <x:v>2796</x:v>
      </x:c>
      <x:c r="F814" t="s">
        <x:v>1690</x:v>
      </x:c>
    </x:row>
    <x:row r="815">
      <x:c r="A815" t="s">
        <x:v>570</x:v>
      </x:c>
      <x:c r="B815" t="s">
        <x:v>2794</x:v>
      </x:c>
      <x:c r="C815" t="s">
        <x:v>1675</x:v>
      </x:c>
      <x:c r="D815" t="s">
        <x:v>2797</x:v>
      </x:c>
      <x:c r="E815" t="s">
        <x:v>574</x:v>
      </x:c>
      <x:c r="F815" t="s">
        <x:v>1690</x:v>
      </x:c>
    </x:row>
    <x:row r="816">
      <x:c r="A816" t="s">
        <x:v>2798</x:v>
      </x:c>
      <x:c r="B816" t="s">
        <x:v>2799</x:v>
      </x:c>
      <x:c r="C816" t="s">
        <x:v>1675</x:v>
      </x:c>
      <x:c r="D816" t="s">
        <x:v>2800</x:v>
      </x:c>
      <x:c r="E816" t="s">
        <x:v>2801</x:v>
      </x:c>
      <x:c r="F816" t="s">
        <x:v>1690</x:v>
      </x:c>
    </x:row>
    <x:row r="817">
      <x:c r="A817" t="s">
        <x:v>2802</x:v>
      </x:c>
      <x:c r="B817" t="s">
        <x:v>2803</x:v>
      </x:c>
      <x:c r="C817" t="s">
        <x:v>2804</x:v>
      </x:c>
      <x:c r="D817" t="s">
        <x:v>2805</x:v>
      </x:c>
      <x:c r="E817" t="s">
        <x:v>2806</x:v>
      </x:c>
      <x:c r="F817" t="s">
        <x:v>1690</x:v>
      </x:c>
    </x:row>
    <x:row r="818">
      <x:c r="A818" t="s">
        <x:v>2807</x:v>
      </x:c>
      <x:c r="B818" t="s">
        <x:v>2808</x:v>
      </x:c>
      <x:c r="C818" t="s">
        <x:v>3616</x:v>
      </x:c>
      <x:c r="D818" t="s">
        <x:v>3617</x:v>
      </x:c>
      <x:c r="E818" t="s">
        <x:v>2811</x:v>
      </x:c>
      <x:c r="F818" t="s">
        <x:v>1690</x:v>
      </x:c>
    </x:row>
    <x:row r="819">
      <x:c r="A819" t="s">
        <x:v>2807</x:v>
      </x:c>
      <x:c r="B819" t="s">
        <x:v>3618</x:v>
      </x:c>
      <x:c r="C819" t="s">
        <x:v>2809</x:v>
      </x:c>
      <x:c r="D819" t="s">
        <x:v>1573</x:v>
      </x:c>
      <x:c r="E819" t="s">
        <x:v>2811</x:v>
      </x:c>
      <x:c r="F819" t="s">
        <x:v>1690</x:v>
      </x:c>
    </x:row>
    <x:row r="820">
      <x:c r="A820" t="s">
        <x:v>2812</x:v>
      </x:c>
      <x:c r="B820" t="s">
        <x:v>2813</x:v>
      </x:c>
      <x:c r="C820" t="s">
        <x:v>3619</x:v>
      </x:c>
      <x:c r="D820" t="s">
        <x:v>1448</x:v>
      </x:c>
      <x:c r="E820" t="s">
        <x:v>2815</x:v>
      </x:c>
      <x:c r="F820" t="s">
        <x:v>1690</x:v>
      </x:c>
    </x:row>
    <x:row r="821">
      <x:c r="A821" t="s">
        <x:v>2812</x:v>
      </x:c>
      <x:c r="B821" t="s">
        <x:v>3620</x:v>
      </x:c>
      <x:c r="C821" t="s">
        <x:v>1744</x:v>
      </x:c>
      <x:c r="D821" t="s">
        <x:v>3621</x:v>
      </x:c>
      <x:c r="E821" t="s">
        <x:v>2815</x:v>
      </x:c>
      <x:c r="F821" t="s">
        <x:v>1690</x:v>
      </x:c>
    </x:row>
    <x:row r="822">
      <x:c r="A822" t="s">
        <x:v>2816</x:v>
      </x:c>
      <x:c r="B822" t="s">
        <x:v>2817</x:v>
      </x:c>
      <x:c r="C822" t="s">
        <x:v>1687</x:v>
      </x:c>
      <x:c r="D822" t="s">
        <x:v>2818</x:v>
      </x:c>
      <x:c r="E822" t="s">
        <x:v>2819</x:v>
      </x:c>
      <x:c r="F822" t="s">
        <x:v>1690</x:v>
      </x:c>
    </x:row>
    <x:row r="823">
      <x:c r="A823" t="s">
        <x:v>1264</x:v>
      </x:c>
      <x:c r="B823" t="s">
        <x:v>2820</x:v>
      </x:c>
      <x:c r="C823" t="s">
        <x:v>1810</x:v>
      </x:c>
      <x:c r="D823" t="s">
        <x:v>2821</x:v>
      </x:c>
      <x:c r="E823" t="s">
        <x:v>1268</x:v>
      </x:c>
      <x:c r="F823" t="s">
        <x:v>1690</x:v>
      </x:c>
    </x:row>
    <x:row r="824">
      <x:c r="A824" t="s">
        <x:v>2822</x:v>
      </x:c>
      <x:c r="B824" t="s">
        <x:v>2823</x:v>
      </x:c>
      <x:c r="C824" t="s">
        <x:v>3622</x:v>
      </x:c>
      <x:c r="D824" t="s">
        <x:v>3623</x:v>
      </x:c>
      <x:c r="E824" t="s">
        <x:v>2826</x:v>
      </x:c>
      <x:c r="F824" t="s">
        <x:v>1690</x:v>
      </x:c>
    </x:row>
    <x:row r="825">
      <x:c r="A825" t="s">
        <x:v>2822</x:v>
      </x:c>
      <x:c r="B825" t="s">
        <x:v>3624</x:v>
      </x:c>
      <x:c r="C825" t="s">
        <x:v>2824</x:v>
      </x:c>
      <x:c r="D825" t="s">
        <x:v>3625</x:v>
      </x:c>
      <x:c r="E825" t="s">
        <x:v>2826</x:v>
      </x:c>
      <x:c r="F825" t="s">
        <x:v>1690</x:v>
      </x:c>
    </x:row>
    <x:row r="826">
      <x:c r="A826" t="s">
        <x:v>2827</x:v>
      </x:c>
      <x:c r="B826" t="s">
        <x:v>2828</x:v>
      </x:c>
      <x:c r="C826" t="s">
        <x:v>2051</x:v>
      </x:c>
      <x:c r="D826" t="s">
        <x:v>2829</x:v>
      </x:c>
      <x:c r="E826" t="s">
        <x:v>2830</x:v>
      </x:c>
      <x:c r="F826" t="s">
        <x:v>1690</x:v>
      </x:c>
    </x:row>
    <x:row r="827">
      <x:c r="A827" t="s">
        <x:v>2831</x:v>
      </x:c>
      <x:c r="B827" t="s">
        <x:v>2832</x:v>
      </x:c>
      <x:c r="C827" t="s">
        <x:v>2046</x:v>
      </x:c>
      <x:c r="D827" t="s">
        <x:v>2833</x:v>
      </x:c>
      <x:c r="E827" t="s">
        <x:v>2834</x:v>
      </x:c>
      <x:c r="F827" t="s">
        <x:v>1690</x:v>
      </x:c>
    </x:row>
    <x:row r="828">
      <x:c r="A828" t="s">
        <x:v>2835</x:v>
      </x:c>
      <x:c r="B828" t="s">
        <x:v>2836</x:v>
      </x:c>
      <x:c r="C828" t="s">
        <x:v>2837</x:v>
      </x:c>
      <x:c r="D828" t="s">
        <x:v>2838</x:v>
      </x:c>
      <x:c r="E828" t="s">
        <x:v>2839</x:v>
      </x:c>
      <x:c r="F828" t="s">
        <x:v>1690</x:v>
      </x:c>
    </x:row>
    <x:row r="829">
      <x:c r="A829" t="s">
        <x:v>2840</x:v>
      </x:c>
      <x:c r="B829" t="s">
        <x:v>2841</x:v>
      </x:c>
      <x:c r="C829" t="s">
        <x:v>3626</x:v>
      </x:c>
      <x:c r="D829" t="s">
        <x:v>3627</x:v>
      </x:c>
      <x:c r="E829" t="s">
        <x:v>2844</x:v>
      </x:c>
      <x:c r="F829" t="s">
        <x:v>1690</x:v>
      </x:c>
    </x:row>
    <x:row r="830">
      <x:c r="A830" t="s">
        <x:v>2840</x:v>
      </x:c>
      <x:c r="B830" t="s">
        <x:v>3628</x:v>
      </x:c>
      <x:c r="C830" t="s">
        <x:v>2842</x:v>
      </x:c>
      <x:c r="D830" t="s">
        <x:v>1388</x:v>
      </x:c>
      <x:c r="E830" t="s">
        <x:v>2844</x:v>
      </x:c>
      <x:c r="F830" t="s">
        <x:v>1690</x:v>
      </x:c>
    </x:row>
    <x:row r="831">
      <x:c r="A831" t="s">
        <x:v>2845</x:v>
      </x:c>
      <x:c r="B831" t="s">
        <x:v>2846</x:v>
      </x:c>
      <x:c r="C831" t="s">
        <x:v>2165</x:v>
      </x:c>
      <x:c r="D831" t="s">
        <x:v>2847</x:v>
      </x:c>
      <x:c r="E831" t="s">
        <x:v>2848</x:v>
      </x:c>
      <x:c r="F831" t="s">
        <x:v>1690</x:v>
      </x:c>
    </x:row>
    <x:row r="832">
      <x:c r="A832" t="s">
        <x:v>2849</x:v>
      </x:c>
      <x:c r="B832" t="s">
        <x:v>2850</x:v>
      </x:c>
      <x:c r="C832" t="s">
        <x:v>3629</x:v>
      </x:c>
      <x:c r="D832" t="s">
        <x:v>3262</x:v>
      </x:c>
      <x:c r="E832" t="s">
        <x:v>2852</x:v>
      </x:c>
      <x:c r="F832" t="s">
        <x:v>1690</x:v>
      </x:c>
    </x:row>
    <x:row r="833">
      <x:c r="A833" t="s">
        <x:v>2849</x:v>
      </x:c>
      <x:c r="B833" t="s">
        <x:v>3630</x:v>
      </x:c>
      <x:c r="C833" t="s">
        <x:v>1851</x:v>
      </x:c>
      <x:c r="D833" t="s">
        <x:v>3631</x:v>
      </x:c>
      <x:c r="E833" t="s">
        <x:v>2852</x:v>
      </x:c>
      <x:c r="F833" t="s">
        <x:v>1690</x:v>
      </x:c>
    </x:row>
    <x:row r="834">
      <x:c r="A834" t="s">
        <x:v>2853</x:v>
      </x:c>
      <x:c r="B834" t="s">
        <x:v>2854</x:v>
      </x:c>
      <x:c r="C834" t="s">
        <x:v>1873</x:v>
      </x:c>
      <x:c r="D834" t="s">
        <x:v>2855</x:v>
      </x:c>
      <x:c r="E834" t="s">
        <x:v>2856</x:v>
      </x:c>
      <x:c r="F834" t="s">
        <x:v>1690</x:v>
      </x:c>
    </x:row>
    <x:row r="835">
      <x:c r="A835" t="s">
        <x:v>1246</x:v>
      </x:c>
      <x:c r="B835" t="s">
        <x:v>2857</x:v>
      </x:c>
      <x:c r="C835" t="s">
        <x:v>2046</x:v>
      </x:c>
      <x:c r="D835" t="s">
        <x:v>2858</x:v>
      </x:c>
      <x:c r="E835" t="s">
        <x:v>1249</x:v>
      </x:c>
      <x:c r="F835" t="s">
        <x:v>1690</x:v>
      </x:c>
    </x:row>
    <x:row r="836">
      <x:c r="A836" t="s">
        <x:v>825</x:v>
      </x:c>
      <x:c r="B836" t="s">
        <x:v>2859</x:v>
      </x:c>
      <x:c r="C836" t="s">
        <x:v>2860</x:v>
      </x:c>
      <x:c r="D836" t="s">
        <x:v>2861</x:v>
      </x:c>
      <x:c r="E836" t="s">
        <x:v>828</x:v>
      </x:c>
      <x:c r="F836" t="s">
        <x:v>1690</x:v>
      </x:c>
    </x:row>
    <x:row r="837">
      <x:c r="A837" t="s">
        <x:v>2862</x:v>
      </x:c>
      <x:c r="B837" t="s">
        <x:v>2863</x:v>
      </x:c>
      <x:c r="C837" t="s">
        <x:v>2864</x:v>
      </x:c>
      <x:c r="D837" t="s">
        <x:v>2865</x:v>
      </x:c>
      <x:c r="E837" t="s">
        <x:v>2866</x:v>
      </x:c>
      <x:c r="F837" t="s">
        <x:v>1690</x:v>
      </x:c>
    </x:row>
    <x:row r="838">
      <x:c r="A838" t="s">
        <x:v>2867</x:v>
      </x:c>
      <x:c r="B838" t="s">
        <x:v>2868</x:v>
      </x:c>
      <x:c r="C838" t="s">
        <x:v>3632</x:v>
      </x:c>
      <x:c r="D838" t="s">
        <x:v>125</x:v>
      </x:c>
      <x:c r="E838" t="s">
        <x:v>2871</x:v>
      </x:c>
      <x:c r="F838" t="s">
        <x:v>1690</x:v>
      </x:c>
    </x:row>
    <x:row r="839">
      <x:c r="A839" t="s">
        <x:v>2867</x:v>
      </x:c>
      <x:c r="B839" t="s">
        <x:v>3633</x:v>
      </x:c>
      <x:c r="C839" t="s">
        <x:v>2869</x:v>
      </x:c>
      <x:c r="D839" t="s">
        <x:v>1193</x:v>
      </x:c>
      <x:c r="E839" t="s">
        <x:v>2871</x:v>
      </x:c>
      <x:c r="F839" t="s">
        <x:v>1690</x:v>
      </x:c>
    </x:row>
    <x:row r="840">
      <x:c r="A840" t="s">
        <x:v>2872</x:v>
      </x:c>
      <x:c r="B840" t="s">
        <x:v>2873</x:v>
      </x:c>
      <x:c r="C840" t="s">
        <x:v>3634</x:v>
      </x:c>
      <x:c r="D840" t="s">
        <x:v>3635</x:v>
      </x:c>
      <x:c r="E840" t="s">
        <x:v>2875</x:v>
      </x:c>
      <x:c r="F840" t="s">
        <x:v>1690</x:v>
      </x:c>
    </x:row>
    <x:row r="841">
      <x:c r="A841" t="s">
        <x:v>2872</x:v>
      </x:c>
      <x:c r="B841" t="s">
        <x:v>3636</x:v>
      </x:c>
      <x:c r="C841" t="s">
        <x:v>1998</x:v>
      </x:c>
      <x:c r="D841" t="s">
        <x:v>3637</x:v>
      </x:c>
      <x:c r="E841" t="s">
        <x:v>2875</x:v>
      </x:c>
      <x:c r="F841" t="s">
        <x:v>1690</x:v>
      </x:c>
    </x:row>
    <x:row r="842">
      <x:c r="A842" t="s">
        <x:v>2876</x:v>
      </x:c>
      <x:c r="B842" t="s">
        <x:v>2877</x:v>
      </x:c>
      <x:c r="C842" t="s">
        <x:v>2878</x:v>
      </x:c>
      <x:c r="D842" t="s">
        <x:v>2879</x:v>
      </x:c>
      <x:c r="E842" t="s">
        <x:v>2880</x:v>
      </x:c>
      <x:c r="F842" t="s">
        <x:v>1690</x:v>
      </x:c>
    </x:row>
    <x:row r="843">
      <x:c r="A843" t="s">
        <x:v>2881</x:v>
      </x:c>
      <x:c r="B843" t="s">
        <x:v>2882</x:v>
      </x:c>
      <x:c r="C843" t="s">
        <x:v>3638</x:v>
      </x:c>
      <x:c r="D843" t="s">
        <x:v>3639</x:v>
      </x:c>
      <x:c r="E843" t="s">
        <x:v>2884</x:v>
      </x:c>
      <x:c r="F843" t="s">
        <x:v>1690</x:v>
      </x:c>
    </x:row>
    <x:row r="844">
      <x:c r="A844" t="s">
        <x:v>2881</x:v>
      </x:c>
      <x:c r="B844" t="s">
        <x:v>3640</x:v>
      </x:c>
      <x:c r="C844" t="s">
        <x:v>2107</x:v>
      </x:c>
      <x:c r="D844" t="s">
        <x:v>3641</x:v>
      </x:c>
      <x:c r="E844" t="s">
        <x:v>2884</x:v>
      </x:c>
      <x:c r="F844" t="s">
        <x:v>1690</x:v>
      </x:c>
    </x:row>
    <x:row r="845">
      <x:c r="A845" t="s">
        <x:v>2885</x:v>
      </x:c>
      <x:c r="B845" t="s">
        <x:v>2886</x:v>
      </x:c>
      <x:c r="C845" t="s">
        <x:v>2651</x:v>
      </x:c>
      <x:c r="D845" t="s">
        <x:v>1129</x:v>
      </x:c>
      <x:c r="E845" t="s">
        <x:v>2887</x:v>
      </x:c>
      <x:c r="F845" t="s">
        <x:v>1690</x:v>
      </x:c>
    </x:row>
    <x:row r="846">
      <x:c r="A846" t="s">
        <x:v>2888</x:v>
      </x:c>
      <x:c r="B846" t="s">
        <x:v>2889</x:v>
      </x:c>
      <x:c r="C846" t="s">
        <x:v>3642</x:v>
      </x:c>
      <x:c r="D846" t="s">
        <x:v>3643</x:v>
      </x:c>
      <x:c r="E846" t="s">
        <x:v>2892</x:v>
      </x:c>
      <x:c r="F846" t="s">
        <x:v>1690</x:v>
      </x:c>
    </x:row>
    <x:row r="847">
      <x:c r="A847" t="s">
        <x:v>2888</x:v>
      </x:c>
      <x:c r="B847" t="s">
        <x:v>3644</x:v>
      </x:c>
      <x:c r="C847" t="s">
        <x:v>1837</x:v>
      </x:c>
      <x:c r="D847" t="s">
        <x:v>3645</x:v>
      </x:c>
      <x:c r="E847" t="s">
        <x:v>2892</x:v>
      </x:c>
      <x:c r="F847" t="s">
        <x:v>1690</x:v>
      </x:c>
    </x:row>
    <x:row r="848">
      <x:c r="A848" t="s">
        <x:v>2888</x:v>
      </x:c>
      <x:c r="B848" t="s">
        <x:v>3646</x:v>
      </x:c>
      <x:c r="C848" t="s">
        <x:v>2890</x:v>
      </x:c>
      <x:c r="D848" t="s">
        <x:v>3464</x:v>
      </x:c>
      <x:c r="E848" t="s">
        <x:v>2892</x:v>
      </x:c>
      <x:c r="F848" t="s">
        <x:v>1690</x:v>
      </x:c>
    </x:row>
    <x:row r="849">
      <x:c r="A849" t="s">
        <x:v>2893</x:v>
      </x:c>
      <x:c r="B849" t="s">
        <x:v>2889</x:v>
      </x:c>
      <x:c r="C849" t="s">
        <x:v>2015</x:v>
      </x:c>
      <x:c r="D849" t="s">
        <x:v>2894</x:v>
      </x:c>
      <x:c r="E849" t="s">
        <x:v>2895</x:v>
      </x:c>
      <x:c r="F849" t="s">
        <x:v>1690</x:v>
      </x:c>
    </x:row>
    <x:row r="850">
      <x:c r="A850" t="s">
        <x:v>2896</x:v>
      </x:c>
      <x:c r="B850" t="s">
        <x:v>2897</x:v>
      </x:c>
      <x:c r="C850" t="s">
        <x:v>2898</x:v>
      </x:c>
      <x:c r="D850" t="s">
        <x:v>2899</x:v>
      </x:c>
      <x:c r="E850" t="s">
        <x:v>2900</x:v>
      </x:c>
      <x:c r="F850" t="s">
        <x:v>1690</x:v>
      </x:c>
    </x:row>
    <x:row r="851">
      <x:c r="A851" t="s">
        <x:v>1095</x:v>
      </x:c>
      <x:c r="B851" t="s">
        <x:v>2901</x:v>
      </x:c>
      <x:c r="C851" t="s">
        <x:v>2902</x:v>
      </x:c>
      <x:c r="D851" t="s">
        <x:v>2903</x:v>
      </x:c>
      <x:c r="E851" t="s">
        <x:v>1098</x:v>
      </x:c>
      <x:c r="F851" t="s">
        <x:v>1690</x:v>
      </x:c>
    </x:row>
    <x:row r="852">
      <x:c r="A852" t="s">
        <x:v>2904</x:v>
      </x:c>
      <x:c r="B852" t="s">
        <x:v>2905</x:v>
      </x:c>
      <x:c r="C852" t="s">
        <x:v>2906</x:v>
      </x:c>
      <x:c r="D852" t="s">
        <x:v>2907</x:v>
      </x:c>
      <x:c r="E852" t="s">
        <x:v>2908</x:v>
      </x:c>
      <x:c r="F852" t="s">
        <x:v>1690</x:v>
      </x:c>
    </x:row>
    <x:row r="853">
      <x:c r="A853" t="s">
        <x:v>2909</x:v>
      </x:c>
      <x:c r="B853" t="s">
        <x:v>2910</x:v>
      </x:c>
      <x:c r="C853" t="s">
        <x:v>3647</x:v>
      </x:c>
      <x:c r="D853" t="s">
        <x:v>3648</x:v>
      </x:c>
      <x:c r="E853" t="s">
        <x:v>2913</x:v>
      </x:c>
      <x:c r="F853" t="s">
        <x:v>1690</x:v>
      </x:c>
    </x:row>
    <x:row r="854">
      <x:c r="A854" t="s">
        <x:v>2909</x:v>
      </x:c>
      <x:c r="B854" t="s">
        <x:v>3649</x:v>
      </x:c>
      <x:c r="C854" t="s">
        <x:v>2911</x:v>
      </x:c>
      <x:c r="D854" t="s">
        <x:v>3650</x:v>
      </x:c>
      <x:c r="E854" t="s">
        <x:v>2913</x:v>
      </x:c>
      <x:c r="F854" t="s">
        <x:v>1690</x:v>
      </x:c>
    </x:row>
    <x:row r="855">
      <x:c r="A855" t="s">
        <x:v>2914</x:v>
      </x:c>
      <x:c r="B855" t="s">
        <x:v>2915</x:v>
      </x:c>
      <x:c r="C855" t="s">
        <x:v>2005</x:v>
      </x:c>
      <x:c r="D855" t="s">
        <x:v>2916</x:v>
      </x:c>
      <x:c r="E855" t="s">
        <x:v>2917</x:v>
      </x:c>
      <x:c r="F855" t="s">
        <x:v>1690</x:v>
      </x:c>
    </x:row>
    <x:row r="856">
      <x:c r="A856" t="s">
        <x:v>2918</x:v>
      </x:c>
      <x:c r="B856" t="s">
        <x:v>2919</x:v>
      </x:c>
      <x:c r="C856" t="s">
        <x:v>2920</x:v>
      </x:c>
      <x:c r="D856" t="s">
        <x:v>2921</x:v>
      </x:c>
      <x:c r="E856" t="s">
        <x:v>2922</x:v>
      </x:c>
      <x:c r="F856" t="s">
        <x:v>1690</x:v>
      </x:c>
    </x:row>
    <x:row r="857">
      <x:c r="A857" t="s">
        <x:v>2923</x:v>
      </x:c>
      <x:c r="B857" t="s">
        <x:v>2924</x:v>
      </x:c>
      <x:c r="C857" t="s">
        <x:v>1873</x:v>
      </x:c>
      <x:c r="D857" t="s">
        <x:v>2925</x:v>
      </x:c>
      <x:c r="E857" t="s">
        <x:v>2926</x:v>
      </x:c>
      <x:c r="F857" t="s">
        <x:v>1690</x:v>
      </x:c>
    </x:row>
    <x:row r="858">
      <x:c r="A858" t="s">
        <x:v>2927</x:v>
      </x:c>
      <x:c r="B858" t="s">
        <x:v>2928</x:v>
      </x:c>
      <x:c r="C858" t="s">
        <x:v>2929</x:v>
      </x:c>
      <x:c r="D858" t="s">
        <x:v>2930</x:v>
      </x:c>
      <x:c r="E858" t="s">
        <x:v>2931</x:v>
      </x:c>
      <x:c r="F858" t="s">
        <x:v>1690</x:v>
      </x:c>
    </x:row>
    <x:row r="859">
      <x:c r="A859" t="s">
        <x:v>2932</x:v>
      </x:c>
      <x:c r="B859" t="s">
        <x:v>2933</x:v>
      </x:c>
      <x:c r="C859" t="s">
        <x:v>2123</x:v>
      </x:c>
      <x:c r="D859" t="s">
        <x:v>2925</x:v>
      </x:c>
      <x:c r="E859" t="s">
        <x:v>2934</x:v>
      </x:c>
      <x:c r="F859" t="s">
        <x:v>1690</x:v>
      </x:c>
    </x:row>
    <x:row r="860">
      <x:c r="A860" t="s">
        <x:v>2935</x:v>
      </x:c>
      <x:c r="B860" t="s">
        <x:v>2936</x:v>
      </x:c>
      <x:c r="C860" t="s">
        <x:v>2937</x:v>
      </x:c>
      <x:c r="D860" t="s">
        <x:v>2938</x:v>
      </x:c>
      <x:c r="E860" t="s">
        <x:v>2939</x:v>
      </x:c>
      <x:c r="F860" t="s">
        <x:v>1690</x:v>
      </x:c>
    </x:row>
    <x:row r="861">
      <x:c r="A861" t="s">
        <x:v>2940</x:v>
      </x:c>
      <x:c r="B861" t="s">
        <x:v>2941</x:v>
      </x:c>
      <x:c r="C861" t="s">
        <x:v>3651</x:v>
      </x:c>
      <x:c r="D861" t="s">
        <x:v>3652</x:v>
      </x:c>
      <x:c r="E861" t="s">
        <x:v>2944</x:v>
      </x:c>
      <x:c r="F861" t="s">
        <x:v>1690</x:v>
      </x:c>
    </x:row>
    <x:row r="862">
      <x:c r="A862" t="s">
        <x:v>2940</x:v>
      </x:c>
      <x:c r="B862" t="s">
        <x:v>3653</x:v>
      </x:c>
      <x:c r="C862" t="s">
        <x:v>2942</x:v>
      </x:c>
      <x:c r="D862" t="s">
        <x:v>3654</x:v>
      </x:c>
      <x:c r="E862" t="s">
        <x:v>2944</x:v>
      </x:c>
      <x:c r="F862" t="s">
        <x:v>1690</x:v>
      </x:c>
    </x:row>
    <x:row r="863">
      <x:c r="A863" t="s">
        <x:v>2945</x:v>
      </x:c>
      <x:c r="B863" t="s">
        <x:v>2946</x:v>
      </x:c>
      <x:c r="C863" t="s">
        <x:v>2947</x:v>
      </x:c>
      <x:c r="D863" t="s">
        <x:v>2948</x:v>
      </x:c>
      <x:c r="E863" t="s">
        <x:v>2949</x:v>
      </x:c>
      <x:c r="F863" t="s">
        <x:v>1690</x:v>
      </x:c>
    </x:row>
    <x:row r="864">
      <x:c r="A864" t="s">
        <x:v>2950</x:v>
      </x:c>
      <x:c r="B864" t="s">
        <x:v>2951</x:v>
      </x:c>
      <x:c r="C864" t="s">
        <x:v>2636</x:v>
      </x:c>
      <x:c r="D864" t="s">
        <x:v>2952</x:v>
      </x:c>
      <x:c r="E864" t="s">
        <x:v>2953</x:v>
      </x:c>
      <x:c r="F864" t="s">
        <x:v>1690</x:v>
      </x:c>
    </x:row>
    <x:row r="865">
      <x:c r="A865" t="s">
        <x:v>2954</x:v>
      </x:c>
      <x:c r="B865" t="s">
        <x:v>2951</x:v>
      </x:c>
      <x:c r="C865" t="s">
        <x:v>1777</x:v>
      </x:c>
      <x:c r="D865" t="s">
        <x:v>2955</x:v>
      </x:c>
      <x:c r="E865" t="s">
        <x:v>2956</x:v>
      </x:c>
      <x:c r="F865" t="s">
        <x:v>1690</x:v>
      </x:c>
    </x:row>
    <x:row r="866">
      <x:c r="A866" t="s">
        <x:v>2957</x:v>
      </x:c>
      <x:c r="B866" t="s">
        <x:v>2958</x:v>
      </x:c>
      <x:c r="C866" t="s">
        <x:v>3148</x:v>
      </x:c>
      <x:c r="D866" t="s">
        <x:v>3655</x:v>
      </x:c>
      <x:c r="E866" t="s">
        <x:v>2961</x:v>
      </x:c>
      <x:c r="F866" t="s">
        <x:v>1690</x:v>
      </x:c>
    </x:row>
    <x:row r="867">
      <x:c r="A867" t="s">
        <x:v>2957</x:v>
      </x:c>
      <x:c r="B867" t="s">
        <x:v>3656</x:v>
      </x:c>
      <x:c r="C867" t="s">
        <x:v>2959</x:v>
      </x:c>
      <x:c r="D867" t="s">
        <x:v>3657</x:v>
      </x:c>
      <x:c r="E867" t="s">
        <x:v>2961</x:v>
      </x:c>
      <x:c r="F867" t="s">
        <x:v>1690</x:v>
      </x:c>
    </x:row>
    <x:row r="868">
      <x:c r="A868" t="s">
        <x:v>2962</x:v>
      </x:c>
      <x:c r="B868" t="s">
        <x:v>2963</x:v>
      </x:c>
      <x:c r="C868" t="s">
        <x:v>2723</x:v>
      </x:c>
      <x:c r="D868" t="s">
        <x:v>2964</x:v>
      </x:c>
      <x:c r="E868" t="s">
        <x:v>2965</x:v>
      </x:c>
      <x:c r="F868" t="s">
        <x:v>1690</x:v>
      </x:c>
    </x:row>
    <x:row r="869">
      <x:c r="A869" t="s">
        <x:v>2966</x:v>
      </x:c>
      <x:c r="B869" t="s">
        <x:v>2967</x:v>
      </x:c>
      <x:c r="C869" t="s">
        <x:v>2968</x:v>
      </x:c>
      <x:c r="D869" t="s">
        <x:v>2969</x:v>
      </x:c>
      <x:c r="E869" t="s">
        <x:v>2970</x:v>
      </x:c>
      <x:c r="F869" t="s">
        <x:v>1690</x:v>
      </x:c>
    </x:row>
    <x:row r="870">
      <x:c r="A870" t="s">
        <x:v>2971</x:v>
      </x:c>
      <x:c r="B870" t="s">
        <x:v>2972</x:v>
      </x:c>
      <x:c r="C870" t="s">
        <x:v>1802</x:v>
      </x:c>
      <x:c r="D870" t="s">
        <x:v>2973</x:v>
      </x:c>
      <x:c r="E870" t="s">
        <x:v>2974</x:v>
      </x:c>
      <x:c r="F870" t="s">
        <x:v>1690</x:v>
      </x:c>
    </x:row>
    <x:row r="871">
      <x:c r="A871" t="s">
        <x:v>342</x:v>
      </x:c>
      <x:c r="B871" t="s">
        <x:v>2975</x:v>
      </x:c>
      <x:c r="C871" t="s">
        <x:v>1851</x:v>
      </x:c>
      <x:c r="D871" t="s">
        <x:v>2976</x:v>
      </x:c>
      <x:c r="E871" t="s">
        <x:v>346</x:v>
      </x:c>
      <x:c r="F871" t="s">
        <x:v>1690</x:v>
      </x:c>
    </x:row>
    <x:row r="872">
      <x:c r="A872" t="s">
        <x:v>2977</x:v>
      </x:c>
      <x:c r="B872" t="s">
        <x:v>2978</x:v>
      </x:c>
      <x:c r="C872" t="s">
        <x:v>1902</x:v>
      </x:c>
      <x:c r="D872" t="s">
        <x:v>2979</x:v>
      </x:c>
      <x:c r="E872" t="s">
        <x:v>2980</x:v>
      </x:c>
      <x:c r="F872" t="s">
        <x:v>1690</x:v>
      </x:c>
    </x:row>
    <x:row r="873">
      <x:c r="A873" t="s">
        <x:v>1053</x:v>
      </x:c>
      <x:c r="B873" t="s">
        <x:v>2981</x:v>
      </x:c>
      <x:c r="C873" t="s">
        <x:v>1873</x:v>
      </x:c>
      <x:c r="D873" t="s">
        <x:v>3658</x:v>
      </x:c>
      <x:c r="E873" t="s">
        <x:v>1057</x:v>
      </x:c>
      <x:c r="F873" t="s">
        <x:v>1690</x:v>
      </x:c>
    </x:row>
    <x:row r="874">
      <x:c r="A874" t="s">
        <x:v>1053</x:v>
      </x:c>
      <x:c r="B874" t="s">
        <x:v>3659</x:v>
      </x:c>
      <x:c r="C874" t="s">
        <x:v>2982</x:v>
      </x:c>
      <x:c r="D874" t="s">
        <x:v>3455</x:v>
      </x:c>
      <x:c r="E874" t="s">
        <x:v>1057</x:v>
      </x:c>
      <x:c r="F874" t="s">
        <x:v>1690</x:v>
      </x:c>
    </x:row>
    <x:row r="875">
      <x:c r="A875" t="s">
        <x:v>2984</x:v>
      </x:c>
      <x:c r="B875" t="s">
        <x:v>2985</x:v>
      </x:c>
      <x:c r="C875" t="s">
        <x:v>2986</x:v>
      </x:c>
      <x:c r="D875" t="s">
        <x:v>2987</x:v>
      </x:c>
      <x:c r="E875" t="s">
        <x:v>2988</x:v>
      </x:c>
      <x:c r="F875" t="s">
        <x:v>1690</x:v>
      </x:c>
    </x:row>
    <x:row r="876">
      <x:c r="A876" t="s">
        <x:v>2989</x:v>
      </x:c>
      <x:c r="B876" t="s">
        <x:v>2990</x:v>
      </x:c>
      <x:c r="C876" t="s">
        <x:v>2991</x:v>
      </x:c>
      <x:c r="D876" t="s">
        <x:v>2992</x:v>
      </x:c>
      <x:c r="E876" t="s">
        <x:v>2993</x:v>
      </x:c>
      <x:c r="F876" t="s">
        <x:v>1690</x:v>
      </x:c>
    </x:row>
    <x:row r="877">
      <x:c r="A877" t="s">
        <x:v>2994</x:v>
      </x:c>
      <x:c r="B877" t="s">
        <x:v>2995</x:v>
      </x:c>
      <x:c r="C877" t="s">
        <x:v>1894</x:v>
      </x:c>
      <x:c r="D877" t="s">
        <x:v>2996</x:v>
      </x:c>
      <x:c r="E877" t="s">
        <x:v>2997</x:v>
      </x:c>
      <x:c r="F877" t="s">
        <x:v>1690</x:v>
      </x:c>
    </x:row>
    <x:row r="878">
      <x:c r="A878" t="s">
        <x:v>1104</x:v>
      </x:c>
      <x:c r="B878" t="s">
        <x:v>2998</x:v>
      </x:c>
      <x:c r="C878" t="s">
        <x:v>2999</x:v>
      </x:c>
      <x:c r="D878" t="s">
        <x:v>3000</x:v>
      </x:c>
      <x:c r="E878" t="s">
        <x:v>1108</x:v>
      </x:c>
      <x:c r="F878" t="s">
        <x:v>1690</x:v>
      </x:c>
    </x:row>
    <x:row r="879">
      <x:c r="A879" t="s">
        <x:v>322</x:v>
      </x:c>
      <x:c r="B879" t="s">
        <x:v>3001</x:v>
      </x:c>
      <x:c r="C879" t="s">
        <x:v>3002</x:v>
      </x:c>
      <x:c r="D879" t="s">
        <x:v>3003</x:v>
      </x:c>
      <x:c r="E879" t="s">
        <x:v>326</x:v>
      </x:c>
      <x:c r="F879" t="s">
        <x:v>1690</x:v>
      </x:c>
    </x:row>
    <x:row r="880">
      <x:c r="A880" t="s">
        <x:v>3004</x:v>
      </x:c>
      <x:c r="B880" t="s">
        <x:v>3005</x:v>
      </x:c>
      <x:c r="C880" t="s">
        <x:v>3660</x:v>
      </x:c>
      <x:c r="D880" t="s">
        <x:v>3661</x:v>
      </x:c>
      <x:c r="E880" t="s">
        <x:v>3008</x:v>
      </x:c>
      <x:c r="F880" t="s">
        <x:v>1690</x:v>
      </x:c>
    </x:row>
    <x:row r="881">
      <x:c r="A881" t="s">
        <x:v>3004</x:v>
      </x:c>
      <x:c r="B881" t="s">
        <x:v>3662</x:v>
      </x:c>
      <x:c r="C881" t="s">
        <x:v>3006</x:v>
      </x:c>
      <x:c r="D881" t="s">
        <x:v>3663</x:v>
      </x:c>
      <x:c r="E881" t="s">
        <x:v>3008</x:v>
      </x:c>
      <x:c r="F881" t="s">
        <x:v>1690</x:v>
      </x:c>
    </x:row>
    <x:row r="882">
      <x:c r="A882" t="s">
        <x:v>3009</x:v>
      </x:c>
      <x:c r="B882" t="s">
        <x:v>3010</x:v>
      </x:c>
      <x:c r="C882" t="s">
        <x:v>3011</x:v>
      </x:c>
      <x:c r="D882" t="s">
        <x:v>3012</x:v>
      </x:c>
      <x:c r="E882" t="s">
        <x:v>3013</x:v>
      </x:c>
      <x:c r="F882" t="s">
        <x:v>1690</x:v>
      </x:c>
    </x:row>
    <x:row r="883">
      <x:c r="A883" t="s">
        <x:v>158</x:v>
      </x:c>
      <x:c r="B883" t="s">
        <x:v>3014</x:v>
      </x:c>
      <x:c r="C883" t="s">
        <x:v>1748</x:v>
      </x:c>
      <x:c r="D883" t="s">
        <x:v>3015</x:v>
      </x:c>
      <x:c r="E883" t="s">
        <x:v>162</x:v>
      </x:c>
      <x:c r="F883" t="s">
        <x:v>1690</x:v>
      </x:c>
    </x:row>
    <x:row r="884">
      <x:c r="A884" t="s">
        <x:v>3016</x:v>
      </x:c>
      <x:c r="B884" t="s">
        <x:v>3017</x:v>
      </x:c>
      <x:c r="C884" t="s">
        <x:v>3664</x:v>
      </x:c>
      <x:c r="D884" t="s">
        <x:v>3665</x:v>
      </x:c>
      <x:c r="E884" t="s">
        <x:v>3019</x:v>
      </x:c>
      <x:c r="F884" t="s">
        <x:v>1690</x:v>
      </x:c>
    </x:row>
    <x:row r="885">
      <x:c r="A885" t="s">
        <x:v>3016</x:v>
      </x:c>
      <x:c r="B885" t="s">
        <x:v>3666</x:v>
      </x:c>
      <x:c r="C885" t="s">
        <x:v>2631</x:v>
      </x:c>
      <x:c r="D885" t="s">
        <x:v>3667</x:v>
      </x:c>
      <x:c r="E885" t="s">
        <x:v>3019</x:v>
      </x:c>
      <x:c r="F885" t="s">
        <x:v>1690</x:v>
      </x:c>
    </x:row>
    <x:row r="886">
      <x:c r="A886" t="s">
        <x:v>3020</x:v>
      </x:c>
      <x:c r="B886" t="s">
        <x:v>3021</x:v>
      </x:c>
      <x:c r="C886" t="s">
        <x:v>2180</x:v>
      </x:c>
      <x:c r="D886" t="s">
        <x:v>3022</x:v>
      </x:c>
      <x:c r="E886" t="s">
        <x:v>3023</x:v>
      </x:c>
      <x:c r="F886" t="s">
        <x:v>1690</x:v>
      </x:c>
    </x:row>
    <x:row r="887">
      <x:c r="A887" t="s">
        <x:v>3024</x:v>
      </x:c>
      <x:c r="B887" t="s">
        <x:v>3025</x:v>
      </x:c>
      <x:c r="C887" t="s">
        <x:v>1675</x:v>
      </x:c>
      <x:c r="D887" t="s">
        <x:v>3026</x:v>
      </x:c>
      <x:c r="E887" t="s">
        <x:v>3027</x:v>
      </x:c>
      <x:c r="F887" t="s">
        <x:v>1690</x:v>
      </x:c>
    </x:row>
    <x:row r="888">
      <x:c r="A888" t="s">
        <x:v>3028</x:v>
      </x:c>
      <x:c r="B888" t="s">
        <x:v>3029</x:v>
      </x:c>
      <x:c r="C888" t="s">
        <x:v>1670</x:v>
      </x:c>
      <x:c r="D888" t="s">
        <x:v>3030</x:v>
      </x:c>
      <x:c r="E888" t="s">
        <x:v>3031</x:v>
      </x:c>
      <x:c r="F888" t="s">
        <x:v>1690</x:v>
      </x:c>
    </x:row>
    <x:row r="889">
      <x:c r="A889" t="s">
        <x:v>3032</x:v>
      </x:c>
      <x:c r="B889" t="s">
        <x:v>3033</x:v>
      </x:c>
      <x:c r="C889" t="s">
        <x:v>3668</x:v>
      </x:c>
      <x:c r="D889" t="s">
        <x:v>3669</x:v>
      </x:c>
      <x:c r="E889" t="s">
        <x:v>3036</x:v>
      </x:c>
      <x:c r="F889" t="s">
        <x:v>1690</x:v>
      </x:c>
    </x:row>
    <x:row r="890">
      <x:c r="A890" t="s">
        <x:v>3032</x:v>
      </x:c>
      <x:c r="B890" t="s">
        <x:v>3670</x:v>
      </x:c>
      <x:c r="C890" t="s">
        <x:v>3671</x:v>
      </x:c>
      <x:c r="D890" t="s">
        <x:v>3672</x:v>
      </x:c>
      <x:c r="E890" t="s">
        <x:v>3036</x:v>
      </x:c>
      <x:c r="F890" t="s">
        <x:v>1690</x:v>
      </x:c>
    </x:row>
    <x:row r="891">
      <x:c r="A891" t="s">
        <x:v>3032</x:v>
      </x:c>
      <x:c r="B891" t="s">
        <x:v>3673</x:v>
      </x:c>
      <x:c r="C891" t="s">
        <x:v>3034</x:v>
      </x:c>
      <x:c r="D891" t="s">
        <x:v>1573</x:v>
      </x:c>
      <x:c r="E891" t="s">
        <x:v>3036</x:v>
      </x:c>
      <x:c r="F891" t="s">
        <x:v>1690</x:v>
      </x:c>
    </x:row>
    <x:row r="892">
      <x:c r="A892" t="s">
        <x:v>149</x:v>
      </x:c>
      <x:c r="B892" t="s">
        <x:v>3037</x:v>
      </x:c>
      <x:c r="C892" t="s">
        <x:v>1902</x:v>
      </x:c>
      <x:c r="D892" t="s">
        <x:v>3038</x:v>
      </x:c>
      <x:c r="E892" t="s">
        <x:v>152</x:v>
      </x:c>
      <x:c r="F892" t="s">
        <x:v>1690</x:v>
      </x:c>
    </x:row>
    <x:row r="893">
      <x:c r="A893" t="s">
        <x:v>3039</x:v>
      </x:c>
      <x:c r="B893" t="s">
        <x:v>3040</x:v>
      </x:c>
      <x:c r="C893" t="s">
        <x:v>3674</x:v>
      </x:c>
      <x:c r="D893" t="s">
        <x:v>3675</x:v>
      </x:c>
      <x:c r="E893" t="s">
        <x:v>3042</x:v>
      </x:c>
      <x:c r="F893" t="s">
        <x:v>1690</x:v>
      </x:c>
    </x:row>
    <x:row r="894">
      <x:c r="A894" t="s">
        <x:v>3039</x:v>
      </x:c>
      <x:c r="B894" t="s">
        <x:v>3676</x:v>
      </x:c>
      <x:c r="C894" t="s">
        <x:v>1675</x:v>
      </x:c>
      <x:c r="D894" t="s">
        <x:v>3677</x:v>
      </x:c>
      <x:c r="E894" t="s">
        <x:v>3042</x:v>
      </x:c>
      <x:c r="F894" t="s">
        <x:v>1690</x:v>
      </x:c>
    </x:row>
    <x:row r="895">
      <x:c r="A895" t="s">
        <x:v>3043</x:v>
      </x:c>
      <x:c r="B895" t="s">
        <x:v>3044</x:v>
      </x:c>
      <x:c r="C895" t="s">
        <x:v>3045</x:v>
      </x:c>
      <x:c r="D895" t="s">
        <x:v>3046</x:v>
      </x:c>
      <x:c r="E895" t="s">
        <x:v>3047</x:v>
      </x:c>
      <x:c r="F895" t="s">
        <x:v>1690</x:v>
      </x:c>
    </x:row>
    <x:row r="896">
      <x:c r="A896" t="s">
        <x:v>794</x:v>
      </x:c>
      <x:c r="B896" t="s">
        <x:v>3048</x:v>
      </x:c>
      <x:c r="C896" t="s">
        <x:v>3678</x:v>
      </x:c>
      <x:c r="D896" t="s">
        <x:v>3679</x:v>
      </x:c>
      <x:c r="E896" t="s">
        <x:v>797</x:v>
      </x:c>
      <x:c r="F896" t="s">
        <x:v>1690</x:v>
      </x:c>
    </x:row>
    <x:row r="897">
      <x:c r="A897" t="s">
        <x:v>794</x:v>
      </x:c>
      <x:c r="B897" t="s">
        <x:v>3680</x:v>
      </x:c>
      <x:c r="C897" t="s">
        <x:v>2005</x:v>
      </x:c>
      <x:c r="D897" t="s">
        <x:v>3681</x:v>
      </x:c>
      <x:c r="E897" t="s">
        <x:v>797</x:v>
      </x:c>
      <x:c r="F897" t="s">
        <x:v>1690</x:v>
      </x:c>
    </x:row>
    <x:row r="898">
      <x:c r="A898" t="s">
        <x:v>3050</x:v>
      </x:c>
      <x:c r="B898" t="s">
        <x:v>3051</x:v>
      </x:c>
      <x:c r="C898" t="s">
        <x:v>1837</x:v>
      </x:c>
      <x:c r="D898" t="s">
        <x:v>3052</x:v>
      </x:c>
      <x:c r="E898" t="s">
        <x:v>3053</x:v>
      </x:c>
      <x:c r="F898" t="s">
        <x:v>1690</x:v>
      </x:c>
    </x:row>
    <x:row r="899">
      <x:c r="A899" t="s">
        <x:v>424</x:v>
      </x:c>
      <x:c r="B899" t="s">
        <x:v>3054</x:v>
      </x:c>
      <x:c r="C899" t="s">
        <x:v>3682</x:v>
      </x:c>
      <x:c r="D899" t="s">
        <x:v>3683</x:v>
      </x:c>
      <x:c r="E899" t="s">
        <x:v>428</x:v>
      </x:c>
      <x:c r="F899" t="s">
        <x:v>1690</x:v>
      </x:c>
    </x:row>
    <x:row r="900">
      <x:c r="A900" t="s">
        <x:v>424</x:v>
      </x:c>
      <x:c r="B900" t="s">
        <x:v>3684</x:v>
      </x:c>
      <x:c r="C900" t="s">
        <x:v>3685</x:v>
      </x:c>
      <x:c r="D900" t="s">
        <x:v>3686</x:v>
      </x:c>
      <x:c r="E900" t="s">
        <x:v>428</x:v>
      </x:c>
      <x:c r="F900" t="s">
        <x:v>1690</x:v>
      </x:c>
    </x:row>
    <x:row r="901">
      <x:c r="A901" t="s">
        <x:v>424</x:v>
      </x:c>
      <x:c r="B901" t="s">
        <x:v>3687</x:v>
      </x:c>
      <x:c r="C901" t="s">
        <x:v>3055</x:v>
      </x:c>
      <x:c r="D901" t="s">
        <x:v>3688</x:v>
      </x:c>
      <x:c r="E901" t="s">
        <x:v>428</x:v>
      </x:c>
      <x:c r="F901" t="s">
        <x:v>1690</x:v>
      </x:c>
    </x:row>
    <x:row r="902">
      <x:c r="A902" t="s">
        <x:v>3057</x:v>
      </x:c>
      <x:c r="B902" t="s">
        <x:v>3058</x:v>
      </x:c>
      <x:c r="C902" t="s">
        <x:v>1683</x:v>
      </x:c>
      <x:c r="D902" t="s">
        <x:v>3059</x:v>
      </x:c>
      <x:c r="E902" t="s">
        <x:v>3060</x:v>
      </x:c>
      <x:c r="F902" t="s">
        <x:v>1690</x:v>
      </x:c>
    </x:row>
    <x:row r="903">
      <x:c r="A903" t="s">
        <x:v>3061</x:v>
      </x:c>
      <x:c r="B903" t="s">
        <x:v>3062</x:v>
      </x:c>
      <x:c r="C903" t="s">
        <x:v>3063</x:v>
      </x:c>
      <x:c r="D903" t="s">
        <x:v>3064</x:v>
      </x:c>
      <x:c r="E903" t="s">
        <x:v>3065</x:v>
      </x:c>
      <x:c r="F903" t="s">
        <x:v>1690</x:v>
      </x:c>
    </x:row>
    <x:row r="904">
      <x:c r="A904" t="s">
        <x:v>3066</x:v>
      </x:c>
      <x:c r="B904" t="s">
        <x:v>3067</x:v>
      </x:c>
      <x:c r="C904" t="s">
        <x:v>3689</x:v>
      </x:c>
      <x:c r="D904" t="s">
        <x:v>3690</x:v>
      </x:c>
      <x:c r="E904" t="s">
        <x:v>3069</x:v>
      </x:c>
      <x:c r="F904" t="s">
        <x:v>1690</x:v>
      </x:c>
    </x:row>
    <x:row r="905">
      <x:c r="A905" t="s">
        <x:v>3066</x:v>
      </x:c>
      <x:c r="B905" t="s">
        <x:v>3691</x:v>
      </x:c>
      <x:c r="C905" t="s">
        <x:v>1969</x:v>
      </x:c>
      <x:c r="D905" t="s">
        <x:v>3692</x:v>
      </x:c>
      <x:c r="E905" t="s">
        <x:v>3069</x:v>
      </x:c>
      <x:c r="F905" t="s">
        <x:v>1690</x:v>
      </x:c>
    </x:row>
    <x:row r="906">
      <x:c r="A906" t="s">
        <x:v>3070</x:v>
      </x:c>
      <x:c r="B906" t="s">
        <x:v>3071</x:v>
      </x:c>
      <x:c r="C906" t="s">
        <x:v>3693</x:v>
      </x:c>
      <x:c r="D906" t="s">
        <x:v>3694</x:v>
      </x:c>
      <x:c r="E906" t="s">
        <x:v>3073</x:v>
      </x:c>
      <x:c r="F906" t="s">
        <x:v>1690</x:v>
      </x:c>
    </x:row>
    <x:row r="907">
      <x:c r="A907" t="s">
        <x:v>3070</x:v>
      </x:c>
      <x:c r="B907" t="s">
        <x:v>3695</x:v>
      </x:c>
      <x:c r="C907" t="s">
        <x:v>3696</x:v>
      </x:c>
      <x:c r="D907" t="s">
        <x:v>125</x:v>
      </x:c>
      <x:c r="E907" t="s">
        <x:v>3073</x:v>
      </x:c>
      <x:c r="F907" t="s">
        <x:v>1690</x:v>
      </x:c>
    </x:row>
    <x:row r="908">
      <x:c r="A908" t="s">
        <x:v>3070</x:v>
      </x:c>
      <x:c r="B908" t="s">
        <x:v>3697</x:v>
      </x:c>
      <x:c r="C908" t="s">
        <x:v>1802</x:v>
      </x:c>
      <x:c r="D908" t="s">
        <x:v>3698</x:v>
      </x:c>
      <x:c r="E908" t="s">
        <x:v>3073</x:v>
      </x:c>
      <x:c r="F908" t="s">
        <x:v>1690</x:v>
      </x:c>
    </x:row>
    <x:row r="909">
      <x:c r="A909" t="s">
        <x:v>3074</x:v>
      </x:c>
      <x:c r="B909" t="s">
        <x:v>3075</x:v>
      </x:c>
      <x:c r="C909" t="s">
        <x:v>1969</x:v>
      </x:c>
      <x:c r="D909" t="s">
        <x:v>3076</x:v>
      </x:c>
      <x:c r="E909" t="s">
        <x:v>3077</x:v>
      </x:c>
      <x:c r="F909" t="s">
        <x:v>1690</x:v>
      </x:c>
    </x:row>
    <x:row r="910">
      <x:c r="A910" t="s">
        <x:v>203</x:v>
      </x:c>
      <x:c r="B910" t="s">
        <x:v>3078</x:v>
      </x:c>
      <x:c r="C910" t="s">
        <x:v>2467</x:v>
      </x:c>
      <x:c r="D910" t="s">
        <x:v>3079</x:v>
      </x:c>
      <x:c r="E910" t="s">
        <x:v>207</x:v>
      </x:c>
      <x:c r="F910" t="s">
        <x:v>1690</x:v>
      </x:c>
    </x:row>
    <x:row r="911">
      <x:c r="A911" t="s">
        <x:v>3080</x:v>
      </x:c>
      <x:c r="B911" t="s">
        <x:v>3081</x:v>
      </x:c>
      <x:c r="C911" t="s">
        <x:v>3082</x:v>
      </x:c>
      <x:c r="D911" t="s">
        <x:v>3083</x:v>
      </x:c>
      <x:c r="E911" t="s">
        <x:v>3084</x:v>
      </x:c>
      <x:c r="F911" t="s">
        <x:v>1690</x:v>
      </x:c>
    </x:row>
    <x:row r="912">
      <x:c r="A912" t="s">
        <x:v>745</x:v>
      </x:c>
      <x:c r="B912" t="s">
        <x:v>3085</x:v>
      </x:c>
      <x:c r="C912" t="s">
        <x:v>3086</x:v>
      </x:c>
      <x:c r="D912" t="s">
        <x:v>3087</x:v>
      </x:c>
      <x:c r="E912" t="s">
        <x:v>748</x:v>
      </x:c>
      <x:c r="F912" t="s">
        <x:v>1690</x:v>
      </x:c>
    </x:row>
    <x:row r="913">
      <x:c r="A913" t="s">
        <x:v>3088</x:v>
      </x:c>
      <x:c r="B913" t="s">
        <x:v>3089</x:v>
      </x:c>
      <x:c r="C913" t="s">
        <x:v>3699</x:v>
      </x:c>
      <x:c r="D913" t="s">
        <x:v>3003</x:v>
      </x:c>
      <x:c r="E913" t="s">
        <x:v>3091</x:v>
      </x:c>
      <x:c r="F913" t="s">
        <x:v>1690</x:v>
      </x:c>
    </x:row>
    <x:row r="914">
      <x:c r="A914" t="s">
        <x:v>3088</x:v>
      </x:c>
      <x:c r="B914" t="s">
        <x:v>3700</x:v>
      </x:c>
      <x:c r="C914" t="s">
        <x:v>1894</x:v>
      </x:c>
      <x:c r="D914" t="s">
        <x:v>3701</x:v>
      </x:c>
      <x:c r="E914" t="s">
        <x:v>3091</x:v>
      </x:c>
      <x:c r="F914" t="s">
        <x:v>1690</x:v>
      </x:c>
    </x:row>
    <x:row r="915">
      <x:c r="A915" t="s">
        <x:v>3092</x:v>
      </x:c>
      <x:c r="B915" t="s">
        <x:v>3093</x:v>
      </x:c>
      <x:c r="C915" t="s">
        <x:v>2542</x:v>
      </x:c>
      <x:c r="D915" t="s">
        <x:v>3094</x:v>
      </x:c>
      <x:c r="E915" t="s">
        <x:v>3095</x:v>
      </x:c>
      <x:c r="F915" t="s">
        <x:v>1690</x:v>
      </x:c>
    </x:row>
    <x:row r="916">
      <x:c r="A916" t="s">
        <x:v>3096</x:v>
      </x:c>
      <x:c r="B916" t="s">
        <x:v>3097</x:v>
      </x:c>
      <x:c r="C916" t="s">
        <x:v>2065</x:v>
      </x:c>
      <x:c r="D916" t="s">
        <x:v>3098</x:v>
      </x:c>
      <x:c r="E916" t="s">
        <x:v>3099</x:v>
      </x:c>
      <x:c r="F916" t="s">
        <x:v>1690</x:v>
      </x:c>
    </x:row>
    <x:row r="917">
      <x:c r="A917" t="s">
        <x:v>327</x:v>
      </x:c>
      <x:c r="B917" t="s">
        <x:v>3100</x:v>
      </x:c>
      <x:c r="C917" t="s">
        <x:v>3101</x:v>
      </x:c>
      <x:c r="D917" t="s">
        <x:v>3102</x:v>
      </x:c>
      <x:c r="E917" t="s">
        <x:v>331</x:v>
      </x:c>
      <x:c r="F917" t="s">
        <x:v>1690</x:v>
      </x:c>
    </x:row>
    <x:row r="918">
      <x:c r="A918" t="s">
        <x:v>561</x:v>
      </x:c>
      <x:c r="B918" t="s">
        <x:v>3103</x:v>
      </x:c>
      <x:c r="C918" t="s">
        <x:v>2709</x:v>
      </x:c>
      <x:c r="D918" t="s">
        <x:v>3104</x:v>
      </x:c>
      <x:c r="E918" t="s">
        <x:v>565</x:v>
      </x:c>
      <x:c r="F918" t="s">
        <x:v>1690</x:v>
      </x:c>
    </x:row>
    <x:row r="919">
      <x:c r="A919" t="s">
        <x:v>1334</x:v>
      </x:c>
      <x:c r="B919" t="s">
        <x:v>3105</x:v>
      </x:c>
      <x:c r="C919" t="s">
        <x:v>3702</x:v>
      </x:c>
      <x:c r="D919" t="s">
        <x:v>3703</x:v>
      </x:c>
      <x:c r="E919" t="s">
        <x:v>1337</x:v>
      </x:c>
      <x:c r="F919" t="s">
        <x:v>1690</x:v>
      </x:c>
    </x:row>
    <x:row r="920">
      <x:c r="A920" t="s">
        <x:v>1334</x:v>
      </x:c>
      <x:c r="B920" t="s">
        <x:v>3704</x:v>
      </x:c>
      <x:c r="C920" t="s">
        <x:v>3705</x:v>
      </x:c>
      <x:c r="D920" t="s">
        <x:v>3706</x:v>
      </x:c>
      <x:c r="E920" t="s">
        <x:v>1337</x:v>
      </x:c>
      <x:c r="F920" t="s">
        <x:v>1690</x:v>
      </x:c>
    </x:row>
    <x:row r="921">
      <x:c r="A921" t="s">
        <x:v>1334</x:v>
      </x:c>
      <x:c r="B921" t="s">
        <x:v>3707</x:v>
      </x:c>
      <x:c r="C921" t="s">
        <x:v>3106</x:v>
      </x:c>
      <x:c r="D921" t="s">
        <x:v>3708</x:v>
      </x:c>
      <x:c r="E921" t="s">
        <x:v>1337</x:v>
      </x:c>
      <x:c r="F921" t="s">
        <x:v>1690</x:v>
      </x:c>
    </x:row>
    <x:row r="922">
      <x:c r="A922" t="s">
        <x:v>1215</x:v>
      </x:c>
      <x:c r="B922" t="s">
        <x:v>3108</x:v>
      </x:c>
      <x:c r="C922" t="s">
        <x:v>3109</x:v>
      </x:c>
      <x:c r="D922" t="s">
        <x:v>125</x:v>
      </x:c>
      <x:c r="E922" t="s">
        <x:v>1218</x:v>
      </x:c>
      <x:c r="F922" t="s">
        <x:v>1690</x:v>
      </x:c>
    </x:row>
    <x:row r="923">
      <x:c r="A923" t="s">
        <x:v>1351</x:v>
      </x:c>
      <x:c r="B923" t="s">
        <x:v>3110</x:v>
      </x:c>
      <x:c r="C923" t="s">
        <x:v>3111</x:v>
      </x:c>
      <x:c r="D923" t="s">
        <x:v>3112</x:v>
      </x:c>
      <x:c r="E923" t="s">
        <x:v>1355</x:v>
      </x:c>
      <x:c r="F923" t="s">
        <x:v>1690</x:v>
      </x:c>
    </x:row>
    <x:row r="924">
      <x:c r="A924" t="s">
        <x:v>3113</x:v>
      </x:c>
      <x:c r="B924" t="s">
        <x:v>3114</x:v>
      </x:c>
      <x:c r="C924" t="s">
        <x:v>2496</x:v>
      </x:c>
      <x:c r="D924" t="s">
        <x:v>3115</x:v>
      </x:c>
      <x:c r="E924" t="s">
        <x:v>3116</x:v>
      </x:c>
      <x:c r="F924" t="s">
        <x:v>1690</x:v>
      </x:c>
    </x:row>
    <x:row r="925">
      <x:c r="A925" t="s">
        <x:v>1127</x:v>
      </x:c>
      <x:c r="B925" t="s">
        <x:v>3117</x:v>
      </x:c>
      <x:c r="C925" t="s">
        <x:v>2920</x:v>
      </x:c>
      <x:c r="D925" t="s">
        <x:v>3118</x:v>
      </x:c>
      <x:c r="E925" t="s">
        <x:v>1130</x:v>
      </x:c>
      <x:c r="F925" t="s">
        <x:v>1690</x:v>
      </x:c>
    </x:row>
    <x:row r="926">
      <x:c r="A926" t="s">
        <x:v>3119</x:v>
      </x:c>
      <x:c r="B926" t="s">
        <x:v>3120</x:v>
      </x:c>
      <x:c r="C926" t="s">
        <x:v>1744</x:v>
      </x:c>
      <x:c r="D926" t="s">
        <x:v>3121</x:v>
      </x:c>
      <x:c r="E926" t="s">
        <x:v>3122</x:v>
      </x:c>
      <x:c r="F926" t="s">
        <x:v>1690</x:v>
      </x:c>
    </x:row>
    <x:row r="927">
      <x:c r="A927" t="s">
        <x:v>3123</x:v>
      </x:c>
      <x:c r="B927" t="s">
        <x:v>3124</x:v>
      </x:c>
      <x:c r="C927" t="s">
        <x:v>2147</x:v>
      </x:c>
      <x:c r="D927" t="s">
        <x:v>3125</x:v>
      </x:c>
      <x:c r="E927" t="s">
        <x:v>3126</x:v>
      </x:c>
      <x:c r="F927" t="s">
        <x:v>1690</x:v>
      </x:c>
    </x:row>
    <x:row r="928">
      <x:c r="A928" t="s">
        <x:v>3127</x:v>
      </x:c>
      <x:c r="B928" t="s">
        <x:v>3128</x:v>
      </x:c>
      <x:c r="C928" t="s">
        <x:v>1851</x:v>
      </x:c>
      <x:c r="D928" t="s">
        <x:v>3129</x:v>
      </x:c>
      <x:c r="E928" t="s">
        <x:v>3130</x:v>
      </x:c>
      <x:c r="F928" t="s">
        <x:v>1690</x:v>
      </x:c>
    </x:row>
    <x:row r="929">
      <x:c r="A929" t="s">
        <x:v>3131</x:v>
      </x:c>
      <x:c r="B929" t="s">
        <x:v>3132</x:v>
      </x:c>
      <x:c r="C929" t="s">
        <x:v>1802</x:v>
      </x:c>
      <x:c r="D929" t="s">
        <x:v>3133</x:v>
      </x:c>
      <x:c r="E929" t="s">
        <x:v>3134</x:v>
      </x:c>
      <x:c r="F929" t="s">
        <x:v>1690</x:v>
      </x:c>
    </x:row>
    <x:row r="930">
      <x:c r="A930" t="s">
        <x:v>1185</x:v>
      </x:c>
      <x:c r="B930" t="s">
        <x:v>3135</x:v>
      </x:c>
      <x:c r="C930" t="s">
        <x:v>1873</x:v>
      </x:c>
      <x:c r="D930" t="s">
        <x:v>3136</x:v>
      </x:c>
      <x:c r="E930" t="s">
        <x:v>1189</x:v>
      </x:c>
      <x:c r="F930" t="s">
        <x:v>1690</x:v>
      </x:c>
    </x:row>
    <x:row r="931">
      <x:c r="A931" t="s">
        <x:v>3137</x:v>
      </x:c>
      <x:c r="B931" t="s">
        <x:v>3138</x:v>
      </x:c>
      <x:c r="C931" t="s">
        <x:v>1698</x:v>
      </x:c>
      <x:c r="D931" t="s">
        <x:v>3139</x:v>
      </x:c>
      <x:c r="E931" t="s">
        <x:v>3140</x:v>
      </x:c>
      <x:c r="F931" t="s">
        <x:v>1690</x:v>
      </x:c>
    </x:row>
    <x:row r="932">
      <x:c r="A932" t="s">
        <x:v>3141</x:v>
      </x:c>
      <x:c r="B932" t="s">
        <x:v>3142</x:v>
      </x:c>
      <x:c r="C932" t="s">
        <x:v>3709</x:v>
      </x:c>
      <x:c r="D932" t="s">
        <x:v>1563</x:v>
      </x:c>
      <x:c r="E932" t="s">
        <x:v>3144</x:v>
      </x:c>
      <x:c r="F932" t="s">
        <x:v>1690</x:v>
      </x:c>
    </x:row>
    <x:row r="933">
      <x:c r="A933" t="s">
        <x:v>3141</x:v>
      </x:c>
      <x:c r="B933" t="s">
        <x:v>3710</x:v>
      </x:c>
      <x:c r="C933" t="s">
        <x:v>1698</x:v>
      </x:c>
      <x:c r="D933" t="s">
        <x:v>1458</x:v>
      </x:c>
      <x:c r="E933" t="s">
        <x:v>3144</x:v>
      </x:c>
      <x:c r="F933" t="s">
        <x:v>1690</x:v>
      </x:c>
    </x:row>
    <x:row r="934">
      <x:c r="A934" t="s">
        <x:v>916</x:v>
      </x:c>
      <x:c r="B934" t="s">
        <x:v>3145</x:v>
      </x:c>
      <x:c r="C934" t="s">
        <x:v>1687</x:v>
      </x:c>
      <x:c r="D934" t="s">
        <x:v>3146</x:v>
      </x:c>
      <x:c r="E934" t="s">
        <x:v>920</x:v>
      </x:c>
      <x:c r="F934" t="s">
        <x:v>1690</x:v>
      </x:c>
    </x:row>
    <x:row r="935">
      <x:c r="A935" t="s">
        <x:v>3147</x:v>
      </x:c>
      <x:c r="B935" t="s">
        <x:v>3148</x:v>
      </x:c>
      <x:c r="C935" t="s">
        <x:v>1889</x:v>
      </x:c>
      <x:c r="D935" t="s">
        <x:v>3149</x:v>
      </x:c>
      <x:c r="E935" t="s">
        <x:v>3150</x:v>
      </x:c>
      <x:c r="F935" t="s">
        <x:v>1690</x:v>
      </x:c>
    </x:row>
    <x:row r="936">
      <x:c r="A936" t="s">
        <x:v>949</x:v>
      </x:c>
      <x:c r="B936" t="s">
        <x:v>3151</x:v>
      </x:c>
      <x:c r="C936" t="s">
        <x:v>3152</x:v>
      </x:c>
      <x:c r="D936" t="s">
        <x:v>3153</x:v>
      </x:c>
      <x:c r="E936" t="s">
        <x:v>953</x:v>
      </x:c>
      <x:c r="F936" t="s">
        <x:v>1690</x:v>
      </x:c>
    </x:row>
    <x:row r="937">
      <x:c r="A937" t="s">
        <x:v>3154</x:v>
      </x:c>
      <x:c r="B937" t="s">
        <x:v>3155</x:v>
      </x:c>
      <x:c r="C937" t="s">
        <x:v>3156</x:v>
      </x:c>
      <x:c r="D937" t="s">
        <x:v>3157</x:v>
      </x:c>
      <x:c r="E937" t="s">
        <x:v>3158</x:v>
      </x:c>
      <x:c r="F937" t="s">
        <x:v>1690</x:v>
      </x:c>
    </x:row>
    <x:row r="938">
      <x:c r="A938" t="s">
        <x:v>1310</x:v>
      </x:c>
      <x:c r="B938" t="s">
        <x:v>3159</x:v>
      </x:c>
      <x:c r="C938" t="s">
        <x:v>3203</x:v>
      </x:c>
      <x:c r="D938" t="s">
        <x:v>3711</x:v>
      </x:c>
      <x:c r="E938" t="s">
        <x:v>1314</x:v>
      </x:c>
      <x:c r="F938" t="s">
        <x:v>1690</x:v>
      </x:c>
    </x:row>
    <x:row r="939">
      <x:c r="A939" t="s">
        <x:v>1310</x:v>
      </x:c>
      <x:c r="B939" t="s">
        <x:v>3712</x:v>
      </x:c>
      <x:c r="C939" t="s">
        <x:v>2046</x:v>
      </x:c>
      <x:c r="D939" t="s">
        <x:v>3713</x:v>
      </x:c>
      <x:c r="E939" t="s">
        <x:v>1314</x:v>
      </x:c>
      <x:c r="F939" t="s">
        <x:v>1690</x:v>
      </x:c>
    </x:row>
    <x:row r="940">
      <x:c r="A940" t="s">
        <x:v>3161</x:v>
      </x:c>
      <x:c r="B940" t="s">
        <x:v>3162</x:v>
      </x:c>
      <x:c r="C940" t="s">
        <x:v>3163</x:v>
      </x:c>
      <x:c r="D940" t="s">
        <x:v>3164</x:v>
      </x:c>
      <x:c r="E940" t="s">
        <x:v>3165</x:v>
      </x:c>
      <x:c r="F940" t="s">
        <x:v>1690</x:v>
      </x:c>
    </x:row>
    <x:row r="941">
      <x:c r="A941" t="s">
        <x:v>3166</x:v>
      </x:c>
      <x:c r="B941" t="s">
        <x:v>3167</x:v>
      </x:c>
      <x:c r="C941" t="s">
        <x:v>1998</x:v>
      </x:c>
      <x:c r="D941" t="s">
        <x:v>3168</x:v>
      </x:c>
      <x:c r="E941" t="s">
        <x:v>3169</x:v>
      </x:c>
      <x:c r="F941" t="s">
        <x:v>1690</x:v>
      </x:c>
    </x:row>
    <x:row r="942">
      <x:c r="A942" t="s">
        <x:v>3170</x:v>
      </x:c>
      <x:c r="B942" t="s">
        <x:v>3171</x:v>
      </x:c>
      <x:c r="C942" t="s">
        <x:v>1687</x:v>
      </x:c>
      <x:c r="D942" t="s">
        <x:v>3172</x:v>
      </x:c>
      <x:c r="E942" t="s">
        <x:v>3173</x:v>
      </x:c>
      <x:c r="F942" t="s">
        <x:v>1690</x:v>
      </x:c>
    </x:row>
    <x:row r="943">
      <x:c r="A943" t="s">
        <x:v>3174</x:v>
      </x:c>
      <x:c r="B943" t="s">
        <x:v>3175</x:v>
      </x:c>
      <x:c r="C943" t="s">
        <x:v>2636</x:v>
      </x:c>
      <x:c r="D943" t="s">
        <x:v>3176</x:v>
      </x:c>
      <x:c r="E943" t="s">
        <x:v>3177</x:v>
      </x:c>
      <x:c r="F943" t="s">
        <x:v>1690</x:v>
      </x:c>
    </x:row>
    <x:row r="944">
      <x:c r="A944" t="s">
        <x:v>1228</x:v>
      </x:c>
      <x:c r="B944" t="s">
        <x:v>3178</x:v>
      </x:c>
      <x:c r="C944" t="s">
        <x:v>3179</x:v>
      </x:c>
      <x:c r="D944" t="s">
        <x:v>3180</x:v>
      </x:c>
      <x:c r="E944" t="s">
        <x:v>1232</x:v>
      </x:c>
      <x:c r="F944" t="s">
        <x:v>1690</x:v>
      </x:c>
    </x:row>
    <x:row r="945">
      <x:c r="A945" t="s">
        <x:v>771</x:v>
      </x:c>
      <x:c r="B945" t="s">
        <x:v>3181</x:v>
      </x:c>
      <x:c r="C945" t="s">
        <x:v>3714</x:v>
      </x:c>
      <x:c r="D945" t="s">
        <x:v>3715</x:v>
      </x:c>
      <x:c r="E945" t="s">
        <x:v>775</x:v>
      </x:c>
      <x:c r="F945" t="s">
        <x:v>1690</x:v>
      </x:c>
    </x:row>
    <x:row r="946">
      <x:c r="A946" t="s">
        <x:v>771</x:v>
      </x:c>
      <x:c r="B946" t="s">
        <x:v>3716</x:v>
      </x:c>
      <x:c r="C946" t="s">
        <x:v>1698</x:v>
      </x:c>
      <x:c r="D946" t="s">
        <x:v>3717</x:v>
      </x:c>
      <x:c r="E946" t="s">
        <x:v>775</x:v>
      </x:c>
      <x:c r="F946" t="s">
        <x:v>1690</x:v>
      </x:c>
    </x:row>
    <x:row r="947">
      <x:c r="A947" t="s">
        <x:v>3183</x:v>
      </x:c>
      <x:c r="B947" t="s">
        <x:v>3184</x:v>
      </x:c>
      <x:c r="C947" t="s">
        <x:v>1851</x:v>
      </x:c>
      <x:c r="D947" t="s">
        <x:v>3185</x:v>
      </x:c>
      <x:c r="E947" t="s">
        <x:v>3186</x:v>
      </x:c>
      <x:c r="F947" t="s">
        <x:v>1690</x:v>
      </x:c>
    </x:row>
    <x:row r="948">
      <x:c r="A948" t="s">
        <x:v>163</x:v>
      </x:c>
      <x:c r="B948" t="s">
        <x:v>3187</x:v>
      </x:c>
      <x:c r="C948" t="s">
        <x:v>2165</x:v>
      </x:c>
      <x:c r="D948" t="s">
        <x:v>272</x:v>
      </x:c>
      <x:c r="E948" t="s">
        <x:v>167</x:v>
      </x:c>
      <x:c r="F948" t="s">
        <x:v>1690</x:v>
      </x:c>
    </x:row>
    <x:row r="949">
      <x:c r="A949" t="s">
        <x:v>3188</x:v>
      </x:c>
      <x:c r="B949" t="s">
        <x:v>3189</x:v>
      </x:c>
      <x:c r="C949" t="s">
        <x:v>2147</x:v>
      </x:c>
      <x:c r="D949" t="s">
        <x:v>3190</x:v>
      </x:c>
      <x:c r="E949" t="s">
        <x:v>3191</x:v>
      </x:c>
      <x:c r="F949" t="s">
        <x:v>1690</x:v>
      </x:c>
    </x:row>
    <x:row r="950">
      <x:c r="A950" t="s">
        <x:v>3192</x:v>
      </x:c>
      <x:c r="B950" t="s">
        <x:v>3193</x:v>
      </x:c>
      <x:c r="C950" t="s">
        <x:v>1998</x:v>
      </x:c>
      <x:c r="D950" t="s">
        <x:v>3194</x:v>
      </x:c>
      <x:c r="E950" t="s">
        <x:v>3195</x:v>
      </x:c>
      <x:c r="F950" t="s">
        <x:v>1690</x:v>
      </x:c>
    </x:row>
    <x:row r="951">
      <x:c r="A951" t="s">
        <x:v>902</x:v>
      </x:c>
      <x:c r="B951" t="s">
        <x:v>2603</x:v>
      </x:c>
      <x:c r="C951" t="s">
        <x:v>3196</x:v>
      </x:c>
      <x:c r="D951" t="s">
        <x:v>3197</x:v>
      </x:c>
      <x:c r="E951" t="s">
        <x:v>906</x:v>
      </x:c>
      <x:c r="F951" t="s">
        <x:v>1690</x:v>
      </x:c>
    </x:row>
    <x:row r="952">
      <x:c r="A952" t="s">
        <x:v>3198</x:v>
      </x:c>
      <x:c r="B952" t="s">
        <x:v>3199</x:v>
      </x:c>
      <x:c r="C952" t="s">
        <x:v>1956</x:v>
      </x:c>
      <x:c r="D952" t="s">
        <x:v>3200</x:v>
      </x:c>
      <x:c r="E952" t="s">
        <x:v>3201</x:v>
      </x:c>
      <x:c r="F952" t="s">
        <x:v>1690</x:v>
      </x:c>
    </x:row>
    <x:row r="953">
      <x:c r="A953" t="s">
        <x:v>3202</x:v>
      </x:c>
      <x:c r="B953" t="s">
        <x:v>3203</x:v>
      </x:c>
      <x:c r="C953" t="s">
        <x:v>1687</x:v>
      </x:c>
      <x:c r="D953" t="s">
        <x:v>3204</x:v>
      </x:c>
      <x:c r="E953" t="s">
        <x:v>3205</x:v>
      </x:c>
      <x:c r="F953" t="s">
        <x:v>1690</x:v>
      </x:c>
    </x:row>
    <x:row r="954">
      <x:c r="A954" t="s">
        <x:v>925</x:v>
      </x:c>
      <x:c r="B954" t="s">
        <x:v>3206</x:v>
      </x:c>
      <x:c r="C954" t="s">
        <x:v>3207</x:v>
      </x:c>
      <x:c r="D954" t="s">
        <x:v>3208</x:v>
      </x:c>
      <x:c r="E954" t="s">
        <x:v>929</x:v>
      </x:c>
      <x:c r="F954" t="s">
        <x:v>1690</x:v>
      </x:c>
    </x:row>
    <x:row r="955">
      <x:c r="A955" t="s">
        <x:v>3209</x:v>
      </x:c>
      <x:c r="B955" t="s">
        <x:v>3210</x:v>
      </x:c>
      <x:c r="C955" t="s">
        <x:v>1837</x:v>
      </x:c>
      <x:c r="D955" t="s">
        <x:v>2314</x:v>
      </x:c>
      <x:c r="E955" t="s">
        <x:v>3211</x:v>
      </x:c>
      <x:c r="F955" t="s">
        <x:v>1690</x:v>
      </x:c>
    </x:row>
    <x:row r="956">
      <x:c r="A956" t="s">
        <x:v>3212</x:v>
      </x:c>
      <x:c r="B956" t="s">
        <x:v>3213</x:v>
      </x:c>
      <x:c r="C956" t="s">
        <x:v>2869</x:v>
      </x:c>
      <x:c r="D956" t="s">
        <x:v>1550</x:v>
      </x:c>
      <x:c r="E956" t="s">
        <x:v>3216</x:v>
      </x:c>
      <x:c r="F956" t="s">
        <x:v>1690</x:v>
      </x:c>
    </x:row>
    <x:row r="957">
      <x:c r="A957" t="s">
        <x:v>3212</x:v>
      </x:c>
      <x:c r="B957" t="s">
        <x:v>3718</x:v>
      </x:c>
      <x:c r="C957" t="s">
        <x:v>3214</x:v>
      </x:c>
      <x:c r="D957" t="s">
        <x:v>86</x:v>
      </x:c>
      <x:c r="E957" t="s">
        <x:v>3216</x:v>
      </x:c>
      <x:c r="F957" t="s">
        <x:v>1690</x:v>
      </x:c>
    </x:row>
    <x:row r="958">
      <x:c r="A958" t="s">
        <x:v>3217</x:v>
      </x:c>
      <x:c r="B958" t="s">
        <x:v>3218</x:v>
      </x:c>
      <x:c r="C958" t="s">
        <x:v>3219</x:v>
      </x:c>
      <x:c r="D958" t="s">
        <x:v>3220</x:v>
      </x:c>
      <x:c r="E958" t="s">
        <x:v>3221</x:v>
      </x:c>
      <x:c r="F958" t="s">
        <x:v>1690</x:v>
      </x:c>
    </x:row>
    <x:row r="959">
      <x:c r="A959" t="s">
        <x:v>1250</x:v>
      </x:c>
      <x:c r="B959" t="s">
        <x:v>3222</x:v>
      </x:c>
      <x:c r="C959" t="s">
        <x:v>1998</x:v>
      </x:c>
      <x:c r="D959" t="s">
        <x:v>3223</x:v>
      </x:c>
      <x:c r="E959" t="s">
        <x:v>1254</x:v>
      </x:c>
      <x:c r="F959" t="s">
        <x:v>1690</x:v>
      </x:c>
    </x:row>
    <x:row r="960">
      <x:c r="A960" t="s">
        <x:v>3224</x:v>
      </x:c>
      <x:c r="B960" t="s">
        <x:v>3225</x:v>
      </x:c>
      <x:c r="C960" t="s">
        <x:v>3226</x:v>
      </x:c>
      <x:c r="D960" t="s">
        <x:v>3227</x:v>
      </x:c>
      <x:c r="E960" t="s">
        <x:v>3228</x:v>
      </x:c>
      <x:c r="F960" t="s">
        <x:v>1690</x:v>
      </x:c>
    </x:row>
    <x:row r="961">
      <x:c r="A961" t="s">
        <x:v>3229</x:v>
      </x:c>
      <x:c r="B961" t="s">
        <x:v>3230</x:v>
      </x:c>
      <x:c r="C961" t="s">
        <x:v>3231</x:v>
      </x:c>
      <x:c r="D961" t="s">
        <x:v>3232</x:v>
      </x:c>
      <x:c r="E961" t="s">
        <x:v>3233</x:v>
      </x:c>
      <x:c r="F961" t="s">
        <x:v>1690</x:v>
      </x:c>
    </x:row>
    <x:row r="962">
      <x:c r="A962" t="s">
        <x:v>3234</x:v>
      </x:c>
      <x:c r="B962" t="s">
        <x:v>3235</x:v>
      </x:c>
      <x:c r="C962" t="s">
        <x:v>1828</x:v>
      </x:c>
      <x:c r="D962" t="s">
        <x:v>3236</x:v>
      </x:c>
      <x:c r="E962" t="s">
        <x:v>3237</x:v>
      </x:c>
      <x:c r="F962" t="s">
        <x:v>1690</x:v>
      </x:c>
    </x:row>
    <x:row r="963">
      <x:c r="A963" t="s">
        <x:v>3238</x:v>
      </x:c>
      <x:c r="B963" t="s">
        <x:v>2165</x:v>
      </x:c>
      <x:c r="C963" t="s">
        <x:v>3239</x:v>
      </x:c>
      <x:c r="D963" t="s">
        <x:v>3240</x:v>
      </x:c>
      <x:c r="E963" t="s">
        <x:v>3241</x:v>
      </x:c>
      <x:c r="F963" t="s">
        <x:v>1690</x:v>
      </x:c>
    </x:row>
    <x:row r="964">
      <x:c r="A964" t="s">
        <x:v>3242</x:v>
      </x:c>
      <x:c r="B964" t="s">
        <x:v>3243</x:v>
      </x:c>
      <x:c r="C964" t="s">
        <x:v>3244</x:v>
      </x:c>
      <x:c r="D964" t="s">
        <x:v>3245</x:v>
      </x:c>
      <x:c r="E964" t="s">
        <x:v>3246</x:v>
      </x:c>
      <x:c r="F964" t="s">
        <x:v>1690</x:v>
      </x:c>
    </x:row>
    <x:row r="966">
      <x:c r="A966" s="1" t="s">
        <x:v>1585</x:v>
      </x:c>
    </x:row>
    <x:row r="967">
      <x:c r="A967" t="s">
        <x:v>13</x:v>
      </x:c>
      <x:c r="B967" t="s">
        <x:v>1586</x:v>
      </x:c>
      <x:c r="C967" t="s">
        <x:v>1587</x:v>
      </x:c>
    </x:row>
    <x:row r="968">
      <x:c r="A968" t="s">
        <x:v>28</x:v>
      </x:c>
      <x:c r="B968" t="s">
        <x:v>1590</x:v>
      </x:c>
      <x:c r="C968" t="s">
        <x:v>2169</x:v>
      </x:c>
    </x:row>
    <x:row r="969">
      <x:c r="A969" t="s">
        <x:v>28</x:v>
      </x:c>
      <x:c r="B969" t="s">
        <x:v>1588</x:v>
      </x:c>
      <x:c r="C969" t="s">
        <x:v>3719</x:v>
      </x:c>
    </x:row>
    <x:row r="970">
      <x:c r="A970" t="s">
        <x:v>28</x:v>
      </x:c>
      <x:c r="B970" t="s">
        <x:v>1590</x:v>
      </x:c>
      <x:c r="C970" t="s">
        <x:v>2366</x:v>
      </x:c>
    </x:row>
    <x:row r="971">
      <x:c r="A971" t="s">
        <x:v>28</x:v>
      </x:c>
      <x:c r="B971" t="s">
        <x:v>1588</x:v>
      </x:c>
      <x:c r="C971" t="s">
        <x:v>3720</x:v>
      </x:c>
    </x:row>
    <x:row r="972">
      <x:c r="A972" t="s">
        <x:v>28</x:v>
      </x:c>
      <x:c r="B972" t="s">
        <x:v>1588</x:v>
      </x:c>
      <x:c r="C972" t="s">
        <x:v>3721</x:v>
      </x:c>
    </x:row>
    <x:row r="973">
      <x:c r="A973" t="s">
        <x:v>34</x:v>
      </x:c>
      <x:c r="B973" t="s">
        <x:v>1590</x:v>
      </x:c>
      <x:c r="C973" t="s">
        <x:v>3722</x:v>
      </x:c>
    </x:row>
    <x:row r="974">
      <x:c r="A974" t="s">
        <x:v>34</x:v>
      </x:c>
      <x:c r="B974" t="s">
        <x:v>1590</x:v>
      </x:c>
      <x:c r="C974" t="s">
        <x:v>3723</x:v>
      </x:c>
    </x:row>
    <x:row r="975">
      <x:c r="A975" t="s">
        <x:v>34</x:v>
      </x:c>
      <x:c r="B975" t="s">
        <x:v>1590</x:v>
      </x:c>
      <x:c r="C975" t="s">
        <x:v>3724</x:v>
      </x:c>
    </x:row>
    <x:row r="976">
      <x:c r="A976" t="s">
        <x:v>39</x:v>
      </x:c>
      <x:c r="B976" t="s">
        <x:v>1590</x:v>
      </x:c>
      <x:c r="C976" t="s">
        <x:v>3725</x:v>
      </x:c>
    </x:row>
    <x:row r="977">
      <x:c r="A977" t="s">
        <x:v>39</x:v>
      </x:c>
      <x:c r="B977" t="s">
        <x:v>1590</x:v>
      </x:c>
      <x:c r="C977" t="s">
        <x:v>3726</x:v>
      </x:c>
    </x:row>
    <x:row r="978">
      <x:c r="A978" t="s">
        <x:v>39</x:v>
      </x:c>
      <x:c r="B978" t="s">
        <x:v>1588</x:v>
      </x:c>
      <x:c r="C978" t="s">
        <x:v>3727</x:v>
      </x:c>
    </x:row>
    <x:row r="979">
      <x:c r="A979" t="s">
        <x:v>39</x:v>
      </x:c>
      <x:c r="B979" t="s">
        <x:v>1588</x:v>
      </x:c>
      <x:c r="C979" t="s">
        <x:v>3728</x:v>
      </x:c>
    </x:row>
    <x:row r="980">
      <x:c r="A980" t="s">
        <x:v>443</x:v>
      </x:c>
      <x:c r="B980" t="s">
        <x:v>1588</x:v>
      </x:c>
      <x:c r="C980" t="s">
        <x:v>3729</x:v>
      </x:c>
    </x:row>
    <x:row r="981">
      <x:c r="A981" t="s">
        <x:v>443</x:v>
      </x:c>
      <x:c r="B981" t="s">
        <x:v>1590</x:v>
      </x:c>
      <x:c r="C981" t="s">
        <x:v>3730</x:v>
      </x:c>
    </x:row>
    <x:row r="982">
      <x:c r="A982" t="s">
        <x:v>443</x:v>
      </x:c>
      <x:c r="B982" t="s">
        <x:v>1590</x:v>
      </x:c>
      <x:c r="C982" t="s">
        <x:v>3731</x:v>
      </x:c>
    </x:row>
    <x:row r="983">
      <x:c r="A983" t="s">
        <x:v>44</x:v>
      </x:c>
      <x:c r="B983" t="s">
        <x:v>1588</x:v>
      </x:c>
      <x:c r="C983" t="s">
        <x:v>3732</x:v>
      </x:c>
    </x:row>
    <x:row r="984">
      <x:c r="A984" t="s">
        <x:v>44</x:v>
      </x:c>
      <x:c r="B984" t="s">
        <x:v>1588</x:v>
      </x:c>
      <x:c r="C984" t="s">
        <x:v>3733</x:v>
      </x:c>
    </x:row>
    <x:row r="985">
      <x:c r="A985" t="s">
        <x:v>44</x:v>
      </x:c>
      <x:c r="B985" t="s">
        <x:v>1590</x:v>
      </x:c>
      <x:c r="C985" t="s">
        <x:v>3734</x:v>
      </x:c>
    </x:row>
    <x:row r="986">
      <x:c r="A986" t="s">
        <x:v>44</x:v>
      </x:c>
      <x:c r="B986" t="s">
        <x:v>1590</x:v>
      </x:c>
      <x:c r="C986" t="s">
        <x:v>3735</x:v>
      </x:c>
    </x:row>
    <x:row r="987">
      <x:c r="A987" t="s">
        <x:v>44</x:v>
      </x:c>
      <x:c r="B987" t="s">
        <x:v>1588</x:v>
      </x:c>
      <x:c r="C987" t="s">
        <x:v>3736</x:v>
      </x:c>
    </x:row>
    <x:row r="988">
      <x:c r="A988" t="s">
        <x:v>49</x:v>
      </x:c>
      <x:c r="B988" t="s">
        <x:v>1590</x:v>
      </x:c>
      <x:c r="C988" t="s">
        <x:v>3737</x:v>
      </x:c>
    </x:row>
    <x:row r="989">
      <x:c r="A989" t="s">
        <x:v>49</x:v>
      </x:c>
      <x:c r="B989" t="s">
        <x:v>1590</x:v>
      </x:c>
      <x:c r="C989" t="s">
        <x:v>3738</x:v>
      </x:c>
    </x:row>
    <x:row r="990">
      <x:c r="A990" t="s">
        <x:v>1685</x:v>
      </x:c>
      <x:c r="B990" t="s">
        <x:v>1590</x:v>
      </x:c>
      <x:c r="C990" t="s">
        <x:v>3739</x:v>
      </x:c>
    </x:row>
    <x:row r="991">
      <x:c r="A991" t="s">
        <x:v>1691</x:v>
      </x:c>
      <x:c r="B991" t="s">
        <x:v>1590</x:v>
      </x:c>
      <x:c r="C991" t="s">
        <x:v>3740</x:v>
      </x:c>
    </x:row>
    <x:row r="992">
      <x:c r="A992" t="s">
        <x:v>1691</x:v>
      </x:c>
      <x:c r="B992" t="s">
        <x:v>1590</x:v>
      </x:c>
      <x:c r="C992" t="s">
        <x:v>3741</x:v>
      </x:c>
    </x:row>
    <x:row r="993">
      <x:c r="A993" t="s">
        <x:v>1705</x:v>
      </x:c>
      <x:c r="B993" t="s">
        <x:v>1590</x:v>
      </x:c>
      <x:c r="C993" t="s">
        <x:v>3275</x:v>
      </x:c>
    </x:row>
    <x:row r="994">
      <x:c r="A994" t="s">
        <x:v>1712</x:v>
      </x:c>
      <x:c r="B994" t="s">
        <x:v>1590</x:v>
      </x:c>
      <x:c r="C994" t="s">
        <x:v>3742</x:v>
      </x:c>
    </x:row>
    <x:row r="995">
      <x:c r="A995" t="s">
        <x:v>1730</x:v>
      </x:c>
      <x:c r="B995" t="s">
        <x:v>1590</x:v>
      </x:c>
      <x:c r="C995" t="s">
        <x:v>3743</x:v>
      </x:c>
    </x:row>
    <x:row r="996">
      <x:c r="A996" t="s">
        <x:v>766</x:v>
      </x:c>
      <x:c r="B996" t="s">
        <x:v>1590</x:v>
      </x:c>
      <x:c r="C996" t="s">
        <x:v>3744</x:v>
      </x:c>
    </x:row>
    <x:row r="997">
      <x:c r="A997" t="s">
        <x:v>766</x:v>
      </x:c>
      <x:c r="B997" t="s">
        <x:v>1590</x:v>
      </x:c>
      <x:c r="C997" t="s">
        <x:v>3745</x:v>
      </x:c>
    </x:row>
    <x:row r="998">
      <x:c r="A998" t="s">
        <x:v>1800</x:v>
      </x:c>
      <x:c r="B998" t="s">
        <x:v>1590</x:v>
      </x:c>
      <x:c r="C998" t="s">
        <x:v>3048</x:v>
      </x:c>
    </x:row>
    <x:row r="999">
      <x:c r="A999" t="s">
        <x:v>1805</x:v>
      </x:c>
      <x:c r="B999" t="s">
        <x:v>1590</x:v>
      </x:c>
      <x:c r="C999" t="s">
        <x:v>3746</x:v>
      </x:c>
    </x:row>
    <x:row r="1000">
      <x:c r="A1000" t="s">
        <x:v>1805</x:v>
      </x:c>
      <x:c r="B1000" t="s">
        <x:v>1590</x:v>
      </x:c>
      <x:c r="C1000" t="s">
        <x:v>1698</x:v>
      </x:c>
    </x:row>
    <x:row r="1001">
      <x:c r="A1001" t="s">
        <x:v>1813</x:v>
      </x:c>
      <x:c r="B1001" t="s">
        <x:v>1590</x:v>
      </x:c>
      <x:c r="C1001" t="s">
        <x:v>3297</x:v>
      </x:c>
    </x:row>
    <x:row r="1002">
      <x:c r="A1002" t="s">
        <x:v>1831</x:v>
      </x:c>
      <x:c r="B1002" t="s">
        <x:v>1590</x:v>
      </x:c>
      <x:c r="C1002" t="s">
        <x:v>3747</x:v>
      </x:c>
    </x:row>
    <x:row r="1003">
      <x:c r="A1003" t="s">
        <x:v>1831</x:v>
      </x:c>
      <x:c r="B1003" t="s">
        <x:v>1590</x:v>
      </x:c>
      <x:c r="C1003" t="s">
        <x:v>3748</x:v>
      </x:c>
    </x:row>
    <x:row r="1004">
      <x:c r="A1004" t="s">
        <x:v>1831</x:v>
      </x:c>
      <x:c r="B1004" t="s">
        <x:v>1590</x:v>
      </x:c>
      <x:c r="C1004" t="s">
        <x:v>3749</x:v>
      </x:c>
    </x:row>
    <x:row r="1005">
      <x:c r="A1005" t="s">
        <x:v>1840</x:v>
      </x:c>
      <x:c r="B1005" t="s">
        <x:v>1590</x:v>
      </x:c>
      <x:c r="C1005" t="s">
        <x:v>3750</x:v>
      </x:c>
    </x:row>
    <x:row r="1006">
      <x:c r="A1006" t="s">
        <x:v>1849</x:v>
      </x:c>
      <x:c r="B1006" t="s">
        <x:v>1590</x:v>
      </x:c>
      <x:c r="C1006" t="s">
        <x:v>1698</x:v>
      </x:c>
    </x:row>
    <x:row r="1007">
      <x:c r="A1007" t="s">
        <x:v>1858</x:v>
      </x:c>
      <x:c r="B1007" t="s">
        <x:v>1615</x:v>
      </x:c>
      <x:c r="C1007" t="s">
        <x:v>1698</x:v>
      </x:c>
    </x:row>
    <x:row r="1008">
      <x:c r="A1008" t="s">
        <x:v>595</x:v>
      </x:c>
      <x:c r="B1008" t="s">
        <x:v>1590</x:v>
      </x:c>
      <x:c r="C1008" t="s">
        <x:v>3307</x:v>
      </x:c>
    </x:row>
    <x:row r="1009">
      <x:c r="A1009" t="s">
        <x:v>1871</x:v>
      </x:c>
      <x:c r="B1009" t="s">
        <x:v>1590</x:v>
      </x:c>
      <x:c r="C1009" t="s">
        <x:v>3751</x:v>
      </x:c>
    </x:row>
    <x:row r="1010">
      <x:c r="A1010" t="s">
        <x:v>1871</x:v>
      </x:c>
      <x:c r="B1010" t="s">
        <x:v>1590</x:v>
      </x:c>
      <x:c r="C1010" t="s">
        <x:v>3752</x:v>
      </x:c>
    </x:row>
    <x:row r="1011">
      <x:c r="A1011" t="s">
        <x:v>1887</x:v>
      </x:c>
      <x:c r="B1011" t="s">
        <x:v>1590</x:v>
      </x:c>
      <x:c r="C1011" t="s">
        <x:v>1902</x:v>
      </x:c>
    </x:row>
    <x:row r="1012">
      <x:c r="A1012" t="s">
        <x:v>1934</x:v>
      </x:c>
      <x:c r="B1012" t="s">
        <x:v>1630</x:v>
      </x:c>
      <x:c r="C1012" t="s">
        <x:v>3753</x:v>
      </x:c>
    </x:row>
    <x:row r="1013">
      <x:c r="A1013" t="s">
        <x:v>1934</x:v>
      </x:c>
      <x:c r="B1013" t="s">
        <x:v>1588</x:v>
      </x:c>
      <x:c r="C1013" t="s">
        <x:v>3754</x:v>
      </x:c>
    </x:row>
    <x:row r="1014">
      <x:c r="A1014" t="s">
        <x:v>1934</x:v>
      </x:c>
      <x:c r="B1014" t="s">
        <x:v>1588</x:v>
      </x:c>
      <x:c r="C1014" t="s">
        <x:v>3755</x:v>
      </x:c>
    </x:row>
    <x:row r="1015">
      <x:c r="A1015" t="s">
        <x:v>1934</x:v>
      </x:c>
      <x:c r="B1015" t="s">
        <x:v>1590</x:v>
      </x:c>
      <x:c r="C1015" t="s">
        <x:v>3756</x:v>
      </x:c>
    </x:row>
    <x:row r="1016">
      <x:c r="A1016" t="s">
        <x:v>1934</x:v>
      </x:c>
      <x:c r="B1016" t="s">
        <x:v>1590</x:v>
      </x:c>
      <x:c r="C1016" t="s">
        <x:v>1683</x:v>
      </x:c>
    </x:row>
    <x:row r="1017">
      <x:c r="A1017" t="s">
        <x:v>1946</x:v>
      </x:c>
      <x:c r="B1017" t="s">
        <x:v>1590</x:v>
      </x:c>
      <x:c r="C1017" t="s">
        <x:v>1797</x:v>
      </x:c>
    </x:row>
    <x:row r="1018">
      <x:c r="A1018" t="s">
        <x:v>1972</x:v>
      </x:c>
      <x:c r="B1018" t="s">
        <x:v>1590</x:v>
      </x:c>
      <x:c r="C1018" t="s">
        <x:v>3757</x:v>
      </x:c>
    </x:row>
    <x:row r="1019">
      <x:c r="A1019" t="s">
        <x:v>127</x:v>
      </x:c>
      <x:c r="B1019" t="s">
        <x:v>1590</x:v>
      </x:c>
      <x:c r="C1019" t="s">
        <x:v>3320</x:v>
      </x:c>
    </x:row>
    <x:row r="1020">
      <x:c r="A1020" t="s">
        <x:v>1994</x:v>
      </x:c>
      <x:c r="B1020" t="s">
        <x:v>1590</x:v>
      </x:c>
      <x:c r="C1020" t="s">
        <x:v>3331</x:v>
      </x:c>
    </x:row>
    <x:row r="1021">
      <x:c r="A1021" t="s">
        <x:v>2013</x:v>
      </x:c>
      <x:c r="B1021" t="s">
        <x:v>1602</x:v>
      </x:c>
      <x:c r="C1021" t="s">
        <x:v>3758</x:v>
      </x:c>
    </x:row>
    <x:row r="1022">
      <x:c r="A1022" t="s">
        <x:v>2013</x:v>
      </x:c>
      <x:c r="B1022" t="s">
        <x:v>1590</x:v>
      </x:c>
      <x:c r="C1022" t="s">
        <x:v>1678</x:v>
      </x:c>
    </x:row>
    <x:row r="1023">
      <x:c r="A1023" t="s">
        <x:v>2036</x:v>
      </x:c>
      <x:c r="B1023" t="s">
        <x:v>1590</x:v>
      </x:c>
      <x:c r="C1023" t="s">
        <x:v>3759</x:v>
      </x:c>
    </x:row>
    <x:row r="1024">
      <x:c r="A1024" t="s">
        <x:v>2036</x:v>
      </x:c>
      <x:c r="B1024" t="s">
        <x:v>1590</x:v>
      </x:c>
      <x:c r="C1024" t="s">
        <x:v>1683</x:v>
      </x:c>
    </x:row>
    <x:row r="1025">
      <x:c r="A1025" t="s">
        <x:v>2063</x:v>
      </x:c>
      <x:c r="B1025" t="s">
        <x:v>1590</x:v>
      </x:c>
      <x:c r="C1025" t="s">
        <x:v>2064</x:v>
      </x:c>
    </x:row>
    <x:row r="1026">
      <x:c r="A1026" t="s">
        <x:v>2063</x:v>
      </x:c>
      <x:c r="B1026" t="s">
        <x:v>1590</x:v>
      </x:c>
      <x:c r="C1026" t="s">
        <x:v>2967</x:v>
      </x:c>
    </x:row>
    <x:row r="1027">
      <x:c r="A1027" t="s">
        <x:v>2072</x:v>
      </x:c>
      <x:c r="B1027" t="s">
        <x:v>1590</x:v>
      </x:c>
      <x:c r="C1027" t="s">
        <x:v>3760</x:v>
      </x:c>
    </x:row>
    <x:row r="1028">
      <x:c r="A1028" t="s">
        <x:v>2121</x:v>
      </x:c>
      <x:c r="B1028" t="s">
        <x:v>1590</x:v>
      </x:c>
      <x:c r="C1028" t="s">
        <x:v>3382</x:v>
      </x:c>
    </x:row>
    <x:row r="1029">
      <x:c r="A1029" t="s">
        <x:v>2130</x:v>
      </x:c>
      <x:c r="B1029" t="s">
        <x:v>1590</x:v>
      </x:c>
      <x:c r="C1029" t="s">
        <x:v>3761</x:v>
      </x:c>
    </x:row>
    <x:row r="1030">
      <x:c r="A1030" t="s">
        <x:v>2154</x:v>
      </x:c>
      <x:c r="B1030" t="s">
        <x:v>1590</x:v>
      </x:c>
      <x:c r="C1030" t="s">
        <x:v>3626</x:v>
      </x:c>
    </x:row>
    <x:row r="1031">
      <x:c r="A1031" t="s">
        <x:v>2158</x:v>
      </x:c>
      <x:c r="B1031" t="s">
        <x:v>1590</x:v>
      </x:c>
      <x:c r="C1031" t="s">
        <x:v>3762</x:v>
      </x:c>
    </x:row>
    <x:row r="1032">
      <x:c r="A1032" t="s">
        <x:v>2158</x:v>
      </x:c>
      <x:c r="B1032" t="s">
        <x:v>1590</x:v>
      </x:c>
      <x:c r="C1032" t="s">
        <x:v>3763</x:v>
      </x:c>
    </x:row>
    <x:row r="1033">
      <x:c r="A1033" t="s">
        <x:v>2172</x:v>
      </x:c>
      <x:c r="B1033" t="s">
        <x:v>1590</x:v>
      </x:c>
      <x:c r="C1033" t="s">
        <x:v>3764</x:v>
      </x:c>
    </x:row>
    <x:row r="1034">
      <x:c r="A1034" t="s">
        <x:v>2193</x:v>
      </x:c>
      <x:c r="B1034" t="s">
        <x:v>1590</x:v>
      </x:c>
      <x:c r="C1034" t="s">
        <x:v>3397</x:v>
      </x:c>
    </x:row>
    <x:row r="1035">
      <x:c r="A1035" t="s">
        <x:v>2215</x:v>
      </x:c>
      <x:c r="B1035" t="s">
        <x:v>1590</x:v>
      </x:c>
      <x:c r="C1035" t="s">
        <x:v>3765</x:v>
      </x:c>
    </x:row>
    <x:row r="1036">
      <x:c r="A1036" t="s">
        <x:v>2215</x:v>
      </x:c>
      <x:c r="B1036" t="s">
        <x:v>1590</x:v>
      </x:c>
      <x:c r="C1036" t="s">
        <x:v>1837</x:v>
      </x:c>
    </x:row>
    <x:row r="1037">
      <x:c r="A1037" t="s">
        <x:v>2235</x:v>
      </x:c>
      <x:c r="B1037" t="s">
        <x:v>1590</x:v>
      </x:c>
      <x:c r="C1037" t="s">
        <x:v>3766</x:v>
      </x:c>
    </x:row>
    <x:row r="1038">
      <x:c r="A1038" t="s">
        <x:v>890</x:v>
      </x:c>
      <x:c r="B1038" t="s">
        <x:v>1590</x:v>
      </x:c>
      <x:c r="C1038" t="s">
        <x:v>3767</x:v>
      </x:c>
    </x:row>
    <x:row r="1039">
      <x:c r="A1039" t="s">
        <x:v>2275</x:v>
      </x:c>
      <x:c r="B1039" t="s">
        <x:v>1590</x:v>
      </x:c>
      <x:c r="C1039" t="s">
        <x:v>3768</x:v>
      </x:c>
    </x:row>
    <x:row r="1040">
      <x:c r="A1040" t="s">
        <x:v>2297</x:v>
      </x:c>
      <x:c r="B1040" t="s">
        <x:v>1590</x:v>
      </x:c>
      <x:c r="C1040" t="s">
        <x:v>3440</x:v>
      </x:c>
    </x:row>
    <x:row r="1041">
      <x:c r="A1041" t="s">
        <x:v>2307</x:v>
      </x:c>
      <x:c r="B1041" t="s">
        <x:v>1590</x:v>
      </x:c>
      <x:c r="C1041" t="s">
        <x:v>3444</x:v>
      </x:c>
    </x:row>
    <x:row r="1042">
      <x:c r="A1042" t="s">
        <x:v>2321</x:v>
      </x:c>
      <x:c r="B1042" t="s">
        <x:v>1590</x:v>
      </x:c>
      <x:c r="C1042" t="s">
        <x:v>3447</x:v>
      </x:c>
    </x:row>
    <x:row r="1043">
      <x:c r="A1043" t="s">
        <x:v>2321</x:v>
      </x:c>
      <x:c r="B1043" t="s">
        <x:v>1590</x:v>
      </x:c>
      <x:c r="C1043" t="s">
        <x:v>3769</x:v>
      </x:c>
    </x:row>
    <x:row r="1044">
      <x:c r="A1044" t="s">
        <x:v>2321</x:v>
      </x:c>
      <x:c r="B1044" t="s">
        <x:v>1590</x:v>
      </x:c>
      <x:c r="C1044" t="s">
        <x:v>3450</x:v>
      </x:c>
    </x:row>
    <x:row r="1045">
      <x:c r="A1045" t="s">
        <x:v>2337</x:v>
      </x:c>
      <x:c r="B1045" t="s">
        <x:v>1590</x:v>
      </x:c>
      <x:c r="C1045" t="s">
        <x:v>3770</x:v>
      </x:c>
    </x:row>
    <x:row r="1046">
      <x:c r="A1046" t="s">
        <x:v>2342</x:v>
      </x:c>
      <x:c r="B1046" t="s">
        <x:v>1590</x:v>
      </x:c>
      <x:c r="C1046" t="s">
        <x:v>3206</x:v>
      </x:c>
    </x:row>
    <x:row r="1047">
      <x:c r="A1047" t="s">
        <x:v>173</x:v>
      </x:c>
      <x:c r="B1047" t="s">
        <x:v>1590</x:v>
      </x:c>
      <x:c r="C1047" t="s">
        <x:v>3771</x:v>
      </x:c>
    </x:row>
    <x:row r="1048">
      <x:c r="A1048" t="s">
        <x:v>173</x:v>
      </x:c>
      <x:c r="B1048" t="s">
        <x:v>1590</x:v>
      </x:c>
      <x:c r="C1048" t="s">
        <x:v>3772</x:v>
      </x:c>
    </x:row>
    <x:row r="1049">
      <x:c r="A1049" t="s">
        <x:v>2346</x:v>
      </x:c>
      <x:c r="B1049" t="s">
        <x:v>1590</x:v>
      </x:c>
      <x:c r="C1049" t="s">
        <x:v>3773</x:v>
      </x:c>
    </x:row>
    <x:row r="1050">
      <x:c r="A1050" t="s">
        <x:v>2346</x:v>
      </x:c>
      <x:c r="B1050" t="s">
        <x:v>1590</x:v>
      </x:c>
      <x:c r="C1050" t="s">
        <x:v>3774</x:v>
      </x:c>
    </x:row>
    <x:row r="1051">
      <x:c r="A1051" t="s">
        <x:v>2350</x:v>
      </x:c>
      <x:c r="B1051" t="s">
        <x:v>1590</x:v>
      </x:c>
      <x:c r="C1051" t="s">
        <x:v>3775</x:v>
      </x:c>
    </x:row>
    <x:row r="1052">
      <x:c r="A1052" t="s">
        <x:v>2354</x:v>
      </x:c>
      <x:c r="B1052" t="s">
        <x:v>1590</x:v>
      </x:c>
      <x:c r="C1052" t="s">
        <x:v>2351</x:v>
      </x:c>
    </x:row>
    <x:row r="1053">
      <x:c r="A1053" t="s">
        <x:v>1180</x:v>
      </x:c>
      <x:c r="B1053" t="s">
        <x:v>1590</x:v>
      </x:c>
      <x:c r="C1053" t="s">
        <x:v>3333</x:v>
      </x:c>
    </x:row>
    <x:row r="1054">
      <x:c r="A1054" t="s">
        <x:v>1180</x:v>
      </x:c>
      <x:c r="B1054" t="s">
        <x:v>1590</x:v>
      </x:c>
      <x:c r="C1054" t="s">
        <x:v>3776</x:v>
      </x:c>
    </x:row>
    <x:row r="1055">
      <x:c r="A1055" t="s">
        <x:v>1180</x:v>
      </x:c>
      <x:c r="B1055" t="s">
        <x:v>1590</x:v>
      </x:c>
      <x:c r="C1055" t="s">
        <x:v>3777</x:v>
      </x:c>
    </x:row>
    <x:row r="1056">
      <x:c r="A1056" t="s">
        <x:v>1180</x:v>
      </x:c>
      <x:c r="B1056" t="s">
        <x:v>1590</x:v>
      </x:c>
      <x:c r="C1056" t="s">
        <x:v>3778</x:v>
      </x:c>
    </x:row>
    <x:row r="1057">
      <x:c r="A1057" t="s">
        <x:v>1180</x:v>
      </x:c>
      <x:c r="B1057" t="s">
        <x:v>1615</x:v>
      </x:c>
      <x:c r="C1057" t="s">
        <x:v>3779</x:v>
      </x:c>
    </x:row>
    <x:row r="1058">
      <x:c r="A1058" t="s">
        <x:v>1315</x:v>
      </x:c>
      <x:c r="B1058" t="s">
        <x:v>1590</x:v>
      </x:c>
      <x:c r="C1058" t="s">
        <x:v>3780</x:v>
      </x:c>
    </x:row>
    <x:row r="1059">
      <x:c r="A1059" t="s">
        <x:v>2377</x:v>
      </x:c>
      <x:c r="B1059" t="s">
        <x:v>1590</x:v>
      </x:c>
      <x:c r="C1059" t="s">
        <x:v>3781</x:v>
      </x:c>
    </x:row>
    <x:row r="1060">
      <x:c r="A1060" t="s">
        <x:v>2400</x:v>
      </x:c>
      <x:c r="B1060" t="s">
        <x:v>1590</x:v>
      </x:c>
      <x:c r="C1060" t="s">
        <x:v>3782</x:v>
      </x:c>
    </x:row>
    <x:row r="1061">
      <x:c r="A1061" t="s">
        <x:v>2430</x:v>
      </x:c>
      <x:c r="B1061" t="s">
        <x:v>1590</x:v>
      </x:c>
      <x:c r="C1061" t="s">
        <x:v>3783</x:v>
      </x:c>
    </x:row>
    <x:row r="1062">
      <x:c r="A1062" t="s">
        <x:v>2466</x:v>
      </x:c>
      <x:c r="B1062" t="s">
        <x:v>1590</x:v>
      </x:c>
      <x:c r="C1062" t="s">
        <x:v>3784</x:v>
      </x:c>
    </x:row>
    <x:row r="1063">
      <x:c r="A1063" t="s">
        <x:v>2473</x:v>
      </x:c>
      <x:c r="B1063" t="s">
        <x:v>1590</x:v>
      </x:c>
      <x:c r="C1063" t="s">
        <x:v>3785</x:v>
      </x:c>
    </x:row>
    <x:row r="1064">
      <x:c r="A1064" t="s">
        <x:v>2477</x:v>
      </x:c>
      <x:c r="B1064" t="s">
        <x:v>1602</x:v>
      </x:c>
      <x:c r="C1064" t="s">
        <x:v>3786</x:v>
      </x:c>
    </x:row>
    <x:row r="1065">
      <x:c r="A1065" t="s">
        <x:v>2477</x:v>
      </x:c>
      <x:c r="B1065" t="s">
        <x:v>1615</x:v>
      </x:c>
      <x:c r="C1065" t="s">
        <x:v>1698</x:v>
      </x:c>
    </x:row>
    <x:row r="1066">
      <x:c r="A1066" t="s">
        <x:v>2477</x:v>
      </x:c>
      <x:c r="B1066" t="s">
        <x:v>1590</x:v>
      </x:c>
      <x:c r="C1066" t="s">
        <x:v>1678</x:v>
      </x:c>
    </x:row>
    <x:row r="1067">
      <x:c r="A1067" t="s">
        <x:v>2481</x:v>
      </x:c>
      <x:c r="B1067" t="s">
        <x:v>1590</x:v>
      </x:c>
      <x:c r="C1067" t="s">
        <x:v>3448</x:v>
      </x:c>
    </x:row>
    <x:row r="1068">
      <x:c r="A1068" t="s">
        <x:v>2481</x:v>
      </x:c>
      <x:c r="B1068" t="s">
        <x:v>1590</x:v>
      </x:c>
      <x:c r="C1068" t="s">
        <x:v>3787</x:v>
      </x:c>
    </x:row>
    <x:row r="1069">
      <x:c r="A1069" t="s">
        <x:v>1347</x:v>
      </x:c>
      <x:c r="B1069" t="s">
        <x:v>1590</x:v>
      </x:c>
      <x:c r="C1069" t="s">
        <x:v>3788</x:v>
      </x:c>
    </x:row>
    <x:row r="1070">
      <x:c r="A1070" t="s">
        <x:v>2490</x:v>
      </x:c>
      <x:c r="B1070" t="s">
        <x:v>1590</x:v>
      </x:c>
      <x:c r="C1070" t="s">
        <x:v>3789</x:v>
      </x:c>
    </x:row>
    <x:row r="1071">
      <x:c r="A1071" t="s">
        <x:v>2510</x:v>
      </x:c>
      <x:c r="B1071" t="s">
        <x:v>1590</x:v>
      </x:c>
      <x:c r="C1071" t="s">
        <x:v>3790</x:v>
      </x:c>
    </x:row>
    <x:row r="1072">
      <x:c r="A1072" t="s">
        <x:v>2515</x:v>
      </x:c>
      <x:c r="B1072" t="s">
        <x:v>1590</x:v>
      </x:c>
      <x:c r="C1072" t="s">
        <x:v>3791</x:v>
      </x:c>
    </x:row>
    <x:row r="1073">
      <x:c r="A1073" t="s">
        <x:v>2515</x:v>
      </x:c>
      <x:c r="B1073" t="s">
        <x:v>1590</x:v>
      </x:c>
      <x:c r="C1073" t="s">
        <x:v>1851</x:v>
      </x:c>
    </x:row>
    <x:row r="1074">
      <x:c r="A1074" t="s">
        <x:v>2519</x:v>
      </x:c>
      <x:c r="B1074" t="s">
        <x:v>1630</x:v>
      </x:c>
      <x:c r="C1074" t="s">
        <x:v>3792</x:v>
      </x:c>
    </x:row>
    <x:row r="1075">
      <x:c r="A1075" t="s">
        <x:v>2535</x:v>
      </x:c>
      <x:c r="B1075" t="s">
        <x:v>1590</x:v>
      </x:c>
      <x:c r="C1075" t="s">
        <x:v>3535</x:v>
      </x:c>
    </x:row>
    <x:row r="1076">
      <x:c r="A1076" t="s">
        <x:v>2564</x:v>
      </x:c>
      <x:c r="B1076" t="s">
        <x:v>1590</x:v>
      </x:c>
      <x:c r="C1076" t="s">
        <x:v>3793</x:v>
      </x:c>
    </x:row>
    <x:row r="1077">
      <x:c r="A1077" t="s">
        <x:v>2564</x:v>
      </x:c>
      <x:c r="B1077" t="s">
        <x:v>1590</x:v>
      </x:c>
      <x:c r="C1077" t="s">
        <x:v>3554</x:v>
      </x:c>
    </x:row>
    <x:row r="1078">
      <x:c r="A1078" t="s">
        <x:v>2564</x:v>
      </x:c>
      <x:c r="B1078" t="s">
        <x:v>1590</x:v>
      </x:c>
      <x:c r="C1078" t="s">
        <x:v>3557</x:v>
      </x:c>
    </x:row>
    <x:row r="1079">
      <x:c r="A1079" t="s">
        <x:v>2564</x:v>
      </x:c>
      <x:c r="B1079" t="s">
        <x:v>1590</x:v>
      </x:c>
      <x:c r="C1079" t="s">
        <x:v>3560</x:v>
      </x:c>
    </x:row>
    <x:row r="1080">
      <x:c r="A1080" t="s">
        <x:v>2614</x:v>
      </x:c>
      <x:c r="B1080" t="s">
        <x:v>1590</x:v>
      </x:c>
      <x:c r="C1080" t="s">
        <x:v>3794</x:v>
      </x:c>
    </x:row>
    <x:row r="1081">
      <x:c r="A1081" t="s">
        <x:v>2661</x:v>
      </x:c>
      <x:c r="B1081" t="s">
        <x:v>1590</x:v>
      </x:c>
      <x:c r="C1081" t="s">
        <x:v>3795</x:v>
      </x:c>
    </x:row>
    <x:row r="1082">
      <x:c r="A1082" t="s">
        <x:v>2661</x:v>
      </x:c>
      <x:c r="B1082" t="s">
        <x:v>1590</x:v>
      </x:c>
      <x:c r="C1082" t="s">
        <x:v>2626</x:v>
      </x:c>
    </x:row>
    <x:row r="1083">
      <x:c r="A1083" t="s">
        <x:v>2661</x:v>
      </x:c>
      <x:c r="B1083" t="s">
        <x:v>1590</x:v>
      </x:c>
      <x:c r="C1083" t="s">
        <x:v>3585</x:v>
      </x:c>
    </x:row>
    <x:row r="1084">
      <x:c r="A1084" t="s">
        <x:v>2681</x:v>
      </x:c>
      <x:c r="B1084" t="s">
        <x:v>1590</x:v>
      </x:c>
      <x:c r="C1084" t="s">
        <x:v>2051</x:v>
      </x:c>
    </x:row>
    <x:row r="1085">
      <x:c r="A1085" t="s">
        <x:v>2699</x:v>
      </x:c>
      <x:c r="B1085" t="s">
        <x:v>1590</x:v>
      </x:c>
      <x:c r="C1085" t="s">
        <x:v>3796</x:v>
      </x:c>
    </x:row>
    <x:row r="1086">
      <x:c r="A1086" t="s">
        <x:v>2743</x:v>
      </x:c>
      <x:c r="B1086" t="s">
        <x:v>1590</x:v>
      </x:c>
      <x:c r="C1086" t="s">
        <x:v>3797</x:v>
      </x:c>
    </x:row>
    <x:row r="1087">
      <x:c r="A1087" t="s">
        <x:v>2743</x:v>
      </x:c>
      <x:c r="B1087" t="s">
        <x:v>1590</x:v>
      </x:c>
      <x:c r="C1087" t="s">
        <x:v>3603</x:v>
      </x:c>
    </x:row>
    <x:row r="1088">
      <x:c r="A1088" t="s">
        <x:v>2743</x:v>
      </x:c>
      <x:c r="B1088" t="s">
        <x:v>1590</x:v>
      </x:c>
      <x:c r="C1088" t="s">
        <x:v>3798</x:v>
      </x:c>
    </x:row>
    <x:row r="1089">
      <x:c r="A1089" t="s">
        <x:v>2743</x:v>
      </x:c>
      <x:c r="B1089" t="s">
        <x:v>1590</x:v>
      </x:c>
      <x:c r="C1089" t="s">
        <x:v>3606</x:v>
      </x:c>
    </x:row>
    <x:row r="1090">
      <x:c r="A1090" t="s">
        <x:v>2743</x:v>
      </x:c>
      <x:c r="B1090" t="s">
        <x:v>1590</x:v>
      </x:c>
      <x:c r="C1090" t="s">
        <x:v>3799</x:v>
      </x:c>
    </x:row>
    <x:row r="1091">
      <x:c r="A1091" t="s">
        <x:v>2783</x:v>
      </x:c>
      <x:c r="B1091" t="s">
        <x:v>1590</x:v>
      </x:c>
      <x:c r="C1091" t="s">
        <x:v>2784</x:v>
      </x:c>
    </x:row>
    <x:row r="1092">
      <x:c r="A1092" t="s">
        <x:v>2793</x:v>
      </x:c>
      <x:c r="B1092" t="s">
        <x:v>1615</x:v>
      </x:c>
      <x:c r="C1092" t="s">
        <x:v>1797</x:v>
      </x:c>
    </x:row>
    <x:row r="1093">
      <x:c r="A1093" t="s">
        <x:v>2802</x:v>
      </x:c>
      <x:c r="B1093" t="s">
        <x:v>1590</x:v>
      </x:c>
      <x:c r="C1093" t="s">
        <x:v>3800</x:v>
      </x:c>
    </x:row>
    <x:row r="1094">
      <x:c r="A1094" t="s">
        <x:v>2807</x:v>
      </x:c>
      <x:c r="B1094" t="s">
        <x:v>1590</x:v>
      </x:c>
      <x:c r="C1094" t="s">
        <x:v>2808</x:v>
      </x:c>
    </x:row>
    <x:row r="1095">
      <x:c r="A1095" t="s">
        <x:v>2807</x:v>
      </x:c>
      <x:c r="B1095" t="s">
        <x:v>1590</x:v>
      </x:c>
      <x:c r="C1095" t="s">
        <x:v>3801</x:v>
      </x:c>
    </x:row>
    <x:row r="1096">
      <x:c r="A1096" t="s">
        <x:v>2816</x:v>
      </x:c>
      <x:c r="B1096" t="s">
        <x:v>1602</x:v>
      </x:c>
      <x:c r="C1096" t="s">
        <x:v>1902</x:v>
      </x:c>
    </x:row>
    <x:row r="1097">
      <x:c r="A1097" t="s">
        <x:v>2853</x:v>
      </x:c>
      <x:c r="B1097" t="s">
        <x:v>1590</x:v>
      </x:c>
      <x:c r="C1097" t="s">
        <x:v>3802</x:v>
      </x:c>
    </x:row>
    <x:row r="1098">
      <x:c r="A1098" t="s">
        <x:v>2867</x:v>
      </x:c>
      <x:c r="B1098" t="s">
        <x:v>1590</x:v>
      </x:c>
      <x:c r="C1098" t="s">
        <x:v>3803</x:v>
      </x:c>
    </x:row>
    <x:row r="1099">
      <x:c r="A1099" t="s">
        <x:v>2872</x:v>
      </x:c>
      <x:c r="B1099" t="s">
        <x:v>1590</x:v>
      </x:c>
      <x:c r="C1099" t="s">
        <x:v>3804</x:v>
      </x:c>
    </x:row>
    <x:row r="1100">
      <x:c r="A1100" t="s">
        <x:v>2872</x:v>
      </x:c>
      <x:c r="B1100" t="s">
        <x:v>1590</x:v>
      </x:c>
      <x:c r="C1100" t="s">
        <x:v>3805</x:v>
      </x:c>
    </x:row>
    <x:row r="1101">
      <x:c r="A1101" t="s">
        <x:v>2888</x:v>
      </x:c>
      <x:c r="B1101" t="s">
        <x:v>1590</x:v>
      </x:c>
      <x:c r="C1101" t="s">
        <x:v>3806</x:v>
      </x:c>
    </x:row>
    <x:row r="1102">
      <x:c r="A1102" t="s">
        <x:v>2923</x:v>
      </x:c>
      <x:c r="B1102" t="s">
        <x:v>1590</x:v>
      </x:c>
      <x:c r="C1102" t="s">
        <x:v>3807</x:v>
      </x:c>
    </x:row>
    <x:row r="1103">
      <x:c r="A1103" t="s">
        <x:v>2932</x:v>
      </x:c>
      <x:c r="B1103" t="s">
        <x:v>1590</x:v>
      </x:c>
      <x:c r="C1103" t="s">
        <x:v>2651</x:v>
      </x:c>
    </x:row>
    <x:row r="1104">
      <x:c r="A1104" t="s">
        <x:v>2940</x:v>
      </x:c>
      <x:c r="B1104" t="s">
        <x:v>1590</x:v>
      </x:c>
      <x:c r="C1104" t="s">
        <x:v>3653</x:v>
      </x:c>
    </x:row>
    <x:row r="1105">
      <x:c r="A1105" t="s">
        <x:v>2954</x:v>
      </x:c>
      <x:c r="B1105" t="s">
        <x:v>1588</x:v>
      </x:c>
      <x:c r="C1105" t="s">
        <x:v>3808</x:v>
      </x:c>
    </x:row>
    <x:row r="1106">
      <x:c r="A1106" t="s">
        <x:v>2954</x:v>
      </x:c>
      <x:c r="B1106" t="s">
        <x:v>1588</x:v>
      </x:c>
      <x:c r="C1106" t="s">
        <x:v>3809</x:v>
      </x:c>
    </x:row>
    <x:row r="1107">
      <x:c r="A1107" t="s">
        <x:v>2977</x:v>
      </x:c>
      <x:c r="B1107" t="s">
        <x:v>1590</x:v>
      </x:c>
      <x:c r="C1107" t="s">
        <x:v>2978</x:v>
      </x:c>
    </x:row>
    <x:row r="1108">
      <x:c r="A1108" t="s">
        <x:v>3024</x:v>
      </x:c>
      <x:c r="B1108" t="s">
        <x:v>1590</x:v>
      </x:c>
      <x:c r="C1108" t="s">
        <x:v>3810</x:v>
      </x:c>
    </x:row>
    <x:row r="1109">
      <x:c r="A1109" t="s">
        <x:v>3028</x:v>
      </x:c>
      <x:c r="B1109" t="s">
        <x:v>1602</x:v>
      </x:c>
      <x:c r="C1109" t="s">
        <x:v>1698</x:v>
      </x:c>
    </x:row>
    <x:row r="1110">
      <x:c r="A1110" t="s">
        <x:v>3032</x:v>
      </x:c>
      <x:c r="B1110" t="s">
        <x:v>1590</x:v>
      </x:c>
      <x:c r="C1110" t="s">
        <x:v>3670</x:v>
      </x:c>
    </x:row>
    <x:row r="1111">
      <x:c r="A1111" t="s">
        <x:v>3032</x:v>
      </x:c>
      <x:c r="B1111" t="s">
        <x:v>1590</x:v>
      </x:c>
      <x:c r="C1111" t="s">
        <x:v>3673</x:v>
      </x:c>
    </x:row>
    <x:row r="1112">
      <x:c r="A1112" t="s">
        <x:v>3039</x:v>
      </x:c>
      <x:c r="B1112" t="s">
        <x:v>1590</x:v>
      </x:c>
      <x:c r="C1112" t="s">
        <x:v>3811</x:v>
      </x:c>
    </x:row>
    <x:row r="1113">
      <x:c r="A1113" t="s">
        <x:v>3039</x:v>
      </x:c>
      <x:c r="B1113" t="s">
        <x:v>1590</x:v>
      </x:c>
      <x:c r="C1113" t="s">
        <x:v>3812</x:v>
      </x:c>
    </x:row>
    <x:row r="1114">
      <x:c r="A1114" t="s">
        <x:v>794</x:v>
      </x:c>
      <x:c r="B1114" t="s">
        <x:v>1590</x:v>
      </x:c>
      <x:c r="C1114" t="s">
        <x:v>3813</x:v>
      </x:c>
    </x:row>
    <x:row r="1115">
      <x:c r="A1115" t="s">
        <x:v>3050</x:v>
      </x:c>
      <x:c r="B1115" t="s">
        <x:v>1590</x:v>
      </x:c>
      <x:c r="C1115" t="s">
        <x:v>3814</x:v>
      </x:c>
    </x:row>
    <x:row r="1116">
      <x:c r="A1116" t="s">
        <x:v>3066</x:v>
      </x:c>
      <x:c r="B1116" t="s">
        <x:v>1590</x:v>
      </x:c>
      <x:c r="C1116" t="s">
        <x:v>3691</x:v>
      </x:c>
    </x:row>
    <x:row r="1117">
      <x:c r="A1117" t="s">
        <x:v>3088</x:v>
      </x:c>
      <x:c r="B1117" t="s">
        <x:v>1590</x:v>
      </x:c>
      <x:c r="C1117" t="s">
        <x:v>3700</x:v>
      </x:c>
    </x:row>
    <x:row r="1118">
      <x:c r="A1118" t="s">
        <x:v>1334</x:v>
      </x:c>
      <x:c r="B1118" t="s">
        <x:v>1590</x:v>
      </x:c>
      <x:c r="C1118" t="s">
        <x:v>3815</x:v>
      </x:c>
    </x:row>
    <x:row r="1119">
      <x:c r="A1119" t="s">
        <x:v>916</x:v>
      </x:c>
      <x:c r="B1119" t="s">
        <x:v>1590</x:v>
      </x:c>
      <x:c r="C1119" t="s">
        <x:v>3145</x:v>
      </x:c>
    </x:row>
    <x:row r="1120">
      <x:c r="A1120" t="s">
        <x:v>3154</x:v>
      </x:c>
      <x:c r="B1120" t="s">
        <x:v>1590</x:v>
      </x:c>
      <x:c r="C1120" t="s">
        <x:v>3816</x:v>
      </x:c>
    </x:row>
    <x:row r="1121">
      <x:c r="A1121" t="s">
        <x:v>3174</x:v>
      </x:c>
      <x:c r="B1121" t="s">
        <x:v>1590</x:v>
      </x:c>
      <x:c r="C1121" t="s">
        <x:v>1902</x:v>
      </x:c>
    </x:row>
    <x:row r="1122">
      <x:c r="A1122" t="s">
        <x:v>3183</x:v>
      </x:c>
      <x:c r="B1122" t="s">
        <x:v>1590</x:v>
      </x:c>
      <x:c r="C1122" t="s">
        <x:v>3817</x:v>
      </x:c>
    </x:row>
    <x:row r="1123">
      <x:c r="A1123" t="s">
        <x:v>3183</x:v>
      </x:c>
      <x:c r="B1123" t="s">
        <x:v>1590</x:v>
      </x:c>
      <x:c r="C1123" t="s">
        <x:v>1792</x:v>
      </x:c>
    </x:row>
    <x:row r="1124">
      <x:c r="A1124" t="s">
        <x:v>3212</x:v>
      </x:c>
      <x:c r="B1124" t="s">
        <x:v>1590</x:v>
      </x:c>
      <x:c r="C1124" t="s">
        <x:v>3818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42578125" customWidth="1"/>
    <x:col min="2" max="2" width="13.7109375" customWidth="1"/>
    <x:col min="3" max="3" width="34.140625" customWidth="1"/>
    <x:col min="4" max="4" width="34" hidden="0" customWidth="1"/>
    <x:col min="5" max="5" width="16" hidden="0" customWidth="1"/>
  </x:cols>
  <x:sheetData>
    <x:row r="1">
      <x:c r="A1" s="1" t="s">
        <x:v>13</x:v>
      </x:c>
      <x:c r="B1" s="1" t="s">
        <x:v>3819</x:v>
      </x:c>
      <x:c r="C1" s="1" t="s">
        <x:v>17</x:v>
      </x:c>
      <x:c r="D1" s="140" t="str">
        <x:v>Normalized Email</x:v>
      </x:c>
      <x:c r="E1" s="152" t="str">
        <x:v>Unique Email?</x:v>
      </x:c>
    </x:row>
    <x:row r="2">
      <x:c r="A2" t="s">
        <x:v>3820</x:v>
      </x:c>
      <x:c r="B2" t="s">
        <x:v>3821</x:v>
      </x:c>
      <x:c r="C2" t="s">
        <x:v>2895</x:v>
      </x:c>
      <x:c r="D2" t="str">
        <x:f>LOWER(TRIM(SUBSTITUTE(C2,CHAR(160)," ")))</x:f>
        <x:v>aaliya.nubheebucus@pwc.com</x:v>
      </x:c>
      <x:c r="E2" t="n">
        <x:f>IF(D2="","",IF(COUNTIF($D$2:D2,D2)=1,1,0))</x:f>
        <x:v>1</x:v>
      </x:c>
    </x:row>
    <x:row r="3">
      <x:c r="A3" t="s">
        <x:v>3822</x:v>
      </x:c>
      <x:c r="B3" t="s">
        <x:v>3823</x:v>
      </x:c>
      <x:c r="C3" t="s">
        <x:v>2880</x:v>
      </x:c>
      <x:c r="D3" t="str">
        <x:f>LOWER(TRIM(SUBSTITUTE(C3,CHAR(160)," ")))</x:f>
        <x:v>abdulswamadu.ssekajja@pwc.com</x:v>
      </x:c>
      <x:c r="E3" t="n">
        <x:f>IF(D3="","",IF(COUNTIF($D$2:D3,D3)=1,1,0))</x:f>
        <x:v>1</x:v>
      </x:c>
    </x:row>
    <x:row r="4">
      <x:c r="A4" t="s">
        <x:v>3824</x:v>
      </x:c>
      <x:c r="B4" t="s">
        <x:v>3825</x:v>
      </x:c>
      <x:c r="C4" t="s">
        <x:v>2493</x:v>
      </x:c>
      <x:c r="D4" t="str">
        <x:f>LOWER(TRIM(SUBSTITUTE(C4,CHAR(160)," ")))</x:f>
        <x:v>abel.legesse@pwc.com</x:v>
      </x:c>
      <x:c r="E4" t="n">
        <x:f>IF(D4="","",IF(COUNTIF($D$2:D4,D4)=1,1,0))</x:f>
        <x:v>1</x:v>
      </x:c>
    </x:row>
    <x:row r="5">
      <x:c r="A5" t="s">
        <x:v>3826</x:v>
      </x:c>
      <x:c r="B5" t="s">
        <x:v>3825</x:v>
      </x:c>
      <x:c r="C5" t="s">
        <x:v>1194</x:v>
      </x:c>
      <x:c r="D5" t="str">
        <x:f>LOWER(TRIM(SUBSTITUTE(C5,CHAR(160)," ")))</x:f>
        <x:v>abigael.kimani@pwc.com</x:v>
      </x:c>
      <x:c r="E5" t="n">
        <x:f>IF(D5="","",IF(COUNTIF($D$2:D5,D5)=1,1,0))</x:f>
        <x:v>1</x:v>
      </x:c>
    </x:row>
    <x:row r="6">
      <x:c r="A6" t="s">
        <x:v>3827</x:v>
      </x:c>
      <x:c r="B6" t="s">
        <x:v>3825</x:v>
      </x:c>
      <x:c r="C6" t="s">
        <x:v>2420</x:v>
      </x:c>
      <x:c r="D6" t="str">
        <x:f>LOWER(TRIM(SUBSTITUTE(C6,CHAR(160)," ")))</x:f>
        <x:v>adrian.oile@pwc.com</x:v>
      </x:c>
      <x:c r="E6" t="n">
        <x:f>IF(D6="","",IF(COUNTIF($D$2:D6,D6)=1,1,0))</x:f>
        <x:v>1</x:v>
      </x:c>
    </x:row>
    <x:row r="7">
      <x:c r="A7" t="s">
        <x:v>3828</x:v>
      </x:c>
      <x:c r="B7" t="s">
        <x:v>3829</x:v>
      </x:c>
      <x:c r="C7" t="s">
        <x:v>1324</x:v>
      </x:c>
      <x:c r="D7" t="str">
        <x:f>LOWER(TRIM(SUBSTITUTE(C7,CHAR(160)," ")))</x:f>
        <x:v>aime.niyokwizerwa@pwc.com</x:v>
      </x:c>
      <x:c r="E7" t="n">
        <x:f>IF(D7="","",IF(COUNTIF($D$2:D7,D7)=1,1,0))</x:f>
        <x:v>1</x:v>
      </x:c>
    </x:row>
    <x:row r="8">
      <x:c r="A8" t="s">
        <x:v>3830</x:v>
      </x:c>
      <x:c r="B8" t="s">
        <x:v>3825</x:v>
      </x:c>
      <x:c r="C8" t="s">
        <x:v>518</x:v>
      </x:c>
      <x:c r="D8" t="str">
        <x:f>LOWER(TRIM(SUBSTITUTE(C8,CHAR(160)," ")))</x:f>
        <x:v>akinyemi.awodumila@pwc.com</x:v>
      </x:c>
      <x:c r="E8" t="n">
        <x:f>IF(D8="","",IF(COUNTIF($D$2:D8,D8)=1,1,0))</x:f>
        <x:v>1</x:v>
      </x:c>
    </x:row>
    <x:row r="9">
      <x:c r="A9" t="s">
        <x:v>3831</x:v>
      </x:c>
      <x:c r="B9" t="s">
        <x:v>3825</x:v>
      </x:c>
      <x:c r="C9" t="s">
        <x:v>857</x:v>
      </x:c>
      <x:c r="D9" t="str">
        <x:f>LOWER(TRIM(SUBSTITUTE(C9,CHAR(160)," ")))</x:f>
        <x:v>alfred.mwendwa@pwc.com</x:v>
      </x:c>
      <x:c r="E9" t="n">
        <x:f>IF(D9="","",IF(COUNTIF($D$2:D9,D9)=1,1,0))</x:f>
        <x:v>1</x:v>
      </x:c>
    </x:row>
    <x:row r="10">
      <x:c r="A10" t="s">
        <x:v>3832</x:v>
      </x:c>
      <x:c r="B10" t="s">
        <x:v>3829</x:v>
      </x:c>
      <x:c r="C10" t="s">
        <x:v>577</x:v>
      </x:c>
      <x:c r="D10" t="str">
        <x:f>LOWER(TRIM(SUBSTITUTE(C10,CHAR(160)," ")))</x:f>
        <x:v>alice.muchemi@pwc.com</x:v>
      </x:c>
      <x:c r="E10" t="n">
        <x:f>IF(D10="","",IF(COUNTIF($D$2:D10,D10)=1,1,0))</x:f>
        <x:v>1</x:v>
      </x:c>
    </x:row>
    <x:row r="11">
      <x:c r="A11" t="s">
        <x:v>3833</x:v>
      </x:c>
      <x:c r="B11" t="s">
        <x:v>3825</x:v>
      </x:c>
      <x:c r="C11" t="s">
        <x:v>602</x:v>
      </x:c>
      <x:c r="D11" t="str">
        <x:f>LOWER(TRIM(SUBSTITUTE(C11,CHAR(160)," ")))</x:f>
        <x:v>alice.nderitu@pwc.com</x:v>
      </x:c>
      <x:c r="E11" t="n">
        <x:f>IF(D11="","",IF(COUNTIF($D$2:D11,D11)=1,1,0))</x:f>
        <x:v>1</x:v>
      </x:c>
    </x:row>
    <x:row r="12">
      <x:c r="A12" t="s">
        <x:v>3834</x:v>
      </x:c>
      <x:c r="B12" t="s">
        <x:v>3825</x:v>
      </x:c>
      <x:c r="C12" t="s">
        <x:v>645</x:v>
      </x:c>
      <x:c r="D12" t="str">
        <x:f>LOWER(TRIM(SUBSTITUTE(C12,CHAR(160)," ")))</x:f>
        <x:v>alice.ngetich@pwc.com</x:v>
      </x:c>
      <x:c r="E12" t="n">
        <x:f>IF(D12="","",IF(COUNTIF($D$2:D12,D12)=1,1,0))</x:f>
        <x:v>1</x:v>
      </x:c>
    </x:row>
    <x:row r="13">
      <x:c r="A13" t="s">
        <x:v>3835</x:v>
      </x:c>
      <x:c r="B13" t="s">
        <x:v>3836</x:v>
      </x:c>
      <x:c r="C13" t="s">
        <x:v>2539</x:v>
      </x:c>
      <x:c r="D13" t="str">
        <x:f>LOWER(TRIM(SUBSTITUTE(C13,CHAR(160)," ")))</x:f>
        <x:v>allen.alfred@pwc.com</x:v>
      </x:c>
      <x:c r="E13" t="n">
        <x:f>IF(D13="","",IF(COUNTIF($D$2:D13,D13)=1,1,0))</x:f>
        <x:v>1</x:v>
      </x:c>
    </x:row>
    <x:row r="14">
      <x:c r="A14" t="s">
        <x:v>3837</x:v>
      </x:c>
      <x:c r="B14" t="s">
        <x:v>3829</x:v>
      </x:c>
      <x:c r="C14" t="s">
        <x:v>744</x:v>
      </x:c>
      <x:c r="D14" t="str">
        <x:f>LOWER(TRIM(SUBSTITUTE(C14,CHAR(160)," ")))</x:f>
        <x:v>alpha.mukazi@pwc.com</x:v>
      </x:c>
      <x:c r="E14" t="n">
        <x:f>IF(D14="","",IF(COUNTIF($D$2:D14,D14)=1,1,0))</x:f>
        <x:v>1</x:v>
      </x:c>
    </x:row>
    <x:row r="15">
      <x:c r="A15" t="s">
        <x:v>3838</x:v>
      </x:c>
      <x:c r="B15" t="s">
        <x:v>3836</x:v>
      </x:c>
      <x:c r="C15" t="s">
        <x:v>853</x:v>
      </x:c>
      <x:c r="D15" t="str">
        <x:f>LOWER(TRIM(SUBSTITUTE(C15,CHAR(160)," ")))</x:f>
        <x:v>alphonce.o.odhiambo@pwc.com</x:v>
      </x:c>
      <x:c r="E15" t="n">
        <x:f>IF(D15="","",IF(COUNTIF($D$2:D15,D15)=1,1,0))</x:f>
        <x:v>1</x:v>
      </x:c>
    </x:row>
    <x:row r="16">
      <x:c r="A16" t="s">
        <x:v>3839</x:v>
      </x:c>
      <x:c r="B16" t="s">
        <x:v>3825</x:v>
      </x:c>
      <x:c r="C16" t="s">
        <x:v>1883</x:v>
      </x:c>
      <x:c r="D16" t="str">
        <x:f>LOWER(TRIM(SUBSTITUTE(C16,CHAR(160)," ")))</x:f>
        <x:v>altar.inganji@pwc.com</x:v>
      </x:c>
      <x:c r="E16" t="n">
        <x:f>IF(D16="","",IF(COUNTIF($D$2:D16,D16)=1,1,0))</x:f>
        <x:v>1</x:v>
      </x:c>
    </x:row>
    <x:row r="17">
      <x:c r="A17" t="s">
        <x:v>3840</x:v>
      </x:c>
      <x:c r="B17" t="s">
        <x:v>3825</x:v>
      </x:c>
      <x:c r="C17" t="s">
        <x:v>574</x:v>
      </x:c>
      <x:c r="D17" t="str">
        <x:f>LOWER(TRIM(SUBSTITUTE(C17,CHAR(160)," ")))</x:f>
        <x:v>alvine.oyonga@pwc.com</x:v>
      </x:c>
      <x:c r="E17" t="n">
        <x:f>IF(D17="","",IF(COUNTIF($D$2:D17,D17)=1,1,0))</x:f>
        <x:v>1</x:v>
      </x:c>
    </x:row>
    <x:row r="18">
      <x:c r="A18" t="s">
        <x:v>3841</x:v>
      </x:c>
      <x:c r="B18" t="s">
        <x:v>3836</x:v>
      </x:c>
      <x:c r="C18" t="s">
        <x:v>1875</x:v>
      </x:c>
      <x:c r="D18" t="str">
        <x:f>LOWER(TRIM(SUBSTITUTE(C18,CHAR(160)," ")))</x:f>
        <x:v>amani.mbajo@pwc.com</x:v>
      </x:c>
      <x:c r="E18" t="n">
        <x:f>IF(D18="","",IF(COUNTIF($D$2:D18,D18)=1,1,0))</x:f>
        <x:v>1</x:v>
      </x:c>
    </x:row>
    <x:row r="19">
      <x:c r="A19" t="s">
        <x:v>3842</x:v>
      </x:c>
      <x:c r="B19" t="s">
        <x:v>3836</x:v>
      </x:c>
      <x:c r="C19" t="s">
        <x:v>3201</x:v>
      </x:c>
      <x:c r="D19" t="str">
        <x:f>LOWER(TRIM(SUBSTITUTE(C19,CHAR(160)," ")))</x:f>
        <x:v>amos.masangwa@pwc.com</x:v>
      </x:c>
      <x:c r="E19" t="n">
        <x:f>IF(D19="","",IF(COUNTIF($D$2:D19,D19)=1,1,0))</x:f>
        <x:v>1</x:v>
      </x:c>
    </x:row>
    <x:row r="20">
      <x:c r="A20" t="s">
        <x:v>3843</x:v>
      </x:c>
      <x:c r="B20" t="s">
        <x:v>3844</x:v>
      </x:c>
      <x:c r="C20" t="s">
        <x:v>446</x:v>
      </x:c>
      <x:c r="D20" t="str">
        <x:f>LOWER(TRIM(SUBSTITUTE(C20,CHAR(160)," ")))</x:f>
        <x:v>andrew.chibuye@pwc.com</x:v>
      </x:c>
      <x:c r="E20" t="n">
        <x:f>IF(D20="","",IF(COUNTIF($D$2:D20,D20)=1,1,0))</x:f>
        <x:v>1</x:v>
      </x:c>
    </x:row>
    <x:row r="21">
      <x:c r="A21" t="s">
        <x:v>3845</x:v>
      </x:c>
      <x:c r="B21" t="s">
        <x:v>3825</x:v>
      </x:c>
      <x:c r="C21" t="s">
        <x:v>2206</x:v>
      </x:c>
      <x:c r="D21" t="str">
        <x:f>LOWER(TRIM(SUBSTITUTE(C21,CHAR(160)," ")))</x:f>
        <x:v>andrew.musyimi@pwc.com</x:v>
      </x:c>
      <x:c r="E21" t="n">
        <x:f>IF(D21="","",IF(COUNTIF($D$2:D21,D21)=1,1,0))</x:f>
        <x:v>1</x:v>
      </x:c>
    </x:row>
    <x:row r="22">
      <x:c r="A22" t="s">
        <x:v>3846</x:v>
      </x:c>
      <x:c r="B22" t="s">
        <x:v>3847</x:v>
      </x:c>
      <x:c r="C22" t="s">
        <x:v>48</x:v>
      </x:c>
      <x:c r="D22" t="str">
        <x:f>LOWER(TRIM(SUBSTITUTE(C22,CHAR(160)," ")))</x:f>
        <x:v>anel.eksteen@pwc.com</x:v>
      </x:c>
      <x:c r="E22" t="n">
        <x:f>IF(D22="","",IF(COUNTIF($D$2:D22,D22)=1,1,0))</x:f>
        <x:v>1</x:v>
      </x:c>
    </x:row>
    <x:row r="23">
      <x:c r="A23" t="s">
        <x:v>3848</x:v>
      </x:c>
      <x:c r="B23" t="s">
        <x:v>3836</x:v>
      </x:c>
      <x:c r="C23" t="s">
        <x:v>3849</x:v>
      </x:c>
      <x:c r="D23" t="str">
        <x:f>LOWER(TRIM(SUBSTITUTE(C23,CHAR(160)," ")))</x:f>
        <x:v>anesius.kambei@pwc.com</x:v>
      </x:c>
      <x:c r="E23" t="n">
        <x:f>IF(D23="","",IF(COUNTIF($D$2:D23,D23)=1,1,0))</x:f>
        <x:v>1</x:v>
      </x:c>
    </x:row>
    <x:row r="24">
      <x:c r="A24" t="s">
        <x:v>3850</x:v>
      </x:c>
      <x:c r="B24" t="s">
        <x:v>3836</x:v>
      </x:c>
      <x:c r="C24" t="s">
        <x:v>770</x:v>
      </x:c>
      <x:c r="D24" t="str">
        <x:f>LOWER(TRIM(SUBSTITUTE(C24,CHAR(160)," ")))</x:f>
        <x:v>angel.qamara@pwc.com</x:v>
      </x:c>
      <x:c r="E24" t="n">
        <x:f>IF(D24="","",IF(COUNTIF($D$2:D24,D24)=1,1,0))</x:f>
        <x:v>1</x:v>
      </x:c>
    </x:row>
    <x:row r="25">
      <x:c r="A25" t="s">
        <x:v>3851</x:v>
      </x:c>
      <x:c r="B25" t="s">
        <x:v>3825</x:v>
      </x:c>
      <x:c r="C25" t="s">
        <x:v>2067</x:v>
      </x:c>
      <x:c r="D25" t="str">
        <x:f>LOWER(TRIM(SUBSTITUTE(C25,CHAR(160)," ")))</x:f>
        <x:v>angelah.mumbia@pwc.com</x:v>
      </x:c>
      <x:c r="E25" t="n">
        <x:f>IF(D25="","",IF(COUNTIF($D$2:D25,D25)=1,1,0))</x:f>
        <x:v>1</x:v>
      </x:c>
    </x:row>
    <x:row r="26">
      <x:c r="A26" t="s">
        <x:v>3852</x:v>
      </x:c>
      <x:c r="B26" t="s">
        <x:v>3825</x:v>
      </x:c>
      <x:c r="C26" t="s">
        <x:v>2839</x:v>
      </x:c>
      <x:c r="D26" t="str">
        <x:f>LOWER(TRIM(SUBSTITUTE(C26,CHAR(160)," ")))</x:f>
        <x:v>angella.mwai@pwc.com</x:v>
      </x:c>
      <x:c r="E26" t="n">
        <x:f>IF(D26="","",IF(COUNTIF($D$2:D26,D26)=1,1,0))</x:f>
        <x:v>1</x:v>
      </x:c>
    </x:row>
    <x:row r="27">
      <x:c r="A27" t="s">
        <x:v>3853</x:v>
      </x:c>
      <x:c r="B27" t="s">
        <x:v>3821</x:v>
      </x:c>
      <x:c r="C27" t="s">
        <x:v>1891</x:v>
      </x:c>
      <x:c r="D27" t="str">
        <x:f>LOWER(TRIM(SUBSTITUTE(C27,CHAR(160)," ")))</x:f>
        <x:v>anish.r.ramdhonee@pwc.com</x:v>
      </x:c>
      <x:c r="E27" t="n">
        <x:f>IF(D27="","",IF(COUNTIF($D$2:D27,D27)=1,1,0))</x:f>
        <x:v>1</x:v>
      </x:c>
    </x:row>
    <x:row r="28">
      <x:c r="A28" t="s">
        <x:v>3854</x:v>
      </x:c>
      <x:c r="B28" t="s">
        <x:v>3821</x:v>
      </x:c>
      <x:c r="C28" t="s">
        <x:v>2553</x:v>
      </x:c>
      <x:c r="D28" t="str">
        <x:f>LOWER(TRIM(SUBSTITUTE(C28,CHAR(160)," ")))</x:f>
        <x:v>anjelah.papiah@pwc.com</x:v>
      </x:c>
      <x:c r="E28" t="n">
        <x:f>IF(D28="","",IF(COUNTIF($D$2:D28,D28)=1,1,0))</x:f>
        <x:v>1</x:v>
      </x:c>
    </x:row>
    <x:row r="29">
      <x:c r="A29" t="s">
        <x:v>3855</x:v>
      </x:c>
      <x:c r="B29" t="s">
        <x:v>3821</x:v>
      </x:c>
      <x:c r="C29" t="s">
        <x:v>2007</x:v>
      </x:c>
      <x:c r="D29" t="str">
        <x:f>LOWER(TRIM(SUBSTITUTE(C29,CHAR(160)," ")))</x:f>
        <x:v>anju.sunnassy@pwc.com</x:v>
      </x:c>
      <x:c r="E29" t="n">
        <x:f>IF(D29="","",IF(COUNTIF($D$2:D29,D29)=1,1,0))</x:f>
        <x:v>1</x:v>
      </x:c>
    </x:row>
    <x:row r="30">
      <x:c r="A30" t="s">
        <x:v>3856</x:v>
      </x:c>
      <x:c r="B30" t="s">
        <x:v>3825</x:v>
      </x:c>
      <x:c r="C30" t="s">
        <x:v>442</x:v>
      </x:c>
      <x:c r="D30" t="str">
        <x:f>LOWER(TRIM(SUBSTITUTE(C30,CHAR(160)," ")))</x:f>
        <x:v>ann.muchoki@pwc.com</x:v>
      </x:c>
      <x:c r="E30" t="n">
        <x:f>IF(D30="","",IF(COUNTIF($D$2:D30,D30)=1,1,0))</x:f>
        <x:v>1</x:v>
      </x:c>
    </x:row>
    <x:row r="31">
      <x:c r="A31" t="s">
        <x:v>3857</x:v>
      </x:c>
      <x:c r="B31" t="s">
        <x:v>3836</x:v>
      </x:c>
      <x:c r="C31" t="s">
        <x:v>2884</x:v>
      </x:c>
      <x:c r="D31" t="str">
        <x:f>LOWER(TRIM(SUBSTITUTE(C31,CHAR(160)," ")))</x:f>
        <x:v>anna.mlay@pwc.com</x:v>
      </x:c>
      <x:c r="E31" t="n">
        <x:f>IF(D31="","",IF(COUNTIF($D$2:D31,D31)=1,1,0))</x:f>
        <x:v>1</x:v>
      </x:c>
    </x:row>
    <x:row r="32">
      <x:c r="A32" t="s">
        <x:v>3858</x:v>
      </x:c>
      <x:c r="B32" t="s">
        <x:v>3825</x:v>
      </x:c>
      <x:c r="C32" t="s">
        <x:v>2385</x:v>
      </x:c>
      <x:c r="D32" t="str">
        <x:f>LOWER(TRIM(SUBSTITUTE(C32,CHAR(160)," ")))</x:f>
        <x:v>annah.mwikali@pwc.com</x:v>
      </x:c>
      <x:c r="E32" t="n">
        <x:f>IF(D32="","",IF(COUNTIF($D$2:D32,D32)=1,1,0))</x:f>
        <x:v>1</x:v>
      </x:c>
    </x:row>
    <x:row r="33">
      <x:c r="A33" t="s">
        <x:v>3859</x:v>
      </x:c>
      <x:c r="B33" t="s">
        <x:v>3821</x:v>
      </x:c>
      <x:c r="C33" t="s">
        <x:v>3860</x:v>
      </x:c>
      <x:c r="D33" t="str">
        <x:f>LOWER(TRIM(SUBSTITUTE(C33,CHAR(160)," ")))</x:f>
        <x:v>anneria.b.bender@pwc.com</x:v>
      </x:c>
      <x:c r="E33" t="n">
        <x:f>IF(D33="","",IF(COUNTIF($D$2:D33,D33)=1,1,0))</x:f>
        <x:v>1</x:v>
      </x:c>
    </x:row>
    <x:row r="34">
      <x:c r="A34" t="s">
        <x:v>3861</x:v>
      </x:c>
      <x:c r="B34" t="s">
        <x:v>3829</x:v>
      </x:c>
      <x:c r="C34" t="s">
        <x:v>2090</x:v>
      </x:c>
      <x:c r="D34" t="str">
        <x:f>LOWER(TRIM(SUBSTITUTE(C34,CHAR(160)," ")))</x:f>
        <x:v>anthony.k.njeeh@pwc.com</x:v>
      </x:c>
      <x:c r="E34" t="n">
        <x:f>IF(D34="","",IF(COUNTIF($D$2:D34,D34)=1,1,0))</x:f>
        <x:v>1</x:v>
      </x:c>
    </x:row>
    <x:row r="35">
      <x:c r="A35" t="s">
        <x:v>3862</x:v>
      </x:c>
      <x:c r="B35" t="s">
        <x:v>3825</x:v>
      </x:c>
      <x:c r="C35" t="s">
        <x:v>2815</x:v>
      </x:c>
      <x:c r="D35" t="str">
        <x:f>LOWER(TRIM(SUBSTITUTE(C35,CHAR(160)," ")))</x:f>
        <x:v>antony.waweru@pwc.com</x:v>
      </x:c>
      <x:c r="E35" t="n">
        <x:f>IF(D35="","",IF(COUNTIF($D$2:D35,D35)=1,1,0))</x:f>
        <x:v>1</x:v>
      </x:c>
    </x:row>
    <x:row r="36">
      <x:c r="A36" t="s">
        <x:v>3863</x:v>
      </x:c>
      <x:c r="B36" t="s">
        <x:v>3825</x:v>
      </x:c>
      <x:c r="C36" t="s">
        <x:v>1029</x:v>
      </x:c>
      <x:c r="D36" t="str">
        <x:f>LOWER(TRIM(SUBSTITUTE(C36,CHAR(160)," ")))</x:f>
        <x:v>antony.wawira@pwc.com</x:v>
      </x:c>
      <x:c r="E36" t="n">
        <x:f>IF(D36="","",IF(COUNTIF($D$2:D36,D36)=1,1,0))</x:f>
        <x:v>1</x:v>
      </x:c>
    </x:row>
    <x:row r="37">
      <x:c r="A37" t="s">
        <x:v>3864</x:v>
      </x:c>
      <x:c r="B37" t="s">
        <x:v>3821</x:v>
      </x:c>
      <x:c r="C37" t="s">
        <x:v>943</x:v>
      </x:c>
      <x:c r="D37" t="str">
        <x:f>LOWER(TRIM(SUBSTITUTE(C37,CHAR(160)," ")))</x:f>
        <x:v>anusha.jokhoo@pwc.com</x:v>
      </x:c>
      <x:c r="E37" t="n">
        <x:f>IF(D37="","",IF(COUNTIF($D$2:D37,D37)=1,1,0))</x:f>
        <x:v>1</x:v>
      </x:c>
    </x:row>
    <x:row r="38">
      <x:c r="A38" t="s">
        <x:v>3865</x:v>
      </x:c>
      <x:c r="B38" t="s">
        <x:v>3821</x:v>
      </x:c>
      <x:c r="C38" t="s">
        <x:v>485</x:v>
      </x:c>
      <x:c r="D38" t="str">
        <x:f>LOWER(TRIM(SUBSTITUTE(C38,CHAR(160)," ")))</x:f>
        <x:v>ashvi.p.puholoo@pwc.com</x:v>
      </x:c>
      <x:c r="E38" t="n">
        <x:f>IF(D38="","",IF(COUNTIF($D$2:D38,D38)=1,1,0))</x:f>
        <x:v>1</x:v>
      </x:c>
    </x:row>
    <x:row r="39">
      <x:c r="A39" t="s">
        <x:v>3866</x:v>
      </x:c>
      <x:c r="B39" t="s">
        <x:v>3836</x:v>
      </x:c>
      <x:c r="C39" t="s">
        <x:v>1098</x:v>
      </x:c>
      <x:c r="D39" t="str">
        <x:f>LOWER(TRIM(SUBSTITUTE(C39,CHAR(160)," ")))</x:f>
        <x:v>assery.msangi@pwc.com</x:v>
      </x:c>
      <x:c r="E39" t="n">
        <x:f>IF(D39="","",IF(COUNTIF($D$2:D39,D39)=1,1,0))</x:f>
        <x:v>1</x:v>
      </x:c>
    </x:row>
    <x:row r="40">
      <x:c r="A40" t="s">
        <x:v>3867</x:v>
      </x:c>
      <x:c r="B40" t="s">
        <x:v>3821</x:v>
      </x:c>
      <x:c r="C40" t="s">
        <x:v>3868</x:v>
      </x:c>
      <x:c r="D40" t="str">
        <x:f>LOWER(TRIM(SUBSTITUTE(C40,CHAR(160)," ")))</x:f>
        <x:v>astrid.cassia@pwc.com</x:v>
      </x:c>
      <x:c r="E40" t="n">
        <x:f>IF(D40="","",IF(COUNTIF($D$2:D40,D40)=1,1,0))</x:f>
        <x:v>1</x:v>
      </x:c>
    </x:row>
    <x:row r="41">
      <x:c r="A41" t="s">
        <x:v>3869</x:v>
      </x:c>
      <x:c r="B41" t="s">
        <x:v>3821</x:v>
      </x:c>
      <x:c r="C41" t="s">
        <x:v>3205</x:v>
      </x:c>
      <x:c r="D41" t="str">
        <x:f>LOWER(TRIM(SUBSTITUTE(C41,CHAR(160)," ")))</x:f>
        <x:v>azmiya.khodadin@pwc.com</x:v>
      </x:c>
      <x:c r="E41" t="n">
        <x:f>IF(D41="","",IF(COUNTIF($D$2:D41,D41)=1,1,0))</x:f>
        <x:v>1</x:v>
      </x:c>
    </x:row>
    <x:row r="42">
      <x:c r="A42" t="s">
        <x:v>3870</x:v>
      </x:c>
      <x:c r="B42" t="s">
        <x:v>3825</x:v>
      </x:c>
      <x:c r="C42" t="s">
        <x:v>2760</x:v>
      </x:c>
      <x:c r="D42" t="str">
        <x:f>LOWER(TRIM(SUBSTITUTE(C42,CHAR(160)," ")))</x:f>
        <x:v>babra.truphena@pwc.com</x:v>
      </x:c>
      <x:c r="E42" t="n">
        <x:f>IF(D42="","",IF(COUNTIF($D$2:D42,D42)=1,1,0))</x:f>
        <x:v>1</x:v>
      </x:c>
    </x:row>
    <x:row r="43">
      <x:c r="A43" t="s">
        <x:v>3871</x:v>
      </x:c>
      <x:c r="B43" t="s">
        <x:v>3836</x:v>
      </x:c>
      <x:c r="C43" t="s">
        <x:v>2349</x:v>
      </x:c>
      <x:c r="D43" t="str">
        <x:f>LOWER(TRIM(SUBSTITUTE(C43,CHAR(160)," ")))</x:f>
        <x:v>baraka.p.pallangyo@pwc.com</x:v>
      </x:c>
      <x:c r="E43" t="n">
        <x:f>IF(D43="","",IF(COUNTIF($D$2:D43,D43)=1,1,0))</x:f>
        <x:v>1</x:v>
      </x:c>
    </x:row>
    <x:row r="44">
      <x:c r="A44" t="s">
        <x:v>3872</x:v>
      </x:c>
      <x:c r="B44" t="s">
        <x:v>3825</x:v>
      </x:c>
      <x:c r="C44" t="s">
        <x:v>2278</x:v>
      </x:c>
      <x:c r="D44" t="str">
        <x:f>LOWER(TRIM(SUBSTITUTE(C44,CHAR(160)," ")))</x:f>
        <x:v>bellonce.nyambura@pwc.com</x:v>
      </x:c>
      <x:c r="E44" t="n">
        <x:f>IF(D44="","",IF(COUNTIF($D$2:D44,D44)=1,1,0))</x:f>
        <x:v>1</x:v>
      </x:c>
    </x:row>
    <x:row r="45">
      <x:c r="A45" t="s">
        <x:v>3873</x:v>
      </x:c>
      <x:c r="B45" t="s">
        <x:v>3825</x:v>
      </x:c>
      <x:c r="C45" t="s">
        <x:v>3237</x:v>
      </x:c>
      <x:c r="D45" t="str">
        <x:f>LOWER(TRIM(SUBSTITUTE(C45,CHAR(160)," ")))</x:f>
        <x:v>ben.kibet@pwc.com</x:v>
      </x:c>
      <x:c r="E45" t="n">
        <x:f>IF(D45="","",IF(COUNTIF($D$2:D45,D45)=1,1,0))</x:f>
        <x:v>1</x:v>
      </x:c>
    </x:row>
    <x:row r="46">
      <x:c r="A46" t="s">
        <x:v>3874</x:v>
      </x:c>
      <x:c r="B46" t="s">
        <x:v>3825</x:v>
      </x:c>
      <x:c r="C46" t="s">
        <x:v>2303</x:v>
      </x:c>
      <x:c r="D46" t="str">
        <x:f>LOWER(TRIM(SUBSTITUTE(C46,CHAR(160)," ")))</x:f>
        <x:v>benard.thiongo@pwc.com</x:v>
      </x:c>
      <x:c r="E46" t="n">
        <x:f>IF(D46="","",IF(COUNTIF($D$2:D46,D46)=1,1,0))</x:f>
        <x:v>1</x:v>
      </x:c>
    </x:row>
    <x:row r="47">
      <x:c r="A47" t="s">
        <x:v>3875</x:v>
      </x:c>
      <x:c r="B47" t="s">
        <x:v>3825</x:v>
      </x:c>
      <x:c r="C47" t="s">
        <x:v>565</x:v>
      </x:c>
      <x:c r="D47" t="str">
        <x:f>LOWER(TRIM(SUBSTITUTE(C47,CHAR(160)," ")))</x:f>
        <x:v>benedict.odero@pwc.com</x:v>
      </x:c>
      <x:c r="E47" t="n">
        <x:f>IF(D47="","",IF(COUNTIF($D$2:D47,D47)=1,1,0))</x:f>
        <x:v>1</x:v>
      </x:c>
    </x:row>
    <x:row r="48">
      <x:c r="A48" t="s">
        <x:v>3876</x:v>
      </x:c>
      <x:c r="B48" t="s">
        <x:v>3825</x:v>
      </x:c>
      <x:c r="C48" t="s">
        <x:v>2087</x:v>
      </x:c>
      <x:c r="D48" t="str">
        <x:f>LOWER(TRIM(SUBSTITUTE(C48,CHAR(160)," ")))</x:f>
        <x:v>benson.okundi@pwc.com</x:v>
      </x:c>
      <x:c r="E48" t="n">
        <x:f>IF(D48="","",IF(COUNTIF($D$2:D48,D48)=1,1,0))</x:f>
        <x:v>1</x:v>
      </x:c>
    </x:row>
    <x:row r="49">
      <x:c r="A49" t="s">
        <x:v>3877</x:v>
      </x:c>
      <x:c r="B49" t="s">
        <x:v>3825</x:v>
      </x:c>
      <x:c r="C49" t="s">
        <x:v>53</x:v>
      </x:c>
      <x:c r="D49" t="str">
        <x:f>LOWER(TRIM(SUBSTITUTE(C49,CHAR(160)," ")))</x:f>
        <x:v>bernice.kimacia@pwc.com</x:v>
      </x:c>
      <x:c r="E49" t="n">
        <x:f>IF(D49="","",IF(COUNTIF($D$2:D49,D49)=1,1,0))</x:f>
        <x:v>1</x:v>
      </x:c>
    </x:row>
    <x:row r="50">
      <x:c r="A50" t="s">
        <x:v>3878</x:v>
      </x:c>
      <x:c r="B50" t="s">
        <x:v>3836</x:v>
      </x:c>
      <x:c r="C50" t="s">
        <x:v>2024</x:v>
      </x:c>
      <x:c r="D50" t="str">
        <x:f>LOWER(TRIM(SUBSTITUTE(C50,CHAR(160)," ")))</x:f>
        <x:v>bertha.p.pascal@pwc.com</x:v>
      </x:c>
      <x:c r="E50" t="n">
        <x:f>IF(D50="","",IF(COUNTIF($D$2:D50,D50)=1,1,0))</x:f>
        <x:v>1</x:v>
      </x:c>
    </x:row>
    <x:row r="51">
      <x:c r="A51" t="s">
        <x:v>3879</x:v>
      </x:c>
      <x:c r="B51" t="s">
        <x:v>3825</x:v>
      </x:c>
      <x:c r="C51" t="s">
        <x:v>866</x:v>
      </x:c>
      <x:c r="D51" t="str">
        <x:f>LOWER(TRIM(SUBSTITUTE(C51,CHAR(160)," ")))</x:f>
        <x:v>beryl.wasungu@pwc.com</x:v>
      </x:c>
      <x:c r="E51" t="n">
        <x:f>IF(D51="","",IF(COUNTIF($D$2:D51,D51)=1,1,0))</x:f>
        <x:v>1</x:v>
      </x:c>
    </x:row>
    <x:row r="52">
      <x:c r="A52" t="s">
        <x:v>3880</x:v>
      </x:c>
      <x:c r="B52" t="s">
        <x:v>3821</x:v>
      </x:c>
      <x:c r="C52" t="s">
        <x:v>415</x:v>
      </x:c>
      <x:c r="D52" t="str">
        <x:f>LOWER(TRIM(SUBSTITUTE(C52,CHAR(160)," ")))</x:f>
        <x:v>bhavesh.naggea@pwc.com</x:v>
      </x:c>
      <x:c r="E52" t="n">
        <x:f>IF(D52="","",IF(COUNTIF($D$2:D52,D52)=1,1,0))</x:f>
        <x:v>1</x:v>
      </x:c>
    </x:row>
    <x:row r="53">
      <x:c r="A53" t="s">
        <x:v>3881</x:v>
      </x:c>
      <x:c r="B53" t="s">
        <x:v>3821</x:v>
      </x:c>
      <x:c r="C53" t="s">
        <x:v>499</x:v>
      </x:c>
      <x:c r="D53" t="str">
        <x:f>LOWER(TRIM(SUBSTITUTE(C53,CHAR(160)," ")))</x:f>
        <x:v>bhuvana.mulliah@pwc.com</x:v>
      </x:c>
      <x:c r="E53" t="n">
        <x:f>IF(D53="","",IF(COUNTIF($D$2:D53,D53)=1,1,0))</x:f>
        <x:v>1</x:v>
      </x:c>
    </x:row>
    <x:row r="54">
      <x:c r="A54" t="s">
        <x:v>3882</x:v>
      </x:c>
      <x:c r="B54" t="s">
        <x:v>3836</x:v>
      </x:c>
      <x:c r="C54" t="s">
        <x:v>346</x:v>
      </x:c>
      <x:c r="D54" t="str">
        <x:f>LOWER(TRIM(SUBSTITUTE(C54,CHAR(160)," ")))</x:f>
        <x:v>brayan.laizer@pwc.com</x:v>
      </x:c>
      <x:c r="E54" t="n">
        <x:f>IF(D54="","",IF(COUNTIF($D$2:D54,D54)=1,1,0))</x:f>
        <x:v>1</x:v>
      </x:c>
    </x:row>
    <x:row r="55">
      <x:c r="A55" t="s">
        <x:v>3883</x:v>
      </x:c>
      <x:c r="B55" t="s">
        <x:v>3825</x:v>
      </x:c>
      <x:c r="C55" t="s">
        <x:v>2613</x:v>
      </x:c>
      <x:c r="D55" t="str">
        <x:f>LOWER(TRIM(SUBSTITUTE(C55,CHAR(160)," ")))</x:f>
        <x:v>brian.morara@pwc.com</x:v>
      </x:c>
      <x:c r="E55" t="n">
        <x:f>IF(D55="","",IF(COUNTIF($D$2:D55,D55)=1,1,0))</x:f>
        <x:v>1</x:v>
      </x:c>
    </x:row>
    <x:row r="56">
      <x:c r="A56" t="s">
        <x:v>3884</x:v>
      </x:c>
      <x:c r="B56" t="s">
        <x:v>3825</x:v>
      </x:c>
      <x:c r="C56" t="s">
        <x:v>2433</x:v>
      </x:c>
      <x:c r="D56" t="str">
        <x:f>LOWER(TRIM(SUBSTITUTE(C56,CHAR(160)," ")))</x:f>
        <x:v>brian.ndagala@pwc.com</x:v>
      </x:c>
      <x:c r="E56" t="n">
        <x:f>IF(D56="","",IF(COUNTIF($D$2:D56,D56)=1,1,0))</x:f>
        <x:v>1</x:v>
      </x:c>
    </x:row>
    <x:row r="57">
      <x:c r="A57" t="s">
        <x:v>3885</x:v>
      </x:c>
      <x:c r="B57" t="s">
        <x:v>3829</x:v>
      </x:c>
      <x:c r="C57" t="s">
        <x:v>1936</x:v>
      </x:c>
      <x:c r="D57" t="str">
        <x:f>LOWER(TRIM(SUBSTITUTE(C57,CHAR(160)," ")))</x:f>
        <x:v>brian.m.ngunjiri@pwc.com</x:v>
      </x:c>
      <x:c r="E57" t="n">
        <x:f>IF(D57="","",IF(COUNTIF($D$2:D57,D57)=1,1,0))</x:f>
        <x:v>1</x:v>
      </x:c>
    </x:row>
    <x:row r="58">
      <x:c r="A58" t="s">
        <x:v>3886</x:v>
      </x:c>
      <x:c r="B58" t="s">
        <x:v>3825</x:v>
      </x:c>
      <x:c r="C58" t="s">
        <x:v>1966</x:v>
      </x:c>
      <x:c r="D58" t="str">
        <x:f>LOWER(TRIM(SUBSTITUTE(C58,CHAR(160)," ")))</x:f>
        <x:v>brian.nyangweso@pwc.com</x:v>
      </x:c>
      <x:c r="E58" t="n">
        <x:f>IF(D58="","",IF(COUNTIF($D$2:D58,D58)=1,1,0))</x:f>
        <x:v>1</x:v>
      </x:c>
    </x:row>
    <x:row r="59">
      <x:c r="A59" t="s">
        <x:v>3887</x:v>
      </x:c>
      <x:c r="B59" t="s">
        <x:v>3825</x:v>
      </x:c>
      <x:c r="C59" t="s">
        <x:v>2080</x:v>
      </x:c>
      <x:c r="D59" t="str">
        <x:f>LOWER(TRIM(SUBSTITUTE(C59,CHAR(160)," ")))</x:f>
        <x:v>brian.ogoti@pwc.com</x:v>
      </x:c>
      <x:c r="E59" t="n">
        <x:f>IF(D59="","",IF(COUNTIF($D$2:D59,D59)=1,1,0))</x:f>
        <x:v>1</x:v>
      </x:c>
    </x:row>
    <x:row r="60">
      <x:c r="A60" t="s">
        <x:v>3888</x:v>
      </x:c>
      <x:c r="B60" t="s">
        <x:v>3825</x:v>
      </x:c>
      <x:c r="C60" t="s">
        <x:v>2572</x:v>
      </x:c>
      <x:c r="D60" t="str">
        <x:f>LOWER(TRIM(SUBSTITUTE(C60,CHAR(160)," ")))</x:f>
        <x:v>brian.okech@pwc.com</x:v>
      </x:c>
      <x:c r="E60" t="n">
        <x:f>IF(D60="","",IF(COUNTIF($D$2:D60,D60)=1,1,0))</x:f>
        <x:v>1</x:v>
      </x:c>
    </x:row>
    <x:row r="61">
      <x:c r="A61" t="s">
        <x:v>3889</x:v>
      </x:c>
      <x:c r="B61" t="s">
        <x:v>3829</x:v>
      </x:c>
      <x:c r="C61" t="s">
        <x:v>1113</x:v>
      </x:c>
      <x:c r="D61" t="str">
        <x:f>LOWER(TRIM(SUBSTITUTE(C61,CHAR(160)," ")))</x:f>
        <x:v>bruno.kayonga@pwc.com</x:v>
      </x:c>
      <x:c r="E61" t="n">
        <x:f>IF(D61="","",IF(COUNTIF($D$2:D61,D61)=1,1,0))</x:f>
        <x:v>1</x:v>
      </x:c>
    </x:row>
    <x:row r="62">
      <x:c r="A62" t="s">
        <x:v>3890</x:v>
      </x:c>
      <x:c r="B62" t="s">
        <x:v>3836</x:v>
      </x:c>
      <x:c r="C62" t="s">
        <x:v>824</x:v>
      </x:c>
      <x:c r="D62" t="str">
        <x:f>LOWER(TRIM(SUBSTITUTE(C62,CHAR(160)," ")))</x:f>
        <x:v>bumi.mwampullo@pwc.com</x:v>
      </x:c>
      <x:c r="E62" t="n">
        <x:f>IF(D62="","",IF(COUNTIF($D$2:D62,D62)=1,1,0))</x:f>
        <x:v>1</x:v>
      </x:c>
    </x:row>
    <x:row r="63">
      <x:c r="A63" t="s">
        <x:v>3891</x:v>
      </x:c>
      <x:c r="B63" t="s">
        <x:v>3844</x:v>
      </x:c>
      <x:c r="C63" t="s">
        <x:v>3892</x:v>
      </x:c>
      <x:c r="D63" t="str">
        <x:f>LOWER(TRIM(SUBSTITUTE(C63,CHAR(160)," ")))</x:f>
        <x:v>bupe.b.mutale@pwc.com</x:v>
      </x:c>
      <x:c r="E63" t="n">
        <x:f>IF(D63="","",IF(COUNTIF($D$2:D63,D63)=1,1,0))</x:f>
        <x:v>1</x:v>
      </x:c>
    </x:row>
    <x:row r="64">
      <x:c r="A64" t="s">
        <x:v>3893</x:v>
      </x:c>
      <x:c r="B64" t="s">
        <x:v>3821</x:v>
      </x:c>
      <x:c r="C64" t="s">
        <x:v>379</x:v>
      </x:c>
      <x:c r="D64" t="str">
        <x:f>LOWER(TRIM(SUBSTITUTE(C64,CHAR(160)," ")))</x:f>
        <x:v>byron.carter@pwc.com</x:v>
      </x:c>
      <x:c r="E64" t="n">
        <x:f>IF(D64="","",IF(COUNTIF($D$2:D64,D64)=1,1,0))</x:f>
        <x:v>1</x:v>
      </x:c>
    </x:row>
    <x:row r="65">
      <x:c r="A65" t="s">
        <x:v>3894</x:v>
      </x:c>
      <x:c r="B65" t="s">
        <x:v>3829</x:v>
      </x:c>
      <x:c r="C65" t="s">
        <x:v>3031</x:v>
      </x:c>
      <x:c r="D65" t="str">
        <x:f>LOWER(TRIM(SUBSTITUTE(C65,CHAR(160)," ")))</x:f>
        <x:v>caleb.b.ogola@pwc.com</x:v>
      </x:c>
      <x:c r="E65" t="n">
        <x:f>IF(D65="","",IF(COUNTIF($D$2:D65,D65)=1,1,0))</x:f>
        <x:v>1</x:v>
      </x:c>
    </x:row>
    <x:row r="66">
      <x:c r="A66" t="s">
        <x:v>3895</x:v>
      </x:c>
      <x:c r="B66" t="s">
        <x:v>3829</x:v>
      </x:c>
      <x:c r="C66" t="s">
        <x:v>3896</x:v>
      </x:c>
      <x:c r="D66" t="str">
        <x:f>LOWER(TRIM(SUBSTITUTE(C66,CHAR(160)," ")))</x:f>
        <x:v>carine.katabarwa@pwc.com</x:v>
      </x:c>
      <x:c r="E66" t="n">
        <x:f>IF(D66="","",IF(COUNTIF($D$2:D66,D66)=1,1,0))</x:f>
        <x:v>1</x:v>
      </x:c>
    </x:row>
    <x:row r="67">
      <x:c r="A67" t="s">
        <x:v>3897</x:v>
      </x:c>
      <x:c r="B67" t="s">
        <x:v>3836</x:v>
      </x:c>
      <x:c r="C67" t="s">
        <x:v>1917</x:v>
      </x:c>
      <x:c r="D67" t="str">
        <x:f>LOWER(TRIM(SUBSTITUTE(C67,CHAR(160)," ")))</x:f>
        <x:v>caroline.kimario@pwc.com</x:v>
      </x:c>
      <x:c r="E67" t="n">
        <x:f>IF(D67="","",IF(COUNTIF($D$2:D67,D67)=1,1,0))</x:f>
        <x:v>1</x:v>
      </x:c>
    </x:row>
    <x:row r="68">
      <x:c r="A68" t="s">
        <x:v>3898</x:v>
      </x:c>
      <x:c r="B68" t="s">
        <x:v>3836</x:v>
      </x:c>
      <x:c r="C68" t="s">
        <x:v>1149</x:v>
      </x:c>
      <x:c r="D68" t="str">
        <x:f>LOWER(TRIM(SUBSTITUTE(C68,CHAR(160)," ")))</x:f>
        <x:v>catherine.kilasara@pwc.com</x:v>
      </x:c>
      <x:c r="E68" t="n">
        <x:f>IF(D68="","",IF(COUNTIF($D$2:D68,D68)=1,1,0))</x:f>
        <x:v>1</x:v>
      </x:c>
    </x:row>
    <x:row r="69">
      <x:c r="A69" t="s">
        <x:v>3899</x:v>
      </x:c>
      <x:c r="B69" t="s">
        <x:v>3836</x:v>
      </x:c>
      <x:c r="C69" t="s">
        <x:v>193</x:v>
      </x:c>
      <x:c r="D69" t="str">
        <x:f>LOWER(TRIM(SUBSTITUTE(C69,CHAR(160)," ")))</x:f>
        <x:v>catherine.mlay@pwc.com</x:v>
      </x:c>
      <x:c r="E69" t="n">
        <x:f>IF(D69="","",IF(COUNTIF($D$2:D69,D69)=1,1,0))</x:f>
        <x:v>1</x:v>
      </x:c>
    </x:row>
    <x:row r="70">
      <x:c r="A70" t="s">
        <x:v>3900</x:v>
      </x:c>
      <x:c r="B70" t="s">
        <x:v>3825</x:v>
      </x:c>
      <x:c r="C70" t="s">
        <x:v>3901</x:v>
      </x:c>
      <x:c r="D70" t="str">
        <x:f>LOWER(TRIM(SUBSTITUTE(C70,CHAR(160)," ")))</x:f>
        <x:v>catherine.muli@pwc.com</x:v>
      </x:c>
      <x:c r="E70" t="n">
        <x:f>IF(D70="","",IF(COUNTIF($D$2:D70,D70)=1,1,0))</x:f>
        <x:v>1</x:v>
      </x:c>
    </x:row>
    <x:row r="71">
      <x:c r="A71" t="s">
        <x:v>3902</x:v>
      </x:c>
      <x:c r="B71" t="s">
        <x:v>3823</x:v>
      </x:c>
      <x:c r="C71" t="s">
        <x:v>2669</x:v>
      </x:c>
      <x:c r="D71" t="str">
        <x:f>LOWER(TRIM(SUBSTITUTE(C71,CHAR(160)," ")))</x:f>
        <x:v>catherine.naluuma@pwc.com</x:v>
      </x:c>
      <x:c r="E71" t="n">
        <x:f>IF(D71="","",IF(COUNTIF($D$2:D71,D71)=1,1,0))</x:f>
        <x:v>1</x:v>
      </x:c>
    </x:row>
    <x:row r="72">
      <x:c r="A72" t="s">
        <x:v>3903</x:v>
      </x:c>
      <x:c r="B72" t="s">
        <x:v>3836</x:v>
      </x:c>
      <x:c r="C72" t="s">
        <x:v>2944</x:v>
      </x:c>
      <x:c r="D72" t="str">
        <x:f>LOWER(TRIM(SUBSTITUTE(C72,CHAR(160)," ")))</x:f>
        <x:v>catherine.rutenge@pwc.com</x:v>
      </x:c>
      <x:c r="E72" t="n">
        <x:f>IF(D72="","",IF(COUNTIF($D$2:D72,D72)=1,1,0))</x:f>
        <x:v>1</x:v>
      </x:c>
    </x:row>
    <x:row r="73">
      <x:c r="A73" t="s">
        <x:v>3904</x:v>
      </x:c>
      <x:c r="B73" t="s">
        <x:v>3836</x:v>
      </x:c>
      <x:c r="C73" t="s">
        <x:v>901</x:v>
      </x:c>
      <x:c r="D73" t="str">
        <x:f>LOWER(TRIM(SUBSTITUTE(C73,CHAR(160)," ")))</x:f>
        <x:v>cedric.t.mpobusingye@pwc.com</x:v>
      </x:c>
      <x:c r="E73" t="n">
        <x:f>IF(D73="","",IF(COUNTIF($D$2:D73,D73)=1,1,0))</x:f>
        <x:v>1</x:v>
      </x:c>
    </x:row>
    <x:row r="74">
      <x:c r="A74" t="s">
        <x:v>3905</x:v>
      </x:c>
      <x:c r="B74" t="s">
        <x:v>3844</x:v>
      </x:c>
      <x:c r="C74" t="s">
        <x:v>732</x:v>
      </x:c>
      <x:c r="D74" t="str">
        <x:f>LOWER(TRIM(SUBSTITUTE(C74,CHAR(160)," ")))</x:f>
        <x:v>chanda.chileshe@pwc.com</x:v>
      </x:c>
      <x:c r="E74" t="n">
        <x:f>IF(D74="","",IF(COUNTIF($D$2:D74,D74)=1,1,0))</x:f>
        <x:v>1</x:v>
      </x:c>
    </x:row>
    <x:row r="75">
      <x:c r="A75" t="s">
        <x:v>3906</x:v>
      </x:c>
      <x:c r="B75" t="s">
        <x:v>3836</x:v>
      </x:c>
      <x:c r="C75" t="s">
        <x:v>634</x:v>
      </x:c>
      <x:c r="D75" t="str">
        <x:f>LOWER(TRIM(SUBSTITUTE(C75,CHAR(160)," ")))</x:f>
        <x:v>chanele.m.machimane@pwc.com</x:v>
      </x:c>
      <x:c r="E75" t="n">
        <x:f>IF(D75="","",IF(COUNTIF($D$2:D75,D75)=1,1,0))</x:f>
        <x:v>1</x:v>
      </x:c>
    </x:row>
    <x:row r="76">
      <x:c r="A76" t="s">
        <x:v>3907</x:v>
      </x:c>
      <x:c r="B76" t="s">
        <x:v>3836</x:v>
      </x:c>
      <x:c r="C76" t="s">
        <x:v>1240</x:v>
      </x:c>
      <x:c r="D76" t="str">
        <x:f>LOWER(TRIM(SUBSTITUTE(C76,CHAR(160)," ")))</x:f>
        <x:v>charity.mrinji@pwc.com</x:v>
      </x:c>
      <x:c r="E76" t="n">
        <x:f>IF(D76="","",IF(COUNTIF($D$2:D76,D76)=1,1,0))</x:f>
        <x:v>1</x:v>
      </x:c>
    </x:row>
    <x:row r="77">
      <x:c r="A77" t="s">
        <x:v>3908</x:v>
      </x:c>
      <x:c r="B77" t="s">
        <x:v>3844</x:v>
      </x:c>
      <x:c r="C77" t="s">
        <x:v>569</x:v>
      </x:c>
      <x:c r="D77" t="str">
        <x:f>LOWER(TRIM(SUBSTITUTE(C77,CHAR(160)," ")))</x:f>
        <x:v>charity.mulenga@pwc.com</x:v>
      </x:c>
      <x:c r="E77" t="n">
        <x:f>IF(D77="","",IF(COUNTIF($D$2:D77,D77)=1,1,0))</x:f>
        <x:v>1</x:v>
      </x:c>
    </x:row>
    <x:row r="78">
      <x:c r="A78" t="s">
        <x:v>3909</x:v>
      </x:c>
      <x:c r="B78" t="s">
        <x:v>3821</x:v>
      </x:c>
      <x:c r="C78" t="s">
        <x:v>1700</x:v>
      </x:c>
      <x:c r="D78" t="str">
        <x:f>LOWER(TRIM(SUBSTITUTE(C78,CHAR(160)," ")))</x:f>
        <x:v>chetna.sembhoo@pwc.com</x:v>
      </x:c>
      <x:c r="E78" t="n">
        <x:f>IF(D78="","",IF(COUNTIF($D$2:D78,D78)=1,1,0))</x:f>
        <x:v>1</x:v>
      </x:c>
    </x:row>
    <x:row r="79">
      <x:c r="A79" t="s">
        <x:v>3910</x:v>
      </x:c>
      <x:c r="B79" t="s">
        <x:v>3844</x:v>
      </x:c>
      <x:c r="C79" t="s">
        <x:v>3126</x:v>
      </x:c>
      <x:c r="D79" t="str">
        <x:f>LOWER(TRIM(SUBSTITUTE(C79,CHAR(160)," ")))</x:f>
        <x:v>chilufya.mwansa@pwc.com</x:v>
      </x:c>
      <x:c r="E79" t="n">
        <x:f>IF(D79="","",IF(COUNTIF($D$2:D79,D79)=1,1,0))</x:f>
        <x:v>1</x:v>
      </x:c>
    </x:row>
    <x:row r="80">
      <x:c r="A80" t="s">
        <x:v>3911</x:v>
      </x:c>
      <x:c r="B80" t="s">
        <x:v>3844</x:v>
      </x:c>
      <x:c r="C80" t="s">
        <x:v>363</x:v>
      </x:c>
      <x:c r="D80" t="str">
        <x:f>LOWER(TRIM(SUBSTITUTE(C80,CHAR(160)," ")))</x:f>
        <x:v>chimwemwe.mtonga@pwc.com</x:v>
      </x:c>
      <x:c r="E80" t="n">
        <x:f>IF(D80="","",IF(COUNTIF($D$2:D80,D80)=1,1,0))</x:f>
        <x:v>1</x:v>
      </x:c>
    </x:row>
    <x:row r="81">
      <x:c r="A81" t="s">
        <x:v>3912</x:v>
      </x:c>
      <x:c r="B81" t="s">
        <x:v>3821</x:v>
      </x:c>
      <x:c r="C81" t="s">
        <x:v>105</x:v>
      </x:c>
      <x:c r="D81" t="str">
        <x:f>LOWER(TRIM(SUBSTITUTE(C81,CHAR(160)," ")))</x:f>
        <x:v>chiranjeev.l.luchoomun@pwc.com</x:v>
      </x:c>
      <x:c r="E81" t="n">
        <x:f>IF(D81="","",IF(COUNTIF($D$2:D81,D81)=1,1,0))</x:f>
        <x:v>1</x:v>
      </x:c>
    </x:row>
    <x:row r="82">
      <x:c r="A82" t="s">
        <x:v>3913</x:v>
      </x:c>
      <x:c r="B82" t="s">
        <x:v>3844</x:v>
      </x:c>
      <x:c r="C82" t="s">
        <x:v>233</x:v>
      </x:c>
      <x:c r="D82" t="str">
        <x:f>LOWER(TRIM(SUBSTITUTE(C82,CHAR(160)," ")))</x:f>
        <x:v>chisala.mukonde@pwc.com</x:v>
      </x:c>
      <x:c r="E82" t="n">
        <x:f>IF(D82="","",IF(COUNTIF($D$2:D82,D82)=1,1,0))</x:f>
        <x:v>1</x:v>
      </x:c>
    </x:row>
    <x:row r="83">
      <x:c r="A83" t="s">
        <x:v>3914</x:v>
      </x:c>
      <x:c r="B83" t="s">
        <x:v>3844</x:v>
      </x:c>
      <x:c r="C83" t="s">
        <x:v>2926</x:v>
      </x:c>
      <x:c r="D83" t="str">
        <x:f>LOWER(TRIM(SUBSTITUTE(C83,CHAR(160)," ")))</x:f>
        <x:v>chisela.k.chileshe@pwc.com</x:v>
      </x:c>
      <x:c r="E83" t="n">
        <x:f>IF(D83="","",IF(COUNTIF($D$2:D83,D83)=1,1,0))</x:f>
        <x:v>1</x:v>
      </x:c>
    </x:row>
    <x:row r="84">
      <x:c r="A84" t="s">
        <x:v>3915</x:v>
      </x:c>
      <x:c r="B84" t="s">
        <x:v>3844</x:v>
      </x:c>
      <x:c r="C84" t="s">
        <x:v>432</x:v>
      </x:c>
      <x:c r="D84" t="str">
        <x:f>LOWER(TRIM(SUBSTITUTE(C84,CHAR(160)," ")))</x:f>
        <x:v>chitundu.mbewe@pwc.com</x:v>
      </x:c>
      <x:c r="E84" t="n">
        <x:f>IF(D84="","",IF(COUNTIF($D$2:D84,D84)=1,1,0))</x:f>
        <x:v>1</x:v>
      </x:c>
    </x:row>
    <x:row r="85">
      <x:c r="A85" t="s">
        <x:v>3916</x:v>
      </x:c>
      <x:c r="B85" t="s">
        <x:v>3829</x:v>
      </x:c>
      <x:c r="C85" t="s">
        <x:v>157</x:v>
      </x:c>
      <x:c r="D85" t="str">
        <x:f>LOWER(TRIM(SUBSTITUTE(C85,CHAR(160)," ")))</x:f>
        <x:v>christella.anny.baho@pwc.com</x:v>
      </x:c>
      <x:c r="E85" t="n">
        <x:f>IF(D85="","",IF(COUNTIF($D$2:D85,D85)=1,1,0))</x:f>
        <x:v>1</x:v>
      </x:c>
    </x:row>
    <x:row r="86">
      <x:c r="A86" t="s">
        <x:v>3917</x:v>
      </x:c>
      <x:c r="B86" t="s">
        <x:v>3823</x:v>
      </x:c>
      <x:c r="C86" t="s">
        <x:v>2402</x:v>
      </x:c>
      <x:c r="D86" t="str">
        <x:f>LOWER(TRIM(SUBSTITUTE(C86,CHAR(160)," ")))</x:f>
        <x:v>christine.nalwoga@pwc.com</x:v>
      </x:c>
      <x:c r="E86" t="n">
        <x:f>IF(D86="","",IF(COUNTIF($D$2:D86,D86)=1,1,0))</x:f>
        <x:v>1</x:v>
      </x:c>
    </x:row>
    <x:row r="87">
      <x:c r="A87" t="s">
        <x:v>3918</x:v>
      </x:c>
      <x:c r="B87" t="s">
        <x:v>3825</x:v>
      </x:c>
      <x:c r="C87" t="s">
        <x:v>1019</x:v>
      </x:c>
      <x:c r="D87" t="str">
        <x:f>LOWER(TRIM(SUBSTITUTE(C87,CHAR(160)," ")))</x:f>
        <x:v>clement.muhoro@pwc.com</x:v>
      </x:c>
      <x:c r="E87" t="n">
        <x:f>IF(D87="","",IF(COUNTIF($D$2:D87,D87)=1,1,0))</x:f>
        <x:v>1</x:v>
      </x:c>
    </x:row>
    <x:row r="88">
      <x:c r="A88" t="s">
        <x:v>3919</x:v>
      </x:c>
      <x:c r="B88" t="s">
        <x:v>3836</x:v>
      </x:c>
      <x:c r="C88" t="s">
        <x:v>2509</x:v>
      </x:c>
      <x:c r="D88" t="str">
        <x:f>LOWER(TRIM(SUBSTITUTE(C88,CHAR(160)," ")))</x:f>
        <x:v>cletus.kiyuga@pwc.com</x:v>
      </x:c>
      <x:c r="E88" t="n">
        <x:f>IF(D88="","",IF(COUNTIF($D$2:D88,D88)=1,1,0))</x:f>
        <x:v>1</x:v>
      </x:c>
    </x:row>
    <x:row r="89">
      <x:c r="A89" t="s">
        <x:v>3920</x:v>
      </x:c>
      <x:c r="B89" t="s">
        <x:v>3823</x:v>
      </x:c>
      <x:c r="C89" t="s">
        <x:v>2296</x:v>
      </x:c>
      <x:c r="D89" t="str">
        <x:f>LOWER(TRIM(SUBSTITUTE(C89,CHAR(160)," ")))</x:f>
        <x:v>clive.mayombwe@pwc.com</x:v>
      </x:c>
      <x:c r="E89" t="n">
        <x:f>IF(D89="","",IF(COUNTIF($D$2:D89,D89)=1,1,0))</x:f>
        <x:v>1</x:v>
      </x:c>
    </x:row>
    <x:row r="90">
      <x:c r="A90" t="s">
        <x:v>3921</x:v>
      </x:c>
      <x:c r="B90" t="s">
        <x:v>3825</x:v>
      </x:c>
      <x:c r="C90" t="s">
        <x:v>202</x:v>
      </x:c>
      <x:c r="D90" t="str">
        <x:f>LOWER(TRIM(SUBSTITUTE(C90,CHAR(160)," ")))</x:f>
        <x:v>colins.muteti@pwc.com</x:v>
      </x:c>
      <x:c r="E90" t="n">
        <x:f>IF(D90="","",IF(COUNTIF($D$2:D90,D90)=1,1,0))</x:f>
        <x:v>1</x:v>
      </x:c>
    </x:row>
    <x:row r="91">
      <x:c r="A91" t="s">
        <x:v>3922</x:v>
      </x:c>
      <x:c r="B91" t="s">
        <x:v>3829</x:v>
      </x:c>
      <x:c r="C91" t="s">
        <x:v>3923</x:v>
      </x:c>
      <x:c r="D91" t="str">
        <x:f>LOWER(TRIM(SUBSTITUTE(C91,CHAR(160)," ")))</x:f>
        <x:v>collins.i.kamugisha@pwc.com</x:v>
      </x:c>
      <x:c r="E91" t="n">
        <x:f>IF(D91="","",IF(COUNTIF($D$2:D91,D91)=1,1,0))</x:f>
        <x:v>1</x:v>
      </x:c>
    </x:row>
    <x:row r="92">
      <x:c r="A92" t="s">
        <x:v>3924</x:v>
      </x:c>
      <x:c r="B92" t="s">
        <x:v>3825</x:v>
      </x:c>
      <x:c r="C92" t="s">
        <x:v>1033</x:v>
      </x:c>
      <x:c r="D92" t="str">
        <x:f>LOWER(TRIM(SUBSTITUTE(C92,CHAR(160)," ")))</x:f>
        <x:v>collins.maina@pwc.com</x:v>
      </x:c>
      <x:c r="E92" t="n">
        <x:f>IF(D92="","",IF(COUNTIF($D$2:D92,D92)=1,1,0))</x:f>
        <x:v>1</x:v>
      </x:c>
    </x:row>
    <x:row r="93">
      <x:c r="A93" t="s">
        <x:v>3925</x:v>
      </x:c>
      <x:c r="B93" t="s">
        <x:v>3825</x:v>
      </x:c>
      <x:c r="C93" t="s">
        <x:v>793</x:v>
      </x:c>
      <x:c r="D93" t="str">
        <x:f>LOWER(TRIM(SUBSTITUTE(C93,CHAR(160)," ")))</x:f>
        <x:v>consolata.orodi@pwc.com</x:v>
      </x:c>
      <x:c r="E93" t="n">
        <x:f>IF(D93="","",IF(COUNTIF($D$2:D93,D93)=1,1,0))</x:f>
        <x:v>1</x:v>
      </x:c>
    </x:row>
    <x:row r="94">
      <x:c r="A94" t="s">
        <x:v>3926</x:v>
      </x:c>
      <x:c r="B94" t="s">
        <x:v>3821</x:v>
      </x:c>
      <x:c r="C94" t="s">
        <x:v>2020</x:v>
      </x:c>
      <x:c r="D94" t="str">
        <x:f>LOWER(TRIM(SUBSTITUTE(C94,CHAR(160)," ")))</x:f>
        <x:v>crystel.masson@pwc.com</x:v>
      </x:c>
      <x:c r="E94" t="n">
        <x:f>IF(D94="","",IF(COUNTIF($D$2:D94,D94)=1,1,0))</x:f>
        <x:v>1</x:v>
      </x:c>
    </x:row>
    <x:row r="95">
      <x:c r="A95" t="s">
        <x:v>3927</x:v>
      </x:c>
      <x:c r="B95" t="s">
        <x:v>3825</x:v>
      </x:c>
      <x:c r="C95" t="s">
        <x:v>1886</x:v>
      </x:c>
      <x:c r="D95" t="str">
        <x:f>LOWER(TRIM(SUBSTITUTE(C95,CHAR(160)," ")))</x:f>
        <x:v>cyprian.munene@pwc.com</x:v>
      </x:c>
      <x:c r="E95" t="n">
        <x:f>IF(D95="","",IF(COUNTIF($D$2:D95,D95)=1,1,0))</x:f>
        <x:v>1</x:v>
      </x:c>
    </x:row>
    <x:row r="96">
      <x:c r="A96" t="s">
        <x:v>3928</x:v>
      </x:c>
      <x:c r="B96" t="s">
        <x:v>3825</x:v>
      </x:c>
      <x:c r="C96" t="s">
        <x:v>1355</x:v>
      </x:c>
      <x:c r="D96" t="str">
        <x:f>LOWER(TRIM(SUBSTITUTE(C96,CHAR(160)," ")))</x:f>
        <x:v>cyrus.muturi@pwc.com</x:v>
      </x:c>
      <x:c r="E96" t="n">
        <x:f>IF(D96="","",IF(COUNTIF($D$2:D96,D96)=1,1,0))</x:f>
        <x:v>1</x:v>
      </x:c>
    </x:row>
    <x:row r="97">
      <x:c r="A97" t="s">
        <x:v>3929</x:v>
      </x:c>
      <x:c r="B97" t="s">
        <x:v>3821</x:v>
      </x:c>
      <x:c r="C97" t="s">
        <x:v>87</x:v>
      </x:c>
      <x:c r="D97" t="str">
        <x:f>LOWER(TRIM(SUBSTITUTE(C97,CHAR(160)," ")))</x:f>
        <x:v>damien.hong.lin@pwc.com</x:v>
      </x:c>
      <x:c r="E97" t="n">
        <x:f>IF(D97="","",IF(COUNTIF($D$2:D97,D97)=1,1,0))</x:f>
        <x:v>1</x:v>
      </x:c>
    </x:row>
    <x:row r="98">
      <x:c r="A98" t="s">
        <x:v>3930</x:v>
      </x:c>
      <x:c r="B98" t="s">
        <x:v>3825</x:v>
      </x:c>
      <x:c r="C98" t="s">
        <x:v>801</x:v>
      </x:c>
      <x:c r="D98" t="str">
        <x:f>LOWER(TRIM(SUBSTITUTE(C98,CHAR(160)," ")))</x:f>
        <x:v>daniel.kiilu@pwc.com</x:v>
      </x:c>
      <x:c r="E98" t="n">
        <x:f>IF(D98="","",IF(COUNTIF($D$2:D98,D98)=1,1,0))</x:f>
        <x:v>1</x:v>
      </x:c>
    </x:row>
    <x:row r="99">
      <x:c r="A99" t="s">
        <x:v>3931</x:v>
      </x:c>
      <x:c r="B99" t="s">
        <x:v>3823</x:v>
      </x:c>
      <x:c r="C99" t="s">
        <x:v>2576</x:v>
      </x:c>
      <x:c r="D99" t="str">
        <x:f>LOWER(TRIM(SUBSTITUTE(C99,CHAR(160)," ")))</x:f>
        <x:v>daphne.akol@pwc.com</x:v>
      </x:c>
      <x:c r="E99" t="n">
        <x:f>IF(D99="","",IF(COUNTIF($D$2:D99,D99)=1,1,0))</x:f>
        <x:v>1</x:v>
      </x:c>
    </x:row>
    <x:row r="100">
      <x:c r="A100" t="s">
        <x:v>3932</x:v>
      </x:c>
      <x:c r="B100" t="s">
        <x:v>3821</x:v>
      </x:c>
      <x:c r="C100" t="s">
        <x:v>2953</x:v>
      </x:c>
      <x:c r="D100" t="str">
        <x:f>LOWER(TRIM(SUBSTITUTE(C100,CHAR(160)," ")))</x:f>
        <x:v>darshil.ramyed@pwc.com</x:v>
      </x:c>
      <x:c r="E100" t="n">
        <x:f>IF(D100="","",IF(COUNTIF($D$2:D100,D100)=1,1,0))</x:f>
        <x:v>1</x:v>
      </x:c>
    </x:row>
    <x:row r="101">
      <x:c r="A101" t="s">
        <x:v>3933</x:v>
      </x:c>
      <x:c r="B101" t="s">
        <x:v>3836</x:v>
      </x:c>
      <x:c r="C101" t="s">
        <x:v>631</x:v>
      </x:c>
      <x:c r="D101" t="str">
        <x:f>LOWER(TRIM(SUBSTITUTE(C101,CHAR(160)," ")))</x:f>
        <x:v>dauson.kaijunga@pwc.com</x:v>
      </x:c>
      <x:c r="E101" t="n">
        <x:f>IF(D101="","",IF(COUNTIF($D$2:D101,D101)=1,1,0))</x:f>
        <x:v>1</x:v>
      </x:c>
    </x:row>
    <x:row r="102">
      <x:c r="A102" t="s">
        <x:v>3934</x:v>
      </x:c>
      <x:c r="B102" t="s">
        <x:v>3825</x:v>
      </x:c>
      <x:c r="C102" t="s">
        <x:v>367</x:v>
      </x:c>
      <x:c r="D102" t="str">
        <x:f>LOWER(TRIM(SUBSTITUTE(C102,CHAR(160)," ")))</x:f>
        <x:v>david.mugo@pwc.com</x:v>
      </x:c>
      <x:c r="E102" t="n">
        <x:f>IF(D102="","",IF(COUNTIF($D$2:D102,D102)=1,1,0))</x:f>
        <x:v>1</x:v>
      </x:c>
    </x:row>
    <x:row r="103">
      <x:c r="A103" t="s">
        <x:v>3935</x:v>
      </x:c>
      <x:c r="B103" t="s">
        <x:v>3829</x:v>
      </x:c>
      <x:c r="C103" t="s">
        <x:v>277</x:v>
      </x:c>
      <x:c r="D103" t="str">
        <x:f>LOWER(TRIM(SUBSTITUTE(C103,CHAR(160)," ")))</x:f>
        <x:v>david.pamba@pwc.com</x:v>
      </x:c>
      <x:c r="E103" t="n">
        <x:f>IF(D103="","",IF(COUNTIF($D$2:D103,D103)=1,1,0))</x:f>
        <x:v>1</x:v>
      </x:c>
    </x:row>
    <x:row r="104">
      <x:c r="A104" t="s">
        <x:v>3936</x:v>
      </x:c>
      <x:c r="B104" t="s">
        <x:v>3829</x:v>
      </x:c>
      <x:c r="C104" t="s">
        <x:v>1314</x:v>
      </x:c>
      <x:c r="D104" t="str">
        <x:f>LOWER(TRIM(SUBSTITUTE(C104,CHAR(160)," ")))</x:f>
        <x:v>davidson.a.ringo@pwc.com</x:v>
      </x:c>
      <x:c r="E104" t="n">
        <x:f>IF(D104="","",IF(COUNTIF($D$2:D104,D104)=1,1,0))</x:f>
        <x:v>1</x:v>
      </x:c>
    </x:row>
    <x:row r="105">
      <x:c r="A105" t="s">
        <x:v>3937</x:v>
      </x:c>
      <x:c r="B105" t="s">
        <x:v>3836</x:v>
      </x:c>
      <x:c r="C105" t="s">
        <x:v>906</x:v>
      </x:c>
      <x:c r="D105" t="str">
        <x:f>LOWER(TRIM(SUBSTITUTE(C105,CHAR(160)," ")))</x:f>
        <x:v>davis.ndunguru@pwc.com</x:v>
      </x:c>
      <x:c r="E105" t="n">
        <x:f>IF(D105="","",IF(COUNTIF($D$2:D105,D105)=1,1,0))</x:f>
        <x:v>1</x:v>
      </x:c>
    </x:row>
    <x:row r="106">
      <x:c r="A106" t="s">
        <x:v>3938</x:v>
      </x:c>
      <x:c r="B106" t="s">
        <x:v>3821</x:v>
      </x:c>
      <x:c r="C106" t="s">
        <x:v>389</x:v>
      </x:c>
      <x:c r="D106" t="str">
        <x:f>LOWER(TRIM(SUBSTITUTE(C106,CHAR(160)," ")))</x:f>
        <x:v>davish.budhai@pwc.com</x:v>
      </x:c>
      <x:c r="E106" t="n">
        <x:f>IF(D106="","",IF(COUNTIF($D$2:D106,D106)=1,1,0))</x:f>
        <x:v>1</x:v>
      </x:c>
    </x:row>
    <x:row r="107">
      <x:c r="A107" t="s">
        <x:v>3939</x:v>
      </x:c>
      <x:c r="B107" t="s">
        <x:v>3821</x:v>
      </x:c>
      <x:c r="C107" t="s">
        <x:v>224</x:v>
      </x:c>
      <x:c r="D107" t="str">
        <x:f>LOWER(TRIM(SUBSTITUTE(C107,CHAR(160)," ")))</x:f>
        <x:v>dean.young@pwc.com</x:v>
      </x:c>
      <x:c r="E107" t="n">
        <x:f>IF(D107="","",IF(COUNTIF($D$2:D107,D107)=1,1,0))</x:f>
        <x:v>1</x:v>
      </x:c>
    </x:row>
    <x:row r="108">
      <x:c r="A108" t="s">
        <x:v>3940</x:v>
      </x:c>
      <x:c r="B108" t="s">
        <x:v>3844</x:v>
      </x:c>
      <x:c r="C108" t="s">
        <x:v>64</x:v>
      </x:c>
      <x:c r="D108" t="str">
        <x:f>LOWER(TRIM(SUBSTITUTE(C108,CHAR(160)," ")))</x:f>
        <x:v>deborah.lukwesa@pwc.com</x:v>
      </x:c>
      <x:c r="E108" t="n">
        <x:f>IF(D108="","",IF(COUNTIF($D$2:D108,D108)=1,1,0))</x:f>
        <x:v>1</x:v>
      </x:c>
    </x:row>
    <x:row r="109">
      <x:c r="A109" t="s">
        <x:v>3941</x:v>
      </x:c>
      <x:c r="B109" t="s">
        <x:v>3844</x:v>
      </x:c>
      <x:c r="C109" t="s">
        <x:v>2445</x:v>
      </x:c>
      <x:c r="D109" t="str">
        <x:f>LOWER(TRIM(SUBSTITUTE(C109,CHAR(160)," ")))</x:f>
        <x:v>debra.b.banda@pwc.com</x:v>
      </x:c>
      <x:c r="E109" t="n">
        <x:f>IF(D109="","",IF(COUNTIF($D$2:D109,D109)=1,1,0))</x:f>
        <x:v>1</x:v>
      </x:c>
    </x:row>
    <x:row r="110">
      <x:c r="A110" t="s">
        <x:v>3942</x:v>
      </x:c>
      <x:c r="B110" t="s">
        <x:v>3844</x:v>
      </x:c>
      <x:c r="C110" t="s">
        <x:v>1857</x:v>
      </x:c>
      <x:c r="D110" t="str">
        <x:f>LOWER(TRIM(SUBSTITUTE(C110,CHAR(160)," ")))</x:f>
        <x:v>derrick.tembo@pwc.com</x:v>
      </x:c>
      <x:c r="E110" t="n">
        <x:f>IF(D110="","",IF(COUNTIF($D$2:D110,D110)=1,1,0))</x:f>
        <x:v>1</x:v>
      </x:c>
    </x:row>
    <x:row r="111">
      <x:c r="A111" t="s">
        <x:v>3943</x:v>
      </x:c>
      <x:c r="B111" t="s">
        <x:v>3821</x:v>
      </x:c>
      <x:c r="C111" t="s">
        <x:v>2638</x:v>
      </x:c>
      <x:c r="D111" t="str">
        <x:f>LOWER(TRIM(SUBSTITUTE(C111,CHAR(160)," ")))</x:f>
        <x:v>deveena.seelochun@pwc.com</x:v>
      </x:c>
      <x:c r="E111" t="n">
        <x:f>IF(D111="","",IF(COUNTIF($D$2:D111,D111)=1,1,0))</x:f>
        <x:v>1</x:v>
      </x:c>
    </x:row>
    <x:row r="112">
      <x:c r="A112" t="s">
        <x:v>3944</x:v>
      </x:c>
      <x:c r="B112" t="s">
        <x:v>3821</x:v>
      </x:c>
      <x:c r="C112" t="s">
        <x:v>2071</x:v>
      </x:c>
      <x:c r="D112" t="str">
        <x:f>LOWER(TRIM(SUBSTITUTE(C112,CHAR(160)," ")))</x:f>
        <x:v>devesh.keerpah@pwc.com</x:v>
      </x:c>
      <x:c r="E112" t="n">
        <x:f>IF(D112="","",IF(COUNTIF($D$2:D112,D112)=1,1,0))</x:f>
        <x:v>1</x:v>
      </x:c>
    </x:row>
    <x:row r="113">
      <x:c r="A113" t="s">
        <x:v>3945</x:v>
      </x:c>
      <x:c r="B113" t="s">
        <x:v>3825</x:v>
      </x:c>
      <x:c r="C113" t="s">
        <x:v>2484</x:v>
      </x:c>
      <x:c r="D113" t="str">
        <x:f>LOWER(TRIM(SUBSTITUTE(C113,CHAR(160)," ")))</x:f>
        <x:v>devonhope.ntoinya@pwc.com</x:v>
      </x:c>
      <x:c r="E113" t="n">
        <x:f>IF(D113="","",IF(COUNTIF($D$2:D113,D113)=1,1,0))</x:f>
        <x:v>1</x:v>
      </x:c>
    </x:row>
    <x:row r="114">
      <x:c r="A114" t="s">
        <x:v>3946</x:v>
      </x:c>
      <x:c r="B114" t="s">
        <x:v>3821</x:v>
      </x:c>
      <x:c r="C114" t="s">
        <x:v>1908</x:v>
      </x:c>
      <x:c r="D114" t="str">
        <x:f>LOWER(TRIM(SUBSTITUTE(C114,CHAR(160)," ")))</x:f>
        <x:v>dhaarna.jhummun@pwc.com</x:v>
      </x:c>
      <x:c r="E114" t="n">
        <x:f>IF(D114="","",IF(COUNTIF($D$2:D114,D114)=1,1,0))</x:f>
        <x:v>1</x:v>
      </x:c>
    </x:row>
    <x:row r="115">
      <x:c r="A115" t="s">
        <x:v>3947</x:v>
      </x:c>
      <x:c r="B115" t="s">
        <x:v>3821</x:v>
      </x:c>
      <x:c r="C115" t="s">
        <x:v>2892</x:v>
      </x:c>
      <x:c r="D115" t="str">
        <x:f>LOWER(TRIM(SUBSTITUTE(C115,CHAR(160)," ")))</x:f>
        <x:v>dhanishta.issuree@pwc.com</x:v>
      </x:c>
      <x:c r="E115" t="n">
        <x:f>IF(D115="","",IF(COUNTIF($D$2:D115,D115)=1,1,0))</x:f>
        <x:v>1</x:v>
      </x:c>
    </x:row>
    <x:row r="116">
      <x:c r="A116" t="s">
        <x:v>3948</x:v>
      </x:c>
      <x:c r="B116" t="s">
        <x:v>3821</x:v>
      </x:c>
      <x:c r="C116" t="s">
        <x:v>3116</x:v>
      </x:c>
      <x:c r="D116" t="str">
        <x:f>LOWER(TRIM(SUBSTITUTE(C116,CHAR(160)," ")))</x:f>
        <x:v>dhatree.langur@pwc.com</x:v>
      </x:c>
      <x:c r="E116" t="n">
        <x:f>IF(D116="","",IF(COUNTIF($D$2:D116,D116)=1,1,0))</x:f>
        <x:v>1</x:v>
      </x:c>
    </x:row>
    <x:row r="117">
      <x:c r="A117" t="s">
        <x:v>3949</x:v>
      </x:c>
      <x:c r="B117" t="s">
        <x:v>3836</x:v>
      </x:c>
      <x:c r="C117" t="s">
        <x:v>1122</x:v>
      </x:c>
      <x:c r="D117" t="str">
        <x:f>LOWER(TRIM(SUBSTITUTE(C117,CHAR(160)," ")))</x:f>
        <x:v>dickson.m.mohoni@pwc.com</x:v>
      </x:c>
      <x:c r="E117" t="n">
        <x:f>IF(D117="","",IF(COUNTIF($D$2:D117,D117)=1,1,0))</x:f>
        <x:v>1</x:v>
      </x:c>
    </x:row>
    <x:row r="118">
      <x:c r="A118" t="s">
        <x:v>3950</x:v>
      </x:c>
      <x:c r="B118" t="s">
        <x:v>3821</x:v>
      </x:c>
      <x:c r="C118" t="s">
        <x:v>465</x:v>
      </x:c>
      <x:c r="D118" t="str">
        <x:f>LOWER(TRIM(SUBSTITUTE(C118,CHAR(160)," ")))</x:f>
        <x:v>diksha.neerbun@pwc.com</x:v>
      </x:c>
      <x:c r="E118" t="n">
        <x:f>IF(D118="","",IF(COUNTIF($D$2:D118,D118)=1,1,0))</x:f>
        <x:v>1</x:v>
      </x:c>
    </x:row>
    <x:row r="119">
      <x:c r="A119" t="s">
        <x:v>3951</x:v>
      </x:c>
      <x:c r="B119" t="s">
        <x:v>3821</x:v>
      </x:c>
      <x:c r="C119" t="s">
        <x:v>2129</x:v>
      </x:c>
      <x:c r="D119" t="str">
        <x:f>LOWER(TRIM(SUBSTITUTE(C119,CHAR(160)," ")))</x:f>
        <x:v>dinesh.lutchmun@pwc.com</x:v>
      </x:c>
      <x:c r="E119" t="n">
        <x:f>IF(D119="","",IF(COUNTIF($D$2:D119,D119)=1,1,0))</x:f>
        <x:v>1</x:v>
      </x:c>
    </x:row>
    <x:row r="120">
      <x:c r="A120" t="s">
        <x:v>3952</x:v>
      </x:c>
      <x:c r="B120" t="s">
        <x:v>3821</x:v>
      </x:c>
      <x:c r="C120" t="s">
        <x:v>126</x:v>
      </x:c>
      <x:c r="D120" t="str">
        <x:f>LOWER(TRIM(SUBSTITUTE(C120,CHAR(160)," ")))</x:f>
        <x:v>dolesha.gokhul@pwc.com</x:v>
      </x:c>
      <x:c r="E120" t="n">
        <x:f>IF(D120="","",IF(COUNTIF($D$2:D120,D120)=1,1,0))</x:f>
        <x:v>1</x:v>
      </x:c>
    </x:row>
    <x:row r="121">
      <x:c r="A121" t="s">
        <x:v>3953</x:v>
      </x:c>
      <x:c r="B121" t="s">
        <x:v>3823</x:v>
      </x:c>
      <x:c r="C121" t="s">
        <x:v>469</x:v>
      </x:c>
      <x:c r="D121" t="str">
        <x:f>LOWER(TRIM(SUBSTITUTE(C121,CHAR(160)," ")))</x:f>
        <x:v>domenic.elasu@pwc.com</x:v>
      </x:c>
      <x:c r="E121" t="n">
        <x:f>IF(D121="","",IF(COUNTIF($D$2:D121,D121)=1,1,0))</x:f>
        <x:v>1</x:v>
      </x:c>
    </x:row>
    <x:row r="122">
      <x:c r="A122" t="s">
        <x:v>3954</x:v>
      </x:c>
      <x:c r="B122" t="s">
        <x:v>3825</x:v>
      </x:c>
      <x:c r="C122" t="s">
        <x:v>3955</x:v>
      </x:c>
      <x:c r="D122" t="str">
        <x:f>LOWER(TRIM(SUBSTITUTE(C122,CHAR(160)," ")))</x:f>
        <x:v>dominic.kimeu@pwc.com</x:v>
      </x:c>
      <x:c r="E122" t="n">
        <x:f>IF(D122="","",IF(COUNTIF($D$2:D122,D122)=1,1,0))</x:f>
        <x:v>1</x:v>
      </x:c>
    </x:row>
    <x:row r="123">
      <x:c r="A123" t="s">
        <x:v>3956</x:v>
      </x:c>
      <x:c r="B123" t="s">
        <x:v>3825</x:v>
      </x:c>
      <x:c r="C123" t="s">
        <x:v>1309</x:v>
      </x:c>
      <x:c r="D123" t="str">
        <x:f>LOWER(TRIM(SUBSTITUTE(C123,CHAR(160)," ")))</x:f>
        <x:v>dominic.ocharo@pwc.com</x:v>
      </x:c>
      <x:c r="E123" t="n">
        <x:f>IF(D123="","",IF(COUNTIF($D$2:D123,D123)=1,1,0))</x:f>
        <x:v>1</x:v>
      </x:c>
    </x:row>
    <x:row r="124">
      <x:c r="A124" t="s">
        <x:v>3957</x:v>
      </x:c>
      <x:c r="B124" t="s">
        <x:v>3836</x:v>
      </x:c>
      <x:c r="C124" t="s">
        <x:v>663</x:v>
      </x:c>
      <x:c r="D124" t="str">
        <x:f>LOWER(TRIM(SUBSTITUTE(C124,CHAR(160)," ")))</x:f>
        <x:v>dominicah.mbawa@pwc.com</x:v>
      </x:c>
      <x:c r="E124" t="n">
        <x:f>IF(D124="","",IF(COUNTIF($D$2:D124,D124)=1,1,0))</x:f>
        <x:v>1</x:v>
      </x:c>
    </x:row>
    <x:row r="125">
      <x:c r="A125" t="s">
        <x:v>3958</x:v>
      </x:c>
      <x:c r="B125" t="s">
        <x:v>3821</x:v>
      </x:c>
      <x:c r="C125" t="s">
        <x:v>2695</x:v>
      </x:c>
      <x:c r="D125" t="str">
        <x:f>LOWER(TRIM(SUBSTITUTE(C125,CHAR(160)," ")))</x:f>
        <x:v>dooleshsingh.jankee@pwc.com</x:v>
      </x:c>
      <x:c r="E125" t="n">
        <x:f>IF(D125="","",IF(COUNTIF($D$2:D125,D125)=1,1,0))</x:f>
        <x:v>1</x:v>
      </x:c>
    </x:row>
    <x:row r="126">
      <x:c r="A126" t="s">
        <x:v>3959</x:v>
      </x:c>
      <x:c r="B126" t="s">
        <x:v>3823</x:v>
      </x:c>
      <x:c r="C126" t="s">
        <x:v>406</x:v>
      </x:c>
      <x:c r="D126" t="str">
        <x:f>LOWER(TRIM(SUBSTITUTE(C126,CHAR(160)," ")))</x:f>
        <x:v>dowson.kalemba@pwc.com</x:v>
      </x:c>
      <x:c r="E126" t="n">
        <x:f>IF(D126="","",IF(COUNTIF($D$2:D126,D126)=1,1,0))</x:f>
        <x:v>1</x:v>
      </x:c>
    </x:row>
    <x:row r="127">
      <x:c r="A127" t="s">
        <x:v>3960</x:v>
      </x:c>
      <x:c r="B127" t="s">
        <x:v>3829</x:v>
      </x:c>
      <x:c r="C127" t="s">
        <x:v>2648</x:v>
      </x:c>
      <x:c r="D127" t="str">
        <x:f>LOWER(TRIM(SUBSTITUTE(C127,CHAR(160)," ")))</x:f>
        <x:v>dries.tuyishime@pwc.com</x:v>
      </x:c>
      <x:c r="E127" t="n">
        <x:f>IF(D127="","",IF(COUNTIF($D$2:D127,D127)=1,1,0))</x:f>
        <x:v>1</x:v>
      </x:c>
    </x:row>
    <x:row r="128">
      <x:c r="A128" t="s">
        <x:v>3961</x:v>
      </x:c>
      <x:c r="B128" t="s">
        <x:v>3821</x:v>
      </x:c>
      <x:c r="C128" t="s">
        <x:v>92</x:v>
      </x:c>
      <x:c r="D128" t="str">
        <x:f>LOWER(TRIM(SUBSTITUTE(C128,CHAR(160)," ")))</x:f>
        <x:v>drishtee.gopee@pwc.com</x:v>
      </x:c>
      <x:c r="E128" t="n">
        <x:f>IF(D128="","",IF(COUNTIF($D$2:D128,D128)=1,1,0))</x:f>
        <x:v>1</x:v>
      </x:c>
    </x:row>
    <x:row r="129">
      <x:c r="A129" t="s">
        <x:v>3962</x:v>
      </x:c>
      <x:c r="B129" t="s">
        <x:v>3825</x:v>
      </x:c>
      <x:c r="C129" t="s">
        <x:v>2900</x:v>
      </x:c>
      <x:c r="D129" t="str">
        <x:f>LOWER(TRIM(SUBSTITUTE(C129,CHAR(160)," ")))</x:f>
        <x:v>duncan.miguna@pwc.com</x:v>
      </x:c>
      <x:c r="E129" t="n">
        <x:f>IF(D129="","",IF(COUNTIF($D$2:D129,D129)=1,1,0))</x:f>
        <x:v>1</x:v>
      </x:c>
    </x:row>
    <x:row r="130">
      <x:c r="A130" t="s">
        <x:v>3963</x:v>
      </x:c>
      <x:c r="B130" t="s">
        <x:v>3836</x:v>
      </x:c>
      <x:c r="C130" t="s">
        <x:v>437</x:v>
      </x:c>
      <x:c r="D130" t="str">
        <x:f>LOWER(TRIM(SUBSTITUTE(C130,CHAR(160)," ")))</x:f>
        <x:v>ebenezer.mujungu@pwc.com</x:v>
      </x:c>
      <x:c r="E130" t="n">
        <x:f>IF(D130="","",IF(COUNTIF($D$2:D130,D130)=1,1,0))</x:f>
        <x:v>1</x:v>
      </x:c>
    </x:row>
    <x:row r="131">
      <x:c r="A131" t="s">
        <x:v>3964</x:v>
      </x:c>
      <x:c r="B131" t="s">
        <x:v>3825</x:v>
      </x:c>
      <x:c r="C131" t="s">
        <x:v>757</x:v>
      </x:c>
      <x:c r="D131" t="str">
        <x:f>LOWER(TRIM(SUBSTITUTE(C131,CHAR(160)," ")))</x:f>
        <x:v>edwin.musire@pwc.com</x:v>
      </x:c>
      <x:c r="E131" t="n">
        <x:f>IF(D131="","",IF(COUNTIF($D$2:D131,D131)=1,1,0))</x:f>
        <x:v>1</x:v>
      </x:c>
    </x:row>
    <x:row r="132">
      <x:c r="A132" t="s">
        <x:v>3965</x:v>
      </x:c>
      <x:c r="B132" t="s">
        <x:v>3825</x:v>
      </x:c>
      <x:c r="C132" t="s">
        <x:v>2328</x:v>
      </x:c>
      <x:c r="D132" t="str">
        <x:f>LOWER(TRIM(SUBSTITUTE(C132,CHAR(160)," ")))</x:f>
        <x:v>edwin.odhiambo@pwc.com</x:v>
      </x:c>
      <x:c r="E132" t="n">
        <x:f>IF(D132="","",IF(COUNTIF($D$2:D132,D132)=1,1,0))</x:f>
        <x:v>1</x:v>
      </x:c>
    </x:row>
    <x:row r="133">
      <x:c r="A133" t="s">
        <x:v>3966</x:v>
      </x:c>
      <x:c r="B133" t="s">
        <x:v>3836</x:v>
      </x:c>
      <x:c r="C133" t="s">
        <x:v>3967</x:v>
      </x:c>
      <x:c r="D133" t="str">
        <x:f>LOWER(TRIM(SUBSTITUTE(C133,CHAR(160)," ")))</x:f>
        <x:v>elibariki.s.salema@pwc.com</x:v>
      </x:c>
      <x:c r="E133" t="n">
        <x:f>IF(D133="","",IF(COUNTIF($D$2:D133,D133)=1,1,0))</x:f>
        <x:v>1</x:v>
      </x:c>
    </x:row>
    <x:row r="134">
      <x:c r="A134" t="s">
        <x:v>3968</x:v>
      </x:c>
      <x:c r="B134" t="s">
        <x:v>3825</x:v>
      </x:c>
      <x:c r="C134" t="s">
        <x:v>2502</x:v>
      </x:c>
      <x:c r="D134" t="str">
        <x:f>LOWER(TRIM(SUBSTITUTE(C134,CHAR(160)," ")))</x:f>
        <x:v>elisha.kilonzo@pwc.com</x:v>
      </x:c>
      <x:c r="E134" t="n">
        <x:f>IF(D134="","",IF(COUNTIF($D$2:D134,D134)=1,1,0))</x:f>
        <x:v>1</x:v>
      </x:c>
    </x:row>
    <x:row r="135">
      <x:c r="A135" t="s">
        <x:v>3969</x:v>
      </x:c>
      <x:c r="B135" t="s">
        <x:v>3836</x:v>
      </x:c>
      <x:c r="C135" t="s">
        <x:v>2203</x:v>
      </x:c>
      <x:c r="D135" t="str">
        <x:f>LOWER(TRIM(SUBSTITUTE(C135,CHAR(160)," ")))</x:f>
        <x:v>elizabeth.kway@pwc.com</x:v>
      </x:c>
      <x:c r="E135" t="n">
        <x:f>IF(D135="","",IF(COUNTIF($D$2:D135,D135)=1,1,0))</x:f>
        <x:v>1</x:v>
      </x:c>
    </x:row>
    <x:row r="136">
      <x:c r="A136" t="s">
        <x:v>3970</x:v>
      </x:c>
      <x:c r="B136" t="s">
        <x:v>3825</x:v>
      </x:c>
      <x:c r="C136" t="s">
        <x:v>832</x:v>
      </x:c>
      <x:c r="D136" t="str">
        <x:f>LOWER(TRIM(SUBSTITUTE(C136,CHAR(160)," ")))</x:f>
        <x:v>elizabeth.waudo@pwc.com</x:v>
      </x:c>
      <x:c r="E136" t="n">
        <x:f>IF(D136="","",IF(COUNTIF($D$2:D136,D136)=1,1,0))</x:f>
        <x:v>1</x:v>
      </x:c>
    </x:row>
    <x:row r="137">
      <x:c r="A137" t="s">
        <x:v>3971</x:v>
      </x:c>
      <x:c r="B137" t="s">
        <x:v>3829</x:v>
      </x:c>
      <x:c r="C137" t="s">
        <x:v>3972</x:v>
      </x:c>
      <x:c r="D137" t="str">
        <x:f>LOWER(TRIM(SUBSTITUTE(C137,CHAR(160)," ")))</x:f>
        <x:v>elsie.ishimwe@pwc.com</x:v>
      </x:c>
      <x:c r="E137" t="n">
        <x:f>IF(D137="","",IF(COUNTIF($D$2:D137,D137)=1,1,0))</x:f>
        <x:v>1</x:v>
      </x:c>
    </x:row>
    <x:row r="138">
      <x:c r="A138" t="s">
        <x:v>3973</x:v>
      </x:c>
      <x:c r="B138" t="s">
        <x:v>3821</x:v>
      </x:c>
      <x:c r="C138" t="s">
        <x:v>83</x:v>
      </x:c>
      <x:c r="D138" t="str">
        <x:f>LOWER(TRIM(SUBSTITUTE(C138,CHAR(160)," ")))</x:f>
        <x:v>elvan.vythilingum@pwc.com</x:v>
      </x:c>
      <x:c r="E138" t="n">
        <x:f>IF(D138="","",IF(COUNTIF($D$2:D138,D138)=1,1,0))</x:f>
        <x:v>1</x:v>
      </x:c>
    </x:row>
    <x:row r="139">
      <x:c r="A139" t="s">
        <x:v>3974</x:v>
      </x:c>
      <x:c r="B139" t="s">
        <x:v>3823</x:v>
      </x:c>
      <x:c r="C139" t="s">
        <x:v>526</x:v>
      </x:c>
      <x:c r="D139" t="str">
        <x:f>LOWER(TRIM(SUBSTITUTE(C139,CHAR(160)," ")))</x:f>
        <x:v>elvis.thusiike@pwc.com</x:v>
      </x:c>
      <x:c r="E139" t="n">
        <x:f>IF(D139="","",IF(COUNTIF($D$2:D139,D139)=1,1,0))</x:f>
        <x:v>1</x:v>
      </x:c>
    </x:row>
    <x:row r="140">
      <x:c r="A140" t="e">
        <x:v>#N/A</x:v>
      </x:c>
      <x:c r="B140" t="e">
        <x:v>#N/A</x:v>
      </x:c>
      <x:c r="C140" t="s">
        <x:v>3975</x:v>
      </x:c>
      <x:c r="D140" t="str">
        <x:f>LOWER(TRIM(SUBSTITUTE(C140,CHAR(160)," ")))</x:f>
        <x:v>ema_asr-all@pwc.com</x:v>
      </x:c>
      <x:c r="E140" t="n">
        <x:f>IF(D140="","",IF(COUNTIF($D$2:D140,D140)=1,1,0))</x:f>
        <x:v>1</x:v>
      </x:c>
    </x:row>
    <x:row r="141">
      <x:c r="A141" t="s">
        <x:v>3976</x:v>
      </x:c>
      <x:c r="B141" t="s">
        <x:v>3821</x:v>
      </x:c>
      <x:c r="C141" t="s">
        <x:v>2389</x:v>
      </x:c>
      <x:c r="D141" t="str">
        <x:f>LOWER(TRIM(SUBSTITUTE(C141,CHAR(160)," ")))</x:f>
        <x:v>emily.cheong.nam.kwong@pwc.com</x:v>
      </x:c>
      <x:c r="E141" t="n">
        <x:f>IF(D141="","",IF(COUNTIF($D$2:D141,D141)=1,1,0))</x:f>
        <x:v>1</x:v>
      </x:c>
    </x:row>
    <x:row r="142">
      <x:c r="A142" t="s">
        <x:v>3977</x:v>
      </x:c>
      <x:c r="B142" t="s">
        <x:v>3821</x:v>
      </x:c>
      <x:c r="C142" t="s">
        <x:v>1848</x:v>
      </x:c>
      <x:c r="D142" t="str">
        <x:f>LOWER(TRIM(SUBSTITUTE(C142,CHAR(160)," ")))</x:f>
        <x:v>emily.lan.hing.po@pwc.com</x:v>
      </x:c>
      <x:c r="E142" t="n">
        <x:f>IF(D142="","",IF(COUNTIF($D$2:D142,D142)=1,1,0))</x:f>
        <x:v>1</x:v>
      </x:c>
    </x:row>
    <x:row r="143">
      <x:c r="A143" t="s">
        <x:v>3978</x:v>
      </x:c>
      <x:c r="B143" t="s">
        <x:v>3844</x:v>
      </x:c>
      <x:c r="C143" t="s">
        <x:v>78</x:v>
      </x:c>
      <x:c r="D143" t="str">
        <x:f>LOWER(TRIM(SUBSTITUTE(C143,CHAR(160)," ")))</x:f>
        <x:v>emmanuel.kamizhi@pwc.com</x:v>
      </x:c>
      <x:c r="E143" t="n">
        <x:f>IF(D143="","",IF(COUNTIF($D$2:D143,D143)=1,1,0))</x:f>
        <x:v>1</x:v>
      </x:c>
    </x:row>
    <x:row r="144">
      <x:c r="A144" t="s">
        <x:v>3979</x:v>
      </x:c>
      <x:c r="B144" t="s">
        <x:v>3825</x:v>
      </x:c>
      <x:c r="C144" t="s">
        <x:v>957</x:v>
      </x:c>
      <x:c r="D144" t="str">
        <x:f>LOWER(TRIM(SUBSTITUTE(C144,CHAR(160)," ")))</x:f>
        <x:v>emmanuel.ngemi@pwc.com</x:v>
      </x:c>
      <x:c r="E144" t="n">
        <x:f>IF(D144="","",IF(COUNTIF($D$2:D144,D144)=1,1,0))</x:f>
        <x:v>1</x:v>
      </x:c>
    </x:row>
    <x:row r="145">
      <x:c r="A145" t="s">
        <x:v>3980</x:v>
      </x:c>
      <x:c r="B145" t="s">
        <x:v>3844</x:v>
      </x:c>
      <x:c r="C145" t="s">
        <x:v>1166</x:v>
      </x:c>
      <x:c r="D145" t="str">
        <x:f>LOWER(TRIM(SUBSTITUTE(C145,CHAR(160)," ")))</x:f>
        <x:v>erick.g.gikaria@pwc.com</x:v>
      </x:c>
      <x:c r="E145" t="n">
        <x:f>IF(D145="","",IF(COUNTIF($D$2:D145,D145)=1,1,0))</x:f>
        <x:v>1</x:v>
      </x:c>
    </x:row>
    <x:row r="146">
      <x:c r="A146" t="s">
        <x:v>3981</x:v>
      </x:c>
      <x:c r="B146" t="s">
        <x:v>3836</x:v>
      </x:c>
      <x:c r="C146" t="s">
        <x:v>1011</x:v>
      </x:c>
      <x:c r="D146" t="str">
        <x:f>LOWER(TRIM(SUBSTITUTE(C146,CHAR(160)," ")))</x:f>
        <x:v>erick.mona@pwc.com</x:v>
      </x:c>
      <x:c r="E146" t="n">
        <x:f>IF(D146="","",IF(COUNTIF($D$2:D146,D146)=1,1,0))</x:f>
        <x:v>1</x:v>
      </x:c>
    </x:row>
    <x:row r="147">
      <x:c r="A147" t="s">
        <x:v>3982</x:v>
      </x:c>
      <x:c r="B147" t="s">
        <x:v>3823</x:v>
      </x:c>
      <x:c r="C147" t="s">
        <x:v>131</x:v>
      </x:c>
      <x:c r="D147" t="str">
        <x:f>LOWER(TRIM(SUBSTITUTE(C147,CHAR(160)," ")))</x:f>
        <x:v>eseri.khabuya@pwc.com</x:v>
      </x:c>
      <x:c r="E147" t="n">
        <x:f>IF(D147="","",IF(COUNTIF($D$2:D147,D147)=1,1,0))</x:f>
        <x:v>1</x:v>
      </x:c>
    </x:row>
    <x:row r="148">
      <x:c r="A148" t="s">
        <x:v>3983</x:v>
      </x:c>
      <x:c r="B148" t="s">
        <x:v>3821</x:v>
      </x:c>
      <x:c r="C148" t="s">
        <x:v>2171</x:v>
      </x:c>
      <x:c r="D148" t="str">
        <x:f>LOWER(TRIM(SUBSTITUTE(C148,CHAR(160)," ")))</x:f>
        <x:v>esha.ramsamy@pwc.com</x:v>
      </x:c>
      <x:c r="E148" t="n">
        <x:f>IF(D148="","",IF(COUNTIF($D$2:D148,D148)=1,1,0))</x:f>
        <x:v>1</x:v>
      </x:c>
    </x:row>
    <x:row r="149">
      <x:c r="A149" t="s">
        <x:v>3984</x:v>
      </x:c>
      <x:c r="B149" t="s">
        <x:v>3836</x:v>
      </x:c>
      <x:c r="C149" t="s">
        <x:v>331</x:v>
      </x:c>
      <x:c r="D149" t="str">
        <x:f>LOWER(TRIM(SUBSTITUTE(C149,CHAR(160)," ")))</x:f>
        <x:v>esmeralda.kavishe@pwc.com</x:v>
      </x:c>
      <x:c r="E149" t="n">
        <x:f>IF(D149="","",IF(COUNTIF($D$2:D149,D149)=1,1,0))</x:f>
        <x:v>1</x:v>
      </x:c>
    </x:row>
    <x:row r="150">
      <x:c r="A150" t="s">
        <x:v>3985</x:v>
      </x:c>
      <x:c r="B150" t="s">
        <x:v>3825</x:v>
      </x:c>
      <x:c r="C150" t="s">
        <x:v>3986</x:v>
      </x:c>
      <x:c r="D150" t="str">
        <x:f>LOWER(TRIM(SUBSTITUTE(C150,CHAR(160)," ")))</x:f>
        <x:v>esther.kimeu@pwc.com</x:v>
      </x:c>
      <x:c r="E150" t="n">
        <x:f>IF(D150="","",IF(COUNTIF($D$2:D150,D150)=1,1,0))</x:f>
        <x:v>1</x:v>
      </x:c>
    </x:row>
    <x:row r="151">
      <x:c r="A151" t="s">
        <x:v>3987</x:v>
      </x:c>
      <x:c r="B151" t="s">
        <x:v>3836</x:v>
      </x:c>
      <x:c r="C151" t="s">
        <x:v>1896</x:v>
      </x:c>
      <x:c r="D151" t="str">
        <x:f>LOWER(TRIM(SUBSTITUTE(C151,CHAR(160)," ")))</x:f>
        <x:v>esther.swai@pwc.com</x:v>
      </x:c>
      <x:c r="E151" t="n">
        <x:f>IF(D151="","",IF(COUNTIF($D$2:D151,D151)=1,1,0))</x:f>
        <x:v>1</x:v>
      </x:c>
    </x:row>
    <x:row r="152">
      <x:c r="A152" t="s">
        <x:v>3988</x:v>
      </x:c>
      <x:c r="B152" t="s">
        <x:v>3825</x:v>
      </x:c>
      <x:c r="C152" t="s">
        <x:v>2711</x:v>
      </x:c>
      <x:c r="D152" t="str">
        <x:f>LOWER(TRIM(SUBSTITUTE(C152,CHAR(160)," ")))</x:f>
        <x:v>esther.wilson@pwc.com</x:v>
      </x:c>
      <x:c r="E152" t="n">
        <x:f>IF(D152="","",IF(COUNTIF($D$2:D152,D152)=1,1,0))</x:f>
        <x:v>1</x:v>
      </x:c>
    </x:row>
    <x:row r="153">
      <x:c r="A153" t="s">
        <x:v>3989</x:v>
      </x:c>
      <x:c r="B153" t="s">
        <x:v>3825</x:v>
      </x:c>
      <x:c r="C153" t="s">
        <x:v>273</x:v>
      </x:c>
      <x:c r="D153" t="str">
        <x:f>LOWER(TRIM(SUBSTITUTE(C153,CHAR(160)," ")))</x:f>
        <x:v>ezra.kemboi@pwc.com</x:v>
      </x:c>
      <x:c r="E153" t="n">
        <x:f>IF(D153="","",IF(COUNTIF($D$2:D153,D153)=1,1,0))</x:f>
        <x:v>1</x:v>
      </x:c>
    </x:row>
    <x:row r="154">
      <x:c r="A154" t="s">
        <x:v>3990</x:v>
      </x:c>
      <x:c r="B154" t="s">
        <x:v>3825</x:v>
      </x:c>
      <x:c r="C154" t="s">
        <x:v>2406</x:v>
      </x:c>
      <x:c r="D154" t="str">
        <x:f>LOWER(TRIM(SUBSTITUTE(C154,CHAR(160)," ")))</x:f>
        <x:v>ezra.maruti@pwc.com</x:v>
      </x:c>
      <x:c r="E154" t="n">
        <x:f>IF(D154="","",IF(COUNTIF($D$2:D154,D154)=1,1,0))</x:f>
        <x:v>1</x:v>
      </x:c>
    </x:row>
    <x:row r="155">
      <x:c r="A155" t="s">
        <x:v>3991</x:v>
      </x:c>
      <x:c r="B155" t="s">
        <x:v>3821</x:v>
      </x:c>
      <x:c r="C155" t="s">
        <x:v>2521</x:v>
      </x:c>
      <x:c r="D155" t="str">
        <x:f>LOWER(TRIM(SUBSTITUTE(C155,CHAR(160)," ")))</x:f>
        <x:v>fahim.damaree@pwc.com</x:v>
      </x:c>
      <x:c r="E155" t="n">
        <x:f>IF(D155="","",IF(COUNTIF($D$2:D155,D155)=1,1,0))</x:f>
        <x:v>1</x:v>
      </x:c>
    </x:row>
    <x:row r="156">
      <x:c r="A156" t="s">
        <x:v>3992</x:v>
      </x:c>
      <x:c r="B156" t="s">
        <x:v>3825</x:v>
      </x:c>
      <x:c r="C156" t="s">
        <x:v>2167</x:v>
      </x:c>
      <x:c r="D156" t="str">
        <x:f>LOWER(TRIM(SUBSTITUTE(C156,CHAR(160)," ")))</x:f>
        <x:v>faith.makori@pwc.com</x:v>
      </x:c>
      <x:c r="E156" t="n">
        <x:f>IF(D156="","",IF(COUNTIF($D$2:D156,D156)=1,1,0))</x:f>
        <x:v>1</x:v>
      </x:c>
    </x:row>
    <x:row r="157">
      <x:c r="A157" t="s">
        <x:v>3993</x:v>
      </x:c>
      <x:c r="B157" t="s">
        <x:v>3821</x:v>
      </x:c>
      <x:c r="C157" t="s">
        <x:v>1720</x:v>
      </x:c>
      <x:c r="D157" t="str">
        <x:f>LOWER(TRIM(SUBSTITUTE(C157,CHAR(160)," ")))</x:f>
        <x:v>fardeen.dullull@pwc.com</x:v>
      </x:c>
      <x:c r="E157" t="n">
        <x:f>IF(D157="","",IF(COUNTIF($D$2:D157,D157)=1,1,0))</x:f>
        <x:v>1</x:v>
      </x:c>
    </x:row>
    <x:row r="158">
      <x:c r="A158" t="s">
        <x:v>3994</x:v>
      </x:c>
      <x:c r="B158" t="s">
        <x:v>3821</x:v>
      </x:c>
      <x:c r="C158" t="s">
        <x:v>2949</x:v>
      </x:c>
      <x:c r="D158" t="str">
        <x:f>LOWER(TRIM(SUBSTITUTE(C158,CHAR(160)," ")))</x:f>
        <x:v>farhaan.salamuth@pwc.com</x:v>
      </x:c>
      <x:c r="E158" t="n">
        <x:f>IF(D158="","",IF(COUNTIF($D$2:D158,D158)=1,1,0))</x:f>
        <x:v>1</x:v>
      </x:c>
    </x:row>
    <x:row r="159">
      <x:c r="A159" t="s">
        <x:v>3995</x:v>
      </x:c>
      <x:c r="B159" t="s">
        <x:v>3823</x:v>
      </x:c>
      <x:c r="C159" t="s">
        <x:v>1108</x:v>
      </x:c>
      <x:c r="D159" t="str">
        <x:f>LOWER(TRIM(SUBSTITUTE(C159,CHAR(160)," ")))</x:f>
        <x:v>farouk.kasadha@pwc.com</x:v>
      </x:c>
      <x:c r="E159" t="n">
        <x:f>IF(D159="","",IF(COUNTIF($D$2:D159,D159)=1,1,0))</x:f>
        <x:v>1</x:v>
      </x:c>
    </x:row>
    <x:row r="160">
      <x:c r="A160" t="s">
        <x:v>3996</x:v>
      </x:c>
      <x:c r="B160" t="s">
        <x:v>3844</x:v>
      </x:c>
      <x:c r="C160" t="s">
        <x:v>594</x:v>
      </x:c>
      <x:c r="D160" t="str">
        <x:f>LOWER(TRIM(SUBSTITUTE(C160,CHAR(160)," ")))</x:f>
        <x:v>fayson.x.munkombwe@pwc.com</x:v>
      </x:c>
      <x:c r="E160" t="n">
        <x:f>IF(D160="","",IF(COUNTIF($D$2:D160,D160)=1,1,0))</x:f>
        <x:v>1</x:v>
      </x:c>
    </x:row>
    <x:row r="161">
      <x:c r="A161" t="s">
        <x:v>3997</x:v>
      </x:c>
      <x:c r="B161" t="s">
        <x:v>3844</x:v>
      </x:c>
      <x:c r="C161" t="s">
        <x:v>2109</x:v>
      </x:c>
      <x:c r="D161" t="str">
        <x:f>LOWER(TRIM(SUBSTITUTE(C161,CHAR(160)," ")))</x:f>
        <x:v>flavia.kaluba@pwc.com</x:v>
      </x:c>
      <x:c r="E161" t="n">
        <x:f>IF(D161="","",IF(COUNTIF($D$2:D161,D161)=1,1,0))</x:f>
        <x:v>1</x:v>
      </x:c>
    </x:row>
    <x:row r="162">
      <x:c r="A162" t="s">
        <x:v>3998</x:v>
      </x:c>
      <x:c r="B162" t="s">
        <x:v>3836</x:v>
      </x:c>
      <x:c r="C162" t="s">
        <x:v>606</x:v>
      </x:c>
      <x:c r="D162" t="str">
        <x:f>LOWER(TRIM(SUBSTITUTE(C162,CHAR(160)," ")))</x:f>
        <x:v>florencia.kituku@pwc.com</x:v>
      </x:c>
      <x:c r="E162" t="n">
        <x:f>IF(D162="","",IF(COUNTIF($D$2:D162,D162)=1,1,0))</x:f>
        <x:v>1</x:v>
      </x:c>
    </x:row>
    <x:row r="163">
      <x:c r="A163" t="s">
        <x:v>3999</x:v>
      </x:c>
      <x:c r="B163" t="s">
        <x:v>3825</x:v>
      </x:c>
      <x:c r="C163" t="s">
        <x:v>522</x:v>
      </x:c>
      <x:c r="D163" t="str">
        <x:f>LOWER(TRIM(SUBSTITUTE(C163,CHAR(160)," ")))</x:f>
        <x:v>fraciah.maina@pwc.com</x:v>
      </x:c>
      <x:c r="E163" t="n">
        <x:f>IF(D163="","",IF(COUNTIF($D$2:D163,D163)=1,1,0))</x:f>
        <x:v>1</x:v>
      </x:c>
    </x:row>
    <x:row r="164">
      <x:c r="A164" t="s">
        <x:v>4000</x:v>
      </x:c>
      <x:c r="B164" t="s">
        <x:v>3825</x:v>
      </x:c>
      <x:c r="C164" t="s">
        <x:v>1930</x:v>
      </x:c>
      <x:c r="D164" t="str">
        <x:f>LOWER(TRIM(SUBSTITUTE(C164,CHAR(160)," ")))</x:f>
        <x:v>francis.muriu@pwc.com</x:v>
      </x:c>
      <x:c r="E164" t="n">
        <x:f>IF(D164="","",IF(COUNTIF($D$2:D164,D164)=1,1,0))</x:f>
        <x:v>1</x:v>
      </x:c>
    </x:row>
    <x:row r="165">
      <x:c r="A165" t="s">
        <x:v>4001</x:v>
      </x:c>
      <x:c r="B165" t="s">
        <x:v>3836</x:v>
      </x:c>
      <x:c r="C165" t="s">
        <x:v>1807</x:v>
      </x:c>
      <x:c r="D165" t="str">
        <x:f>LOWER(TRIM(SUBSTITUTE(C165,CHAR(160)," ")))</x:f>
        <x:v>francis.k.nzau@pwc.com</x:v>
      </x:c>
      <x:c r="E165" t="n">
        <x:f>IF(D165="","",IF(COUNTIF($D$2:D165,D165)=1,1,0))</x:f>
        <x:v>1</x:v>
      </x:c>
    </x:row>
    <x:row r="166">
      <x:c r="A166" t="s">
        <x:v>4002</x:v>
      </x:c>
      <x:c r="B166" t="s">
        <x:v>3825</x:v>
      </x:c>
      <x:c r="C166" t="s">
        <x:v>698</x:v>
      </x:c>
      <x:c r="D166" t="str">
        <x:f>LOWER(TRIM(SUBSTITUTE(C166,CHAR(160)," ")))</x:f>
        <x:v>freda.k.kithinji@pwc.com</x:v>
      </x:c>
      <x:c r="E166" t="n">
        <x:f>IF(D166="","",IF(COUNTIF($D$2:D166,D166)=1,1,0))</x:f>
        <x:v>1</x:v>
      </x:c>
    </x:row>
    <x:row r="167">
      <x:c r="A167" t="s">
        <x:v>4003</x:v>
      </x:c>
      <x:c r="B167" t="s">
        <x:v>3825</x:v>
      </x:c>
      <x:c r="C167" t="s">
        <x:v>423</x:v>
      </x:c>
      <x:c r="D167" t="str">
        <x:f>LOWER(TRIM(SUBSTITUTE(C167,CHAR(160)," ")))</x:f>
        <x:v>fredrick.k.ogolla@pwc.com</x:v>
      </x:c>
      <x:c r="E167" t="n">
        <x:f>IF(D167="","",IF(COUNTIF($D$2:D167,D167)=1,1,0))</x:f>
        <x:v>1</x:v>
      </x:c>
    </x:row>
    <x:row r="168">
      <x:c r="A168" t="s">
        <x:v>4004</x:v>
      </x:c>
      <x:c r="B168" t="s">
        <x:v>3829</x:v>
      </x:c>
      <x:c r="C168" t="s">
        <x:v>550</x:v>
      </x:c>
      <x:c r="D168" t="str">
        <x:f>LOWER(TRIM(SUBSTITUTE(C168,CHAR(160)," ")))</x:f>
        <x:v>frida.umuhire@pwc.com</x:v>
      </x:c>
      <x:c r="E168" t="n">
        <x:f>IF(D168="","",IF(COUNTIF($D$2:D168,D168)=1,1,0))</x:f>
        <x:v>1</x:v>
      </x:c>
    </x:row>
    <x:row r="169">
      <x:c r="A169" t="s">
        <x:v>4005</x:v>
      </x:c>
      <x:c r="B169" t="s">
        <x:v>3821</x:v>
      </x:c>
      <x:c r="C169" t="s">
        <x:v>4006</x:v>
      </x:c>
      <x:c r="D169" t="str">
        <x:f>LOWER(TRIM(SUBSTITUTE(C169,CHAR(160)," ")))</x:f>
        <x:v>gabrielle.faydherbe@pwc.com</x:v>
      </x:c>
      <x:c r="E169" t="n">
        <x:f>IF(D169="","",IF(COUNTIF($D$2:D169,D169)=1,1,0))</x:f>
        <x:v>1</x:v>
      </x:c>
    </x:row>
    <x:row r="170">
      <x:c r="A170" t="s">
        <x:v>4007</x:v>
      </x:c>
      <x:c r="B170" t="s">
        <x:v>3821</x:v>
      </x:c>
      <x:c r="C170" t="s">
        <x:v>1844</x:v>
      </x:c>
      <x:c r="D170" t="str">
        <x:f>LOWER(TRIM(SUBSTITUTE(C170,CHAR(160)," ")))</x:f>
        <x:v>gaurav.seeam@pwc.com</x:v>
      </x:c>
      <x:c r="E170" t="n">
        <x:f>IF(D170="","",IF(COUNTIF($D$2:D170,D170)=1,1,0))</x:f>
        <x:v>1</x:v>
      </x:c>
    </x:row>
    <x:row r="171">
      <x:c r="A171" t="s">
        <x:v>4008</x:v>
      </x:c>
      <x:c r="B171" t="s">
        <x:v>3821</x:v>
      </x:c>
      <x:c r="C171" t="s">
        <x:v>1753</x:v>
      </x:c>
      <x:c r="D171" t="str">
        <x:f>LOWER(TRIM(SUBSTITUTE(C171,CHAR(160)," ")))</x:f>
        <x:v>gavin.allagapen@pwc.com</x:v>
      </x:c>
      <x:c r="E171" t="n">
        <x:f>IF(D171="","",IF(COUNTIF($D$2:D171,D171)=1,1,0))</x:f>
        <x:v>1</x:v>
      </x:c>
    </x:row>
    <x:row r="172">
      <x:c r="A172" t="s">
        <x:v>4009</x:v>
      </x:c>
      <x:c r="B172" t="s">
        <x:v>3844</x:v>
      </x:c>
      <x:c r="C172" t="s">
        <x:v>2251</x:v>
      </x:c>
      <x:c r="D172" t="str">
        <x:f>LOWER(TRIM(SUBSTITUTE(C172,CHAR(160)," ")))</x:f>
        <x:v>george.mukupa@pwc.com</x:v>
      </x:c>
      <x:c r="E172" t="n">
        <x:f>IF(D172="","",IF(COUNTIF($D$2:D172,D172)=1,1,0))</x:f>
        <x:v>1</x:v>
      </x:c>
    </x:row>
    <x:row r="173">
      <x:c r="A173" t="s">
        <x:v>4010</x:v>
      </x:c>
      <x:c r="B173" t="s">
        <x:v>3836</x:v>
      </x:c>
      <x:c r="C173" t="s">
        <x:v>162</x:v>
      </x:c>
      <x:c r="D173" t="str">
        <x:f>LOWER(TRIM(SUBSTITUTE(C173,CHAR(160)," ")))</x:f>
        <x:v>georgina.mkuchu@pwc.com</x:v>
      </x:c>
      <x:c r="E173" t="n">
        <x:f>IF(D173="","",IF(COUNTIF($D$2:D173,D173)=1,1,0))</x:f>
        <x:v>1</x:v>
      </x:c>
    </x:row>
    <x:row r="174">
      <x:c r="A174" t="s">
        <x:v>4011</x:v>
      </x:c>
      <x:c r="B174" t="s">
        <x:v>3823</x:v>
      </x:c>
      <x:c r="C174" t="s">
        <x:v>1769</x:v>
      </x:c>
      <x:c r="D174" t="str">
        <x:f>LOWER(TRIM(SUBSTITUTE(C174,CHAR(160)," ")))</x:f>
        <x:v>gerald.aheebwa@pwc.com</x:v>
      </x:c>
      <x:c r="E174" t="n">
        <x:f>IF(D174="","",IF(COUNTIF($D$2:D174,D174)=1,1,0))</x:f>
        <x:v>1</x:v>
      </x:c>
    </x:row>
    <x:row r="175">
      <x:c r="A175" t="s">
        <x:v>4012</x:v>
      </x:c>
      <x:c r="B175" t="s">
        <x:v>3823</x:v>
      </x:c>
      <x:c r="C175" t="s">
        <x:v>2231</x:v>
      </x:c>
      <x:c r="D175" t="str">
        <x:f>LOWER(TRIM(SUBSTITUTE(C175,CHAR(160)," ")))</x:f>
        <x:v>gillian.elwor@pwc.com</x:v>
      </x:c>
      <x:c r="E175" t="n">
        <x:f>IF(D175="","",IF(COUNTIF($D$2:D175,D175)=1,1,0))</x:f>
        <x:v>1</x:v>
      </x:c>
    </x:row>
    <x:row r="176">
      <x:c r="A176" t="s">
        <x:v>4013</x:v>
      </x:c>
      <x:c r="B176" t="s">
        <x:v>3821</x:v>
      </x:c>
      <x:c r="C176" t="s">
        <x:v>321</x:v>
      </x:c>
      <x:c r="D176" t="str">
        <x:f>LOWER(TRIM(SUBSTITUTE(C176,CHAR(160)," ")))</x:f>
        <x:v>girish.balchurn@pwc.com</x:v>
      </x:c>
      <x:c r="E176" t="n">
        <x:f>IF(D176="","",IF(COUNTIF($D$2:D176,D176)=1,1,0))</x:f>
        <x:v>1</x:v>
      </x:c>
    </x:row>
    <x:row r="177">
      <x:c r="A177" t="s">
        <x:v>4014</x:v>
      </x:c>
      <x:c r="B177" t="s">
        <x:v>3829</x:v>
      </x:c>
      <x:c r="C177" t="s">
        <x:v>210</x:v>
      </x:c>
      <x:c r="D177" t="str">
        <x:f>LOWER(TRIM(SUBSTITUTE(C177,CHAR(160)," ")))</x:f>
        <x:v>gisele.ngoga@pwc.com</x:v>
      </x:c>
      <x:c r="E177" t="n">
        <x:f>IF(D177="","",IF(COUNTIF($D$2:D177,D177)=1,1,0))</x:f>
        <x:v>1</x:v>
      </x:c>
    </x:row>
    <x:row r="178">
      <x:c r="A178" t="s">
        <x:v>4015</x:v>
      </x:c>
      <x:c r="B178" t="s">
        <x:v>3836</x:v>
      </x:c>
      <x:c r="C178" t="s">
        <x:v>2875</x:v>
      </x:c>
      <x:c r="D178" t="str">
        <x:f>LOWER(TRIM(SUBSTITUTE(C178,CHAR(160)," ")))</x:f>
        <x:v>godbless.kafimbi@pwc.com</x:v>
      </x:c>
      <x:c r="E178" t="n">
        <x:f>IF(D178="","",IF(COUNTIF($D$2:D178,D178)=1,1,0))</x:f>
        <x:v>1</x:v>
      </x:c>
    </x:row>
    <x:row r="179">
      <x:c r="A179" t="s">
        <x:v>4016</x:v>
      </x:c>
      <x:c r="B179" t="s">
        <x:v>3823</x:v>
      </x:c>
      <x:c r="C179" t="s">
        <x:v>220</x:v>
      </x:c>
      <x:c r="D179" t="str">
        <x:f>LOWER(TRIM(SUBSTITUTE(C179,CHAR(160)," ")))</x:f>
        <x:v>godfrey.kizza@pwc.com</x:v>
      </x:c>
      <x:c r="E179" t="n">
        <x:f>IF(D179="","",IF(COUNTIF($D$2:D179,D179)=1,1,0))</x:f>
        <x:v>1</x:v>
      </x:c>
    </x:row>
    <x:row r="180">
      <x:c r="A180" t="s">
        <x:v>4017</x:v>
      </x:c>
      <x:c r="B180" t="s">
        <x:v>3836</x:v>
      </x:c>
      <x:c r="C180" t="s">
        <x:v>861</x:v>
      </x:c>
      <x:c r="D180" t="str">
        <x:f>LOWER(TRIM(SUBSTITUTE(C180,CHAR(160)," ")))</x:f>
        <x:v>golder.k.kamuzora@pwc.com</x:v>
      </x:c>
      <x:c r="E180" t="n">
        <x:f>IF(D180="","",IF(COUNTIF($D$2:D180,D180)=1,1,0))</x:f>
        <x:v>1</x:v>
      </x:c>
    </x:row>
    <x:row r="181">
      <x:c r="A181" t="s">
        <x:v>4018</x:v>
      </x:c>
      <x:c r="B181" t="s">
        <x:v>3825</x:v>
      </x:c>
      <x:c r="C181" t="s">
        <x:v>586</x:v>
      </x:c>
      <x:c r="D181" t="str">
        <x:f>LOWER(TRIM(SUBSTITUTE(C181,CHAR(160)," ")))</x:f>
        <x:v>grace.kinyanjui@pwc.com</x:v>
      </x:c>
      <x:c r="E181" t="n">
        <x:f>IF(D181="","",IF(COUNTIF($D$2:D181,D181)=1,1,0))</x:f>
        <x:v>1</x:v>
      </x:c>
    </x:row>
    <x:row r="182">
      <x:c r="A182" t="s">
        <x:v>4019</x:v>
      </x:c>
      <x:c r="B182" t="s">
        <x:v>3823</x:v>
      </x:c>
      <x:c r="C182" t="s">
        <x:v>2345</x:v>
      </x:c>
      <x:c r="D182" t="str">
        <x:f>LOWER(TRIM(SUBSTITUTE(C182,CHAR(160)," ")))</x:f>
        <x:v>grace.nalwanga@pwc.com</x:v>
      </x:c>
      <x:c r="E182" t="n">
        <x:f>IF(D182="","",IF(COUNTIF($D$2:D182,D182)=1,1,0))</x:f>
        <x:v>1</x:v>
      </x:c>
    </x:row>
    <x:row r="183">
      <x:c r="A183" t="s">
        <x:v>4020</x:v>
      </x:c>
      <x:c r="B183" t="s">
        <x:v>3823</x:v>
      </x:c>
      <x:c r="C183" t="s">
        <x:v>3130</x:v>
      </x:c>
      <x:c r="D183" t="str">
        <x:f>LOWER(TRIM(SUBSTITUTE(C183,CHAR(160)," ")))</x:f>
        <x:v>grace.namatovu@pwc.com</x:v>
      </x:c>
      <x:c r="E183" t="n">
        <x:f>IF(D183="","",IF(COUNTIF($D$2:D183,D183)=1,1,0))</x:f>
        <x:v>1</x:v>
      </x:c>
    </x:row>
    <x:row r="184">
      <x:c r="A184" t="s">
        <x:v>4021</x:v>
      </x:c>
      <x:c r="B184" t="s">
        <x:v>3844</x:v>
      </x:c>
      <x:c r="C184" t="s">
        <x:v>1145</x:v>
      </x:c>
      <x:c r="D184" t="str">
        <x:f>LOWER(TRIM(SUBSTITUTE(C184,CHAR(160)," ")))</x:f>
        <x:v>grace.n.ndhlovu@pwc.com</x:v>
      </x:c>
      <x:c r="E184" t="n">
        <x:f>IF(D184="","",IF(COUNTIF($D$2:D184,D184)=1,1,0))</x:f>
        <x:v>1</x:v>
      </x:c>
    </x:row>
    <x:row r="185">
      <x:c r="A185" t="s">
        <x:v>4022</x:v>
      </x:c>
      <x:c r="B185" t="s">
        <x:v>3821</x:v>
      </x:c>
      <x:c r="C185" t="s">
        <x:v>2830</x:v>
      </x:c>
      <x:c r="D185" t="str">
        <x:f>LOWER(TRIM(SUBSTITUTE(C185,CHAR(160)," ")))</x:f>
        <x:v>gregory.lallman@pwc.com</x:v>
      </x:c>
      <x:c r="E185" t="n">
        <x:f>IF(D185="","",IF(COUNTIF($D$2:D185,D185)=1,1,0))</x:f>
        <x:v>1</x:v>
      </x:c>
    </x:row>
    <x:row r="186">
      <x:c r="A186" t="s">
        <x:v>4023</x:v>
      </x:c>
      <x:c r="B186" t="s">
        <x:v>3836</x:v>
      </x:c>
      <x:c r="C186" t="s">
        <x:v>179</x:v>
      </x:c>
      <x:c r="D186" t="str">
        <x:f>LOWER(TRIM(SUBSTITUTE(C186,CHAR(160)," ")))</x:f>
        <x:v>griffin.erasmus@pwc.com</x:v>
      </x:c>
      <x:c r="E186" t="n">
        <x:f>IF(D186="","",IF(COUNTIF($D$2:D186,D186)=1,1,0))</x:f>
        <x:v>1</x:v>
      </x:c>
    </x:row>
    <x:row r="187">
      <x:c r="A187" t="s">
        <x:v>4024</x:v>
      </x:c>
      <x:c r="B187" t="s">
        <x:v>3836</x:v>
      </x:c>
      <x:c r="C187" t="s">
        <x:v>2084</x:v>
      </x:c>
      <x:c r="D187" t="str">
        <x:f>LOWER(TRIM(SUBSTITUTE(C187,CHAR(160)," ")))</x:f>
        <x:v>hadija.chivugo@pwc.com</x:v>
      </x:c>
      <x:c r="E187" t="n">
        <x:f>IF(D187="","",IF(COUNTIF($D$2:D187,D187)=1,1,0))</x:f>
        <x:v>1</x:v>
      </x:c>
    </x:row>
    <x:row r="188">
      <x:c r="A188" t="s">
        <x:v>4025</x:v>
      </x:c>
      <x:c r="B188" t="s">
        <x:v>3821</x:v>
      </x:c>
      <x:c r="C188" t="s">
        <x:v>1758</x:v>
      </x:c>
      <x:c r="D188" t="str">
        <x:f>LOWER(TRIM(SUBSTITUTE(C188,CHAR(160)," ")))</x:f>
        <x:v>hannes.jvrensburg@pwc.com</x:v>
      </x:c>
      <x:c r="E188" t="n">
        <x:f>IF(D188="","",IF(COUNTIF($D$2:D188,D188)=1,1,0))</x:f>
        <x:v>1</x:v>
      </x:c>
    </x:row>
    <x:row r="189">
      <x:c r="A189" t="s">
        <x:v>4026</x:v>
      </x:c>
      <x:c r="B189" t="s">
        <x:v>3821</x:v>
      </x:c>
      <x:c r="C189" t="s">
        <x:v>780</x:v>
      </x:c>
      <x:c r="D189" t="str">
        <x:f>LOWER(TRIM(SUBSTITUTE(C189,CHAR(160)," ")))</x:f>
        <x:v>hassan.soormally@pwc.com</x:v>
      </x:c>
      <x:c r="E189" t="n">
        <x:f>IF(D189="","",IF(COUNTIF($D$2:D189,D189)=1,1,0))</x:f>
        <x:v>1</x:v>
      </x:c>
    </x:row>
    <x:row r="190">
      <x:c r="A190" t="s">
        <x:v>4027</x:v>
      </x:c>
      <x:c r="B190" t="s">
        <x:v>3821</x:v>
      </x:c>
      <x:c r="C190" t="s">
        <x:v>2678</x:v>
      </x:c>
      <x:c r="D190" t="str">
        <x:f>LOWER(TRIM(SUBSTITUTE(C190,CHAR(160)," ")))</x:f>
        <x:v>hemisha.bhookhul@pwc.com</x:v>
      </x:c>
      <x:c r="E190" t="n">
        <x:f>IF(D190="","",IF(COUNTIF($D$2:D190,D190)=1,1,0))</x:f>
        <x:v>1</x:v>
      </x:c>
    </x:row>
    <x:row r="191">
      <x:c r="A191" t="s">
        <x:v>4028</x:v>
      </x:c>
      <x:c r="B191" t="s">
        <x:v>3825</x:v>
      </x:c>
      <x:c r="C191" t="s">
        <x:v>2586</x:v>
      </x:c>
      <x:c r="D191" t="str">
        <x:f>LOWER(TRIM(SUBSTITUTE(C191,CHAR(160)," ")))</x:f>
        <x:v>hillary.osoro@pwc.com</x:v>
      </x:c>
      <x:c r="E191" t="n">
        <x:f>IF(D191="","",IF(COUNTIF($D$2:D191,D191)=1,1,0))</x:f>
        <x:v>1</x:v>
      </x:c>
    </x:row>
    <x:row r="192">
      <x:c r="A192" t="s">
        <x:v>4029</x:v>
      </x:c>
      <x:c r="B192" t="s">
        <x:v>3821</x:v>
      </x:c>
      <x:c r="C192" t="s">
        <x:v>2192</x:v>
      </x:c>
      <x:c r="D192" t="str">
        <x:f>LOWER(TRIM(SUBSTITUTE(C192,CHAR(160)," ")))</x:f>
        <x:v>homeshwaree.chaytoo@pwc.com</x:v>
      </x:c>
      <x:c r="E192" t="n">
        <x:f>IF(D192="","",IF(COUNTIF($D$2:D192,D192)=1,1,0))</x:f>
        <x:v>1</x:v>
      </x:c>
    </x:row>
    <x:row r="193">
      <x:c r="A193" t="s">
        <x:v>4030</x:v>
      </x:c>
      <x:c r="B193" t="s">
        <x:v>3836</x:v>
      </x:c>
      <x:c r="C193" t="s">
        <x:v>610</x:v>
      </x:c>
      <x:c r="D193" t="str">
        <x:f>LOWER(TRIM(SUBSTITUTE(C193,CHAR(160)," ")))</x:f>
        <x:v>hope.msoffe@pwc.com</x:v>
      </x:c>
      <x:c r="E193" t="n">
        <x:f>IF(D193="","",IF(COUNTIF($D$2:D193,D193)=1,1,0))</x:f>
        <x:v>1</x:v>
      </x:c>
    </x:row>
    <x:row r="194">
      <x:c r="A194" t="s">
        <x:v>4031</x:v>
      </x:c>
      <x:c r="B194" t="s">
        <x:v>3821</x:v>
      </x:c>
      <x:c r="C194" t="s">
        <x:v>1989</x:v>
      </x:c>
      <x:c r="D194" t="str">
        <x:f>LOWER(TRIM(SUBSTITUTE(C194,CHAR(160)," ")))</x:f>
        <x:v>housnah.sullimun@pwc.com</x:v>
      </x:c>
      <x:c r="E194" t="n">
        <x:f>IF(D194="","",IF(COUNTIF($D$2:D194,D194)=1,1,0))</x:f>
        <x:v>1</x:v>
      </x:c>
    </x:row>
    <x:row r="195">
      <x:c r="A195" t="s">
        <x:v>4032</x:v>
      </x:c>
      <x:c r="B195" t="s">
        <x:v>3836</x:v>
      </x:c>
      <x:c r="C195" t="s">
        <x:v>1834</x:v>
      </x:c>
      <x:c r="D195" t="str">
        <x:f>LOWER(TRIM(SUBSTITUTE(C195,CHAR(160)," ")))</x:f>
        <x:v>howary.k.kharbush@pwc.com</x:v>
      </x:c>
      <x:c r="E195" t="n">
        <x:f>IF(D195="","",IF(COUNTIF($D$2:D195,D195)=1,1,0))</x:f>
        <x:v>1</x:v>
      </x:c>
    </x:row>
    <x:row r="196">
      <x:c r="A196" t="s">
        <x:v>4033</x:v>
      </x:c>
      <x:c r="B196" t="s">
        <x:v>3823</x:v>
      </x:c>
      <x:c r="C196" t="s">
        <x:v>4034</x:v>
      </x:c>
      <x:c r="D196" t="str">
        <x:f>LOWER(TRIM(SUBSTITUTE(C196,CHAR(160)," ")))</x:f>
        <x:v>ian.sejinja@pwc.com</x:v>
      </x:c>
      <x:c r="E196" t="n">
        <x:f>IF(D196="","",IF(COUNTIF($D$2:D196,D196)=1,1,0))</x:f>
        <x:v>1</x:v>
      </x:c>
    </x:row>
    <x:row r="197">
      <x:c r="A197" t="s">
        <x:v>4035</x:v>
      </x:c>
      <x:c r="B197" t="s">
        <x:v>3836</x:v>
      </x:c>
      <x:c r="C197" t="s">
        <x:v>1089</x:v>
      </x:c>
      <x:c r="D197" t="str">
        <x:f>LOWER(TRIM(SUBSTITUTE(C197,CHAR(160)," ")))</x:f>
        <x:v>irene.sabuni@pwc.com</x:v>
      </x:c>
      <x:c r="E197" t="n">
        <x:f>IF(D197="","",IF(COUNTIF($D$2:D197,D197)=1,1,0))</x:f>
        <x:v>1</x:v>
      </x:c>
    </x:row>
    <x:row r="198">
      <x:c r="A198" t="s">
        <x:v>4036</x:v>
      </x:c>
      <x:c r="B198" t="s">
        <x:v>3829</x:v>
      </x:c>
      <x:c r="C198" t="s">
        <x:v>2980</x:v>
      </x:c>
      <x:c r="D198" t="str">
        <x:f>LOWER(TRIM(SUBSTITUTE(C198,CHAR(160)," ")))</x:f>
        <x:v>isaac.ntwali@pwc.com</x:v>
      </x:c>
      <x:c r="E198" t="n">
        <x:f>IF(D198="","",IF(COUNTIF($D$2:D198,D198)=1,1,0))</x:f>
        <x:v>1</x:v>
      </x:c>
    </x:row>
    <x:row r="199">
      <x:c r="A199" t="s">
        <x:v>4037</x:v>
      </x:c>
      <x:c r="B199" t="s">
        <x:v>3823</x:v>
      </x:c>
      <x:c r="C199" t="s">
        <x:v>1319</x:v>
      </x:c>
      <x:c r="D199" t="str">
        <x:f>LOWER(TRIM(SUBSTITUTE(C199,CHAR(160)," ")))</x:f>
        <x:v>isabella.mayeku@pwc.com</x:v>
      </x:c>
      <x:c r="E199" t="n">
        <x:f>IF(D199="","",IF(COUNTIF($D$2:D199,D199)=1,1,0))</x:f>
        <x:v>1</x:v>
      </x:c>
    </x:row>
    <x:row r="200">
      <x:c r="A200" t="s">
        <x:v>4038</x:v>
      </x:c>
      <x:c r="B200" t="s">
        <x:v>3821</x:v>
      </x:c>
      <x:c r="C200" t="s">
        <x:v>672</x:v>
      </x:c>
      <x:c r="D200" t="str">
        <x:f>LOWER(TRIM(SUBSTITUTE(C200,CHAR(160)," ")))</x:f>
        <x:v>mordagun.koothan@pwc.com</x:v>
      </x:c>
      <x:c r="E200" t="n">
        <x:f>IF(D200="","",IF(COUNTIF($D$2:D200,D200)=1,1,0))</x:f>
        <x:v>1</x:v>
      </x:c>
    </x:row>
    <x:row r="201">
      <x:c r="A201" t="s">
        <x:v>4039</x:v>
      </x:c>
      <x:c r="B201" t="s">
        <x:v>3821</x:v>
      </x:c>
      <x:c r="C201" t="s">
        <x:v>1746</x:v>
      </x:c>
      <x:c r="D201" t="str">
        <x:f>LOWER(TRIM(SUBSTITUTE(C201,CHAR(160)," ")))</x:f>
        <x:v>izam.joomun@pwc.com</x:v>
      </x:c>
      <x:c r="E201" t="n">
        <x:f>IF(D201="","",IF(COUNTIF($D$2:D201,D201)=1,1,0))</x:f>
        <x:v>1</x:v>
      </x:c>
    </x:row>
    <x:row r="202">
      <x:c r="A202" t="s">
        <x:v>4040</x:v>
      </x:c>
      <x:c r="B202" t="s">
        <x:v>3823</x:v>
      </x:c>
      <x:c r="C202" t="s">
        <x:v>371</x:v>
      </x:c>
      <x:c r="D202" t="str">
        <x:f>LOWER(TRIM(SUBSTITUTE(C202,CHAR(160)," ")))</x:f>
        <x:v>jackie.nampala@pwc.com</x:v>
      </x:c>
      <x:c r="E202" t="n">
        <x:f>IF(D202="","",IF(COUNTIF($D$2:D202,D202)=1,1,0))</x:f>
        <x:v>1</x:v>
      </x:c>
    </x:row>
    <x:row r="203">
      <x:c r="A203" t="s">
        <x:v>4041</x:v>
      </x:c>
      <x:c r="B203" t="s">
        <x:v>3836</x:v>
      </x:c>
      <x:c r="C203" t="s">
        <x:v>1921</x:v>
      </x:c>
      <x:c r="D203" t="str">
        <x:f>LOWER(TRIM(SUBSTITUTE(C203,CHAR(160)," ")))</x:f>
        <x:v>jackline.mchomvu@pwc.com</x:v>
      </x:c>
      <x:c r="E203" t="n">
        <x:f>IF(D203="","",IF(COUNTIF($D$2:D203,D203)=1,1,0))</x:f>
        <x:v>1</x:v>
      </x:c>
    </x:row>
    <x:row r="204">
      <x:c r="A204" t="s">
        <x:v>4042</x:v>
      </x:c>
      <x:c r="B204" t="s">
        <x:v>3825</x:v>
      </x:c>
      <x:c r="C204" t="s">
        <x:v>581</x:v>
      </x:c>
      <x:c r="D204" t="str">
        <x:f>LOWER(TRIM(SUBSTITUTE(C204,CHAR(160)," ")))</x:f>
        <x:v>jackson.kakae@pwc.com</x:v>
      </x:c>
      <x:c r="E204" t="n">
        <x:f>IF(D204="","",IF(COUNTIF($D$2:D204,D204)=1,1,0))</x:f>
        <x:v>1</x:v>
      </x:c>
    </x:row>
    <x:row r="205">
      <x:c r="A205" t="s">
        <x:v>4043</x:v>
      </x:c>
      <x:c r="B205" t="s">
        <x:v>3825</x:v>
      </x:c>
      <x:c r="C205" t="s">
        <x:v>618</x:v>
      </x:c>
      <x:c r="D205" t="str">
        <x:f>LOWER(TRIM(SUBSTITUTE(C205,CHAR(160)," ")))</x:f>
        <x:v>jackson.omondi@pwc.com</x:v>
      </x:c>
      <x:c r="E205" t="n">
        <x:f>IF(D205="","",IF(COUNTIF($D$2:D205,D205)=1,1,0))</x:f>
        <x:v>1</x:v>
      </x:c>
    </x:row>
    <x:row r="206">
      <x:c r="A206" t="s">
        <x:v>4044</x:v>
      </x:c>
      <x:c r="B206" t="s">
        <x:v>3825</x:v>
      </x:c>
      <x:c r="C206" t="s">
        <x:v>535</x:v>
      </x:c>
      <x:c r="D206" t="str">
        <x:f>LOWER(TRIM(SUBSTITUTE(C206,CHAR(160)," ")))</x:f>
        <x:v>jacqueline.kamau@pwc.com</x:v>
      </x:c>
      <x:c r="E206" t="n">
        <x:f>IF(D206="","",IF(COUNTIF($D$2:D206,D206)=1,1,0))</x:f>
        <x:v>1</x:v>
      </x:c>
    </x:row>
    <x:row r="207">
      <x:c r="A207" t="s">
        <x:v>4045</x:v>
      </x:c>
      <x:c r="B207" t="s">
        <x:v>3844</x:v>
      </x:c>
      <x:c r="C207" t="s">
        <x:v>1061</x:v>
      </x:c>
      <x:c r="D207" t="str">
        <x:f>LOWER(TRIM(SUBSTITUTE(C207,CHAR(160)," ")))</x:f>
        <x:v>jacqueline.makasa@pwc.com</x:v>
      </x:c>
      <x:c r="E207" t="n">
        <x:f>IF(D207="","",IF(COUNTIF($D$2:D207,D207)=1,1,0))</x:f>
        <x:v>1</x:v>
      </x:c>
    </x:row>
    <x:row r="208">
      <x:c r="A208" t="s">
        <x:v>4046</x:v>
      </x:c>
      <x:c r="B208" t="s">
        <x:v>3836</x:v>
      </x:c>
      <x:c r="C208" t="s">
        <x:v>1949</x:v>
      </x:c>
      <x:c r="D208" t="str">
        <x:f>LOWER(TRIM(SUBSTITUTE(C208,CHAR(160)," ")))</x:f>
        <x:v>jacqueline.m.moshi@pwc.com</x:v>
      </x:c>
      <x:c r="E208" t="n">
        <x:f>IF(D208="","",IF(COUNTIF($D$2:D208,D208)=1,1,0))</x:f>
        <x:v>1</x:v>
      </x:c>
    </x:row>
    <x:row r="209">
      <x:c r="A209" t="s">
        <x:v>4047</x:v>
      </x:c>
      <x:c r="B209" t="s">
        <x:v>3825</x:v>
      </x:c>
      <x:c r="C209" t="s">
        <x:v>1734</x:v>
      </x:c>
      <x:c r="D209" t="str">
        <x:f>LOWER(TRIM(SUBSTITUTE(C209,CHAR(160)," ")))</x:f>
        <x:v>james.kimani@pwc.com</x:v>
      </x:c>
      <x:c r="E209" t="n">
        <x:f>IF(D209="","",IF(COUNTIF($D$2:D209,D209)=1,1,0))</x:f>
        <x:v>1</x:v>
      </x:c>
    </x:row>
    <x:row r="210">
      <x:c r="A210" t="s">
        <x:v>4048</x:v>
      </x:c>
      <x:c r="B210" t="s">
        <x:v>3836</x:v>
      </x:c>
      <x:c r="C210" t="s">
        <x:v>4049</x:v>
      </x:c>
      <x:c r="D210" t="str">
        <x:f>LOWER(TRIM(SUBSTITUTE(C210,CHAR(160)," ")))</x:f>
        <x:v>james.msele@pwc.com</x:v>
      </x:c>
      <x:c r="E210" t="n">
        <x:f>IF(D210="","",IF(COUNTIF($D$2:D210,D210)=1,1,0))</x:f>
        <x:v>1</x:v>
      </x:c>
    </x:row>
    <x:row r="211">
      <x:c r="A211" t="s">
        <x:v>4050</x:v>
      </x:c>
      <x:c r="B211" t="s">
        <x:v>3825</x:v>
      </x:c>
      <x:c r="C211" t="s">
        <x:v>1179</x:v>
      </x:c>
      <x:c r="D211" t="str">
        <x:f>LOWER(TRIM(SUBSTITUTE(C211,CHAR(160)," ")))</x:f>
        <x:v>james.musyoka@pwc.com</x:v>
      </x:c>
      <x:c r="E211" t="n">
        <x:f>IF(D211="","",IF(COUNTIF($D$2:D211,D211)=1,1,0))</x:f>
        <x:v>1</x:v>
      </x:c>
    </x:row>
    <x:row r="212">
      <x:c r="A212" t="s">
        <x:v>4051</x:v>
      </x:c>
      <x:c r="B212" t="s">
        <x:v>3825</x:v>
      </x:c>
      <x:c r="C212" t="s">
        <x:v>626</x:v>
      </x:c>
      <x:c r="D212" t="str">
        <x:f>LOWER(TRIM(SUBSTITUTE(C212,CHAR(160)," ")))</x:f>
        <x:v>james.mwaniki@pwc.com</x:v>
      </x:c>
      <x:c r="E212" t="n">
        <x:f>IF(D212="","",IF(COUNTIF($D$2:D212,D212)=1,1,0))</x:f>
        <x:v>1</x:v>
      </x:c>
    </x:row>
    <x:row r="213">
      <x:c r="A213" t="s">
        <x:v>4052</x:v>
      </x:c>
      <x:c r="B213" t="s">
        <x:v>3823</x:v>
      </x:c>
      <x:c r="C213" t="s">
        <x:v>1135</x:v>
      </x:c>
      <x:c r="D213" t="str">
        <x:f>LOWER(TRIM(SUBSTITUTE(C213,CHAR(160)," ")))</x:f>
        <x:v>janat.nankya@pwc.com</x:v>
      </x:c>
      <x:c r="E213" t="n">
        <x:f>IF(D213="","",IF(COUNTIF($D$2:D213,D213)=1,1,0))</x:f>
        <x:v>1</x:v>
      </x:c>
    </x:row>
    <x:row r="214">
      <x:c r="A214" t="s">
        <x:v>4053</x:v>
      </x:c>
      <x:c r="B214" t="s">
        <x:v>3825</x:v>
      </x:c>
      <x:c r="C214" t="s">
        <x:v>4054</x:v>
      </x:c>
      <x:c r="D214" t="str">
        <x:f>LOWER(TRIM(SUBSTITUTE(C214,CHAR(160)," ")))</x:f>
        <x:v>janneke.t.timmers@pwc.com</x:v>
      </x:c>
      <x:c r="E214" t="n">
        <x:f>IF(D214="","",IF(COUNTIF($D$2:D214,D214)=1,1,0))</x:f>
        <x:v>1</x:v>
      </x:c>
    </x:row>
    <x:row r="215">
      <x:c r="A215" t="s">
        <x:v>4055</x:v>
      </x:c>
      <x:c r="B215" t="s">
        <x:v>3821</x:v>
      </x:c>
      <x:c r="C215" t="s">
        <x:v>2411</x:v>
      </x:c>
      <x:c r="D215" t="str">
        <x:f>LOWER(TRIM(SUBSTITUTE(C215,CHAR(160)," ")))</x:f>
        <x:v>jaya.moctaram@pwc.com</x:v>
      </x:c>
      <x:c r="E215" t="n">
        <x:f>IF(D215="","",IF(COUNTIF($D$2:D215,D215)=1,1,0))</x:f>
        <x:v>1</x:v>
      </x:c>
    </x:row>
    <x:row r="216">
      <x:c r="A216" t="s">
        <x:v>4056</x:v>
      </x:c>
      <x:c r="B216" t="s">
        <x:v>3844</x:v>
      </x:c>
      <x:c r="C216" t="s">
        <x:v>477</x:v>
      </x:c>
      <x:c r="D216" t="str">
        <x:f>LOWER(TRIM(SUBSTITUTE(C216,CHAR(160)," ")))</x:f>
        <x:v>jeannie.daka@pwc.com</x:v>
      </x:c>
      <x:c r="E216" t="n">
        <x:f>IF(D216="","",IF(COUNTIF($D$2:D216,D216)=1,1,0))</x:f>
        <x:v>1</x:v>
      </x:c>
    </x:row>
    <x:row r="217">
      <x:c r="A217" t="s">
        <x:v>4057</x:v>
      </x:c>
      <x:c r="B217" t="s">
        <x:v>3821</x:v>
      </x:c>
      <x:c r="C217" t="s">
        <x:v>871</x:v>
      </x:c>
      <x:c r="D217" t="str">
        <x:f>LOWER(TRIM(SUBSTITUTE(C217,CHAR(160)," ")))</x:f>
        <x:v>jeffrey.koo@pwc.com</x:v>
      </x:c>
      <x:c r="E217" t="n">
        <x:f>IF(D217="","",IF(COUNTIF($D$2:D217,D217)=1,1,0))</x:f>
        <x:v>1</x:v>
      </x:c>
    </x:row>
    <x:row r="218">
      <x:c r="A218" t="s">
        <x:v>4058</x:v>
      </x:c>
      <x:c r="B218" t="s">
        <x:v>3825</x:v>
      </x:c>
      <x:c r="C218" t="s">
        <x:v>292</x:v>
      </x:c>
      <x:c r="D218" t="str">
        <x:f>LOWER(TRIM(SUBSTITUTE(C218,CHAR(160)," ")))</x:f>
        <x:v>jeremiah.musembi@pwc.com</x:v>
      </x:c>
      <x:c r="E218" t="n">
        <x:f>IF(D218="","",IF(COUNTIF($D$2:D218,D218)=1,1,0))</x:f>
        <x:v>1</x:v>
      </x:c>
    </x:row>
    <x:row r="219">
      <x:c r="A219" t="s">
        <x:v>4059</x:v>
      </x:c>
      <x:c r="B219" t="s">
        <x:v>3825</x:v>
      </x:c>
      <x:c r="C219" t="s">
        <x:v>2364</x:v>
      </x:c>
      <x:c r="D219" t="str">
        <x:f>LOWER(TRIM(SUBSTITUTE(C219,CHAR(160)," ")))</x:f>
        <x:v>jeremiah.ruita@pwc.com</x:v>
      </x:c>
      <x:c r="E219" t="n">
        <x:f>IF(D219="","",IF(COUNTIF($D$2:D219,D219)=1,1,0))</x:f>
        <x:v>1</x:v>
      </x:c>
    </x:row>
    <x:row r="220">
      <x:c r="A220" t="s">
        <x:v>4060</x:v>
      </x:c>
      <x:c r="B220" t="s">
        <x:v>3821</x:v>
      </x:c>
      <x:c r="C220" t="s">
        <x:v>4061</x:v>
      </x:c>
      <x:c r="D220" t="str">
        <x:f>LOWER(TRIM(SUBSTITUTE(C220,CHAR(160)," ")))</x:f>
        <x:v>jessina.galchoolah@pwc.com</x:v>
      </x:c>
      <x:c r="E220" t="n">
        <x:f>IF(D220="","",IF(COUNTIF($D$2:D220,D220)=1,1,0))</x:f>
        <x:v>1</x:v>
      </x:c>
    </x:row>
    <x:row r="221">
      <x:c r="A221" t="s">
        <x:v>4062</x:v>
      </x:c>
      <x:c r="B221" t="s">
        <x:v>3823</x:v>
      </x:c>
      <x:c r="C221" t="s">
        <x:v>4063</x:v>
      </x:c>
      <x:c r="D221" t="str">
        <x:f>LOWER(TRIM(SUBSTITUTE(C221,CHAR(160)," ")))</x:f>
        <x:v>joan.letasi@pwc.com</x:v>
      </x:c>
      <x:c r="E221" t="n">
        <x:f>IF(D221="","",IF(COUNTIF($D$2:D221,D221)=1,1,0))</x:f>
        <x:v>1</x:v>
      </x:c>
    </x:row>
    <x:row r="222">
      <x:c r="A222" t="s">
        <x:v>4064</x:v>
      </x:c>
      <x:c r="B222" t="s">
        <x:v>3825</x:v>
      </x:c>
      <x:c r="C222" t="s">
        <x:v>1210</x:v>
      </x:c>
      <x:c r="D222" t="str">
        <x:f>LOWER(TRIM(SUBSTITUTE(C222,CHAR(160)," ")))</x:f>
        <x:v>joan.maina@pwc.com</x:v>
      </x:c>
      <x:c r="E222" t="n">
        <x:f>IF(D222="","",IF(COUNTIF($D$2:D222,D222)=1,1,0))</x:f>
        <x:v>1</x:v>
      </x:c>
    </x:row>
    <x:row r="223">
      <x:c r="A223" t="s">
        <x:v>4065</x:v>
      </x:c>
      <x:c r="B223" t="s">
        <x:v>3825</x:v>
      </x:c>
      <x:c r="C223" t="s">
        <x:v>613</x:v>
      </x:c>
      <x:c r="D223" t="str">
        <x:f>LOWER(TRIM(SUBSTITUTE(C223,CHAR(160)," ")))</x:f>
        <x:v>job.ngunu@pwc.com</x:v>
      </x:c>
      <x:c r="E223" t="n">
        <x:f>IF(D223="","",IF(COUNTIF($D$2:D223,D223)=1,1,0))</x:f>
        <x:v>1</x:v>
      </x:c>
    </x:row>
    <x:row r="224">
      <x:c r="A224" t="s">
        <x:v>4066</x:v>
      </x:c>
      <x:c r="B224" t="s">
        <x:v>3836</x:v>
      </x:c>
      <x:c r="C224" t="s">
        <x:v>1864</x:v>
      </x:c>
      <x:c r="D224" t="str">
        <x:f>LOWER(TRIM(SUBSTITUTE(C224,CHAR(160)," ")))</x:f>
        <x:v>jocelyn.batanyita@pwc.com</x:v>
      </x:c>
      <x:c r="E224" t="n">
        <x:f>IF(D224="","",IF(COUNTIF($D$2:D224,D224)=1,1,0))</x:f>
        <x:v>1</x:v>
      </x:c>
    </x:row>
    <x:row r="225">
      <x:c r="A225" t="s">
        <x:v>4067</x:v>
      </x:c>
      <x:c r="B225" t="s">
        <x:v>3836</x:v>
      </x:c>
      <x:c r="C225" t="s">
        <x:v>531</x:v>
      </x:c>
      <x:c r="D225" t="str">
        <x:f>LOWER(TRIM(SUBSTITUTE(C225,CHAR(160)," ")))</x:f>
        <x:v>joe.manyalla@pwc.com</x:v>
      </x:c>
      <x:c r="E225" t="n">
        <x:f>IF(D225="","",IF(COUNTIF($D$2:D225,D225)=1,1,0))</x:f>
        <x:v>1</x:v>
      </x:c>
    </x:row>
    <x:row r="226">
      <x:c r="A226" t="s">
        <x:v>4068</x:v>
      </x:c>
      <x:c r="B226" t="s">
        <x:v>3821</x:v>
      </x:c>
      <x:c r="C226" t="s">
        <x:v>1821</x:v>
      </x:c>
      <x:c r="D226" t="str">
        <x:f>LOWER(TRIM(SUBSTITUTE(C226,CHAR(160)," ")))</x:f>
        <x:v>how.johanne@pwc.com</x:v>
      </x:c>
      <x:c r="E226" t="n">
        <x:f>IF(D226="","",IF(COUNTIF($D$2:D226,D226)=1,1,0))</x:f>
        <x:v>1</x:v>
      </x:c>
    </x:row>
    <x:row r="227">
      <x:c r="A227" t="s">
        <x:v>4069</x:v>
      </x:c>
      <x:c r="B227" t="s">
        <x:v>3844</x:v>
      </x:c>
      <x:c r="C227" t="s">
        <x:v>998</x:v>
      </x:c>
      <x:c r="D227" t="str">
        <x:f>LOWER(TRIM(SUBSTITUTE(C227,CHAR(160)," ")))</x:f>
        <x:v>john.lukwesa@pwc.com</x:v>
      </x:c>
      <x:c r="E227" t="n">
        <x:f>IF(D227="","",IF(COUNTIF($D$2:D227,D227)=1,1,0))</x:f>
        <x:v>1</x:v>
      </x:c>
    </x:row>
    <x:row r="228">
      <x:c r="A228" t="s">
        <x:v>4070</x:v>
      </x:c>
      <x:c r="B228" t="s">
        <x:v>3825</x:v>
      </x:c>
      <x:c r="C228" t="s">
        <x:v>1860</x:v>
      </x:c>
      <x:c r="D228" t="str">
        <x:f>LOWER(TRIM(SUBSTITUTE(C228,CHAR(160)," ")))</x:f>
        <x:v>joseph.kagiri@pwc.com</x:v>
      </x:c>
      <x:c r="E228" t="n">
        <x:f>IF(D228="","",IF(COUNTIF($D$2:D228,D228)=1,1,0))</x:f>
        <x:v>1</x:v>
      </x:c>
    </x:row>
    <x:row r="229">
      <x:c r="A229" t="s">
        <x:v>4071</x:v>
      </x:c>
      <x:c r="B229" t="s">
        <x:v>3825</x:v>
      </x:c>
      <x:c r="C229" t="s">
        <x:v>667</x:v>
      </x:c>
      <x:c r="D229" t="str">
        <x:f>LOWER(TRIM(SUBSTITUTE(C229,CHAR(160)," ")))</x:f>
        <x:v>joseph.ndegwa@pwc.com</x:v>
      </x:c>
      <x:c r="E229" t="n">
        <x:f>IF(D229="","",IF(COUNTIF($D$2:D229,D229)=1,1,0))</x:f>
        <x:v>1</x:v>
      </x:c>
    </x:row>
    <x:row r="230">
      <x:c r="A230" t="s">
        <x:v>4072</x:v>
      </x:c>
      <x:c r="B230" t="s">
        <x:v>3825</x:v>
      </x:c>
      <x:c r="C230" t="s">
        <x:v>1360</x:v>
      </x:c>
      <x:c r="D230" t="str">
        <x:f>LOWER(TRIM(SUBSTITUTE(C230,CHAR(160)," ")))</x:f>
        <x:v>joshua.maloba@pwc.com</x:v>
      </x:c>
      <x:c r="E230" t="n">
        <x:f>IF(D230="","",IF(COUNTIF($D$2:D230,D230)=1,1,0))</x:f>
        <x:v>1</x:v>
      </x:c>
    </x:row>
    <x:row r="231">
      <x:c r="A231" t="s">
        <x:v>4073</x:v>
      </x:c>
      <x:c r="B231" t="s">
        <x:v>3836</x:v>
      </x:c>
      <x:c r="C231" t="s">
        <x:v>1223</x:v>
      </x:c>
      <x:c r="D231" t="str">
        <x:f>LOWER(TRIM(SUBSTITUTE(C231,CHAR(160)," ")))</x:f>
        <x:v>joshua.massawe@pwc.com</x:v>
      </x:c>
      <x:c r="E231" t="n">
        <x:f>IF(D231="","",IF(COUNTIF($D$2:D231,D231)=1,1,0))</x:f>
        <x:v>1</x:v>
      </x:c>
    </x:row>
    <x:row r="232">
      <x:c r="A232" t="s">
        <x:v>4074</x:v>
      </x:c>
      <x:c r="B232" t="s">
        <x:v>3825</x:v>
      </x:c>
      <x:c r="C232" t="s">
        <x:v>2563</x:v>
      </x:c>
      <x:c r="D232" t="str">
        <x:f>LOWER(TRIM(SUBSTITUTE(C232,CHAR(160)," ")))</x:f>
        <x:v>julia.odhiambo@pwc.com</x:v>
      </x:c>
      <x:c r="E232" t="n">
        <x:f>IF(D232="","",IF(COUNTIF($D$2:D232,D232)=1,1,0))</x:f>
        <x:v>1</x:v>
      </x:c>
    </x:row>
    <x:row r="233">
      <x:c r="A233" t="s">
        <x:v>4075</x:v>
      </x:c>
      <x:c r="B233" t="s">
        <x:v>3821</x:v>
      </x:c>
      <x:c r="C233" t="s">
        <x:v>2568</x:v>
      </x:c>
      <x:c r="D233" t="str">
        <x:f>LOWER(TRIM(SUBSTITUTE(C233,CHAR(160)," ")))</x:f>
        <x:v>junaid.alighan@pwc.com</x:v>
      </x:c>
      <x:c r="E233" t="n">
        <x:f>IF(D233="","",IF(COUNTIF($D$2:D233,D233)=1,1,0))</x:f>
        <x:v>1</x:v>
      </x:c>
    </x:row>
    <x:row r="234">
      <x:c r="A234" t="s">
        <x:v>4076</x:v>
      </x:c>
      <x:c r="B234" t="s">
        <x:v>3821</x:v>
      </x:c>
      <x:c r="C234" t="s">
        <x:v>1913</x:v>
      </x:c>
      <x:c r="D234" t="str">
        <x:f>LOWER(TRIM(SUBSTITUTE(C234,CHAR(160)," ")))</x:f>
        <x:v>kalkidan.admassu@pwc.com</x:v>
      </x:c>
      <x:c r="E234" t="n">
        <x:f>IF(D234="","",IF(COUNTIF($D$2:D234,D234)=1,1,0))</x:f>
        <x:v>1</x:v>
      </x:c>
    </x:row>
    <x:row r="235">
      <x:c r="A235" t="s">
        <x:v>4077</x:v>
      </x:c>
      <x:c r="B235" t="s">
        <x:v>3825</x:v>
      </x:c>
      <x:c r="C235" t="s">
        <x:v>4078</x:v>
      </x:c>
      <x:c r="D235" t="str">
        <x:f>LOWER(TRIM(SUBSTITUTE(C235,CHAR(160)," ")))</x:f>
        <x:v>kange.saiti@pwc.com</x:v>
      </x:c>
      <x:c r="E235" t="n">
        <x:f>IF(D235="","",IF(COUNTIF($D$2:D235,D235)=1,1,0))</x:f>
        <x:v>1</x:v>
      </x:c>
    </x:row>
    <x:row r="236">
      <x:c r="A236" t="s">
        <x:v>4079</x:v>
      </x:c>
      <x:c r="B236" t="s">
        <x:v>3825</x:v>
      </x:c>
      <x:c r="C236" t="s">
        <x:v>4080</x:v>
      </x:c>
      <x:c r="D236" t="str">
        <x:f>LOWER(TRIM(SUBSTITUTE(C236,CHAR(160)," ")))</x:f>
        <x:v>karen.gitonga@pwc.com</x:v>
      </x:c>
      <x:c r="E236" t="n">
        <x:f>IF(D236="","",IF(COUNTIF($D$2:D236,D236)=1,1,0))</x:f>
        <x:v>1</x:v>
      </x:c>
    </x:row>
    <x:row r="237">
      <x:c r="A237" t="s">
        <x:v>4081</x:v>
      </x:c>
      <x:c r="B237" t="s">
        <x:v>3825</x:v>
      </x:c>
      <x:c r="C237" t="s">
        <x:v>3047</x:v>
      </x:c>
      <x:c r="D237" t="str">
        <x:f>LOWER(TRIM(SUBSTITUTE(C237,CHAR(160)," ")))</x:f>
        <x:v>kelvin.atieno@pwc.com</x:v>
      </x:c>
      <x:c r="E237" t="n">
        <x:f>IF(D237="","",IF(COUNTIF($D$2:D237,D237)=1,1,0))</x:f>
        <x:v>1</x:v>
      </x:c>
    </x:row>
    <x:row r="238">
      <x:c r="A238" t="s">
        <x:v>4082</x:v>
      </x:c>
      <x:c r="B238" t="s">
        <x:v>3825</x:v>
      </x:c>
      <x:c r="C238" t="s">
        <x:v>718</x:v>
      </x:c>
      <x:c r="D238" t="str">
        <x:f>LOWER(TRIM(SUBSTITUTE(C238,CHAR(160)," ")))</x:f>
        <x:v>kelvin.kailikia@pwc.com</x:v>
      </x:c>
      <x:c r="E238" t="n">
        <x:f>IF(D238="","",IF(COUNTIF($D$2:D238,D238)=1,1,0))</x:f>
        <x:v>1</x:v>
      </x:c>
    </x:row>
    <x:row r="239">
      <x:c r="A239" t="s">
        <x:v>4083</x:v>
      </x:c>
      <x:c r="B239" t="s">
        <x:v>3825</x:v>
      </x:c>
      <x:c r="C239" t="s">
        <x:v>4084</x:v>
      </x:c>
      <x:c r="D239" t="str">
        <x:f>LOWER(TRIM(SUBSTITUTE(C239,CHAR(160)," ")))</x:f>
        <x:v>kelvin.koima@pwc.com</x:v>
      </x:c>
      <x:c r="E239" t="n">
        <x:f>IF(D239="","",IF(COUNTIF($D$2:D239,D239)=1,1,0))</x:f>
        <x:v>1</x:v>
      </x:c>
    </x:row>
    <x:row r="240">
      <x:c r="A240" t="s">
        <x:v>4085</x:v>
      </x:c>
      <x:c r="B240" t="s">
        <x:v>3825</x:v>
      </x:c>
      <x:c r="C240" t="s">
        <x:v>1364</x:v>
      </x:c>
      <x:c r="D240" t="str">
        <x:f>LOWER(TRIM(SUBSTITUTE(C240,CHAR(160)," ")))</x:f>
        <x:v>kelvin.mukaria@pwc.com</x:v>
      </x:c>
      <x:c r="E240" t="n">
        <x:f>IF(D240="","",IF(COUNTIF($D$2:D240,D240)=1,1,0))</x:f>
        <x:v>1</x:v>
      </x:c>
    </x:row>
    <x:row r="241">
      <x:c r="A241" t="s">
        <x:v>4086</x:v>
      </x:c>
      <x:c r="B241" t="s">
        <x:v>3825</x:v>
      </x:c>
      <x:c r="C241" t="s">
        <x:v>2819</x:v>
      </x:c>
      <x:c r="D241" t="str">
        <x:f>LOWER(TRIM(SUBSTITUTE(C241,CHAR(160)," ")))</x:f>
        <x:v>kelvin.wainaina@pwc.com</x:v>
      </x:c>
      <x:c r="E241" t="n">
        <x:f>IF(D241="","",IF(COUNTIF($D$2:D241,D241)=1,1,0))</x:f>
        <x:v>1</x:v>
      </x:c>
    </x:row>
    <x:row r="242">
      <x:c r="A242" t="s">
        <x:v>4087</x:v>
      </x:c>
      <x:c r="B242" t="s">
        <x:v>3825</x:v>
      </x:c>
      <x:c r="C242" t="s">
        <x:v>1126</x:v>
      </x:c>
      <x:c r="D242" t="str">
        <x:f>LOWER(TRIM(SUBSTITUTE(C242,CHAR(160)," ")))</x:f>
        <x:v>kerry.watiri@pwc.com</x:v>
      </x:c>
      <x:c r="E242" t="n">
        <x:f>IF(D242="","",IF(COUNTIF($D$2:D242,D242)=1,1,0))</x:f>
        <x:v>1</x:v>
      </x:c>
    </x:row>
    <x:row r="243">
      <x:c r="A243" t="s">
        <x:v>4088</x:v>
      </x:c>
      <x:c r="B243" t="s">
        <x:v>3821</x:v>
      </x:c>
      <x:c r="C243" t="s">
        <x:v>3099</x:v>
      </x:c>
      <x:c r="D243" t="str">
        <x:f>LOWER(TRIM(SUBSTITUTE(C243,CHAR(160)," ")))</x:f>
        <x:v>keshika.k.kasary@pwc.com</x:v>
      </x:c>
      <x:c r="E243" t="n">
        <x:f>IF(D243="","",IF(COUNTIF($D$2:D243,D243)=1,1,0))</x:f>
        <x:v>1</x:v>
      </x:c>
    </x:row>
    <x:row r="244">
      <x:c r="A244" t="s">
        <x:v>4089</x:v>
      </x:c>
      <x:c r="B244" t="s">
        <x:v>3821</x:v>
      </x:c>
      <x:c r="C244" t="s">
        <x:v>2811</x:v>
      </x:c>
      <x:c r="D244" t="str">
        <x:f>LOWER(TRIM(SUBSTITUTE(C244,CHAR(160)," ")))</x:f>
        <x:v>keshini.doobah@pwc.com</x:v>
      </x:c>
      <x:c r="E244" t="n">
        <x:f>IF(D244="","",IF(COUNTIF($D$2:D244,D244)=1,1,0))</x:f>
        <x:v>1</x:v>
      </x:c>
    </x:row>
    <x:row r="245">
      <x:c r="A245" t="s">
        <x:v>4090</x:v>
      </x:c>
      <x:c r="B245" t="s">
        <x:v>3821</x:v>
      </x:c>
      <x:c r="C245" t="s">
        <x:v>723</x:v>
      </x:c>
      <x:c r="D245" t="str">
        <x:f>LOWER(TRIM(SUBSTITUTE(C245,CHAR(160)," ")))</x:f>
        <x:v>keshini.sahadew@pwc.com</x:v>
      </x:c>
      <x:c r="E245" t="n">
        <x:f>IF(D245="","",IF(COUNTIF($D$2:D245,D245)=1,1,0))</x:f>
        <x:v>1</x:v>
      </x:c>
    </x:row>
    <x:row r="246">
      <x:c r="A246" t="s">
        <x:v>4091</x:v>
      </x:c>
      <x:c r="B246" t="s">
        <x:v>3825</x:v>
      </x:c>
      <x:c r="C246" t="s">
        <x:v>2265</x:v>
      </x:c>
      <x:c r="D246" t="str">
        <x:f>LOWER(TRIM(SUBSTITUTE(C246,CHAR(160)," ")))</x:f>
        <x:v>kioko.nzuki@pwc.com</x:v>
      </x:c>
      <x:c r="E246" t="n">
        <x:f>IF(D246="","",IF(COUNTIF($D$2:D246,D246)=1,1,0))</x:f>
        <x:v>1</x:v>
      </x:c>
    </x:row>
    <x:row r="247">
      <x:c r="A247" t="s">
        <x:v>4092</x:v>
      </x:c>
      <x:c r="B247" t="s">
        <x:v>3821</x:v>
      </x:c>
      <x:c r="C247" t="s">
        <x:v>1689</x:v>
      </x:c>
      <x:c r="D247" t="str">
        <x:f>LOWER(TRIM(SUBSTITUTE(C247,CHAR(160)," ")))</x:f>
        <x:v>kirisha.kasseean@pwc.com</x:v>
      </x:c>
      <x:c r="E247" t="n">
        <x:f>IF(D247="","",IF(COUNTIF($D$2:D247,D247)=1,1,0))</x:f>
        <x:v>1</x:v>
      </x:c>
    </x:row>
    <x:row r="248">
      <x:c r="A248" t="s">
        <x:v>4093</x:v>
      </x:c>
      <x:c r="B248" t="s">
        <x:v>3821</x:v>
      </x:c>
      <x:c r="C248" t="s">
        <x:v>2685</x:v>
      </x:c>
      <x:c r="D248" t="str">
        <x:f>LOWER(TRIM(SUBSTITUTE(C248,CHAR(160)," ")))</x:f>
        <x:v>kooshika.sookun@pwc.com</x:v>
      </x:c>
      <x:c r="E248" t="n">
        <x:f>IF(D248="","",IF(COUNTIF($D$2:D248,D248)=1,1,0))</x:f>
        <x:v>1</x:v>
      </x:c>
    </x:row>
    <x:row r="249">
      <x:c r="A249" t="s">
        <x:v>4094</x:v>
      </x:c>
      <x:c r="B249" t="s">
        <x:v>3821</x:v>
      </x:c>
      <x:c r="C249" t="s">
        <x:v>250</x:v>
      </x:c>
      <x:c r="D249" t="str">
        <x:f>LOWER(TRIM(SUBSTITUTE(C249,CHAR(160)," ")))</x:f>
        <x:v>kovanam.moodelly@pwc.com</x:v>
      </x:c>
      <x:c r="E249" t="n">
        <x:f>IF(D249="","",IF(COUNTIF($D$2:D249,D249)=1,1,0))</x:f>
        <x:v>1</x:v>
      </x:c>
    </x:row>
    <x:row r="250">
      <x:c r="A250" t="s">
        <x:v>4095</x:v>
      </x:c>
      <x:c r="B250" t="s">
        <x:v>3825</x:v>
      </x:c>
      <x:c r="C250" t="s">
        <x:v>2211</x:v>
      </x:c>
      <x:c r="D250" t="str">
        <x:f>LOWER(TRIM(SUBSTITUTE(C250,CHAR(160)," ")))</x:f>
        <x:v>lawrence.macharia@pwc.com</x:v>
      </x:c>
      <x:c r="E250" t="n">
        <x:f>IF(D250="","",IF(COUNTIF($D$2:D250,D250)=1,1,0))</x:f>
        <x:v>1</x:v>
      </x:c>
    </x:row>
    <x:row r="251">
      <x:c r="A251" t="s">
        <x:v>4096</x:v>
      </x:c>
      <x:c r="B251" t="s">
        <x:v>3821</x:v>
      </x:c>
      <x:c r="C251" t="s">
        <x:v>1333</x:v>
      </x:c>
      <x:c r="D251" t="str">
        <x:f>LOWER(TRIM(SUBSTITUTE(C251,CHAR(160)," ")))</x:f>
        <x:v>leeshikha.boodhoo@pwc.com</x:v>
      </x:c>
      <x:c r="E251" t="n">
        <x:f>IF(D251="","",IF(COUNTIF($D$2:D251,D251)=1,1,0))</x:f>
        <x:v>1</x:v>
      </x:c>
    </x:row>
    <x:row r="252">
      <x:c r="A252" t="s">
        <x:v>4097</x:v>
      </x:c>
      <x:c r="B252" t="s">
        <x:v>3836</x:v>
      </x:c>
      <x:c r="C252" t="s">
        <x:v>2247</x:v>
      </x:c>
      <x:c r="D252" t="str">
        <x:f>LOWER(TRIM(SUBSTITUTE(C252,CHAR(160)," ")))</x:f>
        <x:v>lena.o.odara@pwc.com</x:v>
      </x:c>
      <x:c r="E252" t="n">
        <x:f>IF(D252="","",IF(COUNTIF($D$2:D252,D252)=1,1,0))</x:f>
        <x:v>1</x:v>
      </x:c>
    </x:row>
    <x:row r="253">
      <x:c r="A253" t="s">
        <x:v>4098</x:v>
      </x:c>
      <x:c r="B253" t="s">
        <x:v>3836</x:v>
      </x:c>
      <x:c r="C253" t="s">
        <x:v>354</x:v>
      </x:c>
      <x:c r="D253" t="str">
        <x:f>LOWER(TRIM(SUBSTITUTE(C253,CHAR(160)," ")))</x:f>
        <x:v>lightness.katunzi@pwc.com</x:v>
      </x:c>
      <x:c r="E253" t="n">
        <x:f>IF(D253="","",IF(COUNTIF($D$2:D253,D253)=1,1,0))</x:f>
        <x:v>1</x:v>
      </x:c>
    </x:row>
    <x:row r="254">
      <x:c r="A254" t="s">
        <x:v>4099</x:v>
      </x:c>
      <x:c r="B254" t="s">
        <x:v>3823</x:v>
      </x:c>
      <x:c r="C254" t="s">
        <x:v>358</x:v>
      </x:c>
      <x:c r="D254" t="str">
        <x:f>LOWER(TRIM(SUBSTITUTE(C254,CHAR(160)," ")))</x:f>
        <x:v>linda.batuka@pwc.com</x:v>
      </x:c>
      <x:c r="E254" t="n">
        <x:f>IF(D254="","",IF(COUNTIF($D$2:D254,D254)=1,1,0))</x:f>
        <x:v>1</x:v>
      </x:c>
    </x:row>
    <x:row r="255">
      <x:c r="A255" t="s">
        <x:v>4100</x:v>
      </x:c>
      <x:c r="B255" t="s">
        <x:v>3825</x:v>
      </x:c>
      <x:c r="C255" t="s">
        <x:v>753</x:v>
      </x:c>
      <x:c r="D255" t="str">
        <x:f>LOWER(TRIM(SUBSTITUTE(C255,CHAR(160)," ")))</x:f>
        <x:v>linda.musau@pwc.com</x:v>
      </x:c>
      <x:c r="E255" t="n">
        <x:f>IF(D255="","",IF(COUNTIF($D$2:D255,D255)=1,1,0))</x:f>
        <x:v>1</x:v>
      </x:c>
    </x:row>
    <x:row r="256">
      <x:c r="A256" t="s">
        <x:v>4101</x:v>
      </x:c>
      <x:c r="B256" t="s">
        <x:v>3825</x:v>
      </x:c>
      <x:c r="C256" t="s">
        <x:v>1189</x:v>
      </x:c>
      <x:c r="D256" t="str">
        <x:f>LOWER(TRIM(SUBSTITUTE(C256,CHAR(160)," ")))</x:f>
        <x:v>linet.muthii@pwc.com</x:v>
      </x:c>
      <x:c r="E256" t="n">
        <x:f>IF(D256="","",IF(COUNTIF($D$2:D256,D256)=1,1,0))</x:f>
        <x:v>1</x:v>
      </x:c>
    </x:row>
    <x:row r="257">
      <x:c r="A257" t="s">
        <x:v>4102</x:v>
      </x:c>
      <x:c r="B257" t="s">
        <x:v>3821</x:v>
      </x:c>
      <x:c r="C257" t="s">
        <x:v>2698</x:v>
      </x:c>
      <x:c r="D257" t="str">
        <x:f>LOWER(TRIM(SUBSTITUTE(C257,CHAR(160)," ")))</x:f>
        <x:v>lorna.ramsamy@pwc.com</x:v>
      </x:c>
      <x:c r="E257" t="n">
        <x:f>IF(D257="","",IF(COUNTIF($D$2:D257,D257)=1,1,0))</x:f>
        <x:v>1</x:v>
      </x:c>
    </x:row>
    <x:row r="258">
      <x:c r="A258" t="s">
        <x:v>4103</x:v>
      </x:c>
      <x:c r="B258" t="s">
        <x:v>3829</x:v>
      </x:c>
      <x:c r="C258" t="s">
        <x:v>509</x:v>
      </x:c>
      <x:c r="D258" t="str">
        <x:f>LOWER(TRIM(SUBSTITUTE(C258,CHAR(160)," ")))</x:f>
        <x:v>louise.umutesi@pwc.com</x:v>
      </x:c>
      <x:c r="E258" t="n">
        <x:f>IF(D258="","",IF(COUNTIF($D$2:D258,D258)=1,1,0))</x:f>
        <x:v>1</x:v>
      </x:c>
    </x:row>
    <x:row r="259">
      <x:c r="A259" t="s">
        <x:v>4104</x:v>
      </x:c>
      <x:c r="B259" t="s">
        <x:v>3844</x:v>
      </x:c>
      <x:c r="C259" t="s">
        <x:v>4105</x:v>
      </x:c>
      <x:c r="D259" t="str">
        <x:f>LOWER(TRIM(SUBSTITUTE(C259,CHAR(160)," ")))</x:f>
        <x:v>lubinda.mukelabai@pwc.com</x:v>
      </x:c>
      <x:c r="E259" t="n">
        <x:f>IF(D259="","",IF(COUNTIF($D$2:D259,D259)=1,1,0))</x:f>
        <x:v>1</x:v>
      </x:c>
    </x:row>
    <x:row r="260">
      <x:c r="A260" t="s">
        <x:v>4106</x:v>
      </x:c>
      <x:c r="B260" t="s">
        <x:v>3844</x:v>
      </x:c>
      <x:c r="C260" t="s">
        <x:v>1925</x:v>
      </x:c>
      <x:c r="D260" t="str">
        <x:f>LOWER(TRIM(SUBSTITUTE(C260,CHAR(160)," ")))</x:f>
        <x:v>lubona.mpikwa@pwc.com</x:v>
      </x:c>
      <x:c r="E260" t="n">
        <x:f>IF(D260="","",IF(COUNTIF($D$2:D260,D260)=1,1,0))</x:f>
        <x:v>1</x:v>
      </x:c>
    </x:row>
    <x:row r="261">
      <x:c r="A261" t="s">
        <x:v>4107</x:v>
      </x:c>
      <x:c r="B261" t="s">
        <x:v>3821</x:v>
      </x:c>
      <x:c r="C261" t="s">
        <x:v>1249</x:v>
      </x:c>
      <x:c r="D261" t="str">
        <x:f>LOWER(TRIM(SUBSTITUTE(C261,CHAR(160)," ")))</x:f>
        <x:v>luc.meunier@pwc.com</x:v>
      </x:c>
      <x:c r="E261" t="n">
        <x:f>IF(D261="","",IF(COUNTIF($D$2:D261,D261)=1,1,0))</x:f>
        <x:v>1</x:v>
      </x:c>
    </x:row>
    <x:row r="262">
      <x:c r="A262" t="s">
        <x:v>4108</x:v>
      </x:c>
      <x:c r="B262" t="s">
        <x:v>3825</x:v>
      </x:c>
      <x:c r="C262" t="s">
        <x:v>2688</x:v>
      </x:c>
      <x:c r="D262" t="str">
        <x:f>LOWER(TRIM(SUBSTITUTE(C262,CHAR(160)," ")))</x:f>
        <x:v>lucy.ngugi@pwc.com</x:v>
      </x:c>
      <x:c r="E262" t="n">
        <x:f>IF(D262="","",IF(COUNTIF($D$2:D262,D262)=1,1,0))</x:f>
        <x:v>1</x:v>
      </x:c>
    </x:row>
    <x:row r="263">
      <x:c r="A263" t="s">
        <x:v>4109</x:v>
      </x:c>
      <x:c r="B263" t="s">
        <x:v>3825</x:v>
      </x:c>
      <x:c r="C263" t="s">
        <x:v>775</x:v>
      </x:c>
      <x:c r="D263" t="str">
        <x:f>LOWER(TRIM(SUBSTITUTE(C263,CHAR(160)," ")))</x:f>
        <x:v>lucy.thuo@pwc.com</x:v>
      </x:c>
      <x:c r="E263" t="n">
        <x:f>IF(D263="","",IF(COUNTIF($D$2:D263,D263)=1,1,0))</x:f>
        <x:v>1</x:v>
      </x:c>
    </x:row>
    <x:row r="264">
      <x:c r="A264" t="s">
        <x:v>4110</x:v>
      </x:c>
      <x:c r="B264" t="s">
        <x:v>3821</x:v>
      </x:c>
      <x:c r="C264" t="s">
        <x:v>2770</x:v>
      </x:c>
      <x:c r="D264" t="str">
        <x:f>LOWER(TRIM(SUBSTITUTE(C264,CHAR(160)," ")))</x:f>
        <x:v>mahima.nowrung@pwc.com</x:v>
      </x:c>
      <x:c r="E264" t="n">
        <x:f>IF(D264="","",IF(COUNTIF($D$2:D264,D264)=1,1,0))</x:f>
        <x:v>1</x:v>
      </x:c>
    </x:row>
    <x:row r="265">
      <x:c r="A265" t="s">
        <x:v>4111</x:v>
      </x:c>
      <x:c r="B265" t="s">
        <x:v>3821</x:v>
      </x:c>
      <x:c r="C265" t="s">
        <x:v>2887</x:v>
      </x:c>
      <x:c r="D265" t="str">
        <x:f>LOWER(TRIM(SUBSTITUTE(C265,CHAR(160)," ")))</x:f>
        <x:v>mahir.perbhoo@pwc.com</x:v>
      </x:c>
      <x:c r="E265" t="n">
        <x:f>IF(D265="","",IF(COUNTIF($D$2:D265,D265)=1,1,0))</x:f>
        <x:v>1</x:v>
      </x:c>
    </x:row>
    <x:row r="266">
      <x:c r="A266" t="s">
        <x:v>4112</x:v>
      </x:c>
      <x:c r="B266" t="s">
        <x:v>3821</x:v>
      </x:c>
      <x:c r="C266" t="s">
        <x:v>709</x:v>
      </x:c>
      <x:c r="D266" t="str">
        <x:f>LOWER(TRIM(SUBSTITUTE(C266,CHAR(160)," ")))</x:f>
        <x:v>manish.joorawon@pwc.com</x:v>
      </x:c>
      <x:c r="E266" t="n">
        <x:f>IF(D266="","",IF(COUNTIF($D$2:D266,D266)=1,1,0))</x:f>
        <x:v>1</x:v>
      </x:c>
    </x:row>
    <x:row r="267">
      <x:c r="A267" t="s">
        <x:v>4113</x:v>
      </x:c>
      <x:c r="B267" t="s">
        <x:v>3821</x:v>
      </x:c>
      <x:c r="C267" t="s">
        <x:v>513</x:v>
      </x:c>
      <x:c r="D267" t="str">
        <x:f>LOWER(TRIM(SUBSTITUTE(C267,CHAR(160)," ")))</x:f>
        <x:v>manisha.dookhy@pwc.com</x:v>
      </x:c>
      <x:c r="E267" t="n">
        <x:f>IF(D267="","",IF(COUNTIF($D$2:D267,D267)=1,1,0))</x:f>
        <x:v>1</x:v>
      </x:c>
    </x:row>
    <x:row r="268">
      <x:c r="A268" t="s">
        <x:v>4114</x:v>
      </x:c>
      <x:c r="B268" t="s">
        <x:v>3821</x:v>
      </x:c>
      <x:c r="C268" t="s">
        <x:v>2120</x:v>
      </x:c>
      <x:c r="D268" t="str">
        <x:f>LOWER(TRIM(SUBSTITUTE(C268,CHAR(160)," ")))</x:f>
        <x:v>mansi.jeewooth@pwc.com</x:v>
      </x:c>
      <x:c r="E268" t="n">
        <x:f>IF(D268="","",IF(COUNTIF($D$2:D268,D268)=1,1,0))</x:f>
        <x:v>1</x:v>
      </x:c>
    </x:row>
    <x:row r="269">
      <x:c r="A269" t="s">
        <x:v>4115</x:v>
      </x:c>
      <x:c r="B269" t="s">
        <x:v>3821</x:v>
      </x:c>
      <x:c r="C269" t="s">
        <x:v>2149</x:v>
      </x:c>
      <x:c r="D269" t="str">
        <x:f>LOWER(TRIM(SUBSTITUTE(C269,CHAR(160)," ")))</x:f>
        <x:v>mario.li@pwc.com</x:v>
      </x:c>
      <x:c r="E269" t="n">
        <x:f>IF(D269="","",IF(COUNTIF($D$2:D269,D269)=1,1,0))</x:f>
        <x:v>1</x:v>
      </x:c>
    </x:row>
    <x:row r="270">
      <x:c r="A270" t="s">
        <x:v>4116</x:v>
      </x:c>
      <x:c r="B270" t="s">
        <x:v>3844</x:v>
      </x:c>
      <x:c r="C270" t="s">
        <x:v>43</x:v>
      </x:c>
      <x:c r="D270" t="str">
        <x:f>LOWER(TRIM(SUBSTITUTE(C270,CHAR(160)," ")))</x:f>
        <x:v>martin.x.bamukunde@pwc.com</x:v>
      </x:c>
      <x:c r="E270" t="n">
        <x:f>IF(D270="","",IF(COUNTIF($D$2:D270,D270)=1,1,0))</x:f>
        <x:v>1</x:v>
      </x:c>
    </x:row>
    <x:row r="271">
      <x:c r="A271" t="s">
        <x:v>4117</x:v>
      </x:c>
      <x:c r="B271" t="s">
        <x:v>3825</x:v>
      </x:c>
      <x:c r="C271" t="s">
        <x:v>590</x:v>
      </x:c>
      <x:c r="D271" t="str">
        <x:f>LOWER(TRIM(SUBSTITUTE(C271,CHAR(160)," ")))</x:f>
        <x:v>martin.karumba@pwc.com</x:v>
      </x:c>
      <x:c r="E271" t="n">
        <x:f>IF(D271="","",IF(COUNTIF($D$2:D271,D271)=1,1,0))</x:f>
        <x:v>1</x:v>
      </x:c>
    </x:row>
    <x:row r="272">
      <x:c r="A272" t="s">
        <x:v>4118</x:v>
      </x:c>
      <x:c r="B272" t="s">
        <x:v>3825</x:v>
      </x:c>
      <x:c r="C272" t="s">
        <x:v>920</x:v>
      </x:c>
      <x:c r="D272" t="str">
        <x:f>LOWER(TRIM(SUBSTITUTE(C272,CHAR(160)," ")))</x:f>
        <x:v>mary.juma@pwc.com</x:v>
      </x:c>
      <x:c r="E272" t="n">
        <x:f>IF(D272="","",IF(COUNTIF($D$2:D272,D272)=1,1,0))</x:f>
        <x:v>1</x:v>
      </x:c>
    </x:row>
    <x:row r="273">
      <x:c r="A273" t="s">
        <x:v>4119</x:v>
      </x:c>
      <x:c r="B273" t="s">
        <x:v>3825</x:v>
      </x:c>
      <x:c r="C273" t="s">
        <x:v>490</x:v>
      </x:c>
      <x:c r="D273" t="str">
        <x:f>LOWER(TRIM(SUBSTITUTE(C273,CHAR(160)," ")))</x:f>
        <x:v>mary.kariithi@pwc.com</x:v>
      </x:c>
      <x:c r="E273" t="n">
        <x:f>IF(D273="","",IF(COUNTIF($D$2:D273,D273)=1,1,0))</x:f>
        <x:v>1</x:v>
      </x:c>
    </x:row>
    <x:row r="274">
      <x:c r="A274" t="s">
        <x:v>4120</x:v>
      </x:c>
      <x:c r="B274" t="s">
        <x:v>3825</x:v>
      </x:c>
      <x:c r="C274" t="s">
        <x:v>560</x:v>
      </x:c>
      <x:c r="D274" t="str">
        <x:f>LOWER(TRIM(SUBSTITUTE(C274,CHAR(160)," ")))</x:f>
        <x:v>mary.mutuku@pwc.com</x:v>
      </x:c>
      <x:c r="E274" t="n">
        <x:f>IF(D274="","",IF(COUNTIF($D$2:D274,D274)=1,1,0))</x:f>
        <x:v>1</x:v>
      </x:c>
    </x:row>
    <x:row r="275">
      <x:c r="A275" t="s">
        <x:v>4121</x:v>
      </x:c>
      <x:c r="B275" t="s">
        <x:v>3844</x:v>
      </x:c>
      <x:c r="C275" t="s">
        <x:v>2956</x:v>
      </x:c>
      <x:c r="D275" t="str">
        <x:f>LOWER(TRIM(SUBSTITUTE(C275,CHAR(160)," ")))</x:f>
        <x:v>masela.chishinga@pwc.com</x:v>
      </x:c>
      <x:c r="E275" t="n">
        <x:f>IF(D275="","",IF(COUNTIF($D$2:D275,D275)=1,1,0))</x:f>
        <x:v>1</x:v>
      </x:c>
    </x:row>
    <x:row r="276">
      <x:c r="A276" t="s">
        <x:v>4122</x:v>
      </x:c>
      <x:c r="B276" t="s">
        <x:v>3825</x:v>
      </x:c>
      <x:c r="C276" t="s">
        <x:v>898</x:v>
      </x:c>
      <x:c r="D276" t="str">
        <x:f>LOWER(TRIM(SUBSTITUTE(C276,CHAR(160)," ")))</x:f>
        <x:v>masha.alobo@pwc.com</x:v>
      </x:c>
      <x:c r="E276" t="n">
        <x:f>IF(D276="","",IF(COUNTIF($D$2:D276,D276)=1,1,0))</x:f>
        <x:v>1</x:v>
      </x:c>
    </x:row>
    <x:row r="277">
      <x:c r="A277" t="s">
        <x:v>4123</x:v>
      </x:c>
      <x:c r="B277" t="s">
        <x:v>3823</x:v>
      </x:c>
      <x:c r="C277" t="s">
        <x:v>1708</x:v>
      </x:c>
      <x:c r="D277" t="str">
        <x:f>LOWER(TRIM(SUBSTITUTE(C277,CHAR(160)," ")))</x:f>
        <x:v>matthew.ddimirire@pwc.com</x:v>
      </x:c>
      <x:c r="E277" t="n">
        <x:f>IF(D277="","",IF(COUNTIF($D$2:D277,D277)=1,1,0))</x:f>
        <x:v>1</x:v>
      </x:c>
    </x:row>
    <x:row r="278">
      <x:c r="A278" t="s">
        <x:v>4124</x:v>
      </x:c>
      <x:c r="B278" t="s">
        <x:v>3836</x:v>
      </x:c>
      <x:c r="C278" t="s">
        <x:v>152</x:v>
      </x:c>
      <x:c r="D278" t="str">
        <x:f>LOWER(TRIM(SUBSTITUTE(C278,CHAR(160)," ")))</x:f>
        <x:v>maureen.benedict@pwc.com</x:v>
      </x:c>
      <x:c r="E278" t="n">
        <x:f>IF(D278="","",IF(COUNTIF($D$2:D278,D278)=1,1,0))</x:f>
        <x:v>1</x:v>
      </x:c>
    </x:row>
    <x:row r="279">
      <x:c r="A279" t="s">
        <x:v>4125</x:v>
      </x:c>
      <x:c r="B279" t="s">
        <x:v>3821</x:v>
      </x:c>
      <x:c r="C279" t="s">
        <x:v>3060</x:v>
      </x:c>
      <x:c r="D279" t="str">
        <x:f>LOWER(TRIM(SUBSTITUTE(C279,CHAR(160)," ")))</x:f>
        <x:v>maureen.carmagnole@pwc.com</x:v>
      </x:c>
      <x:c r="E279" t="n">
        <x:f>IF(D279="","",IF(COUNTIF($D$2:D279,D279)=1,1,0))</x:f>
        <x:v>1</x:v>
      </x:c>
    </x:row>
    <x:row r="280">
      <x:c r="A280" t="s">
        <x:v>4126</x:v>
      </x:c>
      <x:c r="B280" t="s">
        <x:v>3821</x:v>
      </x:c>
      <x:c r="C280" t="s">
        <x:v>1940</x:v>
      </x:c>
      <x:c r="D280" t="str">
        <x:f>LOWER(TRIM(SUBSTITUTE(C280,CHAR(160)," ")))</x:f>
        <x:v>melanie.li.wan.cheun@pwc.com</x:v>
      </x:c>
      <x:c r="E280" t="n">
        <x:f>IF(D280="","",IF(COUNTIF($D$2:D280,D280)=1,1,0))</x:f>
        <x:v>1</x:v>
      </x:c>
    </x:row>
    <x:row r="281">
      <x:c r="A281" t="s">
        <x:v>4127</x:v>
      </x:c>
      <x:c r="B281" t="s">
        <x:v>3825</x:v>
      </x:c>
      <x:c r="C281" t="s">
        <x:v>1052</x:v>
      </x:c>
      <x:c r="D281" t="str">
        <x:f>LOWER(TRIM(SUBSTITUTE(C281,CHAR(160)," ")))</x:f>
        <x:v>mercy.john@pwc.com</x:v>
      </x:c>
      <x:c r="E281" t="n">
        <x:f>IF(D281="","",IF(COUNTIF($D$2:D281,D281)=1,1,0))</x:f>
        <x:v>1</x:v>
      </x:c>
    </x:row>
    <x:row r="282">
      <x:c r="A282" t="s">
        <x:v>4128</x:v>
      </x:c>
      <x:c r="B282" t="s">
        <x:v>3825</x:v>
      </x:c>
      <x:c r="C282" t="s">
        <x:v>4129</x:v>
      </x:c>
      <x:c r="D282" t="str">
        <x:f>LOWER(TRIM(SUBSTITUTE(C282,CHAR(160)," ")))</x:f>
        <x:v>mercy.kiprono@pwc.com</x:v>
      </x:c>
      <x:c r="E282" t="n">
        <x:f>IF(D282="","",IF(COUNTIF($D$2:D282,D282)=1,1,0))</x:f>
        <x:v>1</x:v>
      </x:c>
    </x:row>
    <x:row r="283">
      <x:c r="A283" t="s">
        <x:v>4130</x:v>
      </x:c>
      <x:c r="B283" t="s">
        <x:v>3825</x:v>
      </x:c>
      <x:c r="C283" t="s">
        <x:v>148</x:v>
      </x:c>
      <x:c r="D283" t="str">
        <x:f>LOWER(TRIM(SUBSTITUTE(C283,CHAR(160)," ")))</x:f>
        <x:v>mercy.koskei@pwc.com</x:v>
      </x:c>
      <x:c r="E283" t="n">
        <x:f>IF(D283="","",IF(COUNTIF($D$2:D283,D283)=1,1,0))</x:f>
        <x:v>1</x:v>
      </x:c>
    </x:row>
    <x:row r="284">
      <x:c r="A284" t="s">
        <x:v>4131</x:v>
      </x:c>
      <x:c r="B284" t="s">
        <x:v>3825</x:v>
      </x:c>
      <x:c r="C284" t="s">
        <x:v>875</x:v>
      </x:c>
      <x:c r="D284" t="str">
        <x:f>LOWER(TRIM(SUBSTITUTE(C284,CHAR(160)," ")))</x:f>
        <x:v>mercy.kuria@pwc.com</x:v>
      </x:c>
      <x:c r="E284" t="n">
        <x:f>IF(D284="","",IF(COUNTIF($D$2:D284,D284)=1,1,0))</x:f>
        <x:v>1</x:v>
      </x:c>
    </x:row>
    <x:row r="285">
      <x:c r="A285" t="s">
        <x:v>4132</x:v>
      </x:c>
      <x:c r="B285" t="s">
        <x:v>3823</x:v>
      </x:c>
      <x:c r="C285" t="s">
        <x:v>598</x:v>
      </x:c>
      <x:c r="D285" t="str">
        <x:f>LOWER(TRIM(SUBSTITUTE(C285,CHAR(160)," ")))</x:f>
        <x:v>michael.male@pwc.com</x:v>
      </x:c>
      <x:c r="E285" t="n">
        <x:f>IF(D285="","",IF(COUNTIF($D$2:D285,D285)=1,1,0))</x:f>
        <x:v>1</x:v>
      </x:c>
    </x:row>
    <x:row r="286">
      <x:c r="A286" t="s">
        <x:v>4133</x:v>
      </x:c>
      <x:c r="B286" t="s">
        <x:v>3825</x:v>
      </x:c>
      <x:c r="C286" t="s">
        <x:v>3042</x:v>
      </x:c>
      <x:c r="D286" t="str">
        <x:f>LOWER(TRIM(SUBSTITUTE(C286,CHAR(160)," ")))</x:f>
        <x:v>michael.mwendwa@pwc.com</x:v>
      </x:c>
      <x:c r="E286" t="n">
        <x:f>IF(D286="","",IF(COUNTIF($D$2:D286,D286)=1,1,0))</x:f>
        <x:v>1</x:v>
      </x:c>
    </x:row>
    <x:row r="287">
      <x:c r="A287" t="s">
        <x:v>4134</x:v>
      </x:c>
      <x:c r="B287" t="s">
        <x:v>3825</x:v>
      </x:c>
      <x:c r="C287" t="s">
        <x:v>2399</x:v>
      </x:c>
      <x:c r="D287" t="str">
        <x:f>LOWER(TRIM(SUBSTITUTE(C287,CHAR(160)," ")))</x:f>
        <x:v>michael.ngugi@pwc.com</x:v>
      </x:c>
      <x:c r="E287" t="n">
        <x:f>IF(D287="","",IF(COUNTIF($D$2:D287,D287)=1,1,0))</x:f>
        <x:v>1</x:v>
      </x:c>
    </x:row>
    <x:row r="288">
      <x:c r="A288" t="s">
        <x:v>4135</x:v>
      </x:c>
      <x:c r="B288" t="s">
        <x:v>3825</x:v>
      </x:c>
      <x:c r="C288" t="s">
        <x:v>32</x:v>
      </x:c>
      <x:c r="D288" t="str">
        <x:f>LOWER(TRIM(SUBSTITUTE(C288,CHAR(160)," ")))</x:f>
        <x:v>michael.mugasa@pwc.com</x:v>
      </x:c>
      <x:c r="E288" t="n">
        <x:f>IF(D288="","",IF(COUNTIF($D$2:D288,D288)=1,1,0))</x:f>
        <x:v>1</x:v>
      </x:c>
    </x:row>
    <x:row r="289">
      <x:c r="A289" t="s">
        <x:v>4136</x:v>
      </x:c>
      <x:c r="B289" t="s">
        <x:v>3823</x:v>
      </x:c>
      <x:c r="C289" t="s">
        <x:v>3241</x:v>
      </x:c>
      <x:c r="D289" t="str">
        <x:f>LOWER(TRIM(SUBSTITUTE(C289,CHAR(160)," ")))</x:f>
        <x:v>micheal.murungi@pwc.com</x:v>
      </x:c>
      <x:c r="E289" t="n">
        <x:f>IF(D289="","",IF(COUNTIF($D$2:D289,D289)=1,1,0))</x:f>
        <x:v>1</x:v>
      </x:c>
    </x:row>
    <x:row r="290">
      <x:c r="A290" t="s">
        <x:v>4137</x:v>
      </x:c>
      <x:c r="B290" t="s">
        <x:v>3823</x:v>
      </x:c>
      <x:c r="C290" t="s">
        <x:v>384</x:v>
      </x:c>
      <x:c r="D290" t="str">
        <x:f>LOWER(TRIM(SUBSTITUTE(C290,CHAR(160)," ")))</x:f>
        <x:v>milbert.kakyama@pwc.com</x:v>
      </x:c>
      <x:c r="E290" t="n">
        <x:f>IF(D290="","",IF(COUNTIF($D$2:D290,D290)=1,1,0))</x:f>
        <x:v>1</x:v>
      </x:c>
    </x:row>
    <x:row r="291">
      <x:c r="A291" t="s">
        <x:v>4138</x:v>
      </x:c>
      <x:c r="B291" t="s">
        <x:v>3825</x:v>
      </x:c>
      <x:c r="C291" t="s">
        <x:v>2144</x:v>
      </x:c>
      <x:c r="D291" t="str">
        <x:f>LOWER(TRIM(SUBSTITUTE(C291,CHAR(160)," ")))</x:f>
        <x:v>mirriam.muatha@pwc.com</x:v>
      </x:c>
      <x:c r="E291" t="n">
        <x:f>IF(D291="","",IF(COUNTIF($D$2:D291,D291)=1,1,0))</x:f>
        <x:v>1</x:v>
      </x:c>
    </x:row>
    <x:row r="292">
      <x:c r="A292" t="s">
        <x:v>4139</x:v>
      </x:c>
      <x:c r="B292" t="s">
        <x:v>3844</x:v>
      </x:c>
      <x:c r="C292" t="s">
        <x:v>994</x:v>
      </x:c>
      <x:c r="D292" t="str">
        <x:f>LOWER(TRIM(SUBSTITUTE(C292,CHAR(160)," ")))</x:f>
        <x:v>moddie.mwewa@pwc.com</x:v>
      </x:c>
      <x:c r="E292" t="n">
        <x:f>IF(D292="","",IF(COUNTIF($D$2:D292,D292)=1,1,0))</x:f>
        <x:v>1</x:v>
      </x:c>
    </x:row>
    <x:row r="293">
      <x:c r="A293" t="s">
        <x:v>4140</x:v>
      </x:c>
      <x:c r="B293" t="s">
        <x:v>3836</x:v>
      </x:c>
      <x:c r="C293" t="s">
        <x:v>761</x:v>
      </x:c>
      <x:c r="D293" t="str">
        <x:f>LOWER(TRIM(SUBSTITUTE(C293,CHAR(160)," ")))</x:f>
        <x:v>mohamed.zuberi@pwc.com</x:v>
      </x:c>
      <x:c r="E293" t="n">
        <x:f>IF(D293="","",IF(COUNTIF($D$2:D293,D293)=1,1,0))</x:f>
        <x:v>1</x:v>
      </x:c>
    </x:row>
    <x:row r="294">
      <x:c r="A294" t="s">
        <x:v>4141</x:v>
      </x:c>
      <x:c r="B294" t="s">
        <x:v>3821</x:v>
      </x:c>
      <x:c r="C294" t="s">
        <x:v>1812</x:v>
      </x:c>
      <x:c r="D294" t="str">
        <x:f>LOWER(TRIM(SUBSTITUTE(C294,CHAR(160)," ")))</x:f>
        <x:v>moheenee.harah@pwc.com</x:v>
      </x:c>
      <x:c r="E294" t="n">
        <x:f>IF(D294="","",IF(COUNTIF($D$2:D294,D294)=1,1,0))</x:f>
        <x:v>1</x:v>
      </x:c>
    </x:row>
    <x:row r="295">
      <x:c r="A295" t="s">
        <x:v>4142</x:v>
      </x:c>
      <x:c r="B295" t="s">
        <x:v>3825</x:v>
      </x:c>
      <x:c r="C295" t="s">
        <x:v>805</x:v>
      </x:c>
      <x:c r="D295" t="str">
        <x:f>LOWER(TRIM(SUBSTITUTE(C295,CHAR(160)," ")))</x:f>
        <x:v>moses.njoroge@pwc.com</x:v>
      </x:c>
      <x:c r="E295" t="n">
        <x:f>IF(D295="","",IF(COUNTIF($D$2:D295,D295)=1,1,0))</x:f>
        <x:v>1</x:v>
      </x:c>
    </x:row>
    <x:row r="296">
      <x:c r="A296" t="s">
        <x:v>4143</x:v>
      </x:c>
      <x:c r="B296" t="s">
        <x:v>3844</x:v>
      </x:c>
      <x:c r="C296" t="s">
        <x:v>3165</x:v>
      </x:c>
      <x:c r="D296" t="str">
        <x:f>LOWER(TRIM(SUBSTITUTE(C296,CHAR(160)," ")))</x:f>
        <x:v>mulenga.chileshe@pwc.com</x:v>
      </x:c>
      <x:c r="E296" t="n">
        <x:f>IF(D296="","",IF(COUNTIF($D$2:D296,D296)=1,1,0))</x:f>
        <x:v>1</x:v>
      </x:c>
    </x:row>
    <x:row r="297">
      <x:c r="A297" t="s">
        <x:v>4144</x:v>
      </x:c>
      <x:c r="B297" t="s">
        <x:v>3844</x:v>
      </x:c>
      <x:c r="C297" t="s">
        <x:v>2518</x:v>
      </x:c>
      <x:c r="D297" t="str">
        <x:f>LOWER(TRIM(SUBSTITUTE(C297,CHAR(160)," ")))</x:f>
        <x:v>mulenga.chiti@pwc.com</x:v>
      </x:c>
      <x:c r="E297" t="n">
        <x:f>IF(D297="","",IF(COUNTIF($D$2:D297,D297)=1,1,0))</x:f>
        <x:v>1</x:v>
      </x:c>
    </x:row>
    <x:row r="298">
      <x:c r="A298" t="s">
        <x:v>4145</x:v>
      </x:c>
      <x:c r="B298" t="s">
        <x:v>3821</x:v>
      </x:c>
      <x:c r="C298" t="s">
        <x:v>4146</x:v>
      </x:c>
      <x:c r="D298" t="str">
        <x:f>LOWER(TRIM(SUBSTITUTE(C298,CHAR(160)," ")))</x:f>
        <x:v>muzzammil.panchoo@pwc.com</x:v>
      </x:c>
      <x:c r="E298" t="n">
        <x:f>IF(D298="","",IF(COUNTIF($D$2:D298,D298)=1,1,0))</x:f>
        <x:v>1</x:v>
      </x:c>
    </x:row>
    <x:row r="299">
      <x:c r="A299" t="s">
        <x:v>4147</x:v>
      </x:c>
      <x:c r="B299" t="s">
        <x:v>3844</x:v>
      </x:c>
      <x:c r="C299" t="s">
        <x:v>3122</x:v>
      </x:c>
      <x:c r="D299" t="str">
        <x:f>LOWER(TRIM(SUBSTITUTE(C299,CHAR(160)," ")))</x:f>
        <x:v>mwaka.njobvu@pwc.com</x:v>
      </x:c>
      <x:c r="E299" t="n">
        <x:f>IF(D299="","",IF(COUNTIF($D$2:D299,D299)=1,1,0))</x:f>
        <x:v>1</x:v>
      </x:c>
    </x:row>
    <x:row r="300">
      <x:c r="A300" t="s">
        <x:v>4148</x:v>
      </x:c>
      <x:c r="B300" t="s">
        <x:v>3829</x:v>
      </x:c>
      <x:c r="C300" t="s">
        <x:v>1853</x:v>
      </x:c>
      <x:c r="D300" t="str">
        <x:f>LOWER(TRIM(SUBSTITUTE(C300,CHAR(160)," ")))</x:f>
        <x:v>mwangi.j.karanja@pwc.com</x:v>
      </x:c>
      <x:c r="E300" t="n">
        <x:f>IF(D300="","",IF(COUNTIF($D$2:D300,D300)=1,1,0))</x:f>
        <x:v>1</x:v>
      </x:c>
    </x:row>
    <x:row r="301">
      <x:c r="A301" t="s">
        <x:v>4149</x:v>
      </x:c>
      <x:c r="B301" t="s">
        <x:v>3844</x:v>
      </x:c>
      <x:c r="C301" t="s">
        <x:v>2324</x:v>
      </x:c>
      <x:c r="D301" t="str">
        <x:f>LOWER(TRIM(SUBSTITUTE(C301,CHAR(160)," ")))</x:f>
        <x:v>mwiya.mwiya@pwc.com</x:v>
      </x:c>
      <x:c r="E301" t="n">
        <x:f>IF(D301="","",IF(COUNTIF($D$2:D301,D301)=1,1,0))</x:f>
        <x:v>1</x:v>
      </x:c>
    </x:row>
    <x:row r="302">
      <x:c r="A302" t="s">
        <x:v>4150</x:v>
      </x:c>
      <x:c r="B302" t="s">
        <x:v>3825</x:v>
      </x:c>
      <x:c r="C302" t="s">
        <x:v>456</x:v>
      </x:c>
      <x:c r="D302" t="str">
        <x:f>LOWER(TRIM(SUBSTITUTE(C302,CHAR(160)," ")))</x:f>
        <x:v>naeku.edith@pwc.com</x:v>
      </x:c>
      <x:c r="E302" t="n">
        <x:f>IF(D302="","",IF(COUNTIF($D$2:D302,D302)=1,1,0))</x:f>
        <x:v>1</x:v>
      </x:c>
    </x:row>
    <x:row r="303">
      <x:c r="A303" t="s">
        <x:v>4151</x:v>
      </x:c>
      <x:c r="B303" t="s">
        <x:v>3825</x:v>
      </x:c>
      <x:c r="C303" t="s">
        <x:v>789</x:v>
      </x:c>
      <x:c r="D303" t="str">
        <x:f>LOWER(TRIM(SUBSTITUTE(C303,CHAR(160)," ")))</x:f>
        <x:v>nahashon.kimani@pwc.com</x:v>
      </x:c>
      <x:c r="E303" t="n">
        <x:f>IF(D303="","",IF(COUNTIF($D$2:D303,D303)=1,1,0))</x:f>
        <x:v>1</x:v>
      </x:c>
    </x:row>
    <x:row r="304">
      <x:c r="A304" t="s">
        <x:v>4152</x:v>
      </x:c>
      <x:c r="B304" t="s">
        <x:v>3825</x:v>
      </x:c>
      <x:c r="C304" t="s">
        <x:v>836</x:v>
      </x:c>
      <x:c r="D304" t="str">
        <x:f>LOWER(TRIM(SUBSTITUTE(C304,CHAR(160)," ")))</x:f>
        <x:v>nahashon.thuo@pwc.com</x:v>
      </x:c>
      <x:c r="E304" t="n">
        <x:f>IF(D304="","",IF(COUNTIF($D$2:D304,D304)=1,1,0))</x:f>
        <x:v>1</x:v>
      </x:c>
    </x:row>
    <x:row r="305">
      <x:c r="A305" t="s">
        <x:v>4153</x:v>
      </x:c>
      <x:c r="B305" t="s">
        <x:v>3836</x:v>
      </x:c>
      <x:c r="C305" t="s">
        <x:v>728</x:v>
      </x:c>
      <x:c r="D305" t="str">
        <x:f>LOWER(TRIM(SUBSTITUTE(C305,CHAR(160)," ")))</x:f>
        <x:v>nancy.woisso@pwc.com</x:v>
      </x:c>
      <x:c r="E305" t="n">
        <x:f>IF(D305="","",IF(COUNTIF($D$2:D305,D305)=1,1,0))</x:f>
        <x:v>1</x:v>
      </x:c>
    </x:row>
    <x:row r="306">
      <x:c r="A306" t="s">
        <x:v>4154</x:v>
      </x:c>
      <x:c r="B306" t="s">
        <x:v>3844</x:v>
      </x:c>
      <x:c r="C306" t="s">
        <x:v>402</x:v>
      </x:c>
      <x:c r="D306" t="str">
        <x:f>LOWER(TRIM(SUBSTITUTE(C306,CHAR(160)," ")))</x:f>
        <x:v>naomi.mwamba@pwc.com</x:v>
      </x:c>
      <x:c r="E306" t="n">
        <x:f>IF(D306="","",IF(COUNTIF($D$2:D306,D306)=1,1,0))</x:f>
        <x:v>1</x:v>
      </x:c>
    </x:row>
    <x:row r="307">
      <x:c r="A307" t="s">
        <x:v>4155</x:v>
      </x:c>
      <x:c r="B307" t="s">
        <x:v>3844</x:v>
      </x:c>
      <x:c r="C307" t="s">
        <x:v>2596</x:v>
      </x:c>
      <x:c r="D307" t="str">
        <x:f>LOWER(TRIM(SUBSTITUTE(C307,CHAR(160)," ")))</x:f>
        <x:v>napelwa.kambafwile@pwc.com</x:v>
      </x:c>
      <x:c r="E307" t="n">
        <x:f>IF(D307="","",IF(COUNTIF($D$2:D307,D307)=1,1,0))</x:f>
        <x:v>1</x:v>
      </x:c>
    </x:row>
    <x:row r="308">
      <x:c r="A308" t="s">
        <x:v>4156</x:v>
      </x:c>
      <x:c r="B308" t="s">
        <x:v>3821</x:v>
      </x:c>
      <x:c r="C308" t="s">
        <x:v>1879</x:v>
      </x:c>
      <x:c r="D308" t="str">
        <x:f>LOWER(TRIM(SUBSTITUTE(C308,CHAR(160)," ")))</x:f>
        <x:v>navishta.jugasing@pwc.com</x:v>
      </x:c>
      <x:c r="E308" t="n">
        <x:f>IF(D308="","",IF(COUNTIF($D$2:D308,D308)=1,1,0))</x:f>
        <x:v>1</x:v>
      </x:c>
    </x:row>
    <x:row r="309">
      <x:c r="A309" t="s">
        <x:v>4157</x:v>
      </x:c>
      <x:c r="B309" t="s">
        <x:v>3844</x:v>
      </x:c>
      <x:c r="C309" t="s">
        <x:v>1337</x:v>
      </x:c>
      <x:c r="D309" t="str">
        <x:f>LOWER(TRIM(SUBSTITUTE(C309,CHAR(160)," ")))</x:f>
        <x:v>ndana.simataa@pwc.com</x:v>
      </x:c>
      <x:c r="E309" t="n">
        <x:f>IF(D309="","",IF(COUNTIF($D$2:D309,D309)=1,1,0))</x:f>
        <x:v>1</x:v>
      </x:c>
    </x:row>
    <x:row r="310">
      <x:c r="A310" t="s">
        <x:v>4158</x:v>
      </x:c>
      <x:c r="B310" t="s">
        <x:v>3844</x:v>
      </x:c>
      <x:c r="C310" t="s">
        <x:v>1268</x:v>
      </x:c>
      <x:c r="D310" t="str">
        <x:f>LOWER(TRIM(SUBSTITUTE(C310,CHAR(160)," ")))</x:f>
        <x:v>ndanji.simukoko@pwc.com</x:v>
      </x:c>
      <x:c r="E310" t="n">
        <x:f>IF(D310="","",IF(COUNTIF($D$2:D310,D310)=1,1,0))</x:f>
        <x:v>1</x:v>
      </x:c>
    </x:row>
    <x:row r="311">
      <x:c r="A311" t="s">
        <x:v>4159</x:v>
      </x:c>
      <x:c r="B311" t="s">
        <x:v>3821</x:v>
      </x:c>
      <x:c r="C311" t="s">
        <x:v>460</x:v>
      </x:c>
      <x:c r="D311" t="str">
        <x:f>LOWER(TRIM(SUBSTITUTE(C311,CHAR(160)," ")))</x:f>
        <x:v>neelen.veerapen@pwc.com</x:v>
      </x:c>
      <x:c r="E311" t="n">
        <x:f>IF(D311="","",IF(COUNTIF($D$2:D311,D311)=1,1,0))</x:f>
        <x:v>1</x:v>
      </x:c>
    </x:row>
    <x:row r="312">
      <x:c r="A312" t="s">
        <x:v>4160</x:v>
      </x:c>
      <x:c r="B312" t="s">
        <x:v>3825</x:v>
      </x:c>
      <x:c r="C312" t="s">
        <x:v>2357</x:v>
      </x:c>
      <x:c r="D312" t="str">
        <x:f>LOWER(TRIM(SUBSTITUTE(C312,CHAR(160)," ")))</x:f>
        <x:v>neema.shayo@pwc.com</x:v>
      </x:c>
      <x:c r="E312" t="n">
        <x:f>IF(D312="","",IF(COUNTIF($D$2:D312,D312)=1,1,0))</x:f>
        <x:v>1</x:v>
      </x:c>
    </x:row>
    <x:row r="313">
      <x:c r="A313" t="s">
        <x:v>4161</x:v>
      </x:c>
      <x:c r="B313" t="s">
        <x:v>3836</x:v>
      </x:c>
      <x:c r="C313" t="s">
        <x:v>2792</x:v>
      </x:c>
      <x:c r="D313" t="str">
        <x:f>LOWER(TRIM(SUBSTITUTE(C313,CHAR(160)," ")))</x:f>
        <x:v>neeve-ann.godda@pwc.com</x:v>
      </x:c>
      <x:c r="E313" t="n">
        <x:f>IF(D313="","",IF(COUNTIF($D$2:D313,D313)=1,1,0))</x:f>
        <x:v>1</x:v>
      </x:c>
    </x:row>
    <x:row r="314">
      <x:c r="A314" t="s">
        <x:v>4162</x:v>
      </x:c>
      <x:c r="B314" t="s">
        <x:v>3825</x:v>
      </x:c>
      <x:c r="C314" t="s">
        <x:v>3144</x:v>
      </x:c>
      <x:c r="D314" t="str">
        <x:f>LOWER(TRIM(SUBSTITUTE(C314,CHAR(160)," ")))</x:f>
        <x:v>nelly.muriungi@pwc.com</x:v>
      </x:c>
      <x:c r="E314" t="n">
        <x:f>IF(D314="","",IF(COUNTIF($D$2:D314,D314)=1,1,0))</x:f>
        <x:v>1</x:v>
      </x:c>
    </x:row>
    <x:row r="315">
      <x:c r="A315" t="s">
        <x:v>4163</x:v>
      </x:c>
      <x:c r="B315" t="s">
        <x:v>3836</x:v>
      </x:c>
      <x:c r="C315" t="s">
        <x:v>2271</x:v>
      </x:c>
      <x:c r="D315" t="str">
        <x:f>LOWER(TRIM(SUBSTITUTE(C315,CHAR(160)," ")))</x:f>
        <x:v>nelson.msuya@pwc.com</x:v>
      </x:c>
      <x:c r="E315" t="n">
        <x:f>IF(D315="","",IF(COUNTIF($D$2:D315,D315)=1,1,0))</x:f>
        <x:v>1</x:v>
      </x:c>
    </x:row>
    <x:row r="316">
      <x:c r="A316" t="s">
        <x:v>4164</x:v>
      </x:c>
      <x:c r="B316" t="s">
        <x:v>3836</x:v>
      </x:c>
      <x:c r="C316" t="s">
        <x:v>765</x:v>
      </x:c>
      <x:c r="D316" t="str">
        <x:f>LOWER(TRIM(SUBSTITUTE(C316,CHAR(160)," ")))</x:f>
        <x:v>neria.rutashobya@pwc.com</x:v>
      </x:c>
      <x:c r="E316" t="n">
        <x:f>IF(D316="","",IF(COUNTIF($D$2:D316,D316)=1,1,0))</x:f>
        <x:v>1</x:v>
      </x:c>
    </x:row>
    <x:row r="317">
      <x:c r="A317" t="s">
        <x:v>4165</x:v>
      </x:c>
      <x:c r="B317" t="s">
        <x:v>3823</x:v>
      </x:c>
      <x:c r="C317" t="s">
        <x:v>2138</x:v>
      </x:c>
      <x:c r="D317" t="str">
        <x:f>LOWER(TRIM(SUBSTITUTE(C317,CHAR(160)," ")))</x:f>
        <x:v>newton.orengeje@pwc.com</x:v>
      </x:c>
      <x:c r="E317" t="n">
        <x:f>IF(D317="","",IF(COUNTIF($D$2:D317,D317)=1,1,0))</x:f>
        <x:v>1</x:v>
      </x:c>
    </x:row>
    <x:row r="318">
      <x:c r="A318" t="s">
        <x:v>4166</x:v>
      </x:c>
      <x:c r="B318" t="s">
        <x:v>3825</x:v>
      </x:c>
      <x:c r="C318" t="s">
        <x:v>1291</x:v>
      </x:c>
      <x:c r="D318" t="str">
        <x:f>LOWER(TRIM(SUBSTITUTE(C318,CHAR(160)," ")))</x:f>
        <x:v>nicholas.mahero@pwc.com</x:v>
      </x:c>
      <x:c r="E318" t="n">
        <x:f>IF(D318="","",IF(COUNTIF($D$2:D318,D318)=1,1,0))</x:f>
        <x:v>1</x:v>
      </x:c>
    </x:row>
    <x:row r="319">
      <x:c r="A319" t="s">
        <x:v>4167</x:v>
      </x:c>
      <x:c r="B319" t="s">
        <x:v>3821</x:v>
      </x:c>
      <x:c r="C319" t="s">
        <x:v>1945</x:v>
      </x:c>
      <x:c r="D319" t="str">
        <x:f>LOWER(TRIM(SUBSTITUTE(C319,CHAR(160)," ")))</x:f>
        <x:v>nilshaad.nowbuth@pwc.com</x:v>
      </x:c>
      <x:c r="E319" t="n">
        <x:f>IF(D319="","",IF(COUNTIF($D$2:D319,D319)=1,1,0))</x:f>
        <x:v>1</x:v>
      </x:c>
    </x:row>
    <x:row r="320">
      <x:c r="A320" t="s">
        <x:v>4168</x:v>
      </x:c>
      <x:c r="B320" t="s">
        <x:v>3821</x:v>
      </x:c>
      <x:c r="C320" t="s">
        <x:v>3211</x:v>
      </x:c>
      <x:c r="D320" t="str">
        <x:f>LOWER(TRIM(SUBSTITUTE(C320,CHAR(160)," ")))</x:f>
        <x:v>nirvan.bissessur@pwc.com</x:v>
      </x:c>
      <x:c r="E320" t="n">
        <x:f>IF(D320="","",IF(COUNTIF($D$2:D320,D320)=1,1,0))</x:f>
        <x:v>1</x:v>
      </x:c>
    </x:row>
    <x:row r="321">
      <x:c r="A321" t="s">
        <x:v>4169</x:v>
      </x:c>
      <x:c r="B321" t="s">
        <x:v>3821</x:v>
      </x:c>
      <x:c r="C321" t="s">
        <x:v>1729</x:v>
      </x:c>
      <x:c r="D321" t="str">
        <x:f>LOWER(TRIM(SUBSTITUTE(C321,CHAR(160)," ")))</x:f>
        <x:v>nuzhah.beebeejaun@pwc.com</x:v>
      </x:c>
      <x:c r="E321" t="n">
        <x:f>IF(D321="","",IF(COUNTIF($D$2:D321,D321)=1,1,0))</x:f>
        <x:v>1</x:v>
      </x:c>
    </x:row>
    <x:row r="322">
      <x:c r="A322" t="s">
        <x:v>4170</x:v>
      </x:c>
      <x:c r="B322" t="s">
        <x:v>3821</x:v>
      </x:c>
      <x:c r="C322" t="s">
        <x:v>4171</x:v>
      </x:c>
      <x:c r="D322" t="str">
        <x:f>LOWER(TRIM(SUBSTITUTE(C322,CHAR(160)," ")))</x:f>
        <x:v>nuzhah.dilmohamed@pwc.com</x:v>
      </x:c>
      <x:c r="E322" t="n">
        <x:f>IF(D322="","",IF(COUNTIF($D$2:D322,D322)=1,1,0))</x:f>
        <x:v>1</x:v>
      </x:c>
    </x:row>
    <x:row r="323">
      <x:c r="A323" t="s">
        <x:v>4172</x:v>
      </x:c>
      <x:c r="B323" t="s">
        <x:v>3821</x:v>
      </x:c>
      <x:c r="C323" t="s">
        <x:v>845</x:v>
      </x:c>
      <x:c r="D323" t="str">
        <x:f>LOWER(TRIM(SUBSTITUTE(C323,CHAR(160)," ")))</x:f>
        <x:v>nuzhah.r.rosun@pwc.com</x:v>
      </x:c>
      <x:c r="E323" t="n">
        <x:f>IF(D323="","",IF(COUNTIF($D$2:D323,D323)=1,1,0))</x:f>
        <x:v>1</x:v>
      </x:c>
    </x:row>
    <x:row r="324">
      <x:c r="A324" t="s">
        <x:v>4173</x:v>
      </x:c>
      <x:c r="B324" t="s">
        <x:v>3836</x:v>
      </x:c>
      <x:c r="C324" t="s">
        <x:v>4174</x:v>
      </x:c>
      <x:c r="D324" t="str">
        <x:f>LOWER(TRIM(SUBSTITUTE(C324,CHAR(160)," ")))</x:f>
        <x:v>nyangi.w.waweru@pwc.com</x:v>
      </x:c>
      <x:c r="E324" t="n">
        <x:f>IF(D324="","",IF(COUNTIF($D$2:D324,D324)=1,1,0))</x:f>
        <x:v>1</x:v>
      </x:c>
    </x:row>
    <x:row r="325">
      <x:c r="A325" t="s">
        <x:v>4175</x:v>
      </x:c>
      <x:c r="B325" t="s">
        <x:v>3825</x:v>
      </x:c>
      <x:c r="C325" t="s">
        <x:v>480</x:v>
      </x:c>
      <x:c r="D325" t="str">
        <x:f>LOWER(TRIM(SUBSTITUTE(C325,CHAR(160)," ")))</x:f>
        <x:v>nyongesa.odhiambo@pwc.com</x:v>
      </x:c>
      <x:c r="E325" t="n">
        <x:f>IF(D325="","",IF(COUNTIF($D$2:D325,D325)=1,1,0))</x:f>
        <x:v>1</x:v>
      </x:c>
    </x:row>
    <x:row r="326">
      <x:c r="A326" t="s">
        <x:v>4176</x:v>
      </x:c>
      <x:c r="B326" t="s">
        <x:v>3836</x:v>
      </x:c>
      <x:c r="C326" t="s">
        <x:v>2238</x:v>
      </x:c>
      <x:c r="D326" t="str">
        <x:f>LOWER(TRIM(SUBSTITUTE(C326,CHAR(160)," ")))</x:f>
        <x:v>obed.manunshu@pwc.com</x:v>
      </x:c>
      <x:c r="E326" t="n">
        <x:f>IF(D326="","",IF(COUNTIF($D$2:D326,D326)=1,1,0))</x:f>
        <x:v>1</x:v>
      </x:c>
    </x:row>
    <x:row r="327">
      <x:c r="A327" t="s">
        <x:v>4177</x:v>
      </x:c>
      <x:c r="B327" t="s">
        <x:v>3821</x:v>
      </x:c>
      <x:c r="C327" t="s">
        <x:v>3221</x:v>
      </x:c>
      <x:c r="D327" t="str">
        <x:f>LOWER(TRIM(SUBSTITUTE(C327,CHAR(160)," ")))</x:f>
        <x:v>olivier.rey@pwc.com</x:v>
      </x:c>
      <x:c r="E327" t="n">
        <x:f>IF(D327="","",IF(COUNTIF($D$2:D327,D327)=1,1,0))</x:f>
        <x:v>1</x:v>
      </x:c>
    </x:row>
    <x:row r="328">
      <x:c r="A328" t="s">
        <x:v>4178</x:v>
      </x:c>
      <x:c r="B328" t="s">
        <x:v>3821</x:v>
      </x:c>
      <x:c r="C328" t="s">
        <x:v>2134</x:v>
      </x:c>
      <x:c r="D328" t="str">
        <x:f>LOWER(TRIM(SUBSTITUTE(C328,CHAR(160)," ")))</x:f>
        <x:v>pallavee.narrainen@pwc.com</x:v>
      </x:c>
      <x:c r="E328" t="n">
        <x:f>IF(D328="","",IF(COUNTIF($D$2:D328,D328)=1,1,0))</x:f>
        <x:v>1</x:v>
      </x:c>
    </x:row>
    <x:row r="329">
      <x:c r="A329" t="s">
        <x:v>4179</x:v>
      </x:c>
      <x:c r="B329" t="s">
        <x:v>3823</x:v>
      </x:c>
      <x:c r="C329" t="s">
        <x:v>1762</x:v>
      </x:c>
      <x:c r="D329" t="str">
        <x:f>LOWER(TRIM(SUBSTITUTE(C329,CHAR(160)," ")))</x:f>
        <x:v>patience.namugenyi@pwc.com</x:v>
      </x:c>
      <x:c r="E329" t="n">
        <x:f>IF(D329="","",IF(COUNTIF($D$2:D329,D329)=1,1,0))</x:f>
        <x:v>1</x:v>
      </x:c>
    </x:row>
    <x:row r="330">
      <x:c r="A330" t="s">
        <x:v>4180</x:v>
      </x:c>
      <x:c r="B330" t="s">
        <x:v>3823</x:v>
      </x:c>
      <x:c r="C330" t="s">
        <x:v>3169</x:v>
      </x:c>
      <x:c r="D330" t="str">
        <x:f>LOWER(TRIM(SUBSTITUTE(C330,CHAR(160)," ")))</x:f>
        <x:v>patricia.kavuma@pwc.com</x:v>
      </x:c>
      <x:c r="E330" t="n">
        <x:f>IF(D330="","",IF(COUNTIF($D$2:D330,D330)=1,1,0))</x:f>
        <x:v>1</x:v>
      </x:c>
    </x:row>
    <x:row r="331">
      <x:c r="A331" t="s">
        <x:v>4181</x:v>
      </x:c>
      <x:c r="B331" t="s">
        <x:v>3825</x:v>
      </x:c>
      <x:c r="C331" t="s">
        <x:v>4182</x:v>
      </x:c>
      <x:c r="D331" t="str">
        <x:f>LOWER(TRIM(SUBSTITUTE(C331,CHAR(160)," ")))</x:f>
        <x:v>patrick.kiambi@pwc.com</x:v>
      </x:c>
      <x:c r="E331" t="n">
        <x:f>IF(D331="","",IF(COUNTIF($D$2:D331,D331)=1,1,0))</x:f>
        <x:v>1</x:v>
      </x:c>
    </x:row>
    <x:row r="332">
      <x:c r="A332" t="s">
        <x:v>4183</x:v>
      </x:c>
      <x:c r="B332" t="s">
        <x:v>3825</x:v>
      </x:c>
      <x:c r="C332" t="s">
        <x:v>1198</x:v>
      </x:c>
      <x:c r="D332" t="str">
        <x:f>LOWER(TRIM(SUBSTITUTE(C332,CHAR(160)," ")))</x:f>
        <x:v>patrick.rimomo@pwc.com</x:v>
      </x:c>
      <x:c r="E332" t="n">
        <x:f>IF(D332="","",IF(COUNTIF($D$2:D332,D332)=1,1,0))</x:f>
        <x:v>1</x:v>
      </x:c>
    </x:row>
    <x:row r="333">
      <x:c r="A333" t="s">
        <x:v>4184</x:v>
      </x:c>
      <x:c r="B333" t="s">
        <x:v>3821</x:v>
      </x:c>
      <x:c r="C333" t="s">
        <x:v>2856</x:v>
      </x:c>
      <x:c r="D333" t="str">
        <x:f>LOWER(TRIM(SUBSTITUTE(C333,CHAR(160)," ")))</x:f>
        <x:v>pearl.koon@pwc.com</x:v>
      </x:c>
      <x:c r="E333" t="n">
        <x:f>IF(D333="","",IF(COUNTIF($D$2:D333,D333)=1,1,0))</x:f>
        <x:v>1</x:v>
      </x:c>
    </x:row>
    <x:row r="334">
      <x:c r="A334" t="s">
        <x:v>4185</x:v>
      </x:c>
      <x:c r="B334" t="s">
        <x:v>3823</x:v>
      </x:c>
      <x:c r="C334" t="s">
        <x:v>4186</x:v>
      </x:c>
      <x:c r="D334" t="str">
        <x:f>LOWER(TRIM(SUBSTITUTE(C334,CHAR(160)," ")))</x:f>
        <x:v>peter.namara@pwc.com</x:v>
      </x:c>
      <x:c r="E334" t="n">
        <x:f>IF(D334="","",IF(COUNTIF($D$2:D334,D334)=1,1,0))</x:f>
        <x:v>1</x:v>
      </x:c>
    </x:row>
    <x:row r="335">
      <x:c r="A335" t="s">
        <x:v>4187</x:v>
      </x:c>
      <x:c r="B335" t="s">
        <x:v>3825</x:v>
      </x:c>
      <x:c r="C335" t="s">
        <x:v>4188</x:v>
      </x:c>
      <x:c r="D335" t="str">
        <x:f>LOWER(TRIM(SUBSTITUTE(C335,CHAR(160)," ")))</x:f>
        <x:v>peter.ngahu@pwc.com</x:v>
      </x:c>
      <x:c r="E335" t="n">
        <x:f>IF(D335="","",IF(COUNTIF($D$2:D335,D335)=1,1,0))</x:f>
        <x:v>1</x:v>
      </x:c>
    </x:row>
    <x:row r="336">
      <x:c r="A336" t="s">
        <x:v>4189</x:v>
      </x:c>
      <x:c r="B336" t="s">
        <x:v>3823</x:v>
      </x:c>
      <x:c r="C336" t="s">
        <x:v>655</x:v>
      </x:c>
      <x:c r="D336" t="str">
        <x:f>LOWER(TRIM(SUBSTITUTE(C336,CHAR(160)," ")))</x:f>
        <x:v>peter.s.ojekunle@pwc.com</x:v>
      </x:c>
      <x:c r="E336" t="n">
        <x:f>IF(D336="","",IF(COUNTIF($D$2:D336,D336)=1,1,0))</x:f>
        <x:v>1</x:v>
      </x:c>
    </x:row>
    <x:row r="337">
      <x:c r="A337" t="s">
        <x:v>4190</x:v>
      </x:c>
      <x:c r="B337" t="s">
        <x:v>3821</x:v>
      </x:c>
      <x:c r="C337" t="s">
        <x:v>4191</x:v>
      </x:c>
      <x:c r="D337" t="str">
        <x:f>LOWER(TRIM(SUBSTITUTE(C337,CHAR(160)," ")))</x:f>
        <x:v>phaneesh.purmah@pwc.com</x:v>
      </x:c>
      <x:c r="E337" t="n">
        <x:f>IF(D337="","",IF(COUNTIF($D$2:D337,D337)=1,1,0))</x:f>
        <x:v>1</x:v>
      </x:c>
    </x:row>
    <x:row r="338">
      <x:c r="A338" t="s">
        <x:v>4192</x:v>
      </x:c>
      <x:c r="B338" t="s">
        <x:v>3847</x:v>
      </x:c>
      <x:c r="C338" t="s">
        <x:v>545</x:v>
      </x:c>
      <x:c r="D338" t="str">
        <x:f>LOWER(TRIM(SUBSTITUTE(C338,CHAR(160)," ")))</x:f>
        <x:v>pieter.hough@pwc.com</x:v>
      </x:c>
      <x:c r="E338" t="n">
        <x:f>IF(D338="","",IF(COUNTIF($D$2:D338,D338)=1,1,0))</x:f>
        <x:v>1</x:v>
      </x:c>
    </x:row>
    <x:row r="339">
      <x:c r="A339" t="s">
        <x:v>4193</x:v>
      </x:c>
      <x:c r="B339" t="s">
        <x:v>3821</x:v>
      </x:c>
      <x:c r="C339" t="s">
        <x:v>4194</x:v>
      </x:c>
      <x:c r="D339" t="str">
        <x:f>LOWER(TRIM(SUBSTITUTE(C339,CHAR(160)," ")))</x:f>
        <x:v>piyanshu.ghumaria@pwc.com</x:v>
      </x:c>
      <x:c r="E339" t="n">
        <x:f>IF(D339="","",IF(COUNTIF($D$2:D339,D339)=1,1,0))</x:f>
        <x:v>1</x:v>
      </x:c>
    </x:row>
    <x:row r="340">
      <x:c r="A340" t="s">
        <x:v>4195</x:v>
      </x:c>
      <x:c r="B340" t="s">
        <x:v>3821</x:v>
      </x:c>
      <x:c r="C340" t="s">
        <x:v>2469</x:v>
      </x:c>
      <x:c r="D340" t="str">
        <x:f>LOWER(TRIM(SUBSTITUTE(C340,CHAR(160)," ")))</x:f>
        <x:v>praveena.ramlogun@pwc.com</x:v>
      </x:c>
      <x:c r="E340" t="n">
        <x:f>IF(D340="","",IF(COUNTIF($D$2:D340,D340)=1,1,0))</x:f>
        <x:v>1</x:v>
      </x:c>
    </x:row>
    <x:row r="341">
      <x:c r="A341" t="s">
        <x:v>4196</x:v>
      </x:c>
      <x:c r="B341" t="s">
        <x:v>3821</x:v>
      </x:c>
      <x:c r="C341" t="s">
        <x:v>1184</x:v>
      </x:c>
      <x:c r="D341" t="str">
        <x:f>LOWER(TRIM(SUBSTITUTE(C341,CHAR(160)," ")))</x:f>
        <x:v>pravin.p.meetoo@pwc.com</x:v>
      </x:c>
      <x:c r="E341" t="n">
        <x:f>IF(D341="","",IF(COUNTIF($D$2:D341,D341)=1,1,0))</x:f>
        <x:v>1</x:v>
      </x:c>
    </x:row>
    <x:row r="342">
      <x:c r="A342" t="s">
        <x:v>4197</x:v>
      </x:c>
      <x:c r="B342" t="s">
        <x:v>3821</x:v>
      </x:c>
      <x:c r="C342" t="s">
        <x:v>2175</x:v>
      </x:c>
      <x:c r="D342" t="str">
        <x:f>LOWER(TRIM(SUBSTITUTE(C342,CHAR(160)," ")))</x:f>
        <x:v>preksha.russeean@pwc.com</x:v>
      </x:c>
      <x:c r="E342" t="n">
        <x:f>IF(D342="","",IF(COUNTIF($D$2:D342,D342)=1,1,0))</x:f>
        <x:v>1</x:v>
      </x:c>
    </x:row>
    <x:row r="343">
      <x:c r="A343" t="s">
        <x:v>4198</x:v>
      </x:c>
      <x:c r="B343" t="s">
        <x:v>3844</x:v>
      </x:c>
      <x:c r="C343" t="s">
        <x:v>1254</x:v>
      </x:c>
      <x:c r="D343" t="str">
        <x:f>LOWER(TRIM(SUBSTITUTE(C343,CHAR(160)," ")))</x:f>
        <x:v>prisca.lifasi@pwc.com</x:v>
      </x:c>
      <x:c r="E343" t="n">
        <x:f>IF(D343="","",IF(COUNTIF($D$2:D343,D343)=1,1,0))</x:f>
        <x:v>1</x:v>
      </x:c>
    </x:row>
    <x:row r="344">
      <x:c r="A344" t="s">
        <x:v>4199</x:v>
      </x:c>
      <x:c r="B344" t="s">
        <x:v>3825</x:v>
      </x:c>
      <x:c r="C344" t="s">
        <x:v>555</x:v>
      </x:c>
      <x:c r="D344" t="str">
        <x:f>LOWER(TRIM(SUBSTITUTE(C344,CHAR(160)," ")))</x:f>
        <x:v>purav.patel@pwc.com</x:v>
      </x:c>
      <x:c r="E344" t="n">
        <x:f>IF(D344="","",IF(COUNTIF($D$2:D344,D344)=1,1,0))</x:f>
        <x:v>1</x:v>
      </x:c>
    </x:row>
    <x:row r="345">
      <x:c r="A345" t="s">
        <x:v>4200</x:v>
      </x:c>
      <x:c r="B345" t="s">
        <x:v>3821</x:v>
      </x:c>
      <x:c r="C345" t="s">
        <x:v>2917</x:v>
      </x:c>
      <x:c r="D345" t="str">
        <x:f>LOWER(TRIM(SUBSTITUTE(C345,CHAR(160)," ")))</x:f>
        <x:v>purvashi.ramracheea@pwc.com</x:v>
      </x:c>
      <x:c r="E345" t="n">
        <x:f>IF(D345="","",IF(COUNTIF($D$2:D345,D345)=1,1,0))</x:f>
        <x:v>1</x:v>
      </x:c>
    </x:row>
    <x:row r="346">
      <x:c r="A346" t="s">
        <x:v>4201</x:v>
      </x:c>
      <x:c r="B346" t="s">
        <x:v>3823</x:v>
      </x:c>
      <x:c r="C346" t="s">
        <x:v>198</x:v>
      </x:c>
      <x:c r="D346" t="str">
        <x:f>LOWER(TRIM(SUBSTITUTE(C346,CHAR(160)," ")))</x:f>
        <x:v>racheal.nakimuli@pwc.com</x:v>
      </x:c>
      <x:c r="E346" t="n">
        <x:f>IF(D346="","",IF(COUNTIF($D$2:D346,D346)=1,1,0))</x:f>
        <x:v>1</x:v>
      </x:c>
    </x:row>
    <x:row r="347">
      <x:c r="A347" t="s">
        <x:v>4202</x:v>
      </x:c>
      <x:c r="B347" t="s">
        <x:v>3821</x:v>
      </x:c>
      <x:c r="C347" t="s">
        <x:v>4203</x:v>
      </x:c>
      <x:c r="D347" t="str">
        <x:f>LOWER(TRIM(SUBSTITUTE(C347,CHAR(160)," ")))</x:f>
        <x:v>raj.sookhurry@pwc.com</x:v>
      </x:c>
      <x:c r="E347" t="n">
        <x:f>IF(D347="","",IF(COUNTIF($D$2:D347,D347)=1,1,0))</x:f>
        <x:v>1</x:v>
      </x:c>
    </x:row>
    <x:row r="348">
      <x:c r="A348" t="s">
        <x:v>4204</x:v>
      </x:c>
      <x:c r="B348" t="s">
        <x:v>3821</x:v>
      </x:c>
      <x:c r="C348" t="s">
        <x:v>933</x:v>
      </x:c>
      <x:c r="D348" t="str">
        <x:f>LOWER(TRIM(SUBSTITUTE(C348,CHAR(160)," ")))</x:f>
        <x:v>ranveer.d.dindoyal@pwc.com</x:v>
      </x:c>
      <x:c r="E348" t="n">
        <x:f>IF(D348="","",IF(COUNTIF($D$2:D348,D348)=1,1,0))</x:f>
        <x:v>1</x:v>
      </x:c>
    </x:row>
    <x:row r="349">
      <x:c r="A349" t="s">
        <x:v>4205</x:v>
      </x:c>
      <x:c r="B349" t="s">
        <x:v>3825</x:v>
      </x:c>
      <x:c r="C349" t="s">
        <x:v>3186</x:v>
      </x:c>
      <x:c r="D349" t="str">
        <x:f>LOWER(TRIM(SUBSTITUTE(C349,CHAR(160)," ")))</x:f>
        <x:v>raphael.ochieng@pwc.com</x:v>
      </x:c>
      <x:c r="E349" t="n">
        <x:f>IF(D349="","",IF(COUNTIF($D$2:D349,D349)=1,1,0))</x:f>
        <x:v>1</x:v>
      </x:c>
    </x:row>
    <x:row r="350">
      <x:c r="A350" t="s">
        <x:v>4206</x:v>
      </x:c>
      <x:c r="B350" t="s">
        <x:v>3844</x:v>
      </x:c>
      <x:c r="C350" t="s">
        <x:v>539</x:v>
      </x:c>
      <x:c r="D350" t="str">
        <x:f>LOWER(TRIM(SUBSTITUTE(C350,CHAR(160)," ")))</x:f>
        <x:v>rashida.x.phiri@pwc.com</x:v>
      </x:c>
      <x:c r="E350" t="n">
        <x:f>IF(D350="","",IF(COUNTIF($D$2:D350,D350)=1,1,0))</x:f>
        <x:v>1</x:v>
      </x:c>
    </x:row>
    <x:row r="351">
      <x:c r="A351" t="s">
        <x:v>4207</x:v>
      </x:c>
      <x:c r="B351" t="s">
        <x:v>3844</x:v>
      </x:c>
      <x:c r="C351" t="s">
        <x:v>4208</x:v>
      </x:c>
      <x:c r="D351" t="str">
        <x:f>LOWER(TRIM(SUBSTITUTE(C351,CHAR(160)," ")))</x:f>
        <x:v>ray.hangambwa@pwc.com</x:v>
      </x:c>
      <x:c r="E351" t="n">
        <x:f>IF(D351="","",IF(COUNTIF($D$2:D351,D351)=1,1,0))</x:f>
        <x:v>1</x:v>
      </x:c>
    </x:row>
    <x:row r="352">
      <x:c r="A352" t="s">
        <x:v>4209</x:v>
      </x:c>
      <x:c r="B352" t="s">
        <x:v>3829</x:v>
      </x:c>
      <x:c r="C352" t="s">
        <x:v>1962</x:v>
      </x:c>
      <x:c r="D352" t="str">
        <x:f>LOWER(TRIM(SUBSTITUTE(C352,CHAR(160)," ")))</x:f>
        <x:v>rebecca.r.chepkoech@pwc.com</x:v>
      </x:c>
      <x:c r="E352" t="n">
        <x:f>IF(D352="","",IF(COUNTIF($D$2:D352,D352)=1,1,0))</x:f>
        <x:v>1</x:v>
      </x:c>
    </x:row>
    <x:row r="353">
      <x:c r="A353" t="s">
        <x:v>4210</x:v>
      </x:c>
      <x:c r="B353" t="s">
        <x:v>3836</x:v>
      </x:c>
      <x:c r="C353" t="s">
        <x:v>1868</x:v>
      </x:c>
      <x:c r="D353" t="str">
        <x:f>LOWER(TRIM(SUBSTITUTE(C353,CHAR(160)," ")))</x:f>
        <x:v>rehema.muhimbi@pwc.com</x:v>
      </x:c>
      <x:c r="E353" t="n">
        <x:f>IF(D353="","",IF(COUNTIF($D$2:D353,D353)=1,1,0))</x:f>
        <x:v>1</x:v>
      </x:c>
    </x:row>
    <x:row r="354">
      <x:c r="A354" t="s">
        <x:v>4211</x:v>
      </x:c>
      <x:c r="B354" t="s">
        <x:v>3836</x:v>
      </x:c>
      <x:c r="C354" t="s">
        <x:v>336</x:v>
      </x:c>
      <x:c r="D354" t="str">
        <x:f>LOWER(TRIM(SUBSTITUTE(C354,CHAR(160)," ")))</x:f>
        <x:v>rendani.r.ramulongo@pwc.com</x:v>
      </x:c>
      <x:c r="E354" t="n">
        <x:f>IF(D354="","",IF(COUNTIF($D$2:D354,D354)=1,1,0))</x:f>
        <x:v>1</x:v>
      </x:c>
    </x:row>
    <x:row r="355">
      <x:c r="A355" t="s">
        <x:v>4212</x:v>
      </x:c>
      <x:c r="B355" t="s">
        <x:v>3821</x:v>
      </x:c>
      <x:c r="C355" t="s">
        <x:v>1103</x:v>
      </x:c>
      <x:c r="D355" t="str">
        <x:f>LOWER(TRIM(SUBSTITUTE(C355,CHAR(160)," ")))</x:f>
        <x:v>renou.ramdany@pwc.com</x:v>
      </x:c>
      <x:c r="E355" t="n">
        <x:f>IF(D355="","",IF(COUNTIF($D$2:D355,D355)=1,1,0))</x:f>
        <x:v>1</x:v>
      </x:c>
    </x:row>
    <x:row r="356">
      <x:c r="A356" t="s">
        <x:v>4213</x:v>
      </x:c>
      <x:c r="B356" t="s">
        <x:v>3821</x:v>
      </x:c>
      <x:c r="C356" t="s">
        <x:v>228</x:v>
      </x:c>
      <x:c r="D356" t="str">
        <x:f>LOWER(TRIM(SUBSTITUTE(C356,CHAR(160)," ")))</x:f>
        <x:v>revatee.huril@pwc.com</x:v>
      </x:c>
      <x:c r="E356" t="n">
        <x:f>IF(D356="","",IF(COUNTIF($D$2:D356,D356)=1,1,0))</x:f>
        <x:v>1</x:v>
      </x:c>
    </x:row>
    <x:row r="357">
      <x:c r="A357" t="s">
        <x:v>4214</x:v>
      </x:c>
      <x:c r="B357" t="s">
        <x:v>3825</x:v>
      </x:c>
      <x:c r="C357" t="s">
        <x:v>2076</x:v>
      </x:c>
      <x:c r="D357" t="str">
        <x:f>LOWER(TRIM(SUBSTITUTE(C357,CHAR(160)," ")))</x:f>
        <x:v>rhoda.irungu@pwc.com</x:v>
      </x:c>
      <x:c r="E357" t="n">
        <x:f>IF(D357="","",IF(COUNTIF($D$2:D357,D357)=1,1,0))</x:f>
        <x:v>1</x:v>
      </x:c>
    </x:row>
    <x:row r="358">
      <x:c r="A358" t="s">
        <x:v>4215</x:v>
      </x:c>
      <x:c r="B358" t="s">
        <x:v>3836</x:v>
      </x:c>
      <x:c r="C358" t="s">
        <x:v>207</x:v>
      </x:c>
      <x:c r="D358" t="str">
        <x:f>LOWER(TRIM(SUBSTITUTE(C358,CHAR(160)," ")))</x:f>
        <x:v>richard.john@pwc.com</x:v>
      </x:c>
      <x:c r="E358" t="n">
        <x:f>IF(D358="","",IF(COUNTIF($D$2:D358,D358)=1,1,0))</x:f>
        <x:v>1</x:v>
      </x:c>
    </x:row>
    <x:row r="359">
      <x:c r="A359" t="s">
        <x:v>4216</x:v>
      </x:c>
      <x:c r="B359" t="s">
        <x:v>3829</x:v>
      </x:c>
      <x:c r="C359" t="s">
        <x:v>1175</x:v>
      </x:c>
      <x:c r="D359" t="str">
        <x:f>LOWER(TRIM(SUBSTITUTE(C359,CHAR(160)," ")))</x:f>
        <x:v>richard.manzi@pwc.com</x:v>
      </x:c>
      <x:c r="E359" t="n">
        <x:f>IF(D359="","",IF(COUNTIF($D$2:D359,D359)=1,1,0))</x:f>
        <x:v>1</x:v>
      </x:c>
    </x:row>
    <x:row r="360">
      <x:c r="A360" t="s">
        <x:v>4217</x:v>
      </x:c>
      <x:c r="B360" t="s">
        <x:v>3836</x:v>
      </x:c>
      <x:c r="C360" t="s">
        <x:v>2244</x:v>
      </x:c>
      <x:c r="D360" t="str">
        <x:f>LOWER(TRIM(SUBSTITUTE(C360,CHAR(160)," ")))</x:f>
        <x:v>ridhiwani.mohammed@pwc.com</x:v>
      </x:c>
      <x:c r="E360" t="n">
        <x:f>IF(D360="","",IF(COUNTIF($D$2:D360,D360)=1,1,0))</x:f>
        <x:v>1</x:v>
      </x:c>
    </x:row>
    <x:row r="361">
      <x:c r="A361" t="s">
        <x:v>4218</x:v>
      </x:c>
      <x:c r="B361" t="s">
        <x:v>3823</x:v>
      </x:c>
      <x:c r="C361" t="s">
        <x:v>311</x:v>
      </x:c>
      <x:c r="D361" t="str">
        <x:f>LOWER(TRIM(SUBSTITUTE(C361,CHAR(160)," ")))</x:f>
        <x:v>ronah.nuwagaba@pwc.com</x:v>
      </x:c>
      <x:c r="E361" t="n">
        <x:f>IF(D361="","",IF(COUNTIF($D$2:D361,D361)=1,1,0))</x:f>
        <x:v>1</x:v>
      </x:c>
    </x:row>
    <x:row r="362">
      <x:c r="A362" t="s">
        <x:v>4219</x:v>
      </x:c>
      <x:c r="B362" t="s">
        <x:v>3836</x:v>
      </x:c>
      <x:c r="C362" t="s">
        <x:v>1006</x:v>
      </x:c>
      <x:c r="D362" t="str">
        <x:f>LOWER(TRIM(SUBSTITUTE(C362,CHAR(160)," ")))</x:f>
        <x:v>ronald.simba@pwc.com</x:v>
      </x:c>
      <x:c r="E362" t="n">
        <x:f>IF(D362="","",IF(COUNTIF($D$2:D362,D362)=1,1,0))</x:f>
        <x:v>1</x:v>
      </x:c>
    </x:row>
    <x:row r="363">
      <x:c r="A363" t="s">
        <x:v>4220</x:v>
      </x:c>
      <x:c r="B363" t="s">
        <x:v>3825</x:v>
      </x:c>
      <x:c r="C363" t="s">
        <x:v>326</x:v>
      </x:c>
      <x:c r="D363" t="str">
        <x:f>LOWER(TRIM(SUBSTITUTE(C363,CHAR(160)," ")))</x:f>
        <x:v>rose.muasya@pwc.com</x:v>
      </x:c>
      <x:c r="E363" t="n">
        <x:f>IF(D363="","",IF(COUNTIF($D$2:D363,D363)=1,1,0))</x:f>
        <x:v>1</x:v>
      </x:c>
    </x:row>
    <x:row r="364">
      <x:c r="A364" t="s">
        <x:v>4221</x:v>
      </x:c>
      <x:c r="B364" t="s">
        <x:v>3844</x:v>
      </x:c>
      <x:c r="C364" t="s">
        <x:v>929</x:v>
      </x:c>
      <x:c r="D364" t="str">
        <x:f>LOWER(TRIM(SUBSTITUTE(C364,CHAR(160)," ")))</x:f>
        <x:v>rose.mufana@pwc.com</x:v>
      </x:c>
      <x:c r="E364" t="n">
        <x:f>IF(D364="","",IF(COUNTIF($D$2:D364,D364)=1,1,0))</x:f>
        <x:v>1</x:v>
      </x:c>
    </x:row>
    <x:row r="365">
      <x:c r="A365" t="s">
        <x:v>4222</x:v>
      </x:c>
      <x:c r="B365" t="s">
        <x:v>3825</x:v>
      </x:c>
      <x:c r="C365" t="s">
        <x:v>38</x:v>
      </x:c>
      <x:c r="D365" t="str">
        <x:f>LOWER(TRIM(SUBSTITUTE(C365,CHAR(160)," ")))</x:f>
        <x:v>roselyne.ogutu@pwc.com</x:v>
      </x:c>
      <x:c r="E365" t="n">
        <x:f>IF(D365="","",IF(COUNTIF($D$2:D365,D365)=1,1,0))</x:f>
        <x:v>1</x:v>
      </x:c>
    </x:row>
    <x:row r="366">
      <x:c r="A366" t="s">
        <x:v>4223</x:v>
      </x:c>
      <x:c r="B366" t="s">
        <x:v>3821</x:v>
      </x:c>
      <x:c r="C366" t="s">
        <x:v>1825</x:v>
      </x:c>
      <x:c r="D366" t="str">
        <x:f>LOWER(TRIM(SUBSTITUTE(C366,CHAR(160)," ")))</x:f>
        <x:v>roshik.r.rughoonauth@pwc.com</x:v>
      </x:c>
      <x:c r="E366" t="n">
        <x:f>IF(D366="","",IF(COUNTIF($D$2:D366,D366)=1,1,0))</x:f>
        <x:v>1</x:v>
      </x:c>
    </x:row>
    <x:row r="367">
      <x:c r="A367" t="s">
        <x:v>4224</x:v>
      </x:c>
      <x:c r="B367" t="s">
        <x:v>3821</x:v>
      </x:c>
      <x:c r="C367" t="s">
        <x:v>2017</x:v>
      </x:c>
      <x:c r="D367" t="str">
        <x:f>LOWER(TRIM(SUBSTITUTE(C367,CHAR(160)," ")))</x:f>
        <x:v>roumaiy.dookhun@pwc.com</x:v>
      </x:c>
      <x:c r="E367" t="n">
        <x:f>IF(D367="","",IF(COUNTIF($D$2:D367,D367)=1,1,0))</x:f>
        <x:v>1</x:v>
      </x:c>
    </x:row>
    <x:row r="368">
      <x:c r="A368" t="s">
        <x:v>4225</x:v>
      </x:c>
      <x:c r="B368" t="s">
        <x:v>3821</x:v>
      </x:c>
      <x:c r="C368" t="s">
        <x:v>2796</x:v>
      </x:c>
      <x:c r="D368" t="str">
        <x:f>LOWER(TRIM(SUBSTITUTE(C368,CHAR(160)," ")))</x:f>
        <x:v>rovena.c.choytah@pwc.com</x:v>
      </x:c>
      <x:c r="E368" t="n">
        <x:f>IF(D368="","",IF(COUNTIF($D$2:D368,D368)=1,1,0))</x:f>
        <x:v>1</x:v>
      </x:c>
    </x:row>
    <x:row r="369">
      <x:c r="A369" t="s">
        <x:v>4226</x:v>
      </x:c>
      <x:c r="B369" t="s">
        <x:v>3836</x:v>
      </x:c>
      <x:c r="C369" t="s">
        <x:v>2292</x:v>
      </x:c>
      <x:c r="D369" t="str">
        <x:f>LOWER(TRIM(SUBSTITUTE(C369,CHAR(160)," ")))</x:f>
        <x:v>rune.arnold@pwc.com</x:v>
      </x:c>
      <x:c r="E369" t="n">
        <x:f>IF(D369="","",IF(COUNTIF($D$2:D369,D369)=1,1,0))</x:f>
        <x:v>1</x:v>
      </x:c>
    </x:row>
    <x:row r="370">
      <x:c r="A370" t="s">
        <x:v>4227</x:v>
      </x:c>
      <x:c r="B370" t="s">
        <x:v>3823</x:v>
      </x:c>
      <x:c r="C370" t="s">
        <x:v>2429</x:v>
      </x:c>
      <x:c r="D370" t="str">
        <x:f>LOWER(TRIM(SUBSTITUTE(C370,CHAR(160)," ")))</x:f>
        <x:v>ruth.nangiro@pwc.com</x:v>
      </x:c>
      <x:c r="E370" t="n">
        <x:f>IF(D370="","",IF(COUNTIF($D$2:D370,D370)=1,1,0))</x:f>
        <x:v>1</x:v>
      </x:c>
    </x:row>
    <x:row r="371">
      <x:c r="A371" t="s">
        <x:v>4228</x:v>
      </x:c>
      <x:c r="B371" t="s">
        <x:v>3836</x:v>
      </x:c>
      <x:c r="C371" t="s">
        <x:v>689</x:v>
      </x:c>
      <x:c r="D371" t="str">
        <x:f>LOWER(TRIM(SUBSTITUTE(C371,CHAR(160)," ")))</x:f>
        <x:v>said.h.said@pwc.com</x:v>
      </x:c>
      <x:c r="E371" t="n">
        <x:f>IF(D371="","",IF(COUNTIF($D$2:D371,D371)=1,1,0))</x:f>
        <x:v>1</x:v>
      </x:c>
    </x:row>
    <x:row r="372">
      <x:c r="A372" t="s">
        <x:v>4229</x:v>
      </x:c>
      <x:c r="B372" t="s">
        <x:v>3823</x:v>
      </x:c>
      <x:c r="C372" t="s">
        <x:v>2043</x:v>
      </x:c>
      <x:c r="D372" t="str">
        <x:f>LOWER(TRIM(SUBSTITUTE(C372,CHAR(160)," ")))</x:f>
        <x:v>samuel.bitwire@pwc.com</x:v>
      </x:c>
      <x:c r="E372" t="n">
        <x:f>IF(D372="","",IF(COUNTIF($D$2:D372,D372)=1,1,0))</x:f>
        <x:v>1</x:v>
      </x:c>
    </x:row>
    <x:row r="373">
      <x:c r="A373" t="s">
        <x:v>4230</x:v>
      </x:c>
      <x:c r="B373" t="s">
        <x:v>3836</x:v>
      </x:c>
      <x:c r="C373" t="s">
        <x:v>1783</x:v>
      </x:c>
      <x:c r="D373" t="str">
        <x:f>LOWER(TRIM(SUBSTITUTE(C373,CHAR(160)," ")))</x:f>
        <x:v>samuel.shejamabu@pwc.com</x:v>
      </x:c>
      <x:c r="E373" t="n">
        <x:f>IF(D373="","",IF(COUNTIF($D$2:D373,D373)=1,1,0))</x:f>
        <x:v>1</x:v>
      </x:c>
    </x:row>
    <x:row r="374">
      <x:c r="A374" t="s">
        <x:v>4231</x:v>
      </x:c>
      <x:c r="B374" t="s">
        <x:v>3825</x:v>
      </x:c>
      <x:c r="C374" t="s">
        <x:v>638</x:v>
      </x:c>
      <x:c r="D374" t="str">
        <x:f>LOWER(TRIM(SUBSTITUTE(C374,CHAR(160)," ")))</x:f>
        <x:v>samuel.wanjau@pwc.com</x:v>
      </x:c>
      <x:c r="E374" t="n">
        <x:f>IF(D374="","",IF(COUNTIF($D$2:D374,D374)=1,1,0))</x:f>
        <x:v>1</x:v>
      </x:c>
    </x:row>
    <x:row r="375">
      <x:c r="A375" t="s">
        <x:v>4232</x:v>
      </x:c>
      <x:c r="B375" t="s">
        <x:v>3825</x:v>
      </x:c>
      <x:c r="C375" t="s">
        <x:v>4233</x:v>
      </x:c>
      <x:c r="D375" t="str">
        <x:f>LOWER(TRIM(SUBSTITUTE(C375,CHAR(160)," ")))</x:f>
        <x:v>sandra.muriithi@pwc.com</x:v>
      </x:c>
      <x:c r="E375" t="n">
        <x:f>IF(D375="","",IF(COUNTIF($D$2:D375,D375)=1,1,0))</x:f>
        <x:v>1</x:v>
      </x:c>
    </x:row>
    <x:row r="376">
      <x:c r="A376" t="s">
        <x:v>4234</x:v>
      </x:c>
      <x:c r="B376" t="s">
        <x:v>3821</x:v>
      </x:c>
      <x:c r="C376" t="s">
        <x:v>2353</x:v>
      </x:c>
      <x:c r="D376" t="str">
        <x:f>LOWER(TRIM(SUBSTITUTE(C376,CHAR(160)," ")))</x:f>
        <x:v>sania.pooloo@pwc.com</x:v>
      </x:c>
      <x:c r="E376" t="n">
        <x:f>IF(D376="","",IF(COUNTIF($D$2:D376,D376)=1,1,0))</x:f>
        <x:v>1</x:v>
      </x:c>
    </x:row>
    <x:row r="377">
      <x:c r="A377" t="s">
        <x:v>4235</x:v>
      </x:c>
      <x:c r="B377" t="s">
        <x:v>3821</x:v>
      </x:c>
      <x:c r="C377" t="s">
        <x:v>4236</x:v>
      </x:c>
      <x:c r="D377" t="str">
        <x:f>LOWER(TRIM(SUBSTITUTE(C377,CHAR(160)," ")))</x:f>
        <x:v>sanjana.rawoo@pwc.com</x:v>
      </x:c>
      <x:c r="E377" t="n">
        <x:f>IF(D377="","",IF(COUNTIF($D$2:D377,D377)=1,1,0))</x:f>
        <x:v>1</x:v>
      </x:c>
    </x:row>
    <x:row r="378">
      <x:c r="A378" t="s">
        <x:v>4237</x:v>
      </x:c>
      <x:c r="B378" t="s">
        <x:v>3825</x:v>
      </x:c>
      <x:c r="C378" t="s">
        <x:v>1904</x:v>
      </x:c>
      <x:c r="D378" t="str">
        <x:f>LOWER(TRIM(SUBSTITUTE(C378,CHAR(160)," ")))</x:f>
        <x:v>sarah.otindo@pwc.com</x:v>
      </x:c>
      <x:c r="E378" t="n">
        <x:f>IF(D378="","",IF(COUNTIF($D$2:D378,D378)=1,1,0))</x:f>
        <x:v>1</x:v>
      </x:c>
    </x:row>
    <x:row r="379">
      <x:c r="A379" t="s">
        <x:v>4238</x:v>
      </x:c>
      <x:c r="B379" t="s">
        <x:v>3825</x:v>
      </x:c>
      <x:c r="C379" t="s">
        <x:v>706</x:v>
      </x:c>
      <x:c r="D379" t="str">
        <x:f>LOWER(TRIM(SUBSTITUTE(C379,CHAR(160)," ")))</x:f>
        <x:v>seline.achieng@pwc.com</x:v>
      </x:c>
      <x:c r="E379" t="n">
        <x:f>IF(D379="","",IF(COUNTIF($D$2:D379,D379)=1,1,0))</x:f>
        <x:v>1</x:v>
      </x:c>
    </x:row>
    <x:row r="380">
      <x:c r="A380" t="s">
        <x:v>4239</x:v>
      </x:c>
      <x:c r="B380" t="s">
        <x:v>3825</x:v>
      </x:c>
      <x:c r="C380" t="s">
        <x:v>215</x:v>
      </x:c>
      <x:c r="D380" t="str">
        <x:f>LOWER(TRIM(SUBSTITUTE(C380,CHAR(160)," ")))</x:f>
        <x:v>serah.kiprono@pwc.com</x:v>
      </x:c>
      <x:c r="E380" t="n">
        <x:f>IF(D380="","",IF(COUNTIF($D$2:D380,D380)=1,1,0))</x:f>
        <x:v>1</x:v>
      </x:c>
    </x:row>
    <x:row r="381">
      <x:c r="A381" t="s">
        <x:v>4240</x:v>
      </x:c>
      <x:c r="B381" t="s">
        <x:v>3825</x:v>
      </x:c>
      <x:c r="C381" t="s">
        <x:v>2725</x:v>
      </x:c>
      <x:c r="D381" t="str">
        <x:f>LOWER(TRIM(SUBSTITUTE(C381,CHAR(160)," ")))</x:f>
        <x:v>serah.omwenga@pwc.com</x:v>
      </x:c>
      <x:c r="E381" t="n">
        <x:f>IF(D381="","",IF(COUNTIF($D$2:D381,D381)=1,1,0))</x:f>
        <x:v>1</x:v>
      </x:c>
    </x:row>
    <x:row r="382">
      <x:c r="A382" t="s">
        <x:v>4241</x:v>
      </x:c>
      <x:c r="B382" t="s">
        <x:v>3825</x:v>
      </x:c>
      <x:c r="C382" t="s">
        <x:v>1074</x:v>
      </x:c>
      <x:c r="D382" t="str">
        <x:f>LOWER(TRIM(SUBSTITUTE(C382,CHAR(160)," ")))</x:f>
        <x:v>seth.adoli@pwc.com</x:v>
      </x:c>
      <x:c r="E382" t="n">
        <x:f>IF(D382="","",IF(COUNTIF($D$2:D382,D382)=1,1,0))</x:f>
        <x:v>1</x:v>
      </x:c>
    </x:row>
    <x:row r="383">
      <x:c r="A383" t="s">
        <x:v>4242</x:v>
      </x:c>
      <x:c r="B383" t="s">
        <x:v>3821</x:v>
      </x:c>
      <x:c r="C383" t="s">
        <x:v>2057</x:v>
      </x:c>
      <x:c r="D383" t="str">
        <x:f>LOWER(TRIM(SUBSTITUTE(C383,CHAR(160)," ")))</x:f>
        <x:v>shaan.seenundun@pwc.com</x:v>
      </x:c>
      <x:c r="E383" t="n">
        <x:f>IF(D383="","",IF(COUNTIF($D$2:D383,D383)=1,1,0))</x:f>
        <x:v>1</x:v>
      </x:c>
    </x:row>
    <x:row r="384">
      <x:c r="A384" t="s">
        <x:v>4243</x:v>
      </x:c>
      <x:c r="B384" t="s">
        <x:v>3821</x:v>
      </x:c>
      <x:c r="C384" t="s">
        <x:v>2039</x:v>
      </x:c>
      <x:c r="D384" t="str">
        <x:f>LOWER(TRIM(SUBSTITUTE(C384,CHAR(160)," ")))</x:f>
        <x:v>shakil.maghun@pwc.com</x:v>
      </x:c>
      <x:c r="E384" t="n">
        <x:f>IF(D384="","",IF(COUNTIF($D$2:D384,D384)=1,1,0))</x:f>
        <x:v>1</x:v>
      </x:c>
    </x:row>
    <x:row r="385">
      <x:c r="A385" t="s">
        <x:v>4244</x:v>
      </x:c>
      <x:c r="B385" t="s">
        <x:v>3823</x:v>
      </x:c>
      <x:c r="C385" t="s">
        <x:v>495</x:v>
      </x:c>
      <x:c r="D385" t="str">
        <x:f>LOWER(TRIM(SUBSTITUTE(C385,CHAR(160)," ")))</x:f>
        <x:v>sharon.nanyonga@pwc.com</x:v>
      </x:c>
      <x:c r="E385" t="n">
        <x:f>IF(D385="","",IF(COUNTIF($D$2:D385,D385)=1,1,0))</x:f>
        <x:v>1</x:v>
      </x:c>
    </x:row>
    <x:row r="386">
      <x:c r="A386" t="s">
        <x:v>4245</x:v>
      </x:c>
      <x:c r="B386" t="s">
        <x:v>3825</x:v>
      </x:c>
      <x:c r="C386" t="s">
        <x:v>884</x:v>
      </x:c>
      <x:c r="D386" t="str">
        <x:f>LOWER(TRIM(SUBSTITUTE(C386,CHAR(160)," ")))</x:f>
        <x:v>sharon.obiero@pwc.com</x:v>
      </x:c>
      <x:c r="E386" t="n">
        <x:f>IF(D386="","",IF(COUNTIF($D$2:D386,D386)=1,1,0))</x:f>
        <x:v>1</x:v>
      </x:c>
    </x:row>
    <x:row r="387">
      <x:c r="A387" t="s">
        <x:v>4246</x:v>
      </x:c>
      <x:c r="B387" t="s">
        <x:v>3825</x:v>
      </x:c>
      <x:c r="C387" t="s">
        <x:v>2747</x:v>
      </x:c>
      <x:c r="D387" t="str">
        <x:f>LOWER(TRIM(SUBSTITUTE(C387,CHAR(160)," ")))</x:f>
        <x:v>sharon.sidialo@pwc.com</x:v>
      </x:c>
      <x:c r="E387" t="n">
        <x:f>IF(D387="","",IF(COUNTIF($D$2:D387,D387)=1,1,0))</x:f>
        <x:v>1</x:v>
      </x:c>
    </x:row>
    <x:row r="388">
      <x:c r="A388" t="s">
        <x:v>4247</x:v>
      </x:c>
      <x:c r="B388" t="s">
        <x:v>3844</x:v>
      </x:c>
      <x:c r="C388" t="s">
        <x:v>58</x:v>
      </x:c>
      <x:c r="D388" t="str">
        <x:f>LOWER(TRIM(SUBSTITUTE(C388,CHAR(160)," ")))</x:f>
        <x:v>sharon.w.wilfredkabubi@pwc.com</x:v>
      </x:c>
      <x:c r="E388" t="n">
        <x:f>IF(D388="","",IF(COUNTIF($D$2:D388,D388)=1,1,0))</x:f>
        <x:v>1</x:v>
      </x:c>
    </x:row>
    <x:row r="389">
      <x:c r="A389" t="s">
        <x:v>4248</x:v>
      </x:c>
      <x:c r="B389" t="s">
        <x:v>3821</x:v>
      </x:c>
      <x:c r="C389" t="s">
        <x:v>2052</x:v>
      </x:c>
      <x:c r="D389" t="str">
        <x:f>LOWER(TRIM(SUBSTITUTE(C389,CHAR(160)," ")))</x:f>
        <x:v>sharvin.ballah@pwc.com</x:v>
      </x:c>
      <x:c r="E389" t="n">
        <x:f>IF(D389="","",IF(COUNTIF($D$2:D389,D389)=1,1,0))</x:f>
        <x:v>1</x:v>
      </x:c>
    </x:row>
    <x:row r="390">
      <x:c r="A390" t="s">
        <x:v>4249</x:v>
      </x:c>
      <x:c r="B390" t="s">
        <x:v>3825</x:v>
      </x:c>
      <x:c r="C390" t="s">
        <x:v>4250</x:v>
      </x:c>
      <x:c r="D390" t="str">
        <x:f>LOWER(TRIM(SUBSTITUTE(C390,CHAR(160)," ")))</x:f>
        <x:v>sheila.masaki@pwc.com</x:v>
      </x:c>
      <x:c r="E390" t="n">
        <x:f>IF(D390="","",IF(COUNTIF($D$2:D390,D390)=1,1,0))</x:f>
        <x:v>1</x:v>
      </x:c>
    </x:row>
    <x:row r="391">
      <x:c r="A391" t="s">
        <x:v>4251</x:v>
      </x:c>
      <x:c r="B391" t="s">
        <x:v>3821</x:v>
      </x:c>
      <x:c r="C391" t="s">
        <x:v>2514</x:v>
      </x:c>
      <x:c r="D391" t="str">
        <x:f>LOWER(TRIM(SUBSTITUTE(C391,CHAR(160)," ")))</x:f>
        <x:v>shriya.r.ragoonundun@pwc.com</x:v>
      </x:c>
      <x:c r="E391" t="n">
        <x:f>IF(D391="","",IF(COUNTIF($D$2:D391,D391)=1,1,0))</x:f>
        <x:v>1</x:v>
      </x:c>
    </x:row>
    <x:row r="392">
      <x:c r="A392" t="s">
        <x:v>4252</x:v>
      </x:c>
      <x:c r="B392" t="s">
        <x:v>3821</x:v>
      </x:c>
      <x:c r="C392" t="s">
        <x:v>748</x:v>
      </x:c>
      <x:c r="D392" t="str">
        <x:f>LOWER(TRIM(SUBSTITUTE(C392,CHAR(160)," ")))</x:f>
        <x:v>shriya.seesurrun@pwc.com</x:v>
      </x:c>
      <x:c r="E392" t="n">
        <x:f>IF(D392="","",IF(COUNTIF($D$2:D392,D392)=1,1,0))</x:f>
        <x:v>1</x:v>
      </x:c>
    </x:row>
    <x:row r="393">
      <x:c r="A393" t="s">
        <x:v>4253</x:v>
      </x:c>
      <x:c r="B393" t="s">
        <x:v>3821</x:v>
      </x:c>
      <x:c r="C393" t="s">
        <x:v>1975</x:v>
      </x:c>
      <x:c r="D393" t="str">
        <x:f>LOWER(TRIM(SUBSTITUTE(C393,CHAR(160)," ")))</x:f>
        <x:v>shruti.ramdahin@pwc.com</x:v>
      </x:c>
      <x:c r="E393" t="n">
        <x:f>IF(D393="","",IF(COUNTIF($D$2:D393,D393)=1,1,0))</x:f>
        <x:v>1</x:v>
      </x:c>
    </x:row>
    <x:row r="394">
      <x:c r="A394" t="s">
        <x:v>4254</x:v>
      </x:c>
      <x:c r="B394" t="s">
        <x:v>3825</x:v>
      </x:c>
      <x:c r="C394" t="s">
        <x:v>4255</x:v>
      </x:c>
      <x:c r="D394" t="str">
        <x:f>LOWER(TRIM(SUBSTITUTE(C394,CHAR(160)," ")))</x:f>
        <x:v>sian.odhiambo@pwc.com</x:v>
      </x:c>
      <x:c r="E394" t="n">
        <x:f>IF(D394="","",IF(COUNTIF($D$2:D394,D394)=1,1,0))</x:f>
        <x:v>1</x:v>
      </x:c>
    </x:row>
    <x:row r="395">
      <x:c r="A395" t="s">
        <x:v>4256</x:v>
      </x:c>
      <x:c r="B395" t="s">
        <x:v>3844</x:v>
      </x:c>
      <x:c r="C395" t="s">
        <x:v>2094</x:v>
      </x:c>
      <x:c r="D395" t="str">
        <x:f>LOWER(TRIM(SUBSTITUTE(C395,CHAR(160)," ")))</x:f>
        <x:v>sipiwe.dube@pwc.com</x:v>
      </x:c>
      <x:c r="E395" t="n">
        <x:f>IF(D395="","",IF(COUNTIF($D$2:D395,D395)=1,1,0))</x:f>
        <x:v>1</x:v>
      </x:c>
    </x:row>
    <x:row r="396">
      <x:c r="A396" t="s">
        <x:v>4257</x:v>
      </x:c>
      <x:c r="B396" t="s">
        <x:v>3821</x:v>
      </x:c>
      <x:c r="C396" t="s">
        <x:v>4258</x:v>
      </x:c>
      <x:c r="D396" t="str">
        <x:f>LOWER(TRIM(SUBSTITUTE(C396,CHAR(160)," ")))</x:f>
        <x:v>sneha.sookun@pwc.com</x:v>
      </x:c>
      <x:c r="E396" t="n">
        <x:f>IF(D396="","",IF(COUNTIF($D$2:D396,D396)=1,1,0))</x:f>
        <x:v>1</x:v>
      </x:c>
    </x:row>
    <x:row r="397">
      <x:c r="A397" t="s">
        <x:v>4259</x:v>
      </x:c>
      <x:c r="B397" t="s">
        <x:v>3844</x:v>
      </x:c>
      <x:c r="C397" t="s">
        <x:v>4260</x:v>
      </x:c>
      <x:c r="D397" t="str">
        <x:f>LOWER(TRIM(SUBSTITUTE(C397,CHAR(160)," ")))</x:f>
        <x:v>spurgeon.chisulo@pwc.com</x:v>
      </x:c>
      <x:c r="E397" t="n">
        <x:f>IF(D397="","",IF(COUNTIF($D$2:D397,D397)=1,1,0))</x:f>
        <x:v>1</x:v>
      </x:c>
    </x:row>
    <x:row r="398">
      <x:c r="A398" t="s">
        <x:v>4261</x:v>
      </x:c>
      <x:c r="B398" t="s">
        <x:v>3825</x:v>
      </x:c>
      <x:c r="C398" t="s">
        <x:v>73</x:v>
      </x:c>
      <x:c r="D398" t="str">
        <x:f>LOWER(TRIM(SUBSTITUTE(C398,CHAR(160)," ")))</x:f>
        <x:v>stacey.l.labuschagne@pwc.com</x:v>
      </x:c>
      <x:c r="E398" t="n">
        <x:f>IF(D398="","",IF(COUNTIF($D$2:D398,D398)=1,1,0))</x:f>
        <x:v>1</x:v>
      </x:c>
    </x:row>
    <x:row r="399">
      <x:c r="A399" t="s">
        <x:v>4262</x:v>
      </x:c>
      <x:c r="B399" t="s">
        <x:v>3821</x:v>
      </x:c>
      <x:c r="C399" t="s">
        <x:v>4263</x:v>
      </x:c>
      <x:c r="D399" t="str">
        <x:f>LOWER(TRIM(SUBSTITUTE(C399,CHAR(160)," ")))</x:f>
        <x:v>mapara.tanyaradzwa@pwc.com</x:v>
      </x:c>
      <x:c r="E399" t="n">
        <x:f>IF(D399="","",IF(COUNTIF($D$2:D399,D399)=1,1,0))</x:f>
        <x:v>1</x:v>
      </x:c>
    </x:row>
    <x:row r="400">
      <x:c r="A400" t="s">
        <x:v>4264</x:v>
      </x:c>
      <x:c r="B400" t="s">
        <x:v>3825</x:v>
      </x:c>
      <x:c r="C400" t="s">
        <x:v>650</x:v>
      </x:c>
      <x:c r="D400" t="str">
        <x:f>LOWER(TRIM(SUBSTITUTE(C400,CHAR(160)," ")))</x:f>
        <x:v>stacey.nduku@pwc.com</x:v>
      </x:c>
      <x:c r="E400" t="n">
        <x:f>IF(D400="","",IF(COUNTIF($D$2:D400,D400)=1,1,0))</x:f>
        <x:v>1</x:v>
      </x:c>
    </x:row>
    <x:row r="401">
      <x:c r="A401" t="s">
        <x:v>4265</x:v>
      </x:c>
      <x:c r="B401" t="s">
        <x:v>3821</x:v>
      </x:c>
      <x:c r="C401" t="s">
        <x:v>1371</x:v>
      </x:c>
      <x:c r="D401" t="str">
        <x:f>LOWER(TRIM(SUBSTITUTE(C401,CHAR(160)," ")))</x:f>
        <x:v>steffi.s.hong@pwc.com</x:v>
      </x:c>
      <x:c r="E401" t="n">
        <x:f>IF(D401="","",IF(COUNTIF($D$2:D401,D401)=1,1,0))</x:f>
        <x:v>1</x:v>
      </x:c>
    </x:row>
    <x:row r="402">
      <x:c r="A402" t="s">
        <x:v>4266</x:v>
      </x:c>
      <x:c r="B402" t="s">
        <x:v>3825</x:v>
      </x:c>
      <x:c r="C402" t="s">
        <x:v>172</x:v>
      </x:c>
      <x:c r="D402" t="str">
        <x:f>LOWER(TRIM(SUBSTITUTE(C402,CHAR(160)," ")))</x:f>
        <x:v>stella.chege@pwc.com</x:v>
      </x:c>
      <x:c r="E402" t="n">
        <x:f>IF(D402="","",IF(COUNTIF($D$2:D402,D402)=1,1,0))</x:f>
        <x:v>1</x:v>
      </x:c>
    </x:row>
    <x:row r="403">
      <x:c r="A403" t="s">
        <x:v>4267</x:v>
      </x:c>
      <x:c r="B403" t="s">
        <x:v>3825</x:v>
      </x:c>
      <x:c r="C403" t="s">
        <x:v>2218</x:v>
      </x:c>
      <x:c r="D403" t="str">
        <x:f>LOWER(TRIM(SUBSTITUTE(C403,CHAR(160)," ")))</x:f>
        <x:v>stella.githinji@pwc.com</x:v>
      </x:c>
      <x:c r="E403" t="n">
        <x:f>IF(D403="","",IF(COUNTIF($D$2:D403,D403)=1,1,0))</x:f>
        <x:v>1</x:v>
      </x:c>
    </x:row>
    <x:row r="404">
      <x:c r="A404" t="s">
        <x:v>4268</x:v>
      </x:c>
      <x:c r="B404" t="s">
        <x:v>3825</x:v>
      </x:c>
      <x:c r="C404" t="s">
        <x:v>2673</x:v>
      </x:c>
      <x:c r="D404" t="str">
        <x:f>LOWER(TRIM(SUBSTITUTE(C404,CHAR(160)," ")))</x:f>
        <x:v>stephen.ochieng@pwc.com</x:v>
      </x:c>
      <x:c r="E404" t="n">
        <x:f>IF(D404="","",IF(COUNTIF($D$2:D404,D404)=1,1,0))</x:f>
        <x:v>1</x:v>
      </x:c>
    </x:row>
    <x:row r="405">
      <x:c r="A405" t="s">
        <x:v>4269</x:v>
      </x:c>
      <x:c r="B405" t="s">
        <x:v>3821</x:v>
      </x:c>
      <x:c r="C405" t="s">
        <x:v>623</x:v>
      </x:c>
      <x:c r="D405" t="str">
        <x:f>LOWER(TRIM(SUBSTITUTE(C405,CHAR(160)," ")))</x:f>
        <x:v>suhashinee.kawal@pwc.com</x:v>
      </x:c>
      <x:c r="E405" t="n">
        <x:f>IF(D405="","",IF(COUNTIF($D$2:D405,D405)=1,1,0))</x:f>
        <x:v>1</x:v>
      </x:c>
    </x:row>
    <x:row r="406">
      <x:c r="A406" t="s">
        <x:v>4270</x:v>
      </x:c>
      <x:c r="B406" t="s">
        <x:v>3823</x:v>
      </x:c>
      <x:c r="C406" t="s">
        <x:v>2256</x:v>
      </x:c>
      <x:c r="D406" t="str">
        <x:f>LOWER(TRIM(SUBSTITUTE(C406,CHAR(160)," ")))</x:f>
        <x:v>susan.namwanje@pwc.com</x:v>
      </x:c>
      <x:c r="E406" t="n">
        <x:f>IF(D406="","",IF(COUNTIF($D$2:D406,D406)=1,1,0))</x:f>
        <x:v>1</x:v>
      </x:c>
    </x:row>
    <x:row r="407">
      <x:c r="A407" t="s">
        <x:v>4271</x:v>
      </x:c>
      <x:c r="B407" t="s">
        <x:v>3844</x:v>
      </x:c>
      <x:c r="C407" t="s">
        <x:v>953</x:v>
      </x:c>
      <x:c r="D407" t="str">
        <x:f>LOWER(TRIM(SUBSTITUTE(C407,CHAR(160)," ")))</x:f>
        <x:v>tamandani.mwalusaka@pwc.com</x:v>
      </x:c>
      <x:c r="E407" t="n">
        <x:f>IF(D407="","",IF(COUNTIF($D$2:D407,D407)=1,1,0))</x:f>
        <x:v>1</x:v>
      </x:c>
    </x:row>
    <x:row r="408">
      <x:c r="A408" t="s">
        <x:v>4272</x:v>
      </x:c>
      <x:c r="B408" t="s">
        <x:v>3821</x:v>
      </x:c>
      <x:c r="C408" t="s">
        <x:v>1816</x:v>
      </x:c>
      <x:c r="D408" t="str">
        <x:f>LOWER(TRIM(SUBSTITUTE(C408,CHAR(160)," ")))</x:f>
        <x:v>tarushee.beesoony@pwc.com</x:v>
      </x:c>
      <x:c r="E408" t="n">
        <x:f>IF(D408="","",IF(COUNTIF($D$2:D408,D408)=1,1,0))</x:f>
        <x:v>1</x:v>
      </x:c>
    </x:row>
    <x:row r="409">
      <x:c r="A409" t="s">
        <x:v>4273</x:v>
      </x:c>
      <x:c r="B409" t="s">
        <x:v>3821</x:v>
      </x:c>
      <x:c r="C409" t="s">
        <x:v>397</x:v>
      </x:c>
      <x:c r="D409" t="str">
        <x:f>LOWER(TRIM(SUBSTITUTE(C409,CHAR(160)," ")))</x:f>
        <x:v>tasneem.butonkee@pwc.com</x:v>
      </x:c>
      <x:c r="E409" t="n">
        <x:f>IF(D409="","",IF(COUNTIF($D$2:D409,D409)=1,1,0))</x:f>
        <x:v>1</x:v>
      </x:c>
    </x:row>
    <x:row r="410">
      <x:c r="A410" t="s">
        <x:v>4274</x:v>
      </x:c>
      <x:c r="B410" t="s">
        <x:v>3829</x:v>
      </x:c>
      <x:c r="C410" t="s">
        <x:v>1130</x:v>
      </x:c>
      <x:c r="D410" t="str">
        <x:f>LOWER(TRIM(SUBSTITUTE(C410,CHAR(160)," ")))</x:f>
        <x:v>taufiq.ishimwe@pwc.com</x:v>
      </x:c>
      <x:c r="E410" t="n">
        <x:f>IF(D410="","",IF(COUNTIF($D$2:D410,D410)=1,1,0))</x:f>
        <x:v>1</x:v>
      </x:c>
    </x:row>
    <x:row r="411">
      <x:c r="A411" t="s">
        <x:v>4275</x:v>
      </x:c>
      <x:c r="B411" t="s">
        <x:v>3825</x:v>
      </x:c>
      <x:c r="C411" t="s">
        <x:v>122</x:v>
      </x:c>
      <x:c r="D411" t="str">
        <x:f>LOWER(TRIM(SUBSTITUTE(C411,CHAR(160)," ")))</x:f>
        <x:v>tecla.kibor@pwc.com</x:v>
      </x:c>
      <x:c r="E411" t="n">
        <x:f>IF(D411="","",IF(COUNTIF($D$2:D411,D411)=1,1,0))</x:f>
        <x:v>1</x:v>
      </x:c>
    </x:row>
    <x:row r="412">
      <x:c r="A412" t="s">
        <x:v>4276</x:v>
      </x:c>
      <x:c r="B412" t="s">
        <x:v>3836</x:v>
      </x:c>
      <x:c r="C412" t="s">
        <x:v>183</x:v>
      </x:c>
      <x:c r="D412" t="str">
        <x:f>LOWER(TRIM(SUBSTITUTE(C412,CHAR(160)," ")))</x:f>
        <x:v>teddy.mbore@pwc.com</x:v>
      </x:c>
      <x:c r="E412" t="n">
        <x:f>IF(D412="","",IF(COUNTIF($D$2:D412,D412)=1,1,0))</x:f>
        <x:v>1</x:v>
      </x:c>
    </x:row>
    <x:row r="413">
      <x:c r="A413" t="s">
        <x:v>4277</x:v>
      </x:c>
      <x:c r="B413" t="s">
        <x:v>3821</x:v>
      </x:c>
      <x:c r="C413" t="s">
        <x:v>2581</x:v>
      </x:c>
      <x:c r="D413" t="str">
        <x:f>LOWER(TRIM(SUBSTITUTE(C413,CHAR(160)," ")))</x:f>
        <x:v>teeleswarsing.sookhy@pwc.com</x:v>
      </x:c>
      <x:c r="E413" t="n">
        <x:f>IF(D413="","",IF(COUNTIF($D$2:D413,D413)=1,1,0))</x:f>
        <x:v>1</x:v>
      </x:c>
    </x:row>
    <x:row r="414">
      <x:c r="A414" t="s">
        <x:v>4278</x:v>
      </x:c>
      <x:c r="B414" t="s">
        <x:v>3825</x:v>
      </x:c>
      <x:c r="C414" t="s">
        <x:v>2691</x:v>
      </x:c>
      <x:c r="D414" t="str">
        <x:f>LOWER(TRIM(SUBSTITUTE(C414,CHAR(160)," ")))</x:f>
        <x:v>teresiah.maina@pwc.com</x:v>
      </x:c>
      <x:c r="E414" t="n">
        <x:f>IF(D414="","",IF(COUNTIF($D$2:D414,D414)=1,1,0))</x:f>
        <x:v>1</x:v>
      </x:c>
    </x:row>
    <x:row r="415">
      <x:c r="A415" t="s">
        <x:v>4279</x:v>
      </x:c>
      <x:c r="B415" t="s">
        <x:v>3823</x:v>
      </x:c>
      <x:c r="C415" t="s">
        <x:v>140</x:v>
      </x:c>
      <x:c r="D415" t="str">
        <x:f>LOWER(TRIM(SUBSTITUTE(C415,CHAR(160)," ")))</x:f>
        <x:v>theresa.k.namakula@pwc.com</x:v>
      </x:c>
      <x:c r="E415" t="n">
        <x:f>IF(D415="","",IF(COUNTIF($D$2:D415,D415)=1,1,0))</x:f>
        <x:v>1</x:v>
      </x:c>
    </x:row>
    <x:row r="416">
      <x:c r="A416" t="s">
        <x:v>4280</x:v>
      </x:c>
      <x:c r="B416" t="s">
        <x:v>3825</x:v>
      </x:c>
      <x:c r="C416" t="s">
        <x:v>1933</x:v>
      </x:c>
      <x:c r="D416" t="str">
        <x:f>LOWER(TRIM(SUBSTITUTE(C416,CHAR(160)," ")))</x:f>
        <x:v>titus.rotich@pwc.com</x:v>
      </x:c>
      <x:c r="E416" t="n">
        <x:f>IF(D416="","",IF(COUNTIF($D$2:D416,D416)=1,1,0))</x:f>
        <x:v>1</x:v>
      </x:c>
    </x:row>
    <x:row r="417">
      <x:c r="A417" t="s">
        <x:v>4281</x:v>
      </x:c>
      <x:c r="B417" t="s">
        <x:v>3825</x:v>
      </x:c>
      <x:c r="C417" t="s">
        <x:v>2591</x:v>
      </x:c>
      <x:c r="D417" t="str">
        <x:f>LOWER(TRIM(SUBSTITUTE(C417,CHAR(160)," ")))</x:f>
        <x:v>tonny.odindo@pwc.com</x:v>
      </x:c>
      <x:c r="E417" t="n">
        <x:f>IF(D417="","",IF(COUNTIF($D$2:D417,D417)=1,1,0))</x:f>
        <x:v>1</x:v>
      </x:c>
    </x:row>
    <x:row r="418">
      <x:c r="A418" t="s">
        <x:v>4282</x:v>
      </x:c>
      <x:c r="B418" t="s">
        <x:v>3821</x:v>
      </x:c>
      <x:c r="C418" t="s">
        <x:v>976</x:v>
      </x:c>
      <x:c r="D418" t="str">
        <x:f>LOWER(TRIM(SUBSTITUTE(C418,CHAR(160)," ")))</x:f>
        <x:v>trishtee.gopeechund@pwc.com</x:v>
      </x:c>
      <x:c r="E418" t="n">
        <x:f>IF(D418="","",IF(COUNTIF($D$2:D418,D418)=1,1,0))</x:f>
        <x:v>1</x:v>
      </x:c>
    </x:row>
    <x:row r="419">
      <x:c r="A419" t="s">
        <x:v>4283</x:v>
      </x:c>
      <x:c r="B419" t="s">
        <x:v>3821</x:v>
      </x:c>
      <x:c r="C419" t="s">
        <x:v>100</x:v>
      </x:c>
      <x:c r="D419" t="str">
        <x:f>LOWER(TRIM(SUBSTITUTE(C419,CHAR(160)," ")))</x:f>
        <x:v>trivedi.dabypersad@pwc.com</x:v>
      </x:c>
      <x:c r="E419" t="n">
        <x:f>IF(D419="","",IF(COUNTIF($D$2:D419,D419)=1,1,0))</x:f>
        <x:v>1</x:v>
      </x:c>
    </x:row>
    <x:row r="420">
      <x:c r="A420" t="s">
        <x:v>4284</x:v>
      </x:c>
      <x:c r="B420" t="s">
        <x:v>3844</x:v>
      </x:c>
      <x:c r="C420" t="s">
        <x:v>375</x:v>
      </x:c>
      <x:c r="D420" t="str">
        <x:f>LOWER(TRIM(SUBSTITUTE(C420,CHAR(160)," ")))</x:f>
        <x:v>twaambo.m.milimo@pwc.com</x:v>
      </x:c>
      <x:c r="E420" t="n">
        <x:f>IF(D420="","",IF(COUNTIF($D$2:D420,D420)=1,1,0))</x:f>
        <x:v>1</x:v>
      </x:c>
    </x:row>
    <x:row r="421">
      <x:c r="A421" t="s">
        <x:v>4285</x:v>
      </x:c>
      <x:c r="B421" t="s">
        <x:v>3821</x:v>
      </x:c>
      <x:c r="C421" t="s">
        <x:v>2680</x:v>
      </x:c>
      <x:c r="D421" t="str">
        <x:f>LOWER(TRIM(SUBSTITUTE(C421,CHAR(160)," ")))</x:f>
        <x:v>twesha.nuckecheddy@pwc.com</x:v>
      </x:c>
      <x:c r="E421" t="n">
        <x:f>IF(D421="","",IF(COUNTIF($D$2:D421,D421)=1,1,0))</x:f>
        <x:v>1</x:v>
      </x:c>
    </x:row>
    <x:row r="422">
      <x:c r="A422" t="s">
        <x:v>4286</x:v>
      </x:c>
      <x:c r="B422" t="s">
        <x:v>3821</x:v>
      </x:c>
      <x:c r="C422" t="s">
        <x:v>1695</x:v>
      </x:c>
      <x:c r="D422" t="str">
        <x:f>LOWER(TRIM(SUBSTITUTE(C422,CHAR(160)," ")))</x:f>
        <x:v>ubaidullah.r.rasmally@pwc.com</x:v>
      </x:c>
      <x:c r="E422" t="n">
        <x:f>IF(D422="","",IF(COUNTIF($D$2:D422,D422)=1,1,0))</x:f>
        <x:v>1</x:v>
      </x:c>
    </x:row>
    <x:row r="423">
      <x:c r="A423" t="s">
        <x:v>4287</x:v>
      </x:c>
      <x:c r="B423" t="s">
        <x:v>3825</x:v>
      </x:c>
      <x:c r="C423" t="s">
        <x:v>1715</x:v>
      </x:c>
      <x:c r="D423" t="str">
        <x:f>LOWER(TRIM(SUBSTITUTE(C423,CHAR(160)," ")))</x:f>
        <x:v>umair.chaudhry@pwc.com</x:v>
      </x:c>
      <x:c r="E423" t="n">
        <x:f>IF(D423="","",IF(COUNTIF($D$2:D423,D423)=1,1,0))</x:f>
        <x:v>1</x:v>
      </x:c>
    </x:row>
    <x:row r="424">
      <x:c r="A424" t="s">
        <x:v>4288</x:v>
      </x:c>
      <x:c r="B424" t="s">
        <x:v>3823</x:v>
      </x:c>
      <x:c r="C424" t="s">
        <x:v>2187</x:v>
      </x:c>
      <x:c r="D424" t="str">
        <x:f>LOWER(TRIM(SUBSTITUTE(C424,CHAR(160)," ")))</x:f>
        <x:v>uthman.mayanja@pwc.com</x:v>
      </x:c>
      <x:c r="E424" t="n">
        <x:f>IF(D424="","",IF(COUNTIF($D$2:D424,D424)=1,1,0))</x:f>
        <x:v>1</x:v>
      </x:c>
    </x:row>
    <x:row r="425">
      <x:c r="A425" t="s">
        <x:v>4289</x:v>
      </x:c>
      <x:c r="B425" t="s">
        <x:v>3821</x:v>
      </x:c>
      <x:c r="C425" t="s">
        <x:v>2993</x:v>
      </x:c>
      <x:c r="D425" t="str">
        <x:f>LOWER(TRIM(SUBSTITUTE(C425,CHAR(160)," ")))</x:f>
        <x:v>vaishnavi.gungaram@pwc.com</x:v>
      </x:c>
      <x:c r="E425" t="n">
        <x:f>IF(D425="","",IF(COUNTIF($D$2:D425,D425)=1,1,0))</x:f>
        <x:v>1</x:v>
      </x:c>
    </x:row>
    <x:row r="426">
      <x:c r="A426" t="s">
        <x:v>4290</x:v>
      </x:c>
      <x:c r="B426" t="s">
        <x:v>3825</x:v>
      </x:c>
      <x:c r="C426" t="s">
        <x:v>2028</x:v>
      </x:c>
      <x:c r="D426" t="str">
        <x:f>LOWER(TRIM(SUBSTITUTE(C426,CHAR(160)," ")))</x:f>
        <x:v>valentine.n.njeri@pwc.com</x:v>
      </x:c>
      <x:c r="E426" t="n">
        <x:f>IF(D426="","",IF(COUNTIF($D$2:D426,D426)=1,1,0))</x:f>
        <x:v>1</x:v>
      </x:c>
    </x:row>
    <x:row r="427">
      <x:c r="A427" t="s">
        <x:v>4291</x:v>
      </x:c>
      <x:c r="B427" t="s">
        <x:v>3821</x:v>
      </x:c>
      <x:c r="C427" t="s">
        <x:v>269</x:v>
      </x:c>
      <x:c r="D427" t="str">
        <x:f>LOWER(TRIM(SUBSTITUTE(C427,CHAR(160)," ")))</x:f>
        <x:v>vanshika.akkooloo@pwc.com</x:v>
      </x:c>
      <x:c r="E427" t="n">
        <x:f>IF(D427="","",IF(COUNTIF($D$2:D427,D427)=1,1,0))</x:f>
        <x:v>1</x:v>
      </x:c>
    </x:row>
    <x:row r="428">
      <x:c r="A428" t="s">
        <x:v>4292</x:v>
      </x:c>
      <x:c r="B428" t="s">
        <x:v>3844</x:v>
      </x:c>
      <x:c r="C428" t="s">
        <x:v>676</x:v>
      </x:c>
      <x:c r="D428" t="str">
        <x:f>LOWER(TRIM(SUBSTITUTE(C428,CHAR(160)," ")))</x:f>
        <x:v>vasty.nkhoma@pwc.com</x:v>
      </x:c>
      <x:c r="E428" t="n">
        <x:f>IF(D428="","",IF(COUNTIF($D$2:D428,D428)=1,1,0))</x:f>
        <x:v>1</x:v>
      </x:c>
    </x:row>
    <x:row r="429">
      <x:c r="A429" t="s">
        <x:v>4293</x:v>
      </x:c>
      <x:c r="B429" t="s">
        <x:v>3821</x:v>
      </x:c>
      <x:c r="C429" t="s">
        <x:v>3084</x:v>
      </x:c>
      <x:c r="D429" t="str">
        <x:f>LOWER(TRIM(SUBSTITUTE(C429,CHAR(160)," ")))</x:f>
        <x:v>ved.bishundat@pwc.com</x:v>
      </x:c>
      <x:c r="E429" t="n">
        <x:f>IF(D429="","",IF(COUNTIF($D$2:D429,D429)=1,1,0))</x:f>
        <x:v>1</x:v>
      </x:c>
    </x:row>
    <x:row r="430">
      <x:c r="A430" t="s">
        <x:v>4294</x:v>
      </x:c>
      <x:c r="B430" t="s">
        <x:v>3821</x:v>
      </x:c>
      <x:c r="C430" t="s">
        <x:v>2332</x:v>
      </x:c>
      <x:c r="D430" t="str">
        <x:f>LOWER(TRIM(SUBSTITUTE(C430,CHAR(160)," ")))</x:f>
        <x:v>veeloshini.kisto@pwc.com</x:v>
      </x:c>
      <x:c r="E430" t="n">
        <x:f>IF(D430="","",IF(COUNTIF($D$2:D430,D430)=1,1,0))</x:f>
        <x:v>1</x:v>
      </x:c>
    </x:row>
    <x:row r="431">
      <x:c r="A431" t="s">
        <x:v>4295</x:v>
      </x:c>
      <x:c r="B431" t="s">
        <x:v>3836</x:v>
      </x:c>
      <x:c r="C431" t="s">
        <x:v>702</x:v>
      </x:c>
      <x:c r="D431" t="str">
        <x:f>LOWER(TRIM(SUBSTITUTE(C431,CHAR(160)," ")))</x:f>
        <x:v>veronica.biswalo@pwc.com</x:v>
      </x:c>
      <x:c r="E431" t="n">
        <x:f>IF(D431="","",IF(COUNTIF($D$2:D431,D431)=1,1,0))</x:f>
        <x:v>1</x:v>
      </x:c>
    </x:row>
    <x:row r="432">
      <x:c r="A432" t="s">
        <x:v>4296</x:v>
      </x:c>
      <x:c r="B432" t="s">
        <x:v>3825</x:v>
      </x:c>
      <x:c r="C432" t="s">
        <x:v>642</x:v>
      </x:c>
      <x:c r="D432" t="str">
        <x:f>LOWER(TRIM(SUBSTITUTE(C432,CHAR(160)," ")))</x:f>
        <x:v>victor.kibet@pwc.com</x:v>
      </x:c>
      <x:c r="E432" t="n">
        <x:f>IF(D432="","",IF(COUNTIF($D$2:D432,D432)=1,1,0))</x:f>
        <x:v>1</x:v>
      </x:c>
    </x:row>
    <x:row r="433">
      <x:c r="A433" t="s">
        <x:v>4297</x:v>
      </x:c>
      <x:c r="B433" t="s">
        <x:v>3825</x:v>
      </x:c>
      <x:c r="C433" t="s">
        <x:v>259</x:v>
      </x:c>
      <x:c r="D433" t="str">
        <x:f>LOWER(TRIM(SUBSTITUTE(C433,CHAR(160)," ")))</x:f>
        <x:v>victor.rotich@pwc.com</x:v>
      </x:c>
      <x:c r="E433" t="n">
        <x:f>IF(D433="","",IF(COUNTIF($D$2:D433,D433)=1,1,0))</x:f>
        <x:v>1</x:v>
      </x:c>
    </x:row>
    <x:row r="434">
      <x:c r="A434" t="s">
        <x:v>4298</x:v>
      </x:c>
      <x:c r="B434" t="s">
        <x:v>3825</x:v>
      </x:c>
      <x:c r="C434" t="s">
        <x:v>254</x:v>
      </x:c>
      <x:c r="D434" t="str">
        <x:f>LOWER(TRIM(SUBSTITUTE(C434,CHAR(160)," ")))</x:f>
        <x:v>victoria.makori@pwc.com</x:v>
      </x:c>
      <x:c r="E434" t="n">
        <x:f>IF(D434="","",IF(COUNTIF($D$2:D434,D434)=1,1,0))</x:f>
        <x:v>1</x:v>
      </x:c>
    </x:row>
    <x:row r="435">
      <x:c r="A435" t="s">
        <x:v>4299</x:v>
      </x:c>
      <x:c r="B435" t="s">
        <x:v>3825</x:v>
      </x:c>
      <x:c r="C435" t="s">
        <x:v>542</x:v>
      </x:c>
      <x:c r="D435" t="str">
        <x:f>LOWER(TRIM(SUBSTITUTE(C435,CHAR(160)," ")))</x:f>
        <x:v>wandia.gitonga@pwc.com</x:v>
      </x:c>
      <x:c r="E435" t="n">
        <x:f>IF(D435="","",IF(COUNTIF($D$2:D435,D435)=1,1,0))</x:f>
        <x:v>1</x:v>
      </x:c>
    </x:row>
    <x:row r="436">
      <x:c r="A436" t="s">
        <x:v>4300</x:v>
      </x:c>
      <x:c r="B436" t="s">
        <x:v>3823</x:v>
      </x:c>
      <x:c r="C436" t="s">
        <x:v>394</x:v>
      </x:c>
      <x:c r="D436" t="str">
        <x:f>LOWER(TRIM(SUBSTITUTE(C436,CHAR(160)," ")))</x:f>
        <x:v>warren.atugonza@pwc.com</x:v>
      </x:c>
      <x:c r="E436" t="n">
        <x:f>IF(D436="","",IF(COUNTIF($D$2:D436,D436)=1,1,0))</x:f>
        <x:v>1</x:v>
      </x:c>
    </x:row>
    <x:row r="437">
      <x:c r="A437" t="s">
        <x:v>4301</x:v>
      </x:c>
      <x:c r="B437" t="s">
        <x:v>3825</x:v>
      </x:c>
      <x:c r="C437" t="s">
        <x:v>3134</x:v>
      </x:c>
      <x:c r="D437" t="str">
        <x:f>LOWER(TRIM(SUBSTITUTE(C437,CHAR(160)," ")))</x:f>
        <x:v>washington.ochako@pwc.com</x:v>
      </x:c>
      <x:c r="E437" t="n">
        <x:f>IF(D437="","",IF(COUNTIF($D$2:D437,D437)=1,1,0))</x:f>
        <x:v>1</x:v>
      </x:c>
    </x:row>
    <x:row r="438">
      <x:c r="A438" t="s">
        <x:v>4302</x:v>
      </x:c>
      <x:c r="B438" t="s">
        <x:v>3825</x:v>
      </x:c>
      <x:c r="C438" t="s">
        <x:v>967</x:v>
      </x:c>
      <x:c r="D438" t="str">
        <x:f>LOWER(TRIM(SUBSTITUTE(C438,CHAR(160)," ")))</x:f>
        <x:v>wendy.mwiti@pwc.com</x:v>
      </x:c>
      <x:c r="E438" t="n">
        <x:f>IF(D438="","",IF(COUNTIF($D$2:D438,D438)=1,1,0))</x:f>
        <x:v>1</x:v>
      </x:c>
    </x:row>
    <x:row r="439">
      <x:c r="A439" t="s">
        <x:v>4303</x:v>
      </x:c>
      <x:c r="B439" t="s">
        <x:v>3844</x:v>
      </x:c>
      <x:c r="C439" t="s">
        <x:v>3191</x:v>
      </x:c>
      <x:c r="D439" t="str">
        <x:f>LOWER(TRIM(SUBSTITUTE(C439,CHAR(160)," ")))</x:f>
        <x:v>wezi.gondwe@pwc.com</x:v>
      </x:c>
      <x:c r="E439" t="n">
        <x:f>IF(D439="","",IF(COUNTIF($D$2:D439,D439)=1,1,0))</x:f>
        <x:v>1</x:v>
      </x:c>
    </x:row>
    <x:row r="440">
      <x:c r="A440" t="s">
        <x:v>4304</x:v>
      </x:c>
      <x:c r="B440" t="s">
        <x:v>3836</x:v>
      </x:c>
      <x:c r="C440" t="s">
        <x:v>504</x:v>
      </x:c>
      <x:c r="D440" t="str">
        <x:f>LOWER(TRIM(SUBSTITUTE(C440,CHAR(160)," ")))</x:f>
        <x:v>willie.w.kimaro@pwc.com</x:v>
      </x:c>
      <x:c r="E440" t="n">
        <x:f>IF(D440="","",IF(COUNTIF($D$2:D440,D440)=1,1,0))</x:f>
        <x:v>1</x:v>
      </x:c>
    </x:row>
    <x:row r="441">
      <x:c r="A441" t="s">
        <x:v>4305</x:v>
      </x:c>
      <x:c r="B441" t="s">
        <x:v>3821</x:v>
      </x:c>
      <x:c r="C441" t="s">
        <x:v>2548</x:v>
      </x:c>
      <x:c r="D441" t="str">
        <x:f>LOWER(TRIM(SUBSTITUTE(C441,CHAR(160)," ")))</x:f>
        <x:v>yavish.yallappa@pwc.com</x:v>
      </x:c>
      <x:c r="E441" t="n">
        <x:f>IF(D441="","",IF(COUNTIF($D$2:D441,D441)=1,1,0))</x:f>
        <x:v>1</x:v>
      </x:c>
    </x:row>
    <x:row r="442">
      <x:c r="A442" t="s">
        <x:v>4306</x:v>
      </x:c>
      <x:c r="B442" t="s">
        <x:v>3821</x:v>
      </x:c>
      <x:c r="C442" t="s">
        <x:v>2934</x:v>
      </x:c>
      <x:c r="D442" t="str">
        <x:f>LOWER(TRIM(SUBSTITUTE(C442,CHAR(160)," ")))</x:f>
        <x:v>yesha.dwarka@pwc.com</x:v>
      </x:c>
      <x:c r="E442" t="n">
        <x:f>IF(D442="","",IF(COUNTIF($D$2:D442,D442)=1,1,0))</x:f>
        <x:v>1</x:v>
      </x:c>
    </x:row>
    <x:row r="443">
      <x:c r="A443" t="s">
        <x:v>4307</x:v>
      </x:c>
      <x:c r="B443" t="s">
        <x:v>3847</x:v>
      </x:c>
      <x:c r="C443" t="s">
        <x:v>2534</x:v>
      </x:c>
      <x:c r="D443" t="str">
        <x:f>LOWER(TRIM(SUBSTITUTE(C443,CHAR(160)," ")))</x:f>
        <x:v>yeshlin.govender@pwc.com</x:v>
      </x:c>
      <x:c r="E443" t="n">
        <x:f>IF(D443="","",IF(COUNTIF($D$2:D443,D443)=1,1,0))</x:f>
        <x:v>1</x:v>
      </x:c>
    </x:row>
    <x:row r="444">
      <x:c r="A444" t="s">
        <x:v>4308</x:v>
      </x:c>
      <x:c r="B444" t="s">
        <x:v>3821</x:v>
      </x:c>
      <x:c r="C444" t="s">
        <x:v>2425</x:v>
      </x:c>
      <x:c r="D444" t="str">
        <x:f>LOWER(TRIM(SUBSTITUTE(C444,CHAR(160)," ")))</x:f>
        <x:v>yeshwant.seebaluck@pwc.com</x:v>
      </x:c>
      <x:c r="E444" t="n">
        <x:f>IF(D444="","",IF(COUNTIF($D$2:D444,D444)=1,1,0))</x:f>
        <x:v>1</x:v>
      </x:c>
    </x:row>
    <x:row r="445">
      <x:c r="A445" t="s">
        <x:v>4309</x:v>
      </x:c>
      <x:c r="B445" t="s">
        <x:v>3821</x:v>
      </x:c>
      <x:c r="C445" t="s">
        <x:v>4310</x:v>
      </x:c>
      <x:c r="D445" t="str">
        <x:f>LOWER(TRIM(SUBSTITUTE(C445,CHAR(160)," ")))</x:f>
        <x:v>zahrah.bocus@pwc.com</x:v>
      </x:c>
      <x:c r="E445" t="n">
        <x:f>IF(D445="","",IF(COUNTIF($D$2:D445,D445)=1,1,0))</x:f>
        <x:v>1</x:v>
      </x:c>
    </x:row>
    <x:row r="446">
      <x:c r="A446" t="s">
        <x:v>4311</x:v>
      </x:c>
      <x:c r="B446" t="s">
        <x:v>3836</x:v>
      </x:c>
      <x:c r="C446" t="s">
        <x:v>4312</x:v>
      </x:c>
      <x:c r="D446" t="str">
        <x:f>LOWER(TRIM(SUBSTITUTE(C446,CHAR(160)," ")))</x:f>
        <x:v>zainab.msimbe@pwc.com</x:v>
      </x:c>
      <x:c r="E446" t="n">
        <x:f>IF(D446="","",IF(COUNTIF($D$2:D446,D446)=1,1,0))</x:f>
        <x:v>1</x:v>
      </x:c>
    </x:row>
    <x:row r="447">
      <x:c r="A447" t="s">
        <x:v>4313</x:v>
      </x:c>
      <x:c r="B447" t="s">
        <x:v>3836</x:v>
      </x:c>
      <x:c r="C447" t="s">
        <x:v>1789</x:v>
      </x:c>
      <x:c r="D447" t="str">
        <x:f>LOWER(TRIM(SUBSTITUTE(C447,CHAR(160)," ")))</x:f>
        <x:v>zuhura.z.mnyamuru@pwc.com</x:v>
      </x:c>
      <x:c r="E447" t="n">
        <x:f>IF(D447="","",IF(COUNTIF($D$2:D447,D447)=1,1,0))</x:f>
        <x:v>1</x:v>
      </x:c>
    </x:row>
    <x:row r="448">
      <x:c r="A448" t="str">
        <x:v>Abel Maiga</x:v>
      </x:c>
      <x:c r="B448" t="str">
        <x:v>TZ</x:v>
      </x:c>
      <x:c r="C448" t="str">
        <x:v>abel.maiga@pwc.com</x:v>
      </x:c>
      <x:c r="D448" t="str">
        <x:f>LOWER(TRIM(SUBSTITUTE(C448,CHAR(160)," ")))</x:f>
        <x:v>abel.maiga@pwc.com</x:v>
      </x:c>
      <x:c r="E448" t="n">
        <x:f>IF(D448="","",IF(COUNTIF($D$2:D448,D448)=1,1,0))</x:f>
        <x:v>1</x:v>
      </x:c>
    </x:row>
    <x:row r="449">
      <x:c r="A449" t="str">
        <x:v>Aderick Bajunana</x:v>
      </x:c>
      <x:c r="B449" t="str">
        <x:v>TZ</x:v>
      </x:c>
      <x:c r="C449" t="str">
        <x:v>aderick.bajunana@pwc.com</x:v>
      </x:c>
      <x:c r="D449" t="str">
        <x:f>LOWER(TRIM(SUBSTITUTE(C449,CHAR(160)," ")))</x:f>
        <x:v>aderick.bajunana@pwc.com</x:v>
      </x:c>
      <x:c r="E449" t="n">
        <x:f>IF(D449="","",IF(COUNTIF($D$2:D449,D449)=1,1,0))</x:f>
        <x:v>1</x:v>
      </x:c>
    </x:row>
    <x:row r="450">
      <x:c r="A450" t="str">
        <x:v>Ahmed Kayungilo</x:v>
      </x:c>
      <x:c r="B450" t="str">
        <x:v>TZ</x:v>
      </x:c>
      <x:c r="C450" t="str">
        <x:v>ahmed.kayungilo@pwc.com</x:v>
      </x:c>
      <x:c r="D450" t="str">
        <x:f>LOWER(TRIM(SUBSTITUTE(C450,CHAR(160)," ")))</x:f>
        <x:v>ahmed.kayungilo@pwc.com</x:v>
      </x:c>
      <x:c r="E450" t="n">
        <x:f>IF(D450="","",IF(COUNTIF($D$2:D450,D450)=1,1,0))</x:f>
        <x:v>1</x:v>
      </x:c>
    </x:row>
    <x:row r="451">
      <x:c r="A451" t="str">
        <x:v>Aisha Kilonda</x:v>
      </x:c>
      <x:c r="B451" t="str">
        <x:v>TZ</x:v>
      </x:c>
      <x:c r="C451" t="str">
        <x:v>aisha.kilonda@pwc.com</x:v>
      </x:c>
      <x:c r="D451" t="str">
        <x:f>LOWER(TRIM(SUBSTITUTE(C451,CHAR(160)," ")))</x:f>
        <x:v>aisha.kilonda@pwc.com</x:v>
      </x:c>
      <x:c r="E451" t="n">
        <x:f>IF(D451="","",IF(COUNTIF($D$2:D451,D451)=1,1,0))</x:f>
        <x:v>1</x:v>
      </x:c>
    </x:row>
    <x:row r="452">
      <x:c r="A452" t="str">
        <x:v>Amelie Fanfan</x:v>
      </x:c>
      <x:c r="B452" t="str">
        <x:v>MU</x:v>
      </x:c>
      <x:c r="C452" t="str">
        <x:v>amelie.fanfan@pwc.com</x:v>
      </x:c>
      <x:c r="D452" t="str">
        <x:f>LOWER(TRIM(SUBSTITUTE(C452,CHAR(160)," ")))</x:f>
        <x:v>amelie.fanfan@pwc.com</x:v>
      </x:c>
      <x:c r="E452" t="n">
        <x:f>IF(D452="","",IF(COUNTIF($D$2:D452,D452)=1,1,0))</x:f>
        <x:v>1</x:v>
      </x:c>
    </x:row>
    <x:row r="453">
      <x:c r="A453" t="str">
        <x:v>Amisha Gunputh</x:v>
      </x:c>
      <x:c r="B453" t="str">
        <x:v>MU</x:v>
      </x:c>
      <x:c r="C453" t="str">
        <x:v>amisha.gunputh@pwc.com</x:v>
      </x:c>
      <x:c r="D453" t="str">
        <x:f>LOWER(TRIM(SUBSTITUTE(C453,CHAR(160)," ")))</x:f>
        <x:v>amisha.gunputh@pwc.com</x:v>
      </x:c>
      <x:c r="E453" t="n">
        <x:f>IF(D453="","",IF(COUNTIF($D$2:D453,D453)=1,1,0))</x:f>
        <x:v>1</x:v>
      </x:c>
    </x:row>
    <x:row r="454">
      <x:c r="A454" t="str">
        <x:v>Ampumuza Mmukunda</x:v>
      </x:c>
      <x:c r="B454" t="str">
        <x:v>UG</x:v>
      </x:c>
      <x:c r="C454" t="str">
        <x:v>ampumuza.mmukunda@pwc.com</x:v>
      </x:c>
      <x:c r="D454" t="str">
        <x:f>LOWER(TRIM(SUBSTITUTE(C454,CHAR(160)," ")))</x:f>
        <x:v>ampumuza.mmukunda@pwc.com</x:v>
      </x:c>
      <x:c r="E454" t="n">
        <x:f>IF(D454="","",IF(COUNTIF($D$2:D454,D454)=1,1,0))</x:f>
        <x:v>1</x:v>
      </x:c>
    </x:row>
    <x:row r="455">
      <x:c r="A455" t="str">
        <x:v>Angel Kwaye</x:v>
      </x:c>
      <x:c r="B455" t="str">
        <x:v>TZ</x:v>
      </x:c>
      <x:c r="C455" t="str">
        <x:v>angel.kwaye@pwc.com</x:v>
      </x:c>
      <x:c r="D455" t="str">
        <x:f>LOWER(TRIM(SUBSTITUTE(C455,CHAR(160)," ")))</x:f>
        <x:v>angel.kwaye@pwc.com</x:v>
      </x:c>
      <x:c r="E455" t="n">
        <x:f>IF(D455="","",IF(COUNTIF($D$2:D455,D455)=1,1,0))</x:f>
        <x:v>1</x:v>
      </x:c>
    </x:row>
    <x:row r="456">
      <x:c r="A456" t="str">
        <x:v>Angelayeyoo Mosha</x:v>
      </x:c>
      <x:c r="B456" t="str">
        <x:v>TZ</x:v>
      </x:c>
      <x:c r="C456" t="str">
        <x:v>angelayeyoo.mosha@pwc.com</x:v>
      </x:c>
      <x:c r="D456" t="str">
        <x:f>LOWER(TRIM(SUBSTITUTE(C456,CHAR(160)," ")))</x:f>
        <x:v>angelayeyoo.mosha@pwc.com</x:v>
      </x:c>
      <x:c r="E456" t="n">
        <x:f>IF(D456="","",IF(COUNTIF($D$2:D456,D456)=1,1,0))</x:f>
        <x:v>1</x:v>
      </x:c>
    </x:row>
    <x:row r="457">
      <x:c r="A457" t="str">
        <x:v>Angelique Mugwaneza</x:v>
      </x:c>
      <x:c r="B457" t="str">
        <x:v>RW</x:v>
      </x:c>
      <x:c r="C457" t="str">
        <x:v>angelique.mugwaneza@pwc.com</x:v>
      </x:c>
      <x:c r="D457" t="str">
        <x:f>LOWER(TRIM(SUBSTITUTE(C457,CHAR(160)," ")))</x:f>
        <x:v>angelique.mugwaneza@pwc.com</x:v>
      </x:c>
      <x:c r="E457" t="n">
        <x:f>IF(D457="","",IF(COUNTIF($D$2:D457,D457)=1,1,0))</x:f>
        <x:v>1</x:v>
      </x:c>
    </x:row>
    <x:row r="458">
      <x:c r="A458" t="str">
        <x:v>Anne Okwera</x:v>
      </x:c>
      <x:c r="B458" t="str">
        <x:v>KE</x:v>
      </x:c>
      <x:c r="C458" t="str">
        <x:v>anne.okwera@pwc.com</x:v>
      </x:c>
      <x:c r="D458" t="str">
        <x:f>LOWER(TRIM(SUBSTITUTE(C458,CHAR(160)," ")))</x:f>
        <x:v>anne.okwera@pwc.com</x:v>
      </x:c>
      <x:c r="E458" t="n">
        <x:f>IF(D458="","",IF(COUNTIF($D$2:D458,D458)=1,1,0))</x:f>
        <x:v>1</x:v>
      </x:c>
    </x:row>
    <x:row r="459">
      <x:c r="A459" t="str">
        <x:v>Anold Ngoli</x:v>
      </x:c>
      <x:c r="B459" t="str">
        <x:v>TZ</x:v>
      </x:c>
      <x:c r="C459" t="str">
        <x:v>anold.ngoli@pwc.com</x:v>
      </x:c>
      <x:c r="D459" t="str">
        <x:f>LOWER(TRIM(SUBSTITUTE(C459,CHAR(160)," ")))</x:f>
        <x:v>anold.ngoli@pwc.com</x:v>
      </x:c>
      <x:c r="E459" t="n">
        <x:f>IF(D459="","",IF(COUNTIF($D$2:D459,D459)=1,1,0))</x:f>
        <x:v>1</x:v>
      </x:c>
    </x:row>
    <x:row r="460">
      <x:c r="A460" t="str">
        <x:v>Asha Shekimweri</x:v>
      </x:c>
      <x:c r="B460" t="str">
        <x:v>TZ</x:v>
      </x:c>
      <x:c r="C460" t="str">
        <x:v>asha.shekimweri@pwc.com</x:v>
      </x:c>
      <x:c r="D460" t="str">
        <x:f>LOWER(TRIM(SUBSTITUTE(C460,CHAR(160)," ")))</x:f>
        <x:v>asha.shekimweri@pwc.com</x:v>
      </x:c>
      <x:c r="E460" t="n">
        <x:f>IF(D460="","",IF(COUNTIF($D$2:D460,D460)=1,1,0))</x:f>
        <x:v>1</x:v>
      </x:c>
    </x:row>
    <x:row r="461">
      <x:c r="A461" t="str">
        <x:v>Ashven Rayapen</x:v>
      </x:c>
      <x:c r="B461" t="str">
        <x:v>MU</x:v>
      </x:c>
      <x:c r="C461" t="str">
        <x:v>ashven.rayapen@pwc.com</x:v>
      </x:c>
      <x:c r="D461" t="str">
        <x:f>LOWER(TRIM(SUBSTITUTE(C461,CHAR(160)," ")))</x:f>
        <x:v>ashven.rayapen@pwc.com</x:v>
      </x:c>
      <x:c r="E461" t="n">
        <x:f>IF(D461="","",IF(COUNTIF($D$2:D461,D461)=1,1,0))</x:f>
        <x:v>1</x:v>
      </x:c>
    </x:row>
    <x:row r="462">
      <x:c r="A462" t="str">
        <x:v>Asmamaw Tamiru</x:v>
      </x:c>
      <x:c r="B462" t="str">
        <x:v>KE</x:v>
      </x:c>
      <x:c r="C462" t="str">
        <x:v>asmamaw.tamiru@pwc.com</x:v>
      </x:c>
      <x:c r="D462" t="str">
        <x:f>LOWER(TRIM(SUBSTITUTE(C462,CHAR(160)," ")))</x:f>
        <x:v>asmamaw.tamiru@pwc.com</x:v>
      </x:c>
      <x:c r="E462" t="n">
        <x:f>IF(D462="","",IF(COUNTIF($D$2:D462,D462)=1,1,0))</x:f>
        <x:v>1</x:v>
      </x:c>
    </x:row>
    <x:row r="463">
      <x:c r="A463" t="str">
        <x:v>Avish Bhurtah</x:v>
      </x:c>
      <x:c r="B463" t="str">
        <x:v>MU</x:v>
      </x:c>
      <x:c r="C463" t="str">
        <x:v>avish.b.bhurtah@pwc.com</x:v>
      </x:c>
      <x:c r="D463" t="str">
        <x:f>LOWER(TRIM(SUBSTITUTE(C463,CHAR(160)," ")))</x:f>
        <x:v>avish.b.bhurtah@pwc.com</x:v>
      </x:c>
      <x:c r="E463" t="n">
        <x:f>IF(D463="","",IF(COUNTIF($D$2:D463,D463)=1,1,0))</x:f>
        <x:v>1</x:v>
      </x:c>
    </x:row>
    <x:row r="464">
      <x:c r="A464" t="str">
        <x:v>Barry Muindi</x:v>
      </x:c>
      <x:c r="B464" t="str">
        <x:v>KE</x:v>
      </x:c>
      <x:c r="C464" t="str">
        <x:v>barry.muindi@pwc.com</x:v>
      </x:c>
      <x:c r="D464" t="str">
        <x:f>LOWER(TRIM(SUBSTITUTE(C464,CHAR(160)," ")))</x:f>
        <x:v>barry.muindi@pwc.com</x:v>
      </x:c>
      <x:c r="E464" t="n">
        <x:f>IF(D464="","",IF(COUNTIF($D$2:D464,D464)=1,1,0))</x:f>
        <x:v>1</x:v>
      </x:c>
    </x:row>
    <x:row r="465">
      <x:c r="A465" t="str">
        <x:v>Beatrice Owino</x:v>
      </x:c>
      <x:c r="B465" t="str">
        <x:v>KE</x:v>
      </x:c>
      <x:c r="C465" t="str">
        <x:v>beatrice.owino@pwc.com</x:v>
      </x:c>
      <x:c r="D465" t="str">
        <x:f>LOWER(TRIM(SUBSTITUTE(C465,CHAR(160)," ")))</x:f>
        <x:v>beatrice.owino@pwc.com</x:v>
      </x:c>
      <x:c r="E465" t="n">
        <x:f>IF(D465="","",IF(COUNTIF($D$2:D465,D465)=1,1,0))</x:f>
        <x:v>1</x:v>
      </x:c>
    </x:row>
    <x:row r="466">
      <x:c r="A466" t="str">
        <x:v>Belinda Ngowo</x:v>
      </x:c>
      <x:c r="B466" t="str">
        <x:v>TZ</x:v>
      </x:c>
      <x:c r="C466" t="str">
        <x:v>belinda.ngowo@pwc.com</x:v>
      </x:c>
      <x:c r="D466" t="str">
        <x:f>LOWER(TRIM(SUBSTITUTE(C466,CHAR(160)," ")))</x:f>
        <x:v>belinda.ngowo@pwc.com</x:v>
      </x:c>
      <x:c r="E466" t="n">
        <x:f>IF(D466="","",IF(COUNTIF($D$2:D466,D466)=1,1,0))</x:f>
        <x:v>1</x:v>
      </x:c>
    </x:row>
    <x:row r="467">
      <x:c r="A467" t="str">
        <x:v>Benita Ndakebuka</x:v>
      </x:c>
      <x:c r="B467" t="str">
        <x:v>RW</x:v>
      </x:c>
      <x:c r="C467" t="str">
        <x:v>benita.ndakebuka@pwc.com</x:v>
      </x:c>
      <x:c r="D467" t="str">
        <x:f>LOWER(TRIM(SUBSTITUTE(C467,CHAR(160)," ")))</x:f>
        <x:v>benita.ndakebuka@pwc.com</x:v>
      </x:c>
      <x:c r="E467" t="n">
        <x:f>IF(D467="","",IF(COUNTIF($D$2:D467,D467)=1,1,0))</x:f>
        <x:v>1</x:v>
      </x:c>
    </x:row>
    <x:row r="468">
      <x:c r="A468" t="str">
        <x:v>Bertha Chenga</x:v>
      </x:c>
      <x:c r="B468" t="str">
        <x:v>TZ</x:v>
      </x:c>
      <x:c r="C468" t="str">
        <x:v>bertha.chenga@pwc.com</x:v>
      </x:c>
      <x:c r="D468" t="str">
        <x:f>LOWER(TRIM(SUBSTITUTE(C468,CHAR(160)," ")))</x:f>
        <x:v>bertha.chenga@pwc.com</x:v>
      </x:c>
      <x:c r="E468" t="n">
        <x:f>IF(D468="","",IF(COUNTIF($D$2:D468,D468)=1,1,0))</x:f>
        <x:v>1</x:v>
      </x:c>
    </x:row>
    <x:row r="469">
      <x:c r="A469" t="str">
        <x:v>Bhavish Bhunjun</x:v>
      </x:c>
      <x:c r="B469" t="str">
        <x:v>MU</x:v>
      </x:c>
      <x:c r="C469" t="str">
        <x:v>bhavish.bhunjun@pwc.com</x:v>
      </x:c>
      <x:c r="D469" t="str">
        <x:f>LOWER(TRIM(SUBSTITUTE(C469,CHAR(160)," ")))</x:f>
        <x:v>bhavish.bhunjun@pwc.com</x:v>
      </x:c>
      <x:c r="E469" t="n">
        <x:f>IF(D469="","",IF(COUNTIF($D$2:D469,D469)=1,1,0))</x:f>
        <x:v>1</x:v>
      </x:c>
    </x:row>
    <x:row r="470">
      <x:c r="A470" t="str">
        <x:v>Blessed Moinket</x:v>
      </x:c>
      <x:c r="B470" t="str">
        <x:v>KE</x:v>
      </x:c>
      <x:c r="C470" t="str">
        <x:v>blessed.moinket@pwc.com</x:v>
      </x:c>
      <x:c r="D470" t="str">
        <x:f>LOWER(TRIM(SUBSTITUTE(C470,CHAR(160)," ")))</x:f>
        <x:v>blessed.moinket@pwc.com</x:v>
      </x:c>
      <x:c r="E470" t="n">
        <x:f>IF(D470="","",IF(COUNTIF($D$2:D470,D470)=1,1,0))</x:f>
        <x:v>1</x:v>
      </x:c>
    </x:row>
    <x:row r="471">
      <x:c r="A471" t="str">
        <x:v>Bonita Kilama</x:v>
      </x:c>
      <x:c r="B471" t="str">
        <x:v>TZ</x:v>
      </x:c>
      <x:c r="C471" t="str">
        <x:v>bonita.kilama@pwc.com</x:v>
      </x:c>
      <x:c r="D471" t="str">
        <x:f>LOWER(TRIM(SUBSTITUTE(C471,CHAR(160)," ")))</x:f>
        <x:v>bonita.kilama@pwc.com</x:v>
      </x:c>
      <x:c r="E471" t="n">
        <x:f>IF(D471="","",IF(COUNTIF($D$2:D471,D471)=1,1,0))</x:f>
        <x:v>1</x:v>
      </x:c>
    </x:row>
    <x:row r="472">
      <x:c r="A472" t="str">
        <x:v>Brenda Awuor</x:v>
      </x:c>
      <x:c r="B472" t="str">
        <x:v>KE</x:v>
      </x:c>
      <x:c r="C472" t="str">
        <x:v>brenda.awuor@pwc.com</x:v>
      </x:c>
      <x:c r="D472" t="str">
        <x:f>LOWER(TRIM(SUBSTITUTE(C472,CHAR(160)," ")))</x:f>
        <x:v>brenda.awuor@pwc.com</x:v>
      </x:c>
      <x:c r="E472" t="n">
        <x:f>IF(D472="","",IF(COUNTIF($D$2:D472,D472)=1,1,0))</x:f>
        <x:v>1</x:v>
      </x:c>
    </x:row>
    <x:row r="473">
      <x:c r="A473" t="str">
        <x:v>Brenda Nabatanzi</x:v>
      </x:c>
      <x:c r="B473" t="str">
        <x:v>UG</x:v>
      </x:c>
      <x:c r="C473" t="str">
        <x:v>brenda.nabatanzi@pwc.com</x:v>
      </x:c>
      <x:c r="D473" t="str">
        <x:f>LOWER(TRIM(SUBSTITUTE(C473,CHAR(160)," ")))</x:f>
        <x:v>brenda.nabatanzi@pwc.com</x:v>
      </x:c>
      <x:c r="E473" t="n">
        <x:f>IF(D473="","",IF(COUNTIF($D$2:D473,D473)=1,1,0))</x:f>
        <x:v>1</x:v>
      </x:c>
    </x:row>
    <x:row r="474">
      <x:c r="A474" t="str">
        <x:v>Candy Kida</x:v>
      </x:c>
      <x:c r="B474" t="str">
        <x:v>TZ</x:v>
      </x:c>
      <x:c r="C474" t="str">
        <x:v>candy.kida@pwc.com</x:v>
      </x:c>
      <x:c r="D474" t="str">
        <x:f>LOWER(TRIM(SUBSTITUTE(C474,CHAR(160)," ")))</x:f>
        <x:v>candy.kida@pwc.com</x:v>
      </x:c>
      <x:c r="E474" t="n">
        <x:f>IF(D474="","",IF(COUNTIF($D$2:D474,D474)=1,1,0))</x:f>
        <x:v>1</x:v>
      </x:c>
    </x:row>
    <x:row r="475">
      <x:c r="A475" t="str">
        <x:v>Careen Mndolwa</x:v>
      </x:c>
      <x:c r="B475" t="str">
        <x:v>TZ</x:v>
      </x:c>
      <x:c r="C475" t="str">
        <x:v>careen.mndolwa@pwc.com</x:v>
      </x:c>
      <x:c r="D475" t="str">
        <x:f>LOWER(TRIM(SUBSTITUTE(C475,CHAR(160)," ")))</x:f>
        <x:v>careen.mndolwa@pwc.com</x:v>
      </x:c>
      <x:c r="E475" t="n">
        <x:f>IF(D475="","",IF(COUNTIF($D$2:D475,D475)=1,1,0))</x:f>
        <x:v>1</x:v>
      </x:c>
    </x:row>
    <x:row r="476">
      <x:c r="A476" t="str">
        <x:v>Catherine Hyagila</x:v>
      </x:c>
      <x:c r="B476" t="str">
        <x:v>TZ</x:v>
      </x:c>
      <x:c r="C476" t="str">
        <x:v>catherine.hyagila@pwc.com</x:v>
      </x:c>
      <x:c r="D476" t="str">
        <x:f>LOWER(TRIM(SUBSTITUTE(C476,CHAR(160)," ")))</x:f>
        <x:v>catherine.hyagila@pwc.com</x:v>
      </x:c>
      <x:c r="E476" t="n">
        <x:f>IF(D476="","",IF(COUNTIF($D$2:D476,D476)=1,1,0))</x:f>
        <x:v>1</x:v>
      </x:c>
    </x:row>
    <x:row r="477">
      <x:c r="A477" t="str">
        <x:v>Chali Ngulube</x:v>
      </x:c>
      <x:c r="B477" t="str">
        <x:v>ZM</x:v>
      </x:c>
      <x:c r="C477" t="str">
        <x:v>chali.ngulube@pwc.com</x:v>
      </x:c>
      <x:c r="D477" t="str">
        <x:f>LOWER(TRIM(SUBSTITUTE(C477,CHAR(160)," ")))</x:f>
        <x:v>chali.ngulube@pwc.com</x:v>
      </x:c>
      <x:c r="E477" t="n">
        <x:f>IF(D477="","",IF(COUNTIF($D$2:D477,D477)=1,1,0))</x:f>
        <x:v>1</x:v>
      </x:c>
    </x:row>
    <x:row r="478">
      <x:c r="A478" t="str">
        <x:v>Charvi Dowtal</x:v>
      </x:c>
      <x:c r="B478" t="str">
        <x:v>MU</x:v>
      </x:c>
      <x:c r="C478" t="str">
        <x:v>charvi.dowtal@pwc.com</x:v>
      </x:c>
      <x:c r="D478" t="str">
        <x:f>LOWER(TRIM(SUBSTITUTE(C478,CHAR(160)," ")))</x:f>
        <x:v>charvi.dowtal@pwc.com</x:v>
      </x:c>
      <x:c r="E478" t="n">
        <x:f>IF(D478="","",IF(COUNTIF($D$2:D478,D478)=1,1,0))</x:f>
        <x:v>1</x:v>
      </x:c>
    </x:row>
    <x:row r="479">
      <x:c r="A479" t="str">
        <x:v>Chengetai Choopa</x:v>
      </x:c>
      <x:c r="B479" t="str">
        <x:v>ZM</x:v>
      </x:c>
      <x:c r="C479" t="str">
        <x:v>chengetai.choopa@pwc.com</x:v>
      </x:c>
      <x:c r="D479" t="str">
        <x:f>LOWER(TRIM(SUBSTITUTE(C479,CHAR(160)," ")))</x:f>
        <x:v>chengetai.choopa@pwc.com</x:v>
      </x:c>
      <x:c r="E479" t="n">
        <x:f>IF(D479="","",IF(COUNTIF($D$2:D479,D479)=1,1,0))</x:f>
        <x:v>1</x:v>
      </x:c>
    </x:row>
    <x:row r="480">
      <x:c r="A480" t="str">
        <x:v>Cheshta Nothoo</x:v>
      </x:c>
      <x:c r="B480" t="str">
        <x:v>MU</x:v>
      </x:c>
      <x:c r="C480" t="str">
        <x:v>cheshta.nothoo@pwc.com</x:v>
      </x:c>
      <x:c r="D480" t="str">
        <x:f>LOWER(TRIM(SUBSTITUTE(C480,CHAR(160)," ")))</x:f>
        <x:v>cheshta.nothoo@pwc.com</x:v>
      </x:c>
      <x:c r="E480" t="n">
        <x:f>IF(D480="","",IF(COUNTIF($D$2:D480,D480)=1,1,0))</x:f>
        <x:v>1</x:v>
      </x:c>
    </x:row>
    <x:row r="481">
      <x:c r="A481" t="str">
        <x:v>Chiteta Katungu</x:v>
      </x:c>
      <x:c r="B481" t="str">
        <x:v>ZM</x:v>
      </x:c>
      <x:c r="C481" t="str">
        <x:v>chiteta.katungu@pwc.com</x:v>
      </x:c>
      <x:c r="D481" t="str">
        <x:f>LOWER(TRIM(SUBSTITUTE(C481,CHAR(160)," ")))</x:f>
        <x:v>chiteta.katungu@pwc.com</x:v>
      </x:c>
      <x:c r="E481" t="n">
        <x:f>IF(D481="","",IF(COUNTIF($D$2:D481,D481)=1,1,0))</x:f>
        <x:v>1</x:v>
      </x:c>
    </x:row>
    <x:row r="482">
      <x:c r="A482" t="str">
        <x:v>Christina Dinala</x:v>
      </x:c>
      <x:c r="B482" t="str">
        <x:v>ZM</x:v>
      </x:c>
      <x:c r="C482" t="str">
        <x:v>christina.dinala@pwc.com</x:v>
      </x:c>
      <x:c r="D482" t="str">
        <x:f>LOWER(TRIM(SUBSTITUTE(C482,CHAR(160)," ")))</x:f>
        <x:v>christina.dinala@pwc.com</x:v>
      </x:c>
      <x:c r="E482" t="n">
        <x:f>IF(D482="","",IF(COUNTIF($D$2:D482,D482)=1,1,0))</x:f>
        <x:v>1</x:v>
      </x:c>
    </x:row>
    <x:row r="483">
      <x:c r="A483" t="str">
        <x:v>Christophe Fok King</x:v>
      </x:c>
      <x:c r="B483" t="str">
        <x:v>MU</x:v>
      </x:c>
      <x:c r="C483" t="str">
        <x:v>christophe.fok.king@pwc.com</x:v>
      </x:c>
      <x:c r="D483" t="str">
        <x:f>LOWER(TRIM(SUBSTITUTE(C483,CHAR(160)," ")))</x:f>
        <x:v>christophe.fok.king@pwc.com</x:v>
      </x:c>
      <x:c r="E483" t="n">
        <x:f>IF(D483="","",IF(COUNTIF($D$2:D483,D483)=1,1,0))</x:f>
        <x:v>1</x:v>
      </x:c>
    </x:row>
    <x:row r="484">
      <x:c r="A484" t="str">
        <x:v>Christopher Ng'angala</x:v>
      </x:c>
      <x:c r="B484" t="str">
        <x:v>TZ</x:v>
      </x:c>
      <x:c r="C484" t="str">
        <x:v>christopher.ngangala@pwc.com</x:v>
      </x:c>
      <x:c r="D484" t="str">
        <x:f>LOWER(TRIM(SUBSTITUTE(C484,CHAR(160)," ")))</x:f>
        <x:v>christopher.ngangala@pwc.com</x:v>
      </x:c>
      <x:c r="E484" t="n">
        <x:f>IF(D484="","",IF(COUNTIF($D$2:D484,D484)=1,1,0))</x:f>
        <x:v>1</x:v>
      </x:c>
    </x:row>
    <x:row r="485">
      <x:c r="A485" t="str">
        <x:v>Cynthia Waithaka</x:v>
      </x:c>
      <x:c r="B485" t="str">
        <x:v>KE</x:v>
      </x:c>
      <x:c r="C485" t="str">
        <x:v>cynthia.waithaka@pwc.com</x:v>
      </x:c>
      <x:c r="D485" t="str">
        <x:f>LOWER(TRIM(SUBSTITUTE(C485,CHAR(160)," ")))</x:f>
        <x:v>cynthia.waithaka@pwc.com</x:v>
      </x:c>
      <x:c r="E485" t="n">
        <x:f>IF(D485="","",IF(COUNTIF($D$2:D485,D485)=1,1,0))</x:f>
        <x:v>1</x:v>
      </x:c>
    </x:row>
    <x:row r="486">
      <x:c r="A486" t="str">
        <x:v>Dabria Ringo</x:v>
      </x:c>
      <x:c r="B486" t="str">
        <x:v>TZ</x:v>
      </x:c>
      <x:c r="C486" t="str">
        <x:v>dabria.ringo@pwc.com</x:v>
      </x:c>
      <x:c r="D486" t="str">
        <x:f>LOWER(TRIM(SUBSTITUTE(C486,CHAR(160)," ")))</x:f>
        <x:v>dabria.ringo@pwc.com</x:v>
      </x:c>
      <x:c r="E486" t="n">
        <x:f>IF(D486="","",IF(COUNTIF($D$2:D486,D486)=1,1,0))</x:f>
        <x:v>1</x:v>
      </x:c>
    </x:row>
    <x:row r="487">
      <x:c r="A487" t="str">
        <x:v>Daniella Sardes</x:v>
      </x:c>
      <x:c r="B487" t="str">
        <x:v>MU</x:v>
      </x:c>
      <x:c r="C487" t="str">
        <x:v>perday.sardes@pwc.com</x:v>
      </x:c>
      <x:c r="D487" t="str">
        <x:f>LOWER(TRIM(SUBSTITUTE(C487,CHAR(160)," ")))</x:f>
        <x:v>perday.sardes@pwc.com</x:v>
      </x:c>
      <x:c r="E487" t="n">
        <x:f>IF(D487="","",IF(COUNTIF($D$2:D487,D487)=1,1,0))</x:f>
        <x:v>1</x:v>
      </x:c>
    </x:row>
    <x:row r="488">
      <x:c r="A488" t="str">
        <x:v>David Kalumbu</x:v>
      </x:c>
      <x:c r="B488" t="str">
        <x:v>ZM</x:v>
      </x:c>
      <x:c r="C488" t="str">
        <x:v>david.kalumbu@pwc.com</x:v>
      </x:c>
      <x:c r="D488" t="str">
        <x:f>LOWER(TRIM(SUBSTITUTE(C488,CHAR(160)," ")))</x:f>
        <x:v>david.kalumbu@pwc.com</x:v>
      </x:c>
      <x:c r="E488" t="n">
        <x:f>IF(D488="","",IF(COUNTIF($D$2:D488,D488)=1,1,0))</x:f>
        <x:v>1</x:v>
      </x:c>
    </x:row>
    <x:row r="489">
      <x:c r="A489" t="str">
        <x:v>Dennis Ongeri</x:v>
      </x:c>
      <x:c r="B489" t="str">
        <x:v>KE</x:v>
      </x:c>
      <x:c r="C489" t="str">
        <x:v>dennis.ongeri@pwc.com</x:v>
      </x:c>
      <x:c r="D489" t="str">
        <x:f>LOWER(TRIM(SUBSTITUTE(C489,CHAR(160)," ")))</x:f>
        <x:v>dennis.ongeri@pwc.com</x:v>
      </x:c>
      <x:c r="E489" t="n">
        <x:f>IF(D489="","",IF(COUNTIF($D$2:D489,D489)=1,1,0))</x:f>
        <x:v>1</x:v>
      </x:c>
    </x:row>
    <x:row r="490">
      <x:c r="A490" t="str">
        <x:v>Derrick Muhire</x:v>
      </x:c>
      <x:c r="B490" t="str">
        <x:v>RW</x:v>
      </x:c>
      <x:c r="C490" t="str">
        <x:v>derick.muhire@pwc.com</x:v>
      </x:c>
      <x:c r="D490" t="str">
        <x:f>LOWER(TRIM(SUBSTITUTE(C490,CHAR(160)," ")))</x:f>
        <x:v>derick.muhire@pwc.com</x:v>
      </x:c>
      <x:c r="E490" t="n">
        <x:f>IF(D490="","",IF(COUNTIF($D$2:D490,D490)=1,1,0))</x:f>
        <x:v>1</x:v>
      </x:c>
    </x:row>
    <x:row r="491">
      <x:c r="A491" t="str">
        <x:v>Diana Chege</x:v>
      </x:c>
      <x:c r="B491" t="str">
        <x:v>RW</x:v>
      </x:c>
      <x:c r="C491" t="str">
        <x:v>diana.c.chege@pwc.com</x:v>
      </x:c>
      <x:c r="D491" t="str">
        <x:f>LOWER(TRIM(SUBSTITUTE(C491,CHAR(160)," ")))</x:f>
        <x:v>diana.c.chege@pwc.com</x:v>
      </x:c>
      <x:c r="E491" t="n">
        <x:f>IF(D491="","",IF(COUNTIF($D$2:D491,D491)=1,1,0))</x:f>
        <x:v>1</x:v>
      </x:c>
    </x:row>
    <x:row r="492">
      <x:c r="A492" t="str">
        <x:v>Dickson Banda</x:v>
      </x:c>
      <x:c r="B492" t="str">
        <x:v>ZM</x:v>
      </x:c>
      <x:c r="C492" t="str">
        <x:v>dickson.banda@pwc.com</x:v>
      </x:c>
      <x:c r="D492" t="str">
        <x:f>LOWER(TRIM(SUBSTITUTE(C492,CHAR(160)," ")))</x:f>
        <x:v>dickson.banda@pwc.com</x:v>
      </x:c>
      <x:c r="E492" t="n">
        <x:f>IF(D492="","",IF(COUNTIF($D$2:D492,D492)=1,1,0))</x:f>
        <x:v>1</x:v>
      </x:c>
    </x:row>
    <x:row r="493">
      <x:c r="A493" t="str">
        <x:v>Doroth Mushi</x:v>
      </x:c>
      <x:c r="B493" t="str">
        <x:v>TZ</x:v>
      </x:c>
      <x:c r="C493" t="str">
        <x:v>doroth.mushi@pwc.com</x:v>
      </x:c>
      <x:c r="D493" t="str">
        <x:f>LOWER(TRIM(SUBSTITUTE(C493,CHAR(160)," ")))</x:f>
        <x:v>doroth.mushi@pwc.com</x:v>
      </x:c>
      <x:c r="E493" t="n">
        <x:f>IF(D493="","",IF(COUNTIF($D$2:D493,D493)=1,1,0))</x:f>
        <x:v>1</x:v>
      </x:c>
    </x:row>
    <x:row r="494">
      <x:c r="A494" t="str">
        <x:v>Douglas Kunda</x:v>
      </x:c>
      <x:c r="B494" t="str">
        <x:v>ZM</x:v>
      </x:c>
      <x:c r="C494" t="str">
        <x:v>douglas.kunda@pwc.com</x:v>
      </x:c>
      <x:c r="D494" t="str">
        <x:f>LOWER(TRIM(SUBSTITUTE(C494,CHAR(160)," ")))</x:f>
        <x:v>douglas.kunda@pwc.com</x:v>
      </x:c>
      <x:c r="E494" t="n">
        <x:f>IF(D494="","",IF(COUNTIF($D$2:D494,D494)=1,1,0))</x:f>
        <x:v>1</x:v>
      </x:c>
    </x:row>
    <x:row r="495">
      <x:c r="A495" t="str">
        <x:v>Dylan How Nee Hee Hafee</x:v>
      </x:c>
      <x:c r="B495" t="str">
        <x:v>MU</x:v>
      </x:c>
      <x:c r="C495" t="str">
        <x:v>dylan.how.nee.hee.hafee@pwc.com</x:v>
      </x:c>
      <x:c r="D495" t="str">
        <x:f>LOWER(TRIM(SUBSTITUTE(C495,CHAR(160)," ")))</x:f>
        <x:v>dylan.how.nee.hee.hafee@pwc.com</x:v>
      </x:c>
      <x:c r="E495" t="n">
        <x:f>IF(D495="","",IF(COUNTIF($D$2:D495,D495)=1,1,0))</x:f>
        <x:v>1</x:v>
      </x:c>
    </x:row>
    <x:row r="496">
      <x:c r="A496" t="str">
        <x:v>Ebby Syombua</x:v>
      </x:c>
      <x:c r="B496" t="str">
        <x:v>KE</x:v>
      </x:c>
      <x:c r="C496" t="str">
        <x:v>ebby.syombua@pwc.com</x:v>
      </x:c>
      <x:c r="D496" t="str">
        <x:f>LOWER(TRIM(SUBSTITUTE(C496,CHAR(160)," ")))</x:f>
        <x:v>ebby.syombua@pwc.com</x:v>
      </x:c>
      <x:c r="E496" t="n">
        <x:f>IF(D496="","",IF(COUNTIF($D$2:D496,D496)=1,1,0))</x:f>
        <x:v>1</x:v>
      </x:c>
    </x:row>
    <x:row r="497">
      <x:c r="A497" t="str">
        <x:v>Eddie Wachira</x:v>
      </x:c>
      <x:c r="B497" t="str">
        <x:v>KE</x:v>
      </x:c>
      <x:c r="C497" t="str">
        <x:v>eddie.wachira@pwc.com</x:v>
      </x:c>
      <x:c r="D497" t="str">
        <x:f>LOWER(TRIM(SUBSTITUTE(C497,CHAR(160)," ")))</x:f>
        <x:v>eddie.wachira@pwc.com</x:v>
      </x:c>
      <x:c r="E497" t="n">
        <x:f>IF(D497="","",IF(COUNTIF($D$2:D497,D497)=1,1,0))</x:f>
        <x:v>1</x:v>
      </x:c>
    </x:row>
    <x:row r="498">
      <x:c r="A498" t="str">
        <x:v>Edmond Oluoch</x:v>
      </x:c>
      <x:c r="B498" t="str">
        <x:v>KE</x:v>
      </x:c>
      <x:c r="C498" t="str">
        <x:v>edmond.oluoch@pwc.com</x:v>
      </x:c>
      <x:c r="D498" t="str">
        <x:f>LOWER(TRIM(SUBSTITUTE(C498,CHAR(160)," ")))</x:f>
        <x:v>edmond.oluoch@pwc.com</x:v>
      </x:c>
      <x:c r="E498" t="n">
        <x:f>IF(D498="","",IF(COUNTIF($D$2:D498,D498)=1,1,0))</x:f>
        <x:v>1</x:v>
      </x:c>
    </x:row>
    <x:row r="499">
      <x:c r="A499" t="str">
        <x:v>Edna Kimenju</x:v>
      </x:c>
      <x:c r="B499" t="str">
        <x:v>KE</x:v>
      </x:c>
      <x:c r="C499" t="str">
        <x:v>edna.kimenju@pwc.com</x:v>
      </x:c>
      <x:c r="D499" t="str">
        <x:f>LOWER(TRIM(SUBSTITUTE(C499,CHAR(160)," ")))</x:f>
        <x:v>edna.kimenju@pwc.com</x:v>
      </x:c>
      <x:c r="E499" t="n">
        <x:f>IF(D499="","",IF(COUNTIF($D$2:D499,D499)=1,1,0))</x:f>
        <x:v>1</x:v>
      </x:c>
    </x:row>
    <x:row r="500">
      <x:c r="A500" t="str">
        <x:v>Elisha Jairo</x:v>
      </x:c>
      <x:c r="B500" t="str">
        <x:v>TZ</x:v>
      </x:c>
      <x:c r="C500" t="str">
        <x:v>elisha.jairo@pwc.com</x:v>
      </x:c>
      <x:c r="D500" t="str">
        <x:f>LOWER(TRIM(SUBSTITUTE(C500,CHAR(160)," ")))</x:f>
        <x:v>elisha.jairo@pwc.com</x:v>
      </x:c>
      <x:c r="E500" t="n">
        <x:f>IF(D500="","",IF(COUNTIF($D$2:D500,D500)=1,1,0))</x:f>
        <x:v>1</x:v>
      </x:c>
    </x:row>
    <x:row r="501">
      <x:c r="A501" t="str">
        <x:v>Elizabeth Monga</x:v>
      </x:c>
      <x:c r="B501" t="str">
        <x:v>ZM</x:v>
      </x:c>
      <x:c r="C501" t="str">
        <x:v>elizabeth.m.monga@pwc.com</x:v>
      </x:c>
      <x:c r="D501" t="str">
        <x:f>LOWER(TRIM(SUBSTITUTE(C501,CHAR(160)," ")))</x:f>
        <x:v>elizabeth.m.monga@pwc.com</x:v>
      </x:c>
      <x:c r="E501" t="n">
        <x:f>IF(D501="","",IF(COUNTIF($D$2:D501,D501)=1,1,0))</x:f>
        <x:v>1</x:v>
      </x:c>
    </x:row>
    <x:row r="502">
      <x:c r="A502" t="str">
        <x:v>Elvin Isaiah Nuwagaba</x:v>
      </x:c>
      <x:c r="B502" t="str">
        <x:v>UG</x:v>
      </x:c>
      <x:c r="C502" t="str">
        <x:v>isaiah.nuwagaba@pwc.com</x:v>
      </x:c>
      <x:c r="D502" t="str">
        <x:f>LOWER(TRIM(SUBSTITUTE(C502,CHAR(160)," ")))</x:f>
        <x:v>isaiah.nuwagaba@pwc.com</x:v>
      </x:c>
      <x:c r="E502" t="n">
        <x:f>IF(D502="","",IF(COUNTIF($D$2:D502,D502)=1,1,0))</x:f>
        <x:v>1</x:v>
      </x:c>
    </x:row>
    <x:row r="503">
      <x:c r="A503" t="str">
        <x:v>Elvin Julius</x:v>
      </x:c>
      <x:c r="B503" t="str">
        <x:v>TZ</x:v>
      </x:c>
      <x:c r="C503" t="str">
        <x:v>elvin.julius@pwc.com</x:v>
      </x:c>
      <x:c r="D503" t="str">
        <x:f>LOWER(TRIM(SUBSTITUTE(C503,CHAR(160)," ")))</x:f>
        <x:v>elvin.julius@pwc.com</x:v>
      </x:c>
      <x:c r="E503" t="n">
        <x:f>IF(D503="","",IF(COUNTIF($D$2:D503,D503)=1,1,0))</x:f>
        <x:v>1</x:v>
      </x:c>
    </x:row>
    <x:row r="504">
      <x:c r="A504" t="str">
        <x:v>Emmanuel Lema</x:v>
      </x:c>
      <x:c r="B504" t="str">
        <x:v>TZ</x:v>
      </x:c>
      <x:c r="C504" t="str">
        <x:v>emmanuel.lema@pwc.com</x:v>
      </x:c>
      <x:c r="D504" t="str">
        <x:f>LOWER(TRIM(SUBSTITUTE(C504,CHAR(160)," ")))</x:f>
        <x:v>emmanuel.lema@pwc.com</x:v>
      </x:c>
      <x:c r="E504" t="n">
        <x:f>IF(D504="","",IF(COUNTIF($D$2:D504,D504)=1,1,0))</x:f>
        <x:v>1</x:v>
      </x:c>
    </x:row>
    <x:row r="505">
      <x:c r="A505" t="str">
        <x:v>Emmanuel Shoo</x:v>
      </x:c>
      <x:c r="B505" t="str">
        <x:v>TZ</x:v>
      </x:c>
      <x:c r="C505" t="str">
        <x:v>emmanuel.shoo@pwc.com</x:v>
      </x:c>
      <x:c r="D505" t="str">
        <x:f>LOWER(TRIM(SUBSTITUTE(C505,CHAR(160)," ")))</x:f>
        <x:v>emmanuel.shoo@pwc.com</x:v>
      </x:c>
      <x:c r="E505" t="n">
        <x:f>IF(D505="","",IF(COUNTIF($D$2:D505,D505)=1,1,0))</x:f>
        <x:v>1</x:v>
      </x:c>
    </x:row>
    <x:row r="506">
      <x:c r="A506" t="str">
        <x:v>Enock Muywanga</x:v>
      </x:c>
      <x:c r="B506" t="str">
        <x:v>TZ</x:v>
      </x:c>
      <x:c r="C506" t="str">
        <x:v>enock.muywanga@pwc.com</x:v>
      </x:c>
      <x:c r="D506" t="str">
        <x:f>LOWER(TRIM(SUBSTITUTE(C506,CHAR(160)," ")))</x:f>
        <x:v>enock.muywanga@pwc.com</x:v>
      </x:c>
      <x:c r="E506" t="n">
        <x:f>IF(D506="","",IF(COUNTIF($D$2:D506,D506)=1,1,0))</x:f>
        <x:v>1</x:v>
      </x:c>
    </x:row>
    <x:row r="507">
      <x:c r="A507" t="str">
        <x:v>Eric Shumbusha</x:v>
      </x:c>
      <x:c r="B507" t="str">
        <x:v>RW</x:v>
      </x:c>
      <x:c r="C507" t="str">
        <x:v>eric.shumbusha@pwc.com</x:v>
      </x:c>
      <x:c r="D507" t="str">
        <x:f>LOWER(TRIM(SUBSTITUTE(C507,CHAR(160)," ")))</x:f>
        <x:v>eric.shumbusha@pwc.com</x:v>
      </x:c>
      <x:c r="E507" t="n">
        <x:f>IF(D507="","",IF(COUNTIF($D$2:D507,D507)=1,1,0))</x:f>
        <x:v>1</x:v>
      </x:c>
    </x:row>
    <x:row r="508">
      <x:c r="A508" t="str">
        <x:v>Erick Mdaki</x:v>
      </x:c>
      <x:c r="B508" t="str">
        <x:v>TZ</x:v>
      </x:c>
      <x:c r="C508" t="str">
        <x:v>erick.mdaki@pwc.com</x:v>
      </x:c>
      <x:c r="D508" t="str">
        <x:f>LOWER(TRIM(SUBSTITUTE(C508,CHAR(160)," ")))</x:f>
        <x:v>erick.mdaki@pwc.com</x:v>
      </x:c>
      <x:c r="E508" t="n">
        <x:f>IF(D508="","",IF(COUNTIF($D$2:D508,D508)=1,1,0))</x:f>
        <x:v>1</x:v>
      </x:c>
    </x:row>
    <x:row r="509">
      <x:c r="A509" t="str">
        <x:v>Esther Mulaisho</x:v>
      </x:c>
      <x:c r="B509" t="str">
        <x:v>ZM</x:v>
      </x:c>
      <x:c r="C509" t="str">
        <x:v>esther.mulaisho@pwc.com</x:v>
      </x:c>
      <x:c r="D509" t="str">
        <x:f>LOWER(TRIM(SUBSTITUTE(C509,CHAR(160)," ")))</x:f>
        <x:v>esther.mulaisho@pwc.com</x:v>
      </x:c>
      <x:c r="E509" t="n">
        <x:f>IF(D509="","",IF(COUNTIF($D$2:D509,D509)=1,1,0))</x:f>
        <x:v>1</x:v>
      </x:c>
    </x:row>
    <x:row r="510">
      <x:c r="A510" t="str">
        <x:v>Etase Nyirenda</x:v>
      </x:c>
      <x:c r="B510" t="str">
        <x:v>ZM</x:v>
      </x:c>
      <x:c r="C510" t="str">
        <x:v>etase.nyirenda@pwc.com</x:v>
      </x:c>
      <x:c r="D510" t="str">
        <x:f>LOWER(TRIM(SUBSTITUTE(C510,CHAR(160)," ")))</x:f>
        <x:v>etase.nyirenda@pwc.com</x:v>
      </x:c>
      <x:c r="E510" t="n">
        <x:f>IF(D510="","",IF(COUNTIF($D$2:D510,D510)=1,1,0))</x:f>
        <x:v>1</x:v>
      </x:c>
    </x:row>
    <x:row r="511">
      <x:c r="A511" t="str">
        <x:v>Evans Makumba</x:v>
      </x:c>
      <x:c r="B511" t="str">
        <x:v>RW</x:v>
      </x:c>
      <x:c r="C511" t="str">
        <x:v>evans.makumba@pwc.com</x:v>
      </x:c>
      <x:c r="D511" t="str">
        <x:f>LOWER(TRIM(SUBSTITUTE(C511,CHAR(160)," ")))</x:f>
        <x:v>evans.makumba@pwc.com</x:v>
      </x:c>
      <x:c r="E511" t="n">
        <x:f>IF(D511="","",IF(COUNTIF($D$2:D511,D511)=1,1,0))</x:f>
        <x:v>1</x:v>
      </x:c>
    </x:row>
    <x:row r="512">
      <x:c r="A512" t="str">
        <x:v>Eyosias Sahlu</x:v>
      </x:c>
      <x:c r="B512" t="str">
        <x:v>KE</x:v>
      </x:c>
      <x:c r="C512" t="str">
        <x:v>eyosisas.sahlu@pwc.com</x:v>
      </x:c>
      <x:c r="D512" t="str">
        <x:f>LOWER(TRIM(SUBSTITUTE(C512,CHAR(160)," ")))</x:f>
        <x:v>eyosisas.sahlu@pwc.com</x:v>
      </x:c>
      <x:c r="E512" t="n">
        <x:f>IF(D512="","",IF(COUNTIF($D$2:D512,D512)=1,1,0))</x:f>
        <x:v>1</x:v>
      </x:c>
    </x:row>
    <x:row r="513">
      <x:c r="A513" t="str">
        <x:v>Fabrice Irabizi</x:v>
      </x:c>
      <x:c r="B513" t="str">
        <x:v>RW</x:v>
      </x:c>
      <x:c r="C513" t="str">
        <x:v>fabrice.irabizi@pwc.com</x:v>
      </x:c>
      <x:c r="D513" t="str">
        <x:f>LOWER(TRIM(SUBSTITUTE(C513,CHAR(160)," ")))</x:f>
        <x:v>fabrice.irabizi@pwc.com</x:v>
      </x:c>
      <x:c r="E513" t="n">
        <x:f>IF(D513="","",IF(COUNTIF($D$2:D513,D513)=1,1,0))</x:f>
        <x:v>1</x:v>
      </x:c>
    </x:row>
    <x:row r="514">
      <x:c r="A514" t="str">
        <x:v>Faheem Ammeer</x:v>
      </x:c>
      <x:c r="B514" t="str">
        <x:v>MU</x:v>
      </x:c>
      <x:c r="C514" t="str">
        <x:v>faheem.ammeer@pwc.com</x:v>
      </x:c>
      <x:c r="D514" t="str">
        <x:f>LOWER(TRIM(SUBSTITUTE(C514,CHAR(160)," ")))</x:f>
        <x:v>faheem.ammeer@pwc.com</x:v>
      </x:c>
      <x:c r="E514" t="n">
        <x:f>IF(D514="","",IF(COUNTIF($D$2:D514,D514)=1,1,0))</x:f>
        <x:v>1</x:v>
      </x:c>
    </x:row>
    <x:row r="515">
      <x:c r="A515" t="str">
        <x:v>Faheem Auliar</x:v>
      </x:c>
      <x:c r="B515" t="str">
        <x:v>MU</x:v>
      </x:c>
      <x:c r="C515" t="str">
        <x:v>faheem.auliar@pwc.com</x:v>
      </x:c>
      <x:c r="D515" t="str">
        <x:f>LOWER(TRIM(SUBSTITUTE(C515,CHAR(160)," ")))</x:f>
        <x:v>faheem.auliar@pwc.com</x:v>
      </x:c>
      <x:c r="E515" t="n">
        <x:f>IF(D515="","",IF(COUNTIF($D$2:D515,D515)=1,1,0))</x:f>
        <x:v>1</x:v>
      </x:c>
    </x:row>
    <x:row r="516">
      <x:c r="A516" t="str">
        <x:v>Faith Edeni</x:v>
      </x:c>
      <x:c r="B516" t="str">
        <x:v>UG</x:v>
      </x:c>
      <x:c r="C516" t="str">
        <x:v>faith.edeni@pwc.com</x:v>
      </x:c>
      <x:c r="D516" t="str">
        <x:f>LOWER(TRIM(SUBSTITUTE(C516,CHAR(160)," ")))</x:f>
        <x:v>faith.edeni@pwc.com</x:v>
      </x:c>
      <x:c r="E516" t="n">
        <x:f>IF(D516="","",IF(COUNTIF($D$2:D516,D516)=1,1,0))</x:f>
        <x:v>1</x:v>
      </x:c>
    </x:row>
    <x:row r="517">
      <x:c r="A517" t="str">
        <x:v>Faith Kessy</x:v>
      </x:c>
      <x:c r="B517" t="str">
        <x:v>TZ</x:v>
      </x:c>
      <x:c r="C517" t="str">
        <x:v>faith.kessy@pwc.com</x:v>
      </x:c>
      <x:c r="D517" t="str">
        <x:f>LOWER(TRIM(SUBSTITUTE(C517,CHAR(160)," ")))</x:f>
        <x:v>faith.kessy@pwc.com</x:v>
      </x:c>
      <x:c r="E517" t="n">
        <x:f>IF(D517="","",IF(COUNTIF($D$2:D517,D517)=1,1,0))</x:f>
        <x:v>1</x:v>
      </x:c>
    </x:row>
    <x:row r="518">
      <x:c r="A518" t="str">
        <x:v>Farida Mohamed</x:v>
      </x:c>
      <x:c r="B518" t="str">
        <x:v>TZ</x:v>
      </x:c>
      <x:c r="C518" t="str">
        <x:v>farida.mohamed@pwc.com</x:v>
      </x:c>
      <x:c r="D518" t="str">
        <x:f>LOWER(TRIM(SUBSTITUTE(C518,CHAR(160)," ")))</x:f>
        <x:v>farida.mohamed@pwc.com</x:v>
      </x:c>
      <x:c r="E518" t="n">
        <x:f>IF(D518="","",IF(COUNTIF($D$2:D518,D518)=1,1,0))</x:f>
        <x:v>1</x:v>
      </x:c>
    </x:row>
    <x:row r="519">
      <x:c r="A519" t="str">
        <x:v>Fatimah Junggee</x:v>
      </x:c>
      <x:c r="B519" t="str">
        <x:v>MU</x:v>
      </x:c>
      <x:c r="C519" t="str">
        <x:v>fatimah.j.junggee@pwc.com</x:v>
      </x:c>
      <x:c r="D519" t="str">
        <x:f>LOWER(TRIM(SUBSTITUTE(C519,CHAR(160)," ")))</x:f>
        <x:v>fatimah.j.junggee@pwc.com</x:v>
      </x:c>
      <x:c r="E519" t="n">
        <x:f>IF(D519="","",IF(COUNTIF($D$2:D519,D519)=1,1,0))</x:f>
        <x:v>1</x:v>
      </x:c>
    </x:row>
    <x:row r="520">
      <x:c r="A520" t="str">
        <x:v>Feliciano Fevrier</x:v>
      </x:c>
      <x:c r="B520" t="str">
        <x:v>MU</x:v>
      </x:c>
      <x:c r="C520" t="str">
        <x:v>feliciano.fevrier@pwc.com</x:v>
      </x:c>
      <x:c r="D520" t="str">
        <x:f>LOWER(TRIM(SUBSTITUTE(C520,CHAR(160)," ")))</x:f>
        <x:v>feliciano.fevrier@pwc.com</x:v>
      </x:c>
      <x:c r="E520" t="n">
        <x:f>IF(D520="","",IF(COUNTIF($D$2:D520,D520)=1,1,0))</x:f>
        <x:v>1</x:v>
      </x:c>
    </x:row>
    <x:row r="521">
      <x:c r="A521" t="str">
        <x:v>Felix Katongo</x:v>
      </x:c>
      <x:c r="B521" t="str">
        <x:v>ZM</x:v>
      </x:c>
      <x:c r="C521" t="str">
        <x:v>felix.katongo@pwc.com</x:v>
      </x:c>
      <x:c r="D521" t="str">
        <x:f>LOWER(TRIM(SUBSTITUTE(C521,CHAR(160)," ")))</x:f>
        <x:v>felix.katongo@pwc.com</x:v>
      </x:c>
      <x:c r="E521" t="n">
        <x:f>IF(D521="","",IF(COUNTIF($D$2:D521,D521)=1,1,0))</x:f>
        <x:v>1</x:v>
      </x:c>
    </x:row>
    <x:row r="522">
      <x:c r="A522" t="str">
        <x:v>Fikraddis Cheru</x:v>
      </x:c>
      <x:c r="B522" t="str">
        <x:v>KE</x:v>
      </x:c>
      <x:c r="C522" t="str">
        <x:v>fikraddis.cheru@pwc.com</x:v>
      </x:c>
      <x:c r="D522" t="str">
        <x:f>LOWER(TRIM(SUBSTITUTE(C522,CHAR(160)," ")))</x:f>
        <x:v>fikraddis.cheru@pwc.com</x:v>
      </x:c>
      <x:c r="E522" t="n">
        <x:f>IF(D522="","",IF(COUNTIF($D$2:D522,D522)=1,1,0))</x:f>
        <x:v>1</x:v>
      </x:c>
    </x:row>
    <x:row r="523">
      <x:c r="A523" t="str">
        <x:v>Flavian Atieno</x:v>
      </x:c>
      <x:c r="B523" t="str">
        <x:v>KE</x:v>
      </x:c>
      <x:c r="C523" t="str">
        <x:v>flavian.atieno@pwc.com</x:v>
      </x:c>
      <x:c r="D523" t="str">
        <x:f>LOWER(TRIM(SUBSTITUTE(C523,CHAR(160)," ")))</x:f>
        <x:v>flavian.atieno@pwc.com</x:v>
      </x:c>
      <x:c r="E523" t="n">
        <x:f>IF(D523="","",IF(COUNTIF($D$2:D523,D523)=1,1,0))</x:f>
        <x:v>1</x:v>
      </x:c>
    </x:row>
    <x:row r="524">
      <x:c r="A524" t="str">
        <x:v>Francisco Mulwana</x:v>
      </x:c>
      <x:c r="B524" t="str">
        <x:v>UG</x:v>
      </x:c>
      <x:c r="C524" t="str">
        <x:v>francisco.mulwana@pwc.com</x:v>
      </x:c>
      <x:c r="D524" t="str">
        <x:f>LOWER(TRIM(SUBSTITUTE(C524,CHAR(160)," ")))</x:f>
        <x:v>francisco.mulwana@pwc.com</x:v>
      </x:c>
      <x:c r="E524" t="n">
        <x:f>IF(D524="","",IF(COUNTIF($D$2:D524,D524)=1,1,0))</x:f>
        <x:v>1</x:v>
      </x:c>
    </x:row>
    <x:row r="525">
      <x:c r="A525" t="str">
        <x:v>Gavin Thirakaluthy</x:v>
      </x:c>
      <x:c r="B525" t="str">
        <x:v>MU</x:v>
      </x:c>
      <x:c r="C525" t="str">
        <x:v>gavin.x.thirakaluthy@pwc.com</x:v>
      </x:c>
      <x:c r="D525" t="str">
        <x:f>LOWER(TRIM(SUBSTITUTE(C525,CHAR(160)," ")))</x:f>
        <x:v>gavin.x.thirakaluthy@pwc.com</x:v>
      </x:c>
      <x:c r="E525" t="n">
        <x:f>IF(D525="","",IF(COUNTIF($D$2:D525,D525)=1,1,0))</x:f>
        <x:v>1</x:v>
      </x:c>
    </x:row>
    <x:row r="526">
      <x:c r="A526" t="str">
        <x:v>Geofrey Bukyana</x:v>
      </x:c>
      <x:c r="B526" t="str">
        <x:v>UG</x:v>
      </x:c>
      <x:c r="C526" t="str">
        <x:v>geofrey.bukyana@pwc.com</x:v>
      </x:c>
      <x:c r="D526" t="str">
        <x:f>LOWER(TRIM(SUBSTITUTE(C526,CHAR(160)," ")))</x:f>
        <x:v>geofrey.bukyana@pwc.com</x:v>
      </x:c>
      <x:c r="E526" t="n">
        <x:f>IF(D526="","",IF(COUNTIF($D$2:D526,D526)=1,1,0))</x:f>
        <x:v>1</x:v>
      </x:c>
    </x:row>
    <x:row r="527">
      <x:c r="A527" t="str">
        <x:v>Georginah Ayebare</x:v>
      </x:c>
      <x:c r="B527" t="str">
        <x:v>TZ</x:v>
      </x:c>
      <x:c r="C527" t="str">
        <x:v>georginah.ayebare@pwc.com</x:v>
      </x:c>
      <x:c r="D527" t="str">
        <x:f>LOWER(TRIM(SUBSTITUTE(C527,CHAR(160)," ")))</x:f>
        <x:v>georginah.ayebare@pwc.com</x:v>
      </x:c>
      <x:c r="E527" t="n">
        <x:f>IF(D527="","",IF(COUNTIF($D$2:D527,D527)=1,1,0))</x:f>
        <x:v>1</x:v>
      </x:c>
    </x:row>
    <x:row r="528">
      <x:c r="A528" t="str">
        <x:v>Gladness Ngowi</x:v>
      </x:c>
      <x:c r="B528" t="str">
        <x:v>TZ</x:v>
      </x:c>
      <x:c r="C528" t="str">
        <x:v>gladness.ngowi@pwc.com</x:v>
      </x:c>
      <x:c r="D528" t="str">
        <x:f>LOWER(TRIM(SUBSTITUTE(C528,CHAR(160)," ")))</x:f>
        <x:v>gladness.ngowi@pwc.com</x:v>
      </x:c>
      <x:c r="E528" t="n">
        <x:f>IF(D528="","",IF(COUNTIF($D$2:D528,D528)=1,1,0))</x:f>
        <x:v>1</x:v>
      </x:c>
    </x:row>
    <x:row r="529">
      <x:c r="A529" t="str">
        <x:v>Gloria Aheebwa</x:v>
      </x:c>
      <x:c r="B529" t="str">
        <x:v>UG</x:v>
      </x:c>
      <x:c r="C529" t="str">
        <x:v>gloria.aheebwa@pwc.com</x:v>
      </x:c>
      <x:c r="D529" t="str">
        <x:f>LOWER(TRIM(SUBSTITUTE(C529,CHAR(160)," ")))</x:f>
        <x:v>gloria.aheebwa@pwc.com</x:v>
      </x:c>
      <x:c r="E529" t="n">
        <x:f>IF(D529="","",IF(COUNTIF($D$2:D529,D529)=1,1,0))</x:f>
        <x:v>1</x:v>
      </x:c>
    </x:row>
    <x:row r="530">
      <x:c r="A530" t="str">
        <x:v>Gloria Kirungi</x:v>
      </x:c>
      <x:c r="B530" t="str">
        <x:v>UG</x:v>
      </x:c>
      <x:c r="C530" t="str">
        <x:v>gloria.kirungi@pwc.com</x:v>
      </x:c>
      <x:c r="D530" t="str">
        <x:f>LOWER(TRIM(SUBSTITUTE(C530,CHAR(160)," ")))</x:f>
        <x:v>gloria.kirungi@pwc.com</x:v>
      </x:c>
      <x:c r="E530" t="n">
        <x:f>IF(D530="","",IF(COUNTIF($D$2:D530,D530)=1,1,0))</x:f>
        <x:v>1</x:v>
      </x:c>
    </x:row>
    <x:row r="531">
      <x:c r="A531" t="str">
        <x:v>Glory Madunda</x:v>
      </x:c>
      <x:c r="B531" t="str">
        <x:v>TZ</x:v>
      </x:c>
      <x:c r="C531" t="str">
        <x:v>glory.madunda@pwc.com</x:v>
      </x:c>
      <x:c r="D531" t="str">
        <x:f>LOWER(TRIM(SUBSTITUTE(C531,CHAR(160)," ")))</x:f>
        <x:v>glory.madunda@pwc.com</x:v>
      </x:c>
      <x:c r="E531" t="n">
        <x:f>IF(D531="","",IF(COUNTIF($D$2:D531,D531)=1,1,0))</x:f>
        <x:v>1</x:v>
      </x:c>
    </x:row>
    <x:row r="532">
      <x:c r="A532" t="str">
        <x:v>Glory Nnko</x:v>
      </x:c>
      <x:c r="B532" t="str">
        <x:v>TZ</x:v>
      </x:c>
      <x:c r="C532" t="str">
        <x:v>glory.nnko@pwc.com</x:v>
      </x:c>
      <x:c r="D532" t="str">
        <x:f>LOWER(TRIM(SUBSTITUTE(C532,CHAR(160)," ")))</x:f>
        <x:v>glory.nnko@pwc.com</x:v>
      </x:c>
      <x:c r="E532" t="n">
        <x:f>IF(D532="","",IF(COUNTIF($D$2:D532,D532)=1,1,0))</x:f>
        <x:v>1</x:v>
      </x:c>
    </x:row>
    <x:row r="533">
      <x:c r="A533" t="str">
        <x:v>Hadassah Phiri</x:v>
      </x:c>
      <x:c r="B533" t="str">
        <x:v>ZM</x:v>
      </x:c>
      <x:c r="C533" t="str">
        <x:v>hadassah.phiri@pwc.com</x:v>
      </x:c>
      <x:c r="D533" t="str">
        <x:f>LOWER(TRIM(SUBSTITUTE(C533,CHAR(160)," ")))</x:f>
        <x:v>hadassah.phiri@pwc.com</x:v>
      </x:c>
      <x:c r="E533" t="n">
        <x:f>IF(D533="","",IF(COUNTIF($D$2:D533,D533)=1,1,0))</x:f>
        <x:v>1</x:v>
      </x:c>
    </x:row>
    <x:row r="534">
      <x:c r="A534" t="str">
        <x:v>Hans Lutchmanen</x:v>
      </x:c>
      <x:c r="B534" t="str">
        <x:v>MU</x:v>
      </x:c>
      <x:c r="C534" t="str">
        <x:v>hans.l.lutchmanen@pwc.com</x:v>
      </x:c>
      <x:c r="D534" t="str">
        <x:f>LOWER(TRIM(SUBSTITUTE(C534,CHAR(160)," ")))</x:f>
        <x:v>hans.l.lutchmanen@pwc.com</x:v>
      </x:c>
      <x:c r="E534" t="n">
        <x:f>IF(D534="","",IF(COUNTIF($D$2:D534,D534)=1,1,0))</x:f>
        <x:v>1</x:v>
      </x:c>
    </x:row>
    <x:row r="535">
      <x:c r="A535" t="str">
        <x:v>Harshini Suroopjeet</x:v>
      </x:c>
      <x:c r="B535" t="str">
        <x:v>MU</x:v>
      </x:c>
      <x:c r="C535" t="str">
        <x:v>harshini.suroopjeet@pwc.com</x:v>
      </x:c>
      <x:c r="D535" t="str">
        <x:f>LOWER(TRIM(SUBSTITUTE(C535,CHAR(160)," ")))</x:f>
        <x:v>harshini.suroopjeet@pwc.com</x:v>
      </x:c>
      <x:c r="E535" t="n">
        <x:f>IF(D535="","",IF(COUNTIF($D$2:D535,D535)=1,1,0))</x:f>
        <x:v>1</x:v>
      </x:c>
    </x:row>
    <x:row r="536">
      <x:c r="A536" t="str">
        <x:v>Heather Tirikwel</x:v>
      </x:c>
      <x:c r="B536" t="str">
        <x:v>KE</x:v>
      </x:c>
      <x:c r="C536" t="str">
        <x:v>heather.tirikwel@pwc.com</x:v>
      </x:c>
      <x:c r="D536" t="str">
        <x:f>LOWER(TRIM(SUBSTITUTE(C536,CHAR(160)," ")))</x:f>
        <x:v>heather.tirikwel@pwc.com</x:v>
      </x:c>
      <x:c r="E536" t="n">
        <x:f>IF(D536="","",IF(COUNTIF($D$2:D536,D536)=1,1,0))</x:f>
        <x:v>1</x:v>
      </x:c>
    </x:row>
    <x:row r="537">
      <x:c r="A537" t="str">
        <x:v>Helen Nganila</x:v>
      </x:c>
      <x:c r="B537" t="str">
        <x:v>TZ</x:v>
      </x:c>
      <x:c r="C537" t="str">
        <x:v>helen.nganila@pwc.com</x:v>
      </x:c>
      <x:c r="D537" t="str">
        <x:f>LOWER(TRIM(SUBSTITUTE(C537,CHAR(160)," ")))</x:f>
        <x:v>helen.nganila@pwc.com</x:v>
      </x:c>
      <x:c r="E537" t="n">
        <x:f>IF(D537="","",IF(COUNTIF($D$2:D537,D537)=1,1,0))</x:f>
        <x:v>1</x:v>
      </x:c>
    </x:row>
    <x:row r="538">
      <x:c r="A538" t="str">
        <x:v>Honorine Ihimbazwe</x:v>
      </x:c>
      <x:c r="B538" t="str">
        <x:v>RW</x:v>
      </x:c>
      <x:c r="C538" t="str">
        <x:v>honorine.i.ihimbazwe@pwc.com</x:v>
      </x:c>
      <x:c r="D538" t="str">
        <x:f>LOWER(TRIM(SUBSTITUTE(C538,CHAR(160)," ")))</x:f>
        <x:v>honorine.i.ihimbazwe@pwc.com</x:v>
      </x:c>
      <x:c r="E538" t="n">
        <x:f>IF(D538="","",IF(COUNTIF($D$2:D538,D538)=1,1,0))</x:f>
        <x:v>1</x:v>
      </x:c>
    </x:row>
    <x:row r="539">
      <x:c r="A539" t="str">
        <x:v>Hudah Naluwembe</x:v>
      </x:c>
      <x:c r="B539" t="str">
        <x:v>UG</x:v>
      </x:c>
      <x:c r="C539" t="str">
        <x:v>hudah.naluwembe@pwc.com</x:v>
      </x:c>
      <x:c r="D539" t="str">
        <x:f>LOWER(TRIM(SUBSTITUTE(C539,CHAR(160)," ")))</x:f>
        <x:v>hudah.naluwembe@pwc.com</x:v>
      </x:c>
      <x:c r="E539" t="n">
        <x:f>IF(D539="","",IF(COUNTIF($D$2:D539,D539)=1,1,0))</x:f>
        <x:v>1</x:v>
      </x:c>
    </x:row>
    <x:row r="540">
      <x:c r="A540" t="str">
        <x:v>Hussain Mustun</x:v>
      </x:c>
      <x:c r="B540" t="str">
        <x:v>MU</x:v>
      </x:c>
      <x:c r="C540" t="str">
        <x:v>hussain.mustun@pwc.com</x:v>
      </x:c>
      <x:c r="D540" t="str">
        <x:f>LOWER(TRIM(SUBSTITUTE(C540,CHAR(160)," ")))</x:f>
        <x:v>hussain.mustun@pwc.com</x:v>
      </x:c>
      <x:c r="E540" t="n">
        <x:f>IF(D540="","",IF(COUNTIF($D$2:D540,D540)=1,1,0))</x:f>
        <x:v>1</x:v>
      </x:c>
    </x:row>
    <x:row r="541">
      <x:c r="A541" t="str">
        <x:v>Ian Aruasa</x:v>
      </x:c>
      <x:c r="B541" t="str">
        <x:v>KE</x:v>
      </x:c>
      <x:c r="C541" t="str">
        <x:v>ian.aruasa@pwc.com</x:v>
      </x:c>
      <x:c r="D541" t="str">
        <x:f>LOWER(TRIM(SUBSTITUTE(C541,CHAR(160)," ")))</x:f>
        <x:v>ian.aruasa@pwc.com</x:v>
      </x:c>
      <x:c r="E541" t="n">
        <x:f>IF(D541="","",IF(COUNTIF($D$2:D541,D541)=1,1,0))</x:f>
        <x:v>1</x:v>
      </x:c>
    </x:row>
    <x:row r="542">
      <x:c r="A542" t="str">
        <x:v>Irene Mtebe</x:v>
      </x:c>
      <x:c r="B542" t="str">
        <x:v>TZ</x:v>
      </x:c>
      <x:c r="C542" t="str">
        <x:v>irene.m.mtebe@pwc.com</x:v>
      </x:c>
      <x:c r="D542" t="str">
        <x:f>LOWER(TRIM(SUBSTITUTE(C542,CHAR(160)," ")))</x:f>
        <x:v>irene.m.mtebe@pwc.com</x:v>
      </x:c>
      <x:c r="E542" t="n">
        <x:f>IF(D542="","",IF(COUNTIF($D$2:D542,D542)=1,1,0))</x:f>
        <x:v>1</x:v>
      </x:c>
    </x:row>
    <x:row r="543">
      <x:c r="A543" t="str">
        <x:v>Ivy Deborah Naggayi</x:v>
      </x:c>
      <x:c r="B543" t="str">
        <x:v>UG</x:v>
      </x:c>
      <x:c r="C543" t="str">
        <x:v>ivy.naggayi@pwc.com</x:v>
      </x:c>
      <x:c r="D543" t="str">
        <x:f>LOWER(TRIM(SUBSTITUTE(C543,CHAR(160)," ")))</x:f>
        <x:v>ivy.naggayi@pwc.com</x:v>
      </x:c>
      <x:c r="E543" t="n">
        <x:f>IF(D543="","",IF(COUNTIF($D$2:D543,D543)=1,1,0))</x:f>
        <x:v>1</x:v>
      </x:c>
    </x:row>
    <x:row r="544">
      <x:c r="A544" t="str">
        <x:v>Jackline Mollel</x:v>
      </x:c>
      <x:c r="B544" t="str">
        <x:v>TZ</x:v>
      </x:c>
      <x:c r="C544" t="str">
        <x:v>jackline.mollel@pwc.com</x:v>
      </x:c>
      <x:c r="D544" t="str">
        <x:f>LOWER(TRIM(SUBSTITUTE(C544,CHAR(160)," ")))</x:f>
        <x:v>jackline.mollel@pwc.com</x:v>
      </x:c>
      <x:c r="E544" t="n">
        <x:f>IF(D544="","",IF(COUNTIF($D$2:D544,D544)=1,1,0))</x:f>
        <x:v>1</x:v>
      </x:c>
    </x:row>
    <x:row r="545">
      <x:c r="A545" t="str">
        <x:v>Jacob Ndemirio</x:v>
      </x:c>
      <x:c r="B545" t="str">
        <x:v>TZ</x:v>
      </x:c>
      <x:c r="C545" t="str">
        <x:v>jacob.ndemirio@pwc.com</x:v>
      </x:c>
      <x:c r="D545" t="str">
        <x:f>LOWER(TRIM(SUBSTITUTE(C545,CHAR(160)," ")))</x:f>
        <x:v>jacob.ndemirio@pwc.com</x:v>
      </x:c>
      <x:c r="E545" t="n">
        <x:f>IF(D545="","",IF(COUNTIF($D$2:D545,D545)=1,1,0))</x:f>
        <x:v>1</x:v>
      </x:c>
    </x:row>
    <x:row r="546">
      <x:c r="A546" t="str">
        <x:v>Jahnavi Meetan</x:v>
      </x:c>
      <x:c r="B546" t="str">
        <x:v>MU</x:v>
      </x:c>
      <x:c r="C546" t="str">
        <x:v>jahnavi.meetan@pwc.com</x:v>
      </x:c>
      <x:c r="D546" t="str">
        <x:f>LOWER(TRIM(SUBSTITUTE(C546,CHAR(160)," ")))</x:f>
        <x:v>jahnavi.meetan@pwc.com</x:v>
      </x:c>
      <x:c r="E546" t="n">
        <x:f>IF(D546="","",IF(COUNTIF($D$2:D546,D546)=1,1,0))</x:f>
        <x:v>1</x:v>
      </x:c>
    </x:row>
    <x:row r="547">
      <x:c r="A547" t="str">
        <x:v>Jemimah Chella</x:v>
      </x:c>
      <x:c r="B547" t="str">
        <x:v>ZM</x:v>
      </x:c>
      <x:c r="C547" t="str">
        <x:v>jemimah.chella@pwc.com</x:v>
      </x:c>
      <x:c r="D547" t="str">
        <x:f>LOWER(TRIM(SUBSTITUTE(C547,CHAR(160)," ")))</x:f>
        <x:v>jemimah.chella@pwc.com</x:v>
      </x:c>
      <x:c r="E547" t="n">
        <x:f>IF(D547="","",IF(COUNTIF($D$2:D547,D547)=1,1,0))</x:f>
        <x:v>1</x:v>
      </x:c>
    </x:row>
    <x:row r="548">
      <x:c r="A548" t="str">
        <x:v>Jerry Zaipuna</x:v>
      </x:c>
      <x:c r="B548" t="str">
        <x:v>TZ</x:v>
      </x:c>
      <x:c r="C548" t="str">
        <x:v>jerry.zaipuna@pwc.com</x:v>
      </x:c>
      <x:c r="D548" t="str">
        <x:f>LOWER(TRIM(SUBSTITUTE(C548,CHAR(160)," ")))</x:f>
        <x:v>jerry.zaipuna@pwc.com</x:v>
      </x:c>
      <x:c r="E548" t="n">
        <x:f>IF(D548="","",IF(COUNTIF($D$2:D548,D548)=1,1,0))</x:f>
        <x:v>1</x:v>
      </x:c>
    </x:row>
    <x:row r="549">
      <x:c r="A549" t="str">
        <x:v>Joel Julian</x:v>
      </x:c>
      <x:c r="B549" t="str">
        <x:v>TZ</x:v>
      </x:c>
      <x:c r="C549" t="str">
        <x:v>joel.julian@pwc.com</x:v>
      </x:c>
      <x:c r="D549" t="str">
        <x:f>LOWER(TRIM(SUBSTITUTE(C549,CHAR(160)," ")))</x:f>
        <x:v>joel.julian@pwc.com</x:v>
      </x:c>
      <x:c r="E549" t="n">
        <x:f>IF(D549="","",IF(COUNTIF($D$2:D549,D549)=1,1,0))</x:f>
        <x:v>1</x:v>
      </x:c>
    </x:row>
    <x:row r="550">
      <x:c r="A550" t="str">
        <x:v>John Li</x:v>
      </x:c>
      <x:c r="B550" t="str">
        <x:v>MU</x:v>
      </x:c>
      <x:c r="C550" t="str">
        <x:v>john.s.li@pwc.com</x:v>
      </x:c>
      <x:c r="D550" t="str">
        <x:f>LOWER(TRIM(SUBSTITUTE(C550,CHAR(160)," ")))</x:f>
        <x:v>john.s.li@pwc.com</x:v>
      </x:c>
      <x:c r="E550" t="n">
        <x:f>IF(D550="","",IF(COUNTIF($D$2:D550,D550)=1,1,0))</x:f>
        <x:v>1</x:v>
      </x:c>
    </x:row>
    <x:row r="551">
      <x:c r="A551" t="str">
        <x:v>JohnBaptist Wachira</x:v>
      </x:c>
      <x:c r="B551" t="str">
        <x:v>KE</x:v>
      </x:c>
      <x:c r="C551" t="str">
        <x:v>johnbaptist.wachira@pwc.com</x:v>
      </x:c>
      <x:c r="D551" t="str">
        <x:f>LOWER(TRIM(SUBSTITUTE(C551,CHAR(160)," ")))</x:f>
        <x:v>johnbaptist.wachira@pwc.com</x:v>
      </x:c>
      <x:c r="E551" t="n">
        <x:f>IF(D551="","",IF(COUNTIF($D$2:D551,D551)=1,1,0))</x:f>
        <x:v>1</x:v>
      </x:c>
    </x:row>
    <x:row r="552">
      <x:c r="A552" t="str">
        <x:v>Joseph Temu</x:v>
      </x:c>
      <x:c r="B552" t="str">
        <x:v>TZ</x:v>
      </x:c>
      <x:c r="C552" t="str">
        <x:v>joseph.temu@pwc.com</x:v>
      </x:c>
      <x:c r="D552" t="str">
        <x:f>LOWER(TRIM(SUBSTITUTE(C552,CHAR(160)," ")))</x:f>
        <x:v>joseph.temu@pwc.com</x:v>
      </x:c>
      <x:c r="E552" t="n">
        <x:f>IF(D552="","",IF(COUNTIF($D$2:D552,D552)=1,1,0))</x:f>
        <x:v>1</x:v>
      </x:c>
    </x:row>
    <x:row r="553">
      <x:c r="A553" t="str">
        <x:v>Joseph Wanjohi</x:v>
      </x:c>
      <x:c r="B553" t="str">
        <x:v>KE</x:v>
      </x:c>
      <x:c r="C553" t="str">
        <x:v>joseph.wanjohi@pwc.com</x:v>
      </x:c>
      <x:c r="D553" t="str">
        <x:f>LOWER(TRIM(SUBSTITUTE(C553,CHAR(160)," ")))</x:f>
        <x:v>joseph.wanjohi@pwc.com</x:v>
      </x:c>
      <x:c r="E553" t="n">
        <x:f>IF(D553="","",IF(COUNTIF($D$2:D553,D553)=1,1,0))</x:f>
        <x:v>1</x:v>
      </x:c>
    </x:row>
    <x:row r="554">
      <x:c r="A554" t="str">
        <x:v>Joshua Mololo</x:v>
      </x:c>
      <x:c r="B554" t="str">
        <x:v>TZ</x:v>
      </x:c>
      <x:c r="C554" t="str">
        <x:v>joshua.mololo@pwc.com</x:v>
      </x:c>
      <x:c r="D554" t="str">
        <x:f>LOWER(TRIM(SUBSTITUTE(C554,CHAR(160)," ")))</x:f>
        <x:v>joshua.mololo@pwc.com</x:v>
      </x:c>
      <x:c r="E554" t="n">
        <x:f>IF(D554="","",IF(COUNTIF($D$2:D554,D554)=1,1,0))</x:f>
        <x:v>1</x:v>
      </x:c>
    </x:row>
    <x:row r="555">
      <x:c r="A555" t="str">
        <x:v>Joshua Nzali</x:v>
      </x:c>
      <x:c r="B555" t="str">
        <x:v>TZ</x:v>
      </x:c>
      <x:c r="C555" t="str">
        <x:v>joshua.nzali@pwc.com</x:v>
      </x:c>
      <x:c r="D555" t="str">
        <x:f>LOWER(TRIM(SUBSTITUTE(C555,CHAR(160)," ")))</x:f>
        <x:v>joshua.nzali@pwc.com</x:v>
      </x:c>
      <x:c r="E555" t="n">
        <x:f>IF(D555="","",IF(COUNTIF($D$2:D555,D555)=1,1,0))</x:f>
        <x:v>1</x:v>
      </x:c>
    </x:row>
    <x:row r="556">
      <x:c r="A556" t="str">
        <x:v>Josiane Tuyizere</x:v>
      </x:c>
      <x:c r="B556" t="str">
        <x:v>RW</x:v>
      </x:c>
      <x:c r="C556" t="str">
        <x:v>josiane.tuyizere@pwc.com</x:v>
      </x:c>
      <x:c r="D556" t="str">
        <x:f>LOWER(TRIM(SUBSTITUTE(C556,CHAR(160)," ")))</x:f>
        <x:v>josiane.tuyizere@pwc.com</x:v>
      </x:c>
      <x:c r="E556" t="n">
        <x:f>IF(D556="","",IF(COUNTIF($D$2:D556,D556)=1,1,0))</x:f>
        <x:v>1</x:v>
      </x:c>
    </x:row>
    <x:row r="557">
      <x:c r="A557" t="str">
        <x:v>Jovia Namulinda</x:v>
      </x:c>
      <x:c r="B557" t="str">
        <x:v>UG</x:v>
      </x:c>
      <x:c r="C557" t="str">
        <x:v>jovia.namulinda@pwc.com</x:v>
      </x:c>
      <x:c r="D557" t="str">
        <x:f>LOWER(TRIM(SUBSTITUTE(C557,CHAR(160)," ")))</x:f>
        <x:v>jovia.namulinda@pwc.com</x:v>
      </x:c>
      <x:c r="E557" t="n">
        <x:f>IF(D557="","",IF(COUNTIF($D$2:D557,D557)=1,1,0))</x:f>
        <x:v>1</x:v>
      </x:c>
    </x:row>
    <x:row r="558">
      <x:c r="A558" t="str">
        <x:v>Judith Okoyo</x:v>
      </x:c>
      <x:c r="B558" t="str">
        <x:v>KE</x:v>
      </x:c>
      <x:c r="C558" t="str">
        <x:v>judith.okoyo@pwc.com</x:v>
      </x:c>
      <x:c r="D558" t="str">
        <x:f>LOWER(TRIM(SUBSTITUTE(C558,CHAR(160)," ")))</x:f>
        <x:v>judith.okoyo@pwc.com</x:v>
      </x:c>
      <x:c r="E558" t="n">
        <x:f>IF(D558="","",IF(COUNTIF($D$2:D558,D558)=1,1,0))</x:f>
        <x:v>1</x:v>
      </x:c>
    </x:row>
    <x:row r="559">
      <x:c r="A559" t="str">
        <x:v>Karan Raggoo</x:v>
      </x:c>
      <x:c r="B559" t="str">
        <x:v>MU</x:v>
      </x:c>
      <x:c r="C559" t="str">
        <x:v>karan.raggoo@pwc.com</x:v>
      </x:c>
      <x:c r="D559" t="str">
        <x:f>LOWER(TRIM(SUBSTITUTE(C559,CHAR(160)," ")))</x:f>
        <x:v>karan.raggoo@pwc.com</x:v>
      </x:c>
      <x:c r="E559" t="n">
        <x:f>IF(D559="","",IF(COUNTIF($D$2:D559,D559)=1,1,0))</x:f>
        <x:v>1</x:v>
      </x:c>
    </x:row>
    <x:row r="560">
      <x:c r="A560" t="str">
        <x:v>Karen Cha Sow King</x:v>
      </x:c>
      <x:c r="B560" t="str">
        <x:v>MU</x:v>
      </x:c>
      <x:c r="C560" t="str">
        <x:v>karen.cha.sow.k.king@pwc.com</x:v>
      </x:c>
      <x:c r="D560" t="str">
        <x:f>LOWER(TRIM(SUBSTITUTE(C560,CHAR(160)," ")))</x:f>
        <x:v>karen.cha.sow.k.king@pwc.com</x:v>
      </x:c>
      <x:c r="E560" t="n">
        <x:f>IF(D560="","",IF(COUNTIF($D$2:D560,D560)=1,1,0))</x:f>
        <x:v>1</x:v>
      </x:c>
    </x:row>
    <x:row r="561">
      <x:c r="A561" t="str">
        <x:v>Katai Nakazwe</x:v>
      </x:c>
      <x:c r="B561" t="str">
        <x:v>ZM</x:v>
      </x:c>
      <x:c r="C561" t="str">
        <x:v>katai.nakazwe@pwc.com</x:v>
      </x:c>
      <x:c r="D561" t="str">
        <x:f>LOWER(TRIM(SUBSTITUTE(C561,CHAR(160)," ")))</x:f>
        <x:v>katai.nakazwe@pwc.com</x:v>
      </x:c>
      <x:c r="E561" t="n">
        <x:f>IF(D561="","",IF(COUNTIF($D$2:D561,D561)=1,1,0))</x:f>
        <x:v>1</x:v>
      </x:c>
    </x:row>
    <x:row r="562">
      <x:c r="A562" t="str">
        <x:v>Katayi Kachinda</x:v>
      </x:c>
      <x:c r="B562" t="str">
        <x:v>ZM</x:v>
      </x:c>
      <x:c r="C562" t="str">
        <x:v>katayi.kachinda@pwc.com</x:v>
      </x:c>
      <x:c r="D562" t="str">
        <x:f>LOWER(TRIM(SUBSTITUTE(C562,CHAR(160)," ")))</x:f>
        <x:v>katayi.kachinda@pwc.com</x:v>
      </x:c>
      <x:c r="E562" t="n">
        <x:f>IF(D562="","",IF(COUNTIF($D$2:D562,D562)=1,1,0))</x:f>
        <x:v>1</x:v>
      </x:c>
    </x:row>
    <x:row r="563">
      <x:c r="A563" t="str">
        <x:v>Kaunda Mwenya</x:v>
      </x:c>
      <x:c r="B563" t="str">
        <x:v>ZM</x:v>
      </x:c>
      <x:c r="C563" t="str">
        <x:v>kaunda.j.mwenya@pwc.com</x:v>
      </x:c>
      <x:c r="D563" t="str">
        <x:f>LOWER(TRIM(SUBSTITUTE(C563,CHAR(160)," ")))</x:f>
        <x:v>kaunda.j.mwenya@pwc.com</x:v>
      </x:c>
      <x:c r="E563" t="n">
        <x:f>IF(D563="","",IF(COUNTIF($D$2:D563,D563)=1,1,0))</x:f>
        <x:v>1</x:v>
      </x:c>
    </x:row>
    <x:row r="564">
      <x:c r="A564" t="str">
        <x:v>Kelly Alowo</x:v>
      </x:c>
      <x:c r="B564" t="str">
        <x:v>UG</x:v>
      </x:c>
      <x:c r="C564" t="str">
        <x:v>kelly.alowo@pwc.com</x:v>
      </x:c>
      <x:c r="D564" t="str">
        <x:f>LOWER(TRIM(SUBSTITUTE(C564,CHAR(160)," ")))</x:f>
        <x:v>kelly.alowo@pwc.com</x:v>
      </x:c>
      <x:c r="E564" t="n">
        <x:f>IF(D564="","",IF(COUNTIF($D$2:D564,D564)=1,1,0))</x:f>
        <x:v>1</x:v>
      </x:c>
    </x:row>
    <x:row r="565">
      <x:c r="A565" t="str">
        <x:v>Kelly Shema</x:v>
      </x:c>
      <x:c r="B565" t="str">
        <x:v>RW</x:v>
      </x:c>
      <x:c r="C565" t="str">
        <x:v>kelly.shema@pwc.com</x:v>
      </x:c>
      <x:c r="D565" t="str">
        <x:f>LOWER(TRIM(SUBSTITUTE(C565,CHAR(160)," ")))</x:f>
        <x:v>kelly.shema@pwc.com</x:v>
      </x:c>
      <x:c r="E565" t="n">
        <x:f>IF(D565="","",IF(COUNTIF($D$2:D565,D565)=1,1,0))</x:f>
        <x:v>1</x:v>
      </x:c>
    </x:row>
    <x:row r="566">
      <x:c r="A566" t="str">
        <x:v>Kelvin Mlagala</x:v>
      </x:c>
      <x:c r="B566" t="str">
        <x:v>TZ</x:v>
      </x:c>
      <x:c r="C566" t="str">
        <x:v>kelvin.mlagala@pwc.com</x:v>
      </x:c>
      <x:c r="D566" t="str">
        <x:f>LOWER(TRIM(SUBSTITUTE(C566,CHAR(160)," ")))</x:f>
        <x:v>kelvin.mlagala@pwc.com</x:v>
      </x:c>
      <x:c r="E566" t="n">
        <x:f>IF(D566="","",IF(COUNTIF($D$2:D566,D566)=1,1,0))</x:f>
        <x:v>1</x:v>
      </x:c>
    </x:row>
    <x:row r="567">
      <x:c r="A567" t="str">
        <x:v>Kesha Seeputhy</x:v>
      </x:c>
      <x:c r="B567" t="str">
        <x:v>MU</x:v>
      </x:c>
      <x:c r="C567" t="str">
        <x:v>kesha.seeputhy@pwc.com</x:v>
      </x:c>
      <x:c r="D567" t="str">
        <x:f>LOWER(TRIM(SUBSTITUTE(C567,CHAR(160)," ")))</x:f>
        <x:v>kesha.seeputhy@pwc.com</x:v>
      </x:c>
      <x:c r="E567" t="n">
        <x:f>IF(D567="","",IF(COUNTIF($D$2:D567,D567)=1,1,0))</x:f>
        <x:v>1</x:v>
      </x:c>
    </x:row>
    <x:row r="568">
      <x:c r="A568" t="str">
        <x:v>Keshika Nuthoo</x:v>
      </x:c>
      <x:c r="B568" t="str">
        <x:v>MU</x:v>
      </x:c>
      <x:c r="C568" t="str">
        <x:v>keshika.nuthoo@pwc.com</x:v>
      </x:c>
      <x:c r="D568" t="str">
        <x:f>LOWER(TRIM(SUBSTITUTE(C568,CHAR(160)," ")))</x:f>
        <x:v>keshika.nuthoo@pwc.com</x:v>
      </x:c>
      <x:c r="E568" t="n">
        <x:f>IF(D568="","",IF(COUNTIF($D$2:D568,D568)=1,1,0))</x:f>
        <x:v>1</x:v>
      </x:c>
    </x:row>
    <x:row r="569">
      <x:c r="A569" t="str">
        <x:v>Keziah Muchiri</x:v>
      </x:c>
      <x:c r="B569" t="str">
        <x:v>KE</x:v>
      </x:c>
      <x:c r="C569" t="str">
        <x:v>keziah.muchiri@pwc.com</x:v>
      </x:c>
      <x:c r="D569" t="str">
        <x:f>LOWER(TRIM(SUBSTITUTE(C569,CHAR(160)," ")))</x:f>
        <x:v>keziah.muchiri@pwc.com</x:v>
      </x:c>
      <x:c r="E569" t="n">
        <x:f>IF(D569="","",IF(COUNTIF($D$2:D569,D569)=1,1,0))</x:f>
        <x:v>1</x:v>
      </x:c>
    </x:row>
    <x:row r="570">
      <x:c r="A570" t="str">
        <x:v>Khushal Newoor</x:v>
      </x:c>
      <x:c r="B570" t="str">
        <x:v>MU</x:v>
      </x:c>
      <x:c r="C570" t="str">
        <x:v>khushal.newoor@pwc.com</x:v>
      </x:c>
      <x:c r="D570" t="str">
        <x:f>LOWER(TRIM(SUBSTITUTE(C570,CHAR(160)," ")))</x:f>
        <x:v>khushal.newoor@pwc.com</x:v>
      </x:c>
      <x:c r="E570" t="n">
        <x:f>IF(D570="","",IF(COUNTIF($D$2:D570,D570)=1,1,0))</x:f>
        <x:v>1</x:v>
      </x:c>
    </x:row>
    <x:row r="571">
      <x:c r="A571" t="str">
        <x:v>Kunda Musolo</x:v>
      </x:c>
      <x:c r="B571" t="str">
        <x:v>ZM</x:v>
      </x:c>
      <x:c r="C571" t="str">
        <x:v>kunda.musolo@pwc.com</x:v>
      </x:c>
      <x:c r="D571" t="str">
        <x:f>LOWER(TRIM(SUBSTITUTE(C571,CHAR(160)," ")))</x:f>
        <x:v>kunda.musolo@pwc.com</x:v>
      </x:c>
      <x:c r="E571" t="n">
        <x:f>IF(D571="","",IF(COUNTIF($D$2:D571,D571)=1,1,0))</x:f>
        <x:v>1</x:v>
      </x:c>
    </x:row>
    <x:row r="572">
      <x:c r="A572" t="str">
        <x:v>Lage Kasaro</x:v>
      </x:c>
      <x:c r="B572" t="str">
        <x:v>ZM</x:v>
      </x:c>
      <x:c r="C572" t="str">
        <x:v>lage.kasaro@pwc.com</x:v>
      </x:c>
      <x:c r="D572" t="str">
        <x:f>LOWER(TRIM(SUBSTITUTE(C572,CHAR(160)," ")))</x:f>
        <x:v>lage.kasaro@pwc.com</x:v>
      </x:c>
      <x:c r="E572" t="n">
        <x:f>IF(D572="","",IF(COUNTIF($D$2:D572,D572)=1,1,0))</x:f>
        <x:v>1</x:v>
      </x:c>
    </x:row>
    <x:row r="573">
      <x:c r="A573" t="str">
        <x:v>Longo Sikazwe</x:v>
      </x:c>
      <x:c r="B573" t="str">
        <x:v>ZM</x:v>
      </x:c>
      <x:c r="C573" t="str">
        <x:v>longo.sikazwe@pwc.com</x:v>
      </x:c>
      <x:c r="D573" t="str">
        <x:f>LOWER(TRIM(SUBSTITUTE(C573,CHAR(160)," ")))</x:f>
        <x:v>longo.sikazwe@pwc.com</x:v>
      </x:c>
      <x:c r="E573" t="n">
        <x:f>IF(D573="","",IF(COUNTIF($D$2:D573,D573)=1,1,0))</x:f>
        <x:v>1</x:v>
      </x:c>
    </x:row>
    <x:row r="574">
      <x:c r="A574" t="str">
        <x:v>Lovena Kullean</x:v>
      </x:c>
      <x:c r="B574" t="str">
        <x:v>MU</x:v>
      </x:c>
      <x:c r="C574" t="str">
        <x:v>lovena.kullean@pwc.com</x:v>
      </x:c>
      <x:c r="D574" t="str">
        <x:f>LOWER(TRIM(SUBSTITUTE(C574,CHAR(160)," ")))</x:f>
        <x:v>lovena.kullean@pwc.com</x:v>
      </x:c>
      <x:c r="E574" t="n">
        <x:f>IF(D574="","",IF(COUNTIF($D$2:D574,D574)=1,1,0))</x:f>
        <x:v>1</x:v>
      </x:c>
    </x:row>
    <x:row r="575">
      <x:c r="A575" t="str">
        <x:v>Malike Uwizeyimana</x:v>
      </x:c>
      <x:c r="B575" t="str">
        <x:v>RW</x:v>
      </x:c>
      <x:c r="C575" t="str">
        <x:v>malike.uwizeyimana@pwc.com</x:v>
      </x:c>
      <x:c r="D575" t="str">
        <x:f>LOWER(TRIM(SUBSTITUTE(C575,CHAR(160)," ")))</x:f>
        <x:v>malike.uwizeyimana@pwc.com</x:v>
      </x:c>
      <x:c r="E575" t="n">
        <x:f>IF(D575="","",IF(COUNTIF($D$2:D575,D575)=1,1,0))</x:f>
        <x:v>1</x:v>
      </x:c>
    </x:row>
    <x:row r="576">
      <x:c r="A576" t="str">
        <x:v>Mamba Hachongo</x:v>
      </x:c>
      <x:c r="B576" t="str">
        <x:v>ZM</x:v>
      </x:c>
      <x:c r="C576" t="str">
        <x:v>mamba.hachongo@pwc.com</x:v>
      </x:c>
      <x:c r="D576" t="str">
        <x:f>LOWER(TRIM(SUBSTITUTE(C576,CHAR(160)," ")))</x:f>
        <x:v>mamba.hachongo@pwc.com</x:v>
      </x:c>
      <x:c r="E576" t="n">
        <x:f>IF(D576="","",IF(COUNTIF($D$2:D576,D576)=1,1,0))</x:f>
        <x:v>1</x:v>
      </x:c>
    </x:row>
    <x:row r="577">
      <x:c r="A577" t="str">
        <x:v>Manisha Chensiah</x:v>
      </x:c>
      <x:c r="B577" t="str">
        <x:v>MU</x:v>
      </x:c>
      <x:c r="C577" t="str">
        <x:v>manisha.c.chensiah@pwc.com</x:v>
      </x:c>
      <x:c r="D577" t="str">
        <x:f>LOWER(TRIM(SUBSTITUTE(C577,CHAR(160)," ")))</x:f>
        <x:v>manisha.c.chensiah@pwc.com</x:v>
      </x:c>
      <x:c r="E577" t="n">
        <x:f>IF(D577="","",IF(COUNTIF($D$2:D577,D577)=1,1,0))</x:f>
        <x:v>1</x:v>
      </x:c>
    </x:row>
    <x:row r="578">
      <x:c r="A578" t="str">
        <x:v>Margaret Akinyi</x:v>
      </x:c>
      <x:c r="B578" t="str">
        <x:v>KE</x:v>
      </x:c>
      <x:c r="C578" t="str">
        <x:v>margaret.akinyi@pwc.com</x:v>
      </x:c>
      <x:c r="D578" t="str">
        <x:f>LOWER(TRIM(SUBSTITUTE(C578,CHAR(160)," ")))</x:f>
        <x:v>margaret.akinyi@pwc.com</x:v>
      </x:c>
      <x:c r="E578" t="n">
        <x:f>IF(D578="","",IF(COUNTIF($D$2:D578,D578)=1,1,0))</x:f>
        <x:v>1</x:v>
      </x:c>
    </x:row>
    <x:row r="579">
      <x:c r="A579" t="str">
        <x:v>Maria Amasi</x:v>
      </x:c>
      <x:c r="B579" t="str">
        <x:v>TZ</x:v>
      </x:c>
      <x:c r="C579" t="str">
        <x:v>maria.amasi@pwc.com</x:v>
      </x:c>
      <x:c r="D579" t="str">
        <x:f>LOWER(TRIM(SUBSTITUTE(C579,CHAR(160)," ")))</x:f>
        <x:v>maria.amasi@pwc.com</x:v>
      </x:c>
      <x:c r="E579" t="n">
        <x:f>IF(D579="","",IF(COUNTIF($D$2:D579,D579)=1,1,0))</x:f>
        <x:v>1</x:v>
      </x:c>
    </x:row>
    <x:row r="580">
      <x:c r="A580" t="str">
        <x:v>Marion Basil</x:v>
      </x:c>
      <x:c r="B580" t="str">
        <x:v>KE</x:v>
      </x:c>
      <x:c r="C580" t="str">
        <x:v>marion.basil@pwc.com</x:v>
      </x:c>
      <x:c r="D580" t="str">
        <x:f>LOWER(TRIM(SUBSTITUTE(C580,CHAR(160)," ")))</x:f>
        <x:v>marion.basil@pwc.com</x:v>
      </x:c>
      <x:c r="E580" t="n">
        <x:f>IF(D580="","",IF(COUNTIF($D$2:D580,D580)=1,1,0))</x:f>
        <x:v>1</x:v>
      </x:c>
    </x:row>
    <x:row r="581">
      <x:c r="A581" t="str">
        <x:v>Martin Niyonkuru</x:v>
      </x:c>
      <x:c r="B581" t="str">
        <x:v>RW</x:v>
      </x:c>
      <x:c r="C581" t="str">
        <x:v>yves.m.niyonkuru@pwc.com</x:v>
      </x:c>
      <x:c r="D581" t="str">
        <x:f>LOWER(TRIM(SUBSTITUTE(C581,CHAR(160)," ")))</x:f>
        <x:v>yves.m.niyonkuru@pwc.com</x:v>
      </x:c>
      <x:c r="E581" t="n">
        <x:f>IF(D581="","",IF(COUNTIF($D$2:D581,D581)=1,1,0))</x:f>
        <x:v>1</x:v>
      </x:c>
    </x:row>
    <x:row r="582">
      <x:c r="A582" t="str">
        <x:v>Mary Lisa Leong</x:v>
      </x:c>
      <x:c r="B582" t="str">
        <x:v>MU</x:v>
      </x:c>
      <x:c r="C582" t="str">
        <x:v>mary.lisa.leong@pwc.com</x:v>
      </x:c>
      <x:c r="D582" t="str">
        <x:f>LOWER(TRIM(SUBSTITUTE(C582,CHAR(160)," ")))</x:f>
        <x:v>mary.lisa.leong@pwc.com</x:v>
      </x:c>
      <x:c r="E582" t="n">
        <x:f>IF(D582="","",IF(COUNTIF($D$2:D582,D582)=1,1,0))</x:f>
        <x:v>1</x:v>
      </x:c>
    </x:row>
    <x:row r="583">
      <x:c r="A583" t="str">
        <x:v>Maryam Majid</x:v>
      </x:c>
      <x:c r="B583" t="str">
        <x:v>TZ</x:v>
      </x:c>
      <x:c r="C583" t="str">
        <x:v>maryam.majid@pwc.com</x:v>
      </x:c>
      <x:c r="D583" t="str">
        <x:f>LOWER(TRIM(SUBSTITUTE(C583,CHAR(160)," ")))</x:f>
        <x:v>maryam.majid@pwc.com</x:v>
      </x:c>
      <x:c r="E583" t="n">
        <x:f>IF(D583="","",IF(COUNTIF($D$2:D583,D583)=1,1,0))</x:f>
        <x:v>1</x:v>
      </x:c>
    </x:row>
    <x:row r="584">
      <x:c r="A584" t="str">
        <x:v>Massooto Maurice</x:v>
      </x:c>
      <x:c r="B584" t="str">
        <x:v>UG</x:v>
      </x:c>
      <x:c r="C584" t="str">
        <x:v>massooto.maurice@pwc.com</x:v>
      </x:c>
      <x:c r="D584" t="str">
        <x:f>LOWER(TRIM(SUBSTITUTE(C584,CHAR(160)," ")))</x:f>
        <x:v>massooto.maurice@pwc.com</x:v>
      </x:c>
      <x:c r="E584" t="n">
        <x:f>IF(D584="","",IF(COUNTIF($D$2:D584,D584)=1,1,0))</x:f>
        <x:v>1</x:v>
      </x:c>
    </x:row>
    <x:row r="585">
      <x:c r="A585" t="str">
        <x:v>Maureen Isagi</x:v>
      </x:c>
      <x:c r="B585" t="str">
        <x:v>KE</x:v>
      </x:c>
      <x:c r="C585" t="str">
        <x:v>maureen.isagi@pwc.com</x:v>
      </x:c>
      <x:c r="D585" t="str">
        <x:f>LOWER(TRIM(SUBSTITUTE(C585,CHAR(160)," ")))</x:f>
        <x:v>maureen.isagi@pwc.com</x:v>
      </x:c>
      <x:c r="E585" t="n">
        <x:f>IF(D585="","",IF(COUNTIF($D$2:D585,D585)=1,1,0))</x:f>
        <x:v>1</x:v>
      </x:c>
    </x:row>
    <x:row r="586">
      <x:c r="A586" t="str">
        <x:v>Maurine Cheptoo</x:v>
      </x:c>
      <x:c r="B586" t="str">
        <x:v>KE</x:v>
      </x:c>
      <x:c r="C586" t="str">
        <x:v>maurine.cheptoo@pwc.com</x:v>
      </x:c>
      <x:c r="D586" t="str">
        <x:f>LOWER(TRIM(SUBSTITUTE(C586,CHAR(160)," ")))</x:f>
        <x:v>maurine.cheptoo@pwc.com</x:v>
      </x:c>
      <x:c r="E586" t="n">
        <x:f>IF(D586="","",IF(COUNTIF($D$2:D586,D586)=1,1,0))</x:f>
        <x:v>1</x:v>
      </x:c>
    </x:row>
    <x:row r="587">
      <x:c r="A587" t="str">
        <x:v>Mellisa Nassaka</x:v>
      </x:c>
      <x:c r="B587" t="str">
        <x:v>UG</x:v>
      </x:c>
      <x:c r="C587" t="str">
        <x:v>mellisa.nassaka@pwc.com</x:v>
      </x:c>
      <x:c r="D587" t="str">
        <x:f>LOWER(TRIM(SUBSTITUTE(C587,CHAR(160)," ")))</x:f>
        <x:v>mellisa.nassaka@pwc.com</x:v>
      </x:c>
      <x:c r="E587" t="n">
        <x:f>IF(D587="","",IF(COUNTIF($D$2:D587,D587)=1,1,0))</x:f>
        <x:v>1</x:v>
      </x:c>
    </x:row>
    <x:row r="588">
      <x:c r="A588" t="str">
        <x:v>Melvin Xavier</x:v>
      </x:c>
      <x:c r="B588" t="str">
        <x:v>ZM</x:v>
      </x:c>
      <x:c r="C588" t="str">
        <x:v>melvin.xavier@pwc.com</x:v>
      </x:c>
      <x:c r="D588" t="str">
        <x:f>LOWER(TRIM(SUBSTITUTE(C588,CHAR(160)," ")))</x:f>
        <x:v>melvin.xavier@pwc.com</x:v>
      </x:c>
      <x:c r="E588" t="n">
        <x:f>IF(D588="","",IF(COUNTIF($D$2:D588,D588)=1,1,0))</x:f>
        <x:v>1</x:v>
      </x:c>
    </x:row>
    <x:row r="589">
      <x:c r="A589" t="str">
        <x:v>Mercy Kosta</x:v>
      </x:c>
      <x:c r="B589" t="str">
        <x:v>ZM</x:v>
      </x:c>
      <x:c r="C589" t="str">
        <x:v>mercy.kosta@pwc.com</x:v>
      </x:c>
      <x:c r="D589" t="str">
        <x:f>LOWER(TRIM(SUBSTITUTE(C589,CHAR(160)," ")))</x:f>
        <x:v>mercy.kosta@pwc.com</x:v>
      </x:c>
      <x:c r="E589" t="n">
        <x:f>IF(D589="","",IF(COUNTIF($D$2:D589,D589)=1,1,0))</x:f>
        <x:v>1</x:v>
      </x:c>
    </x:row>
    <x:row r="590">
      <x:c r="A590" t="str">
        <x:v>Mercy Muraya</x:v>
      </x:c>
      <x:c r="B590" t="str">
        <x:v>KE</x:v>
      </x:c>
      <x:c r="C590" t="str">
        <x:v>mercy.muraya@pwc.com</x:v>
      </x:c>
      <x:c r="D590" t="str">
        <x:f>LOWER(TRIM(SUBSTITUTE(C590,CHAR(160)," ")))</x:f>
        <x:v>mercy.muraya@pwc.com</x:v>
      </x:c>
      <x:c r="E590" t="n">
        <x:f>IF(D590="","",IF(COUNTIF($D$2:D590,D590)=1,1,0))</x:f>
        <x:v>1</x:v>
      </x:c>
    </x:row>
    <x:row r="591">
      <x:c r="A591" t="str">
        <x:v>Meydini Maslamony</x:v>
      </x:c>
      <x:c r="B591" t="str">
        <x:v>MU</x:v>
      </x:c>
      <x:c r="C591" t="str">
        <x:v>meydini.maslamony@pwc.com</x:v>
      </x:c>
      <x:c r="D591" t="str">
        <x:f>LOWER(TRIM(SUBSTITUTE(C591,CHAR(160)," ")))</x:f>
        <x:v>meydini.maslamony@pwc.com</x:v>
      </x:c>
      <x:c r="E591" t="n">
        <x:f>IF(D591="","",IF(COUNTIF($D$2:D591,D591)=1,1,0))</x:f>
        <x:v>1</x:v>
      </x:c>
    </x:row>
    <x:row r="592">
      <x:c r="A592" t="str">
        <x:v>Mike Oyange</x:v>
      </x:c>
      <x:c r="B592" t="str">
        <x:v>KE</x:v>
      </x:c>
      <x:c r="C592" t="str">
        <x:v>mike.oyange@pwc.com</x:v>
      </x:c>
      <x:c r="D592" t="str">
        <x:f>LOWER(TRIM(SUBSTITUTE(C592,CHAR(160)," ")))</x:f>
        <x:v>mike.oyange@pwc.com</x:v>
      </x:c>
      <x:c r="E592" t="n">
        <x:f>IF(D592="","",IF(COUNTIF($D$2:D592,D592)=1,1,0))</x:f>
        <x:v>1</x:v>
      </x:c>
    </x:row>
    <x:row r="593">
      <x:c r="A593" t="str">
        <x:v>Mohammedsani Sherefa</x:v>
      </x:c>
      <x:c r="B593" t="str">
        <x:v>KE</x:v>
      </x:c>
      <x:c r="C593" t="str">
        <x:v>mohammedsani.sherefa@pwc.com</x:v>
      </x:c>
      <x:c r="D593" t="str">
        <x:f>LOWER(TRIM(SUBSTITUTE(C593,CHAR(160)," ")))</x:f>
        <x:v>mohammedsani.sherefa@pwc.com</x:v>
      </x:c>
      <x:c r="E593" t="n">
        <x:f>IF(D593="","",IF(COUNTIF($D$2:D593,D593)=1,1,0))</x:f>
        <x:v>1</x:v>
      </x:c>
    </x:row>
    <x:row r="594">
      <x:c r="A594" t="str">
        <x:v>Moses Mutuku</x:v>
      </x:c>
      <x:c r="B594" t="str">
        <x:v>KE</x:v>
      </x:c>
      <x:c r="C594" t="str">
        <x:v>moses.mutuku@pwc.com</x:v>
      </x:c>
      <x:c r="D594" t="str">
        <x:f>LOWER(TRIM(SUBSTITUTE(C594,CHAR(160)," ")))</x:f>
        <x:v>moses.mutuku@pwc.com</x:v>
      </x:c>
      <x:c r="E594" t="n">
        <x:f>IF(D594="","",IF(COUNTIF($D$2:D594,D594)=1,1,0))</x:f>
        <x:v>1</x:v>
      </x:c>
    </x:row>
    <x:row r="595">
      <x:c r="A595" t="str">
        <x:v>Moureen Ongaga</x:v>
      </x:c>
      <x:c r="B595" t="str">
        <x:v>KE</x:v>
      </x:c>
      <x:c r="C595" t="str">
        <x:v>moureen.ongaga@pwc.com</x:v>
      </x:c>
      <x:c r="D595" t="str">
        <x:f>LOWER(TRIM(SUBSTITUTE(C595,CHAR(160)," ")))</x:f>
        <x:v>moureen.ongaga@pwc.com</x:v>
      </x:c>
      <x:c r="E595" t="n">
        <x:f>IF(D595="","",IF(COUNTIF($D$2:D595,D595)=1,1,0))</x:f>
        <x:v>1</x:v>
      </x:c>
    </x:row>
    <x:row r="596">
      <x:c r="A596" t="str">
        <x:v>Mukota Chungu</x:v>
      </x:c>
      <x:c r="B596" t="str">
        <x:v>ZM</x:v>
      </x:c>
      <x:c r="C596" t="str">
        <x:v>mukota.chungu@pwc.com</x:v>
      </x:c>
      <x:c r="D596" t="str">
        <x:f>LOWER(TRIM(SUBSTITUTE(C596,CHAR(160)," ")))</x:f>
        <x:v>mukota.chungu@pwc.com</x:v>
      </x:c>
      <x:c r="E596" t="n">
        <x:f>IF(D596="","",IF(COUNTIF($D$2:D596,D596)=1,1,0))</x:f>
        <x:v>1</x:v>
      </x:c>
    </x:row>
    <x:row r="597">
      <x:c r="A597" t="str">
        <x:v>Mukundi Makhado</x:v>
      </x:c>
      <x:c r="B597" t="str">
        <x:v>ZA</x:v>
      </x:c>
      <x:c r="C597" t="str">
        <x:v>mukundi.makhado@pwc.com</x:v>
      </x:c>
      <x:c r="D597" t="str">
        <x:f>LOWER(TRIM(SUBSTITUTE(C597,CHAR(160)," ")))</x:f>
        <x:v>mukundi.makhado@pwc.com</x:v>
      </x:c>
      <x:c r="E597" t="n">
        <x:f>IF(D597="","",IF(COUNTIF($D$2:D597,D597)=1,1,0))</x:f>
        <x:v>1</x:v>
      </x:c>
    </x:row>
    <x:row r="598">
      <x:c r="A598" t="str">
        <x:v>Mustansir Ebrahimjee</x:v>
      </x:c>
      <x:c r="B598" t="str">
        <x:v>KE</x:v>
      </x:c>
      <x:c r="C598" t="str">
        <x:v>mustansir.ebrahimjee@pwc.com</x:v>
      </x:c>
      <x:c r="D598" t="str">
        <x:f>LOWER(TRIM(SUBSTITUTE(C598,CHAR(160)," ")))</x:f>
        <x:v>mustansir.ebrahimjee@pwc.com</x:v>
      </x:c>
      <x:c r="E598" t="n">
        <x:f>IF(D598="","",IF(COUNTIF($D$2:D598,D598)=1,1,0))</x:f>
        <x:v>1</x:v>
      </x:c>
    </x:row>
    <x:row r="599">
      <x:c r="A599" t="str">
        <x:v>Mutale Chibwe</x:v>
      </x:c>
      <x:c r="B599" t="str">
        <x:v>ZM</x:v>
      </x:c>
      <x:c r="C599" t="str">
        <x:v>mutale.chibwe@pwc.com</x:v>
      </x:c>
      <x:c r="D599" t="str">
        <x:f>LOWER(TRIM(SUBSTITUTE(C599,CHAR(160)," ")))</x:f>
        <x:v>mutale.chibwe@pwc.com</x:v>
      </x:c>
      <x:c r="E599" t="n">
        <x:f>IF(D599="","",IF(COUNTIF($D$2:D599,D599)=1,1,0))</x:f>
        <x:v>1</x:v>
      </x:c>
    </x:row>
    <x:row r="600">
      <x:c r="A600" t="str">
        <x:v>Mutale Mulubwa</x:v>
      </x:c>
      <x:c r="B600" t="str">
        <x:v>ZM</x:v>
      </x:c>
      <x:c r="C600" t="str">
        <x:v>mutale.mulubwa@pwc.com</x:v>
      </x:c>
      <x:c r="D600" t="str">
        <x:f>LOWER(TRIM(SUBSTITUTE(C600,CHAR(160)," ")))</x:f>
        <x:v>mutale.mulubwa@pwc.com</x:v>
      </x:c>
      <x:c r="E600" t="n">
        <x:f>IF(D600="","",IF(COUNTIF($D$2:D600,D600)=1,1,0))</x:f>
        <x:v>1</x:v>
      </x:c>
    </x:row>
    <x:row r="601">
      <x:c r="A601" t="str">
        <x:v>Najim Mwanga</x:v>
      </x:c>
      <x:c r="B601" t="str">
        <x:v>TZ</x:v>
      </x:c>
      <x:c r="C601" t="str">
        <x:v>najim.mwanga@pwc.com</x:v>
      </x:c>
      <x:c r="D601" t="str">
        <x:f>LOWER(TRIM(SUBSTITUTE(C601,CHAR(160)," ")))</x:f>
        <x:v>najim.mwanga@pwc.com</x:v>
      </x:c>
      <x:c r="E601" t="n">
        <x:f>IF(D601="","",IF(COUNTIF($D$2:D601,D601)=1,1,0))</x:f>
        <x:v>1</x:v>
      </x:c>
    </x:row>
    <x:row r="602">
      <x:c r="A602" t="str">
        <x:v>Nancy Mwangi</x:v>
      </x:c>
      <x:c r="B602" t="str">
        <x:v>KE</x:v>
      </x:c>
      <x:c r="C602" t="str">
        <x:v>nancy.mwangi@pwc.com</x:v>
      </x:c>
      <x:c r="D602" t="str">
        <x:f>LOWER(TRIM(SUBSTITUTE(C602,CHAR(160)," ")))</x:f>
        <x:v>nancy.mwangi@pwc.com</x:v>
      </x:c>
      <x:c r="E602" t="n">
        <x:f>IF(D602="","",IF(COUNTIF($D$2:D602,D602)=1,1,0))</x:f>
        <x:v>1</x:v>
      </x:c>
    </x:row>
    <x:row r="603">
      <x:c r="A603" t="str">
        <x:v>Nancy Shamge</x:v>
      </x:c>
      <x:c r="B603" t="str">
        <x:v>TZ</x:v>
      </x:c>
      <x:c r="C603" t="str">
        <x:v>nancy.shamge@pwc.com</x:v>
      </x:c>
      <x:c r="D603" t="str">
        <x:f>LOWER(TRIM(SUBSTITUTE(C603,CHAR(160)," ")))</x:f>
        <x:v>nancy.shamge@pwc.com</x:v>
      </x:c>
      <x:c r="E603" t="n">
        <x:f>IF(D603="","",IF(COUNTIF($D$2:D603,D603)=1,1,0))</x:f>
        <x:v>1</x:v>
      </x:c>
    </x:row>
    <x:row r="604">
      <x:c r="A604" t="str">
        <x:v>Nanita Nalule</x:v>
      </x:c>
      <x:c r="B604" t="str">
        <x:v>UG</x:v>
      </x:c>
      <x:c r="C604" t="str">
        <x:v>nanita.nalule@pwc.com</x:v>
      </x:c>
      <x:c r="D604" t="str">
        <x:f>LOWER(TRIM(SUBSTITUTE(C604,CHAR(160)," ")))</x:f>
        <x:v>nanita.nalule@pwc.com</x:v>
      </x:c>
      <x:c r="E604" t="n">
        <x:f>IF(D604="","",IF(COUNTIF($D$2:D604,D604)=1,1,0))</x:f>
        <x:v>1</x:v>
      </x:c>
    </x:row>
    <x:row r="605">
      <x:c r="A605" t="str">
        <x:v>Nardos Demeke</x:v>
      </x:c>
      <x:c r="B605" t="str">
        <x:v>KE</x:v>
      </x:c>
      <x:c r="C605" t="str">
        <x:v>nardos.demeke@pwc.com</x:v>
      </x:c>
      <x:c r="D605" t="str">
        <x:f>LOWER(TRIM(SUBSTITUTE(C605,CHAR(160)," ")))</x:f>
        <x:v>nardos.demeke@pwc.com</x:v>
      </x:c>
      <x:c r="E605" t="n">
        <x:f>IF(D605="","",IF(COUNTIF($D$2:D605,D605)=1,1,0))</x:f>
        <x:v>1</x:v>
      </x:c>
    </x:row>
    <x:row r="606">
      <x:c r="A606" t="str">
        <x:v>Narsis Makori</x:v>
      </x:c>
      <x:c r="B606" t="str">
        <x:v>TZ</x:v>
      </x:c>
      <x:c r="C606" t="str">
        <x:v>narsis.m.makori@pwc.com</x:v>
      </x:c>
      <x:c r="D606" t="str">
        <x:f>LOWER(TRIM(SUBSTITUTE(C606,CHAR(160)," ")))</x:f>
        <x:v>narsis.m.makori@pwc.com</x:v>
      </x:c>
      <x:c r="E606" t="n">
        <x:f>IF(D606="","",IF(COUNTIF($D$2:D606,D606)=1,1,0))</x:f>
        <x:v>1</x:v>
      </x:c>
    </x:row>
    <x:row r="607">
      <x:c r="A607" t="str">
        <x:v>Natasha Kakokota</x:v>
      </x:c>
      <x:c r="B607" t="str">
        <x:v>ZM</x:v>
      </x:c>
      <x:c r="C607" t="str">
        <x:v>natasha.kakokota@pwc.com</x:v>
      </x:c>
      <x:c r="D607" t="str">
        <x:f>LOWER(TRIM(SUBSTITUTE(C607,CHAR(160)," ")))</x:f>
        <x:v>natasha.kakokota@pwc.com</x:v>
      </x:c>
      <x:c r="E607" t="n">
        <x:f>IF(D607="","",IF(COUNTIF($D$2:D607,D607)=1,1,0))</x:f>
        <x:v>1</x:v>
      </x:c>
    </x:row>
    <x:row r="608">
      <x:c r="A608" t="str">
        <x:v>Neetisha Devi Cheekhooree</x:v>
      </x:c>
      <x:c r="B608" t="str">
        <x:v>MU</x:v>
      </x:c>
      <x:c r="C608" t="str">
        <x:v>neetisha.cheekhooree@pwc.com</x:v>
      </x:c>
      <x:c r="D608" t="str">
        <x:f>LOWER(TRIM(SUBSTITUTE(C608,CHAR(160)," ")))</x:f>
        <x:v>neetisha.cheekhooree@pwc.com</x:v>
      </x:c>
      <x:c r="E608" t="n">
        <x:f>IF(D608="","",IF(COUNTIF($D$2:D608,D608)=1,1,0))</x:f>
        <x:v>1</x:v>
      </x:c>
    </x:row>
    <x:row r="609">
      <x:c r="A609" t="str">
        <x:v>Nigel Clint</x:v>
      </x:c>
      <x:c r="B609" t="str">
        <x:v>KE</x:v>
      </x:c>
      <x:c r="C609" t="str">
        <x:v>nigel.clint@pwc.com</x:v>
      </x:c>
      <x:c r="D609" t="str">
        <x:f>LOWER(TRIM(SUBSTITUTE(C609,CHAR(160)," ")))</x:f>
        <x:v>nigel.clint@pwc.com</x:v>
      </x:c>
      <x:c r="E609" t="n">
        <x:f>IF(D609="","",IF(COUNTIF($D$2:D609,D609)=1,1,0))</x:f>
        <x:v>1</x:v>
      </x:c>
    </x:row>
    <x:row r="610">
      <x:c r="A610" t="str">
        <x:v>Nivenda Govindramen</x:v>
      </x:c>
      <x:c r="B610" t="str">
        <x:v>MU</x:v>
      </x:c>
      <x:c r="C610" t="str">
        <x:v>nivenda.govindramen@pwc.com</x:v>
      </x:c>
      <x:c r="D610" t="str">
        <x:f>LOWER(TRIM(SUBSTITUTE(C610,CHAR(160)," ")))</x:f>
        <x:v>nivenda.govindramen@pwc.com</x:v>
      </x:c>
      <x:c r="E610" t="n">
        <x:f>IF(D610="","",IF(COUNTIF($D$2:D610,D610)=1,1,0))</x:f>
        <x:v>1</x:v>
      </x:c>
    </x:row>
    <x:row r="611">
      <x:c r="A611" t="str">
        <x:v>Noah Tembo</x:v>
      </x:c>
      <x:c r="B611" t="str">
        <x:v>ZM</x:v>
      </x:c>
      <x:c r="C611" t="str">
        <x:v>noah.tembo@pwc.com</x:v>
      </x:c>
      <x:c r="D611" t="str">
        <x:f>LOWER(TRIM(SUBSTITUTE(C611,CHAR(160)," ")))</x:f>
        <x:v>noah.tembo@pwc.com</x:v>
      </x:c>
      <x:c r="E611" t="n">
        <x:f>IF(D611="","",IF(COUNTIF($D$2:D611,D611)=1,1,0))</x:f>
        <x:v>1</x:v>
      </x:c>
    </x:row>
    <x:row r="612">
      <x:c r="A612" t="str">
        <x:v>Nuhu Mandy</x:v>
      </x:c>
      <x:c r="B612" t="str">
        <x:v>TZ</x:v>
      </x:c>
      <x:c r="C612" t="str">
        <x:v>nuhu.mandy@pwc.com</x:v>
      </x:c>
      <x:c r="D612" t="str">
        <x:f>LOWER(TRIM(SUBSTITUTE(C612,CHAR(160)," ")))</x:f>
        <x:v>nuhu.mandy@pwc.com</x:v>
      </x:c>
      <x:c r="E612" t="n">
        <x:f>IF(D612="","",IF(COUNTIF($D$2:D612,D612)=1,1,0))</x:f>
        <x:v>1</x:v>
      </x:c>
    </x:row>
    <x:row r="613">
      <x:c r="A613" t="str">
        <x:v>Obeid Mluha</x:v>
      </x:c>
      <x:c r="B613" t="str">
        <x:v>TZ</x:v>
      </x:c>
      <x:c r="C613" t="str">
        <x:v>obeid.mluha@pwc.com</x:v>
      </x:c>
      <x:c r="D613" t="str">
        <x:f>LOWER(TRIM(SUBSTITUTE(C613,CHAR(160)," ")))</x:f>
        <x:v>obeid.mluha@pwc.com</x:v>
      </x:c>
      <x:c r="E613" t="n">
        <x:f>IF(D613="","",IF(COUNTIF($D$2:D613,D613)=1,1,0))</x:f>
        <x:v>1</x:v>
      </x:c>
    </x:row>
    <x:row r="614">
      <x:c r="A614" t="str">
        <x:v>Oscar Malogo</x:v>
      </x:c>
      <x:c r="B614" t="str">
        <x:v>TZ</x:v>
      </x:c>
      <x:c r="C614" t="str">
        <x:v>oscar.malogo@pwc.com</x:v>
      </x:c>
      <x:c r="D614" t="str">
        <x:f>LOWER(TRIM(SUBSTITUTE(C614,CHAR(160)," ")))</x:f>
        <x:v>oscar.malogo@pwc.com</x:v>
      </x:c>
      <x:c r="E614" t="n">
        <x:f>IF(D614="","",IF(COUNTIF($D$2:D614,D614)=1,1,0))</x:f>
        <x:v>1</x:v>
      </x:c>
    </x:row>
    <x:row r="615">
      <x:c r="A615" t="str">
        <x:v>Ouwais Allymeeah</x:v>
      </x:c>
      <x:c r="B615" t="str">
        <x:v>MU</x:v>
      </x:c>
      <x:c r="C615" t="str">
        <x:v>ouwais.allymeeah@pwc.com</x:v>
      </x:c>
      <x:c r="D615" t="str">
        <x:f>LOWER(TRIM(SUBSTITUTE(C615,CHAR(160)," ")))</x:f>
        <x:v>ouwais.allymeeah@pwc.com</x:v>
      </x:c>
      <x:c r="E615" t="n">
        <x:f>IF(D615="","",IF(COUNTIF($D$2:D615,D615)=1,1,0))</x:f>
        <x:v>1</x:v>
      </x:c>
    </x:row>
    <x:row r="616">
      <x:c r="A616" t="str">
        <x:v>Penlope Bainomugisha</x:v>
      </x:c>
      <x:c r="B616" t="str">
        <x:v>RW</x:v>
      </x:c>
      <x:c r="C616" t="str">
        <x:v>penlope.bainomugisha@pwc.com</x:v>
      </x:c>
      <x:c r="D616" t="str">
        <x:f>LOWER(TRIM(SUBSTITUTE(C616,CHAR(160)," ")))</x:f>
        <x:v>penlope.bainomugisha@pwc.com</x:v>
      </x:c>
      <x:c r="E616" t="n">
        <x:f>IF(D616="","",IF(COUNTIF($D$2:D616,D616)=1,1,0))</x:f>
        <x:v>1</x:v>
      </x:c>
    </x:row>
    <x:row r="617">
      <x:c r="A617" t="str">
        <x:v>Peter Ndaki</x:v>
      </x:c>
      <x:c r="B617" t="str">
        <x:v>TZ</x:v>
      </x:c>
      <x:c r="C617" t="str">
        <x:v>peter.ndaki@pwc.com</x:v>
      </x:c>
      <x:c r="D617" t="str">
        <x:f>LOWER(TRIM(SUBSTITUTE(C617,CHAR(160)," ")))</x:f>
        <x:v>peter.ndaki@pwc.com</x:v>
      </x:c>
      <x:c r="E617" t="n">
        <x:f>IF(D617="","",IF(COUNTIF($D$2:D617,D617)=1,1,0))</x:f>
        <x:v>1</x:v>
      </x:c>
    </x:row>
    <x:row r="618">
      <x:c r="A618" t="str">
        <x:v>Peter Placid</x:v>
      </x:c>
      <x:c r="B618" t="str">
        <x:v>TZ</x:v>
      </x:c>
      <x:c r="C618" t="str">
        <x:v>peter.placid@pwc.com</x:v>
      </x:c>
      <x:c r="D618" t="str">
        <x:f>LOWER(TRIM(SUBSTITUTE(C618,CHAR(160)," ")))</x:f>
        <x:v>peter.placid@pwc.com</x:v>
      </x:c>
      <x:c r="E618" t="n">
        <x:f>IF(D618="","",IF(COUNTIF($D$2:D618,D618)=1,1,0))</x:f>
        <x:v>1</x:v>
      </x:c>
    </x:row>
    <x:row r="619">
      <x:c r="A619" t="str">
        <x:v>Phanastone Yongo</x:v>
      </x:c>
      <x:c r="B619" t="str">
        <x:v>KE</x:v>
      </x:c>
      <x:c r="C619" t="str">
        <x:v>phanastone.yongo@pwc.com</x:v>
      </x:c>
      <x:c r="D619" t="str">
        <x:f>LOWER(TRIM(SUBSTITUTE(C619,CHAR(160)," ")))</x:f>
        <x:v>phanastone.yongo@pwc.com</x:v>
      </x:c>
      <x:c r="E619" t="n">
        <x:f>IF(D619="","",IF(COUNTIF($D$2:D619,D619)=1,1,0))</x:f>
        <x:v>1</x:v>
      </x:c>
    </x:row>
    <x:row r="620">
      <x:c r="A620" t="str">
        <x:v>Phelister Odhiambo</x:v>
      </x:c>
      <x:c r="B620" t="str">
        <x:v>KE</x:v>
      </x:c>
      <x:c r="C620" t="str">
        <x:v>phelister.odhiambo@pwc.com</x:v>
      </x:c>
      <x:c r="D620" t="str">
        <x:f>LOWER(TRIM(SUBSTITUTE(C620,CHAR(160)," ")))</x:f>
        <x:v>phelister.odhiambo@pwc.com</x:v>
      </x:c>
      <x:c r="E620" t="n">
        <x:f>IF(D620="","",IF(COUNTIF($D$2:D620,D620)=1,1,0))</x:f>
        <x:v>1</x:v>
      </x:c>
    </x:row>
    <x:row r="621">
      <x:c r="A621" t="str">
        <x:v>Praxy Kanana</x:v>
      </x:c>
      <x:c r="B621" t="str">
        <x:v>KE</x:v>
      </x:c>
      <x:c r="C621" t="str">
        <x:v>praxy.kanana@pwc.com</x:v>
      </x:c>
      <x:c r="D621" t="str">
        <x:f>LOWER(TRIM(SUBSTITUTE(C621,CHAR(160)," ")))</x:f>
        <x:v>praxy.kanana@pwc.com</x:v>
      </x:c>
      <x:c r="E621" t="n">
        <x:f>IF(D621="","",IF(COUNTIF($D$2:D621,D621)=1,1,0))</x:f>
        <x:v>1</x:v>
      </x:c>
    </x:row>
    <x:row r="622">
      <x:c r="A622" t="str">
        <x:v>Priscilla Mirembe</x:v>
      </x:c>
      <x:c r="B622" t="str">
        <x:v>UG</x:v>
      </x:c>
      <x:c r="C622" t="str">
        <x:v>priscilla.mirembe@pwc.com</x:v>
      </x:c>
      <x:c r="D622" t="str">
        <x:f>LOWER(TRIM(SUBSTITUTE(C622,CHAR(160)," ")))</x:f>
        <x:v>priscilla.mirembe@pwc.com</x:v>
      </x:c>
      <x:c r="E622" t="n">
        <x:f>IF(D622="","",IF(COUNTIF($D$2:D622,D622)=1,1,0))</x:f>
        <x:v>1</x:v>
      </x:c>
    </x:row>
    <x:row r="623">
      <x:c r="A623" t="str">
        <x:v>Pritika Roy</x:v>
      </x:c>
      <x:c r="B623" t="str">
        <x:v>MU</x:v>
      </x:c>
      <x:c r="C623" t="str">
        <x:v>pritika.roy@pwc.com</x:v>
      </x:c>
      <x:c r="D623" t="str">
        <x:f>LOWER(TRIM(SUBSTITUTE(C623,CHAR(160)," ")))</x:f>
        <x:v>pritika.roy@pwc.com</x:v>
      </x:c>
      <x:c r="E623" t="n">
        <x:f>IF(D623="","",IF(COUNTIF($D$2:D623,D623)=1,1,0))</x:f>
        <x:v>1</x:v>
      </x:c>
    </x:row>
    <x:row r="624">
      <x:c r="A624" t="str">
        <x:v>Rachel Mduma</x:v>
      </x:c>
      <x:c r="B624" t="str">
        <x:v>TZ</x:v>
      </x:c>
      <x:c r="C624" t="str">
        <x:v>rachel.mduma@pwc.com</x:v>
      </x:c>
      <x:c r="D624" t="str">
        <x:f>LOWER(TRIM(SUBSTITUTE(C624,CHAR(160)," ")))</x:f>
        <x:v>rachel.mduma@pwc.com</x:v>
      </x:c>
      <x:c r="E624" t="n">
        <x:f>IF(D624="","",IF(COUNTIF($D$2:D624,D624)=1,1,0))</x:f>
        <x:v>1</x:v>
      </x:c>
    </x:row>
    <x:row r="625">
      <x:c r="A625" t="str">
        <x:v>Rael Sumahili</x:v>
      </x:c>
      <x:c r="B625" t="str">
        <x:v>RW</x:v>
      </x:c>
      <x:c r="C625" t="str">
        <x:v>rael.sumahili@pwc.com</x:v>
      </x:c>
      <x:c r="D625" t="str">
        <x:f>LOWER(TRIM(SUBSTITUTE(C625,CHAR(160)," ")))</x:f>
        <x:v>rael.sumahili@pwc.com</x:v>
      </x:c>
      <x:c r="E625" t="n">
        <x:f>IF(D625="","",IF(COUNTIF($D$2:D625,D625)=1,1,0))</x:f>
        <x:v>1</x:v>
      </x:c>
    </x:row>
    <x:row r="626">
      <x:c r="A626" t="str">
        <x:v>Raissah Ramdianee</x:v>
      </x:c>
      <x:c r="B626" t="str">
        <x:v>MU</x:v>
      </x:c>
      <x:c r="C626" t="str">
        <x:v>raissah.ramdianee@pwc.com</x:v>
      </x:c>
      <x:c r="D626" t="str">
        <x:f>LOWER(TRIM(SUBSTITUTE(C626,CHAR(160)," ")))</x:f>
        <x:v>raissah.ramdianee@pwc.com</x:v>
      </x:c>
      <x:c r="E626" t="n">
        <x:f>IF(D626="","",IF(COUNTIF($D$2:D626,D626)=1,1,0))</x:f>
        <x:v>1</x:v>
      </x:c>
    </x:row>
    <x:row r="627">
      <x:c r="A627" t="str">
        <x:v>Raj Ghunowa</x:v>
      </x:c>
      <x:c r="B627" t="str">
        <x:v>MU</x:v>
      </x:c>
      <x:c r="C627" t="str">
        <x:v>ghunowa.raj@pwc.com</x:v>
      </x:c>
      <x:c r="D627" t="str">
        <x:f>LOWER(TRIM(SUBSTITUTE(C627,CHAR(160)," ")))</x:f>
        <x:v>ghunowa.raj@pwc.com</x:v>
      </x:c>
      <x:c r="E627" t="n">
        <x:f>IF(D627="","",IF(COUNTIF($D$2:D627,D627)=1,1,0))</x:f>
        <x:v>1</x:v>
      </x:c>
    </x:row>
    <x:row r="628">
      <x:c r="A628" t="str">
        <x:v>Ramadhani Mshana</x:v>
      </x:c>
      <x:c r="B628" t="str">
        <x:v>TZ</x:v>
      </x:c>
      <x:c r="C628" t="str">
        <x:v>ramadhani.mshana@pwc.com</x:v>
      </x:c>
      <x:c r="D628" t="str">
        <x:f>LOWER(TRIM(SUBSTITUTE(C628,CHAR(160)," ")))</x:f>
        <x:v>ramadhani.mshana@pwc.com</x:v>
      </x:c>
      <x:c r="E628" t="n">
        <x:f>IF(D628="","",IF(COUNTIF($D$2:D628,D628)=1,1,0))</x:f>
        <x:v>1</x:v>
      </x:c>
    </x:row>
    <x:row r="629">
      <x:c r="A629" t="str">
        <x:v>Rayhaan Cadersa</x:v>
      </x:c>
      <x:c r="B629" t="str">
        <x:v>MU</x:v>
      </x:c>
      <x:c r="C629" t="str">
        <x:v>rayhaan.cadersa@pwc.com</x:v>
      </x:c>
      <x:c r="D629" t="str">
        <x:f>LOWER(TRIM(SUBSTITUTE(C629,CHAR(160)," ")))</x:f>
        <x:v>rayhaan.cadersa@pwc.com</x:v>
      </x:c>
      <x:c r="E629" t="n">
        <x:f>IF(D629="","",IF(COUNTIF($D$2:D629,D629)=1,1,0))</x:f>
        <x:v>1</x:v>
      </x:c>
    </x:row>
    <x:row r="630">
      <x:c r="A630" t="str">
        <x:v>Rebecca Kayiteesi</x:v>
      </x:c>
      <x:c r="B630" t="str">
        <x:v>UG</x:v>
      </x:c>
      <x:c r="C630" t="str">
        <x:v>rebecca.kayiteesi@pwc.com</x:v>
      </x:c>
      <x:c r="D630" t="str">
        <x:f>LOWER(TRIM(SUBSTITUTE(C630,CHAR(160)," ")))</x:f>
        <x:v>rebecca.kayiteesi@pwc.com</x:v>
      </x:c>
      <x:c r="E630" t="n">
        <x:f>IF(D630="","",IF(COUNTIF($D$2:D630,D630)=1,1,0))</x:f>
        <x:v>1</x:v>
      </x:c>
    </x:row>
    <x:row r="631">
      <x:c r="A631" t="str">
        <x:v>Rebecca Osunga</x:v>
      </x:c>
      <x:c r="B631" t="str">
        <x:v>KE</x:v>
      </x:c>
      <x:c r="C631" t="str">
        <x:v>rebecca.osunga@pwc.com</x:v>
      </x:c>
      <x:c r="D631" t="str">
        <x:f>LOWER(TRIM(SUBSTITUTE(C631,CHAR(160)," ")))</x:f>
        <x:v>rebecca.osunga@pwc.com</x:v>
      </x:c>
      <x:c r="E631" t="n">
        <x:f>IF(D631="","",IF(COUNTIF($D$2:D631,D631)=1,1,0))</x:f>
        <x:v>1</x:v>
      </x:c>
    </x:row>
    <x:row r="632">
      <x:c r="A632" t="str">
        <x:v>Ria Munogee</x:v>
      </x:c>
      <x:c r="B632" t="str">
        <x:v>MU</x:v>
      </x:c>
      <x:c r="C632" t="str">
        <x:v>leenam.munogee@pwc.com</x:v>
      </x:c>
      <x:c r="D632" t="str">
        <x:f>LOWER(TRIM(SUBSTITUTE(C632,CHAR(160)," ")))</x:f>
        <x:v>leenam.munogee@pwc.com</x:v>
      </x:c>
      <x:c r="E632" t="n">
        <x:f>IF(D632="","",IF(COUNTIF($D$2:D632,D632)=1,1,0))</x:f>
        <x:v>1</x:v>
      </x:c>
    </x:row>
    <x:row r="633">
      <x:c r="A633" t="str">
        <x:v>Rohan Peter</x:v>
      </x:c>
      <x:c r="B633" t="str">
        <x:v>MU</x:v>
      </x:c>
      <x:c r="C633" t="str">
        <x:v>rohan.peter@pwc.com</x:v>
      </x:c>
      <x:c r="D633" t="str">
        <x:f>LOWER(TRIM(SUBSTITUTE(C633,CHAR(160)," ")))</x:f>
        <x:v>rohan.peter@pwc.com</x:v>
      </x:c>
      <x:c r="E633" t="n">
        <x:f>IF(D633="","",IF(COUNTIF($D$2:D633,D633)=1,1,0))</x:f>
        <x:v>1</x:v>
      </x:c>
    </x:row>
    <x:row r="634">
      <x:c r="A634" t="str">
        <x:v>Rose Banda</x:v>
      </x:c>
      <x:c r="B634" t="str">
        <x:v>ZM</x:v>
      </x:c>
      <x:c r="C634" t="str">
        <x:v>rose.banda@pwc.com</x:v>
      </x:c>
      <x:c r="D634" t="str">
        <x:f>LOWER(TRIM(SUBSTITUTE(C634,CHAR(160)," ")))</x:f>
        <x:v>rose.banda@pwc.com</x:v>
      </x:c>
      <x:c r="E634" t="n">
        <x:f>IF(D634="","",IF(COUNTIF($D$2:D634,D634)=1,1,0))</x:f>
        <x:v>1</x:v>
      </x:c>
    </x:row>
    <x:row r="635">
      <x:c r="A635" t="str">
        <x:v>Ruth Uwera</x:v>
      </x:c>
      <x:c r="B635" t="str">
        <x:v>RW</x:v>
      </x:c>
      <x:c r="C635" t="str">
        <x:v>ruth.uwera@pwc.com</x:v>
      </x:c>
      <x:c r="D635" t="str">
        <x:f>LOWER(TRIM(SUBSTITUTE(C635,CHAR(160)," ")))</x:f>
        <x:v>ruth.uwera@pwc.com</x:v>
      </x:c>
      <x:c r="E635" t="n">
        <x:f>IF(D635="","",IF(COUNTIF($D$2:D635,D635)=1,1,0))</x:f>
        <x:v>1</x:v>
      </x:c>
    </x:row>
    <x:row r="636">
      <x:c r="A636" t="str">
        <x:v>Sabryya Moos</x:v>
      </x:c>
      <x:c r="B636" t="str">
        <x:v>MU</x:v>
      </x:c>
      <x:c r="C636" t="str">
        <x:v>sabryya.moos@pwc.com</x:v>
      </x:c>
      <x:c r="D636" t="str">
        <x:f>LOWER(TRIM(SUBSTITUTE(C636,CHAR(160)," ")))</x:f>
        <x:v>sabryya.moos@pwc.com</x:v>
      </x:c>
      <x:c r="E636" t="n">
        <x:f>IF(D636="","",IF(COUNTIF($D$2:D636,D636)=1,1,0))</x:f>
        <x:v>1</x:v>
      </x:c>
    </x:row>
    <x:row r="637">
      <x:c r="A637" t="str">
        <x:v>Sadia Emamdee</x:v>
      </x:c>
      <x:c r="B637" t="str">
        <x:v>MU</x:v>
      </x:c>
      <x:c r="C637" t="str">
        <x:v>sadia.emamdee@pwc.com</x:v>
      </x:c>
      <x:c r="D637" t="str">
        <x:f>LOWER(TRIM(SUBSTITUTE(C637,CHAR(160)," ")))</x:f>
        <x:v>sadia.emamdee@pwc.com</x:v>
      </x:c>
      <x:c r="E637" t="n">
        <x:f>IF(D637="","",IF(COUNTIF($D$2:D637,D637)=1,1,0))</x:f>
        <x:v>1</x:v>
      </x:c>
    </x:row>
    <x:row r="638">
      <x:c r="A638" t="str">
        <x:v>Sadishen Vythilingum</x:v>
      </x:c>
      <x:c r="B638" t="str">
        <x:v>MU</x:v>
      </x:c>
      <x:c r="C638" t="str">
        <x:v>sadishen.vythilingum@pwc.com</x:v>
      </x:c>
      <x:c r="D638" t="str">
        <x:f>LOWER(TRIM(SUBSTITUTE(C638,CHAR(160)," ")))</x:f>
        <x:v>sadishen.vythilingum@pwc.com</x:v>
      </x:c>
      <x:c r="E638" t="n">
        <x:f>IF(D638="","",IF(COUNTIF($D$2:D638,D638)=1,1,0))</x:f>
        <x:v>1</x:v>
      </x:c>
    </x:row>
    <x:row r="639">
      <x:c r="A639" t="str">
        <x:v>Safia Abdulkadir</x:v>
      </x:c>
      <x:c r="B639" t="str">
        <x:v>KE</x:v>
      </x:c>
      <x:c r="C639" t="str">
        <x:v>safia.abdulkadir@pwc.com</x:v>
      </x:c>
      <x:c r="D639" t="str">
        <x:f>LOWER(TRIM(SUBSTITUTE(C639,CHAR(160)," ")))</x:f>
        <x:v>safia.abdulkadir@pwc.com</x:v>
      </x:c>
      <x:c r="E639" t="n">
        <x:f>IF(D639="","",IF(COUNTIF($D$2:D639,D639)=1,1,0))</x:f>
        <x:v>1</x:v>
      </x:c>
    </x:row>
    <x:row r="640">
      <x:c r="A640" t="str">
        <x:v>Sahil Ramyed</x:v>
      </x:c>
      <x:c r="B640" t="str">
        <x:v>MU</x:v>
      </x:c>
      <x:c r="C640" t="str">
        <x:v>sahil.ramyed@pwc.com</x:v>
      </x:c>
      <x:c r="D640" t="str">
        <x:f>LOWER(TRIM(SUBSTITUTE(C640,CHAR(160)," ")))</x:f>
        <x:v>sahil.ramyed@pwc.com</x:v>
      </x:c>
      <x:c r="E640" t="n">
        <x:f>IF(D640="","",IF(COUNTIF($D$2:D640,D640)=1,1,0))</x:f>
        <x:v>1</x:v>
      </x:c>
    </x:row>
    <x:row r="641">
      <x:c r="A641" t="str">
        <x:v>Shafeeka Bauluck</x:v>
      </x:c>
      <x:c r="B641" t="str">
        <x:v>MU</x:v>
      </x:c>
      <x:c r="C641" t="str">
        <x:v>shafeeka.bauluck@pwc.com</x:v>
      </x:c>
      <x:c r="D641" t="str">
        <x:f>LOWER(TRIM(SUBSTITUTE(C641,CHAR(160)," ")))</x:f>
        <x:v>shafeeka.bauluck@pwc.com</x:v>
      </x:c>
      <x:c r="E641" t="n">
        <x:f>IF(D641="","",IF(COUNTIF($D$2:D641,D641)=1,1,0))</x:f>
        <x:v>1</x:v>
      </x:c>
    </x:row>
    <x:row r="642">
      <x:c r="A642" t="str">
        <x:v>Shakil Torabally</x:v>
      </x:c>
      <x:c r="B642" t="str">
        <x:v>MU</x:v>
      </x:c>
      <x:c r="C642" t="str">
        <x:v>shakil.torabally@pwc.com</x:v>
      </x:c>
      <x:c r="D642" t="str">
        <x:f>LOWER(TRIM(SUBSTITUTE(C642,CHAR(160)," ")))</x:f>
        <x:v>shakil.torabally@pwc.com</x:v>
      </x:c>
      <x:c r="E642" t="n">
        <x:f>IF(D642="","",IF(COUNTIF($D$2:D642,D642)=1,1,0))</x:f>
        <x:v>1</x:v>
      </x:c>
    </x:row>
    <x:row r="643">
      <x:c r="A643" t="str">
        <x:v>Shania Ersapah</x:v>
      </x:c>
      <x:c r="B643" t="str">
        <x:v>MU</x:v>
      </x:c>
      <x:c r="C643" t="str">
        <x:v>shania.ersapah@pwc.com</x:v>
      </x:c>
      <x:c r="D643" t="str">
        <x:f>LOWER(TRIM(SUBSTITUTE(C643,CHAR(160)," ")))</x:f>
        <x:v>shania.ersapah@pwc.com</x:v>
      </x:c>
      <x:c r="E643" t="n">
        <x:f>IF(D643="","",IF(COUNTIF($D$2:D643,D643)=1,1,0))</x:f>
        <x:v>1</x:v>
      </x:c>
    </x:row>
    <x:row r="644">
      <x:c r="A644" t="str">
        <x:v>Sheila Atuhaire</x:v>
      </x:c>
      <x:c r="B644" t="str">
        <x:v>UG</x:v>
      </x:c>
      <x:c r="C644" t="str">
        <x:v>sheila.atuhaire@pwc.com</x:v>
      </x:c>
      <x:c r="D644" t="str">
        <x:f>LOWER(TRIM(SUBSTITUTE(C644,CHAR(160)," ")))</x:f>
        <x:v>sheila.atuhaire@pwc.com</x:v>
      </x:c>
      <x:c r="E644" t="n">
        <x:f>IF(D644="","",IF(COUNTIF($D$2:D644,D644)=1,1,0))</x:f>
        <x:v>1</x:v>
      </x:c>
    </x:row>
    <x:row r="645">
      <x:c r="A645" t="str">
        <x:v>Sheila Brelu-Brelu</x:v>
      </x:c>
      <x:c r="B645" t="str">
        <x:v>MU</x:v>
      </x:c>
      <x:c r="C645" t="str">
        <x:v>sheila.brelu-brelu@pwc.com</x:v>
      </x:c>
      <x:c r="D645" t="str">
        <x:f>LOWER(TRIM(SUBSTITUTE(C645,CHAR(160)," ")))</x:f>
        <x:v>sheila.brelu-brelu@pwc.com</x:v>
      </x:c>
      <x:c r="E645" t="n">
        <x:f>IF(D645="","",IF(COUNTIF($D$2:D645,D645)=1,1,0))</x:f>
        <x:v>1</x:v>
      </x:c>
    </x:row>
    <x:row r="646">
      <x:c r="A646" t="str">
        <x:v>Sofia Hauroo</x:v>
      </x:c>
      <x:c r="B646" t="str">
        <x:v>MU</x:v>
      </x:c>
      <x:c r="C646" t="str">
        <x:v>sofia.hauroo@pwc.com</x:v>
      </x:c>
      <x:c r="D646" t="str">
        <x:f>LOWER(TRIM(SUBSTITUTE(C646,CHAR(160)," ")))</x:f>
        <x:v>sofia.hauroo@pwc.com</x:v>
      </x:c>
      <x:c r="E646" t="n">
        <x:f>IF(D646="","",IF(COUNTIF($D$2:D646,D646)=1,1,0))</x:f>
        <x:v>1</x:v>
      </x:c>
    </x:row>
    <x:row r="647">
      <x:c r="A647" t="str">
        <x:v>Stanford Phiri</x:v>
      </x:c>
      <x:c r="B647" t="str">
        <x:v>ZM</x:v>
      </x:c>
      <x:c r="C647" t="str">
        <x:v>stanford.m.phiri@pwc.com</x:v>
      </x:c>
      <x:c r="D647" t="str">
        <x:f>LOWER(TRIM(SUBSTITUTE(C647,CHAR(160)," ")))</x:f>
        <x:v>stanford.m.phiri@pwc.com</x:v>
      </x:c>
      <x:c r="E647" t="n">
        <x:f>IF(D647="","",IF(COUNTIF($D$2:D647,D647)=1,1,0))</x:f>
        <x:v>1</x:v>
      </x:c>
    </x:row>
    <x:row r="648">
      <x:c r="A648" t="str">
        <x:v>Successful Amani</x:v>
      </x:c>
      <x:c r="B648" t="str">
        <x:v>TZ</x:v>
      </x:c>
      <x:c r="C648" t="str">
        <x:v>successful.amani@pwc.com</x:v>
      </x:c>
      <x:c r="D648" t="str">
        <x:f>LOWER(TRIM(SUBSTITUTE(C648,CHAR(160)," ")))</x:f>
        <x:v>successful.amani@pwc.com</x:v>
      </x:c>
      <x:c r="E648" t="n">
        <x:f>IF(D648="","",IF(COUNTIF($D$2:D648,D648)=1,1,0))</x:f>
        <x:v>1</x:v>
      </x:c>
    </x:row>
    <x:row r="649">
      <x:c r="A649" t="str">
        <x:v>Sudarshani Cooshna</x:v>
      </x:c>
      <x:c r="B649" t="str">
        <x:v>MU</x:v>
      </x:c>
      <x:c r="C649" t="str">
        <x:v>darshani.cooshna@pwc.com</x:v>
      </x:c>
      <x:c r="D649" t="str">
        <x:f>LOWER(TRIM(SUBSTITUTE(C649,CHAR(160)," ")))</x:f>
        <x:v>darshani.cooshna@pwc.com</x:v>
      </x:c>
      <x:c r="E649" t="n">
        <x:f>IF(D649="","",IF(COUNTIF($D$2:D649,D649)=1,1,0))</x:f>
        <x:v>1</x:v>
      </x:c>
    </x:row>
    <x:row r="650">
      <x:c r="A650" t="str">
        <x:v>Susan Mugera</x:v>
      </x:c>
      <x:c r="B650" t="str">
        <x:v>UG</x:v>
      </x:c>
      <x:c r="C650" t="str">
        <x:v>susan.m.mugera@pwc.com</x:v>
      </x:c>
      <x:c r="D650" t="str">
        <x:f>LOWER(TRIM(SUBSTITUTE(C650,CHAR(160)," ")))</x:f>
        <x:v>susan.m.mugera@pwc.com</x:v>
      </x:c>
      <x:c r="E650" t="n">
        <x:f>IF(D650="","",IF(COUNTIF($D$2:D650,D650)=1,1,0))</x:f>
        <x:v>1</x:v>
      </x:c>
    </x:row>
    <x:row r="651">
      <x:c r="A651" t="str">
        <x:v>Sylvia Keter</x:v>
      </x:c>
      <x:c r="B651" t="str">
        <x:v>KE</x:v>
      </x:c>
      <x:c r="C651" t="str">
        <x:v>sylvia.keter@pwc.com</x:v>
      </x:c>
      <x:c r="D651" t="str">
        <x:f>LOWER(TRIM(SUBSTITUTE(C651,CHAR(160)," ")))</x:f>
        <x:v>sylvia.keter@pwc.com</x:v>
      </x:c>
      <x:c r="E651" t="n">
        <x:f>IF(D651="","",IF(COUNTIF($D$2:D651,D651)=1,1,0))</x:f>
        <x:v>1</x:v>
      </x:c>
    </x:row>
    <x:row r="652">
      <x:c r="A652" t="str">
        <x:v>Tabo Mwiya</x:v>
      </x:c>
      <x:c r="B652" t="str">
        <x:v>ZM</x:v>
      </x:c>
      <x:c r="C652" t="str">
        <x:v>tabo.mwiya@pwc.com</x:v>
      </x:c>
      <x:c r="D652" t="str">
        <x:f>LOWER(TRIM(SUBSTITUTE(C652,CHAR(160)," ")))</x:f>
        <x:v>tabo.mwiya@pwc.com</x:v>
      </x:c>
      <x:c r="E652" t="n">
        <x:f>IF(D652="","",IF(COUNTIF($D$2:D652,D652)=1,1,0))</x:f>
        <x:v>1</x:v>
      </x:c>
    </x:row>
    <x:row r="653">
      <x:c r="A653" t="str">
        <x:v>Teresia Kilawe</x:v>
      </x:c>
      <x:c r="B653" t="str">
        <x:v>TZ</x:v>
      </x:c>
      <x:c r="C653" t="str">
        <x:v>teresia.kilawe@pwc.com</x:v>
      </x:c>
      <x:c r="D653" t="str">
        <x:f>LOWER(TRIM(SUBSTITUTE(C653,CHAR(160)," ")))</x:f>
        <x:v>teresia.kilawe@pwc.com</x:v>
      </x:c>
      <x:c r="E653" t="n">
        <x:f>IF(D653="","",IF(COUNTIF($D$2:D653,D653)=1,1,0))</x:f>
        <x:v>1</x:v>
      </x:c>
    </x:row>
    <x:row r="654">
      <x:c r="A654" t="str">
        <x:v>Theresa Bazudde</x:v>
      </x:c>
      <x:c r="B654" t="str">
        <x:v>UG</x:v>
      </x:c>
      <x:c r="C654" t="str">
        <x:v>theresa.bazudde@pwc.com</x:v>
      </x:c>
      <x:c r="D654" t="str">
        <x:f>LOWER(TRIM(SUBSTITUTE(C654,CHAR(160)," ")))</x:f>
        <x:v>theresa.bazudde@pwc.com</x:v>
      </x:c>
      <x:c r="E654" t="n">
        <x:f>IF(D654="","",IF(COUNTIF($D$2:D654,D654)=1,1,0))</x:f>
        <x:v>1</x:v>
      </x:c>
    </x:row>
    <x:row r="655">
      <x:c r="A655" t="str">
        <x:v>Tirzah Atwiine</x:v>
      </x:c>
      <x:c r="B655" t="str">
        <x:v>UG</x:v>
      </x:c>
      <x:c r="C655" t="str">
        <x:v>tirzah.atwiine@pwc.com</x:v>
      </x:c>
      <x:c r="D655" t="str">
        <x:f>LOWER(TRIM(SUBSTITUTE(C655,CHAR(160)," ")))</x:f>
        <x:v>tirzah.atwiine@pwc.com</x:v>
      </x:c>
      <x:c r="E655" t="n">
        <x:f>IF(D655="","",IF(COUNTIF($D$2:D655,D655)=1,1,0))</x:f>
        <x:v>1</x:v>
      </x:c>
    </x:row>
    <x:row r="656">
      <x:c r="A656" t="str">
        <x:v>Tushita Ruttun</x:v>
      </x:c>
      <x:c r="B656" t="str">
        <x:v>MU</x:v>
      </x:c>
      <x:c r="C656" t="str">
        <x:v>tushita.ruttun@pwc.com</x:v>
      </x:c>
      <x:c r="D656" t="str">
        <x:f>LOWER(TRIM(SUBSTITUTE(C656,CHAR(160)," ")))</x:f>
        <x:v>tushita.ruttun@pwc.com</x:v>
      </x:c>
      <x:c r="E656" t="n">
        <x:f>IF(D656="","",IF(COUNTIF($D$2:D656,D656)=1,1,0))</x:f>
        <x:v>1</x:v>
      </x:c>
    </x:row>
    <x:row r="657">
      <x:c r="A657" t="str">
        <x:v>Umair Moniaruth</x:v>
      </x:c>
      <x:c r="B657" t="str">
        <x:v>MU</x:v>
      </x:c>
      <x:c r="C657" t="str">
        <x:v>umair.moniaruth@pwc.com</x:v>
      </x:c>
      <x:c r="D657" t="str">
        <x:f>LOWER(TRIM(SUBSTITUTE(C657,CHAR(160)," ")))</x:f>
        <x:v>umair.moniaruth@pwc.com</x:v>
      </x:c>
      <x:c r="E657" t="n">
        <x:f>IF(D657="","",IF(COUNTIF($D$2:D657,D657)=1,1,0))</x:f>
        <x:v>1</x:v>
      </x:c>
    </x:row>
    <x:row r="658">
      <x:c r="A658" t="str">
        <x:v>Ved Neeraye</x:v>
      </x:c>
      <x:c r="B658" t="str">
        <x:v>MU</x:v>
      </x:c>
      <x:c r="C658" t="str">
        <x:v>vedsagar.neeraye@pwc.com</x:v>
      </x:c>
      <x:c r="D658" t="str">
        <x:f>LOWER(TRIM(SUBSTITUTE(C658,CHAR(160)," ")))</x:f>
        <x:v>vedsagar.neeraye@pwc.com</x:v>
      </x:c>
      <x:c r="E658" t="n">
        <x:f>IF(D658="","",IF(COUNTIF($D$2:D658,D658)=1,1,0))</x:f>
        <x:v>1</x:v>
      </x:c>
    </x:row>
    <x:row r="659">
      <x:c r="A659" t="str">
        <x:v>Victor Mbago</x:v>
      </x:c>
      <x:c r="B659" t="str">
        <x:v>KE</x:v>
      </x:c>
      <x:c r="C659" t="str">
        <x:v>victor.mbago@pwc.com</x:v>
      </x:c>
      <x:c r="D659" t="str">
        <x:f>LOWER(TRIM(SUBSTITUTE(C659,CHAR(160)," ")))</x:f>
        <x:v>victor.mbago@pwc.com</x:v>
      </x:c>
      <x:c r="E659" t="n">
        <x:f>IF(D659="","",IF(COUNTIF($D$2:D659,D659)=1,1,0))</x:f>
        <x:v>1</x:v>
      </x:c>
    </x:row>
    <x:row r="660">
      <x:c r="A660" t="str">
        <x:v>Victoria Mihayo</x:v>
      </x:c>
      <x:c r="B660" t="str">
        <x:v>TZ</x:v>
      </x:c>
      <x:c r="C660" t="str">
        <x:v>victoria.mihayo@pwc.com</x:v>
      </x:c>
      <x:c r="D660" t="str">
        <x:f>LOWER(TRIM(SUBSTITUTE(C660,CHAR(160)," ")))</x:f>
        <x:v>victoria.mihayo@pwc.com</x:v>
      </x:c>
      <x:c r="E660" t="n">
        <x:f>IF(D660="","",IF(COUNTIF($D$2:D660,D660)=1,1,0))</x:f>
        <x:v>1</x:v>
      </x:c>
    </x:row>
    <x:row r="661">
      <x:c r="A661" t="str">
        <x:v>Victoria Titus</x:v>
      </x:c>
      <x:c r="B661" t="str">
        <x:v>KE</x:v>
      </x:c>
      <x:c r="C661" t="str">
        <x:v>victoria.titus@pwc.com</x:v>
      </x:c>
      <x:c r="D661" t="str">
        <x:f>LOWER(TRIM(SUBSTITUTE(C661,CHAR(160)," ")))</x:f>
        <x:v>victoria.titus@pwc.com</x:v>
      </x:c>
      <x:c r="E661" t="n">
        <x:f>IF(D661="","",IF(COUNTIF($D$2:D661,D661)=1,1,0))</x:f>
        <x:v>1</x:v>
      </x:c>
    </x:row>
    <x:row r="662">
      <x:c r="A662" t="str">
        <x:v>Vivek Allan</x:v>
      </x:c>
      <x:c r="B662" t="str">
        <x:v>MU</x:v>
      </x:c>
      <x:c r="C662" t="str">
        <x:v>vivek.allan@pwc.com</x:v>
      </x:c>
      <x:c r="D662" t="str">
        <x:f>LOWER(TRIM(SUBSTITUTE(C662,CHAR(160)," ")))</x:f>
        <x:v>vivek.allan@pwc.com</x:v>
      </x:c>
      <x:c r="E662" t="n">
        <x:f>IF(D662="","",IF(COUNTIF($D$2:D662,D662)=1,1,0))</x:f>
        <x:v>1</x:v>
      </x:c>
    </x:row>
    <x:row r="663">
      <x:c r="A663" t="str">
        <x:v>Vivek Nuckcheddee</x:v>
      </x:c>
      <x:c r="B663" t="str">
        <x:v>MU</x:v>
      </x:c>
      <x:c r="C663" t="str">
        <x:v>vivek.nuckcheddee@pwc.com</x:v>
      </x:c>
      <x:c r="D663" t="str">
        <x:f>LOWER(TRIM(SUBSTITUTE(C663,CHAR(160)," ")))</x:f>
        <x:v>vivek.nuckcheddee@pwc.com</x:v>
      </x:c>
      <x:c r="E663" t="n">
        <x:f>IF(D663="","",IF(COUNTIF($D$2:D663,D663)=1,1,0))</x:f>
        <x:v>1</x:v>
      </x:c>
    </x:row>
    <x:row r="664">
      <x:c r="A664" t="str">
        <x:v>Wambui Gitau</x:v>
      </x:c>
      <x:c r="B664" t="str">
        <x:v>KE</x:v>
      </x:c>
      <x:c r="C664" t="str">
        <x:v>wambui.gitau@pwc.com</x:v>
      </x:c>
      <x:c r="D664" t="str">
        <x:f>LOWER(TRIM(SUBSTITUTE(C664,CHAR(160)," ")))</x:f>
        <x:v>wambui.gitau@pwc.com</x:v>
      </x:c>
      <x:c r="E664" t="n">
        <x:f>IF(D664="","",IF(COUNTIF($D$2:D664,D664)=1,1,0))</x:f>
        <x:v>1</x:v>
      </x:c>
    </x:row>
    <x:row r="665">
      <x:c r="A665" t="str">
        <x:v>Witness Meena</x:v>
      </x:c>
      <x:c r="B665" t="str">
        <x:v>TZ</x:v>
      </x:c>
      <x:c r="C665" t="str">
        <x:v>witness.meena@pwc.com</x:v>
      </x:c>
      <x:c r="D665" t="str">
        <x:f>LOWER(TRIM(SUBSTITUTE(C665,CHAR(160)," ")))</x:f>
        <x:v>witness.meena@pwc.com</x:v>
      </x:c>
      <x:c r="E665" t="n">
        <x:f>IF(D665="","",IF(COUNTIF($D$2:D665,D665)=1,1,0))</x:f>
        <x:v>1</x:v>
      </x:c>
    </x:row>
    <x:row r="666">
      <x:c r="A666" t="str">
        <x:v>Yash Bucchoo</x:v>
      </x:c>
      <x:c r="B666" t="str">
        <x:v>MU</x:v>
      </x:c>
      <x:c r="C666" t="str">
        <x:v>yash.bucchoo@pwc.com</x:v>
      </x:c>
      <x:c r="D666" t="str">
        <x:f>LOWER(TRIM(SUBSTITUTE(C666,CHAR(160)," ")))</x:f>
        <x:v>yash.bucchoo@pwc.com</x:v>
      </x:c>
      <x:c r="E666" t="n">
        <x:f>IF(D666="","",IF(COUNTIF($D$2:D666,D666)=1,1,0))</x:f>
        <x:v>1</x:v>
      </x:c>
    </x:row>
    <x:row r="667">
      <x:c r="A667" t="str">
        <x:v>Yashna Kowlessur</x:v>
      </x:c>
      <x:c r="B667" t="str">
        <x:v>MU</x:v>
      </x:c>
      <x:c r="C667" t="str">
        <x:v>yashna.kowlessur@pwc.com</x:v>
      </x:c>
      <x:c r="D667" t="str">
        <x:f>LOWER(TRIM(SUBSTITUTE(C667,CHAR(160)," ")))</x:f>
        <x:v>yashna.kowlessur@pwc.com</x:v>
      </x:c>
      <x:c r="E667" t="n">
        <x:f>IF(D667="","",IF(COUNTIF($D$2:D667,D667)=1,1,0))</x:f>
        <x:v>1</x:v>
      </x:c>
    </x:row>
    <x:row r="668">
      <x:c r="A668" t="str">
        <x:v>Yasiirah Peerbux</x:v>
      </x:c>
      <x:c r="B668" t="str">
        <x:v>MU</x:v>
      </x:c>
      <x:c r="C668" t="str">
        <x:v>yasiirah.peerbux@pwc.com</x:v>
      </x:c>
      <x:c r="D668" t="str">
        <x:f>LOWER(TRIM(SUBSTITUTE(C668,CHAR(160)," ")))</x:f>
        <x:v>yasiirah.peerbux@pwc.com</x:v>
      </x:c>
      <x:c r="E668" t="n">
        <x:f>IF(D668="","",IF(COUNTIF($D$2:D668,D668)=1,1,0))</x:f>
        <x:v>1</x:v>
      </x:c>
    </x:row>
    <x:row r="669">
      <x:c r="A669" t="str">
        <x:v>Yohane Mwanza</x:v>
      </x:c>
      <x:c r="B669" t="str">
        <x:v>ZM</x:v>
      </x:c>
      <x:c r="C669" t="str">
        <x:v>yohane.y.mwanza@pwc.com</x:v>
      </x:c>
      <x:c r="D669" t="str">
        <x:f>LOWER(TRIM(SUBSTITUTE(C669,CHAR(160)," ")))</x:f>
        <x:v>yohane.y.mwanza@pwc.com</x:v>
      </x:c>
      <x:c r="E669" t="n">
        <x:f>IF(D669="","",IF(COUNTIF($D$2:D669,D669)=1,1,0))</x:f>
        <x:v>1</x:v>
      </x:c>
    </x:row>
    <x:row r="670">
      <x:c r="A670" t="str">
        <x:v>Yusto Mwaigwisya</x:v>
      </x:c>
      <x:c r="B670" t="str">
        <x:v>TZ</x:v>
      </x:c>
      <x:c r="C670" t="str">
        <x:v>yusto.mwaigwisya@pwc.com</x:v>
      </x:c>
      <x:c r="D670" t="str">
        <x:f>LOWER(TRIM(SUBSTITUTE(C670,CHAR(160)," ")))</x:f>
        <x:v>yusto.mwaigwisya@pwc.com</x:v>
      </x:c>
      <x:c r="E670" t="n">
        <x:f>IF(D670="","",IF(COUNTIF($D$2:D670,D670)=1,1,0))</x:f>
        <x:v>1</x:v>
      </x:c>
    </x:row>
    <x:row r="671">
      <x:c r="A671" t="str">
        <x:v>Zaynah Burkuth</x:v>
      </x:c>
      <x:c r="B671" t="str">
        <x:v>MU</x:v>
      </x:c>
      <x:c r="C671" t="str">
        <x:v>zaynah.z.burkuth@pwc.com</x:v>
      </x:c>
      <x:c r="D671" t="str">
        <x:f>LOWER(TRIM(SUBSTITUTE(C671,CHAR(160)," ")))</x:f>
        <x:v>zaynah.z.burkuth@pwc.com</x:v>
      </x:c>
      <x:c r="E671" t="n">
        <x:f>IF(D671="","",IF(COUNTIF($D$2:D671,D671)=1,1,0))</x:f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6" customHeight="1">
      <x:c r="A1" s="38" t="str">
        <x:v>EMA ASSURANCE | MEETING ATTENDANCE DASHBOARD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</x:row>
    <x:row r="2" ht="24" customHeight="1">
      <x:c r="A2" s="45" t="str">
        <x:v>Quality: Our collective responsibility | Option 1, Option 2 and combined attendance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</x:row>
    <x:row r="4" ht="22" customHeight="1">
      <x:c r="A4" s="53" t="str">
        <x:v>ELIGIBLE EMPLOYEES</x:v>
      </x:c>
      <x:c r="B4" s="53"/>
      <x:c r="C4" s="53"/>
      <x:c r="D4" s="53"/>
      <x:c r="E4" s="53" t="str">
        <x:v>OPTION 1 FULL ATTENDANCE</x:v>
      </x:c>
      <x:c r="F4" s="53"/>
      <x:c r="G4" s="53"/>
      <x:c r="H4" s="53"/>
      <x:c r="I4" s="53" t="str">
        <x:v>OPTION 2 FULL ATTENDANCE</x:v>
      </x:c>
      <x:c r="J4" s="53"/>
      <x:c r="K4" s="53"/>
      <x:c r="L4" s="53"/>
      <x:c r="M4" s="74" t="str">
        <x:v>COMBINED FULL ATTENDANCE</x:v>
      </x:c>
      <x:c r="N4" s="74"/>
      <x:c r="O4" s="74"/>
      <x:c r="P4" s="74"/>
    </x:row>
    <x:row r="5">
      <x:c r="A5" s="60" t="n">
        <x:f>'Country Summary'!C9</x:f>
        <x:v>669</x:v>
      </x:c>
      <x:c r="B5" s="60"/>
      <x:c r="C5" s="60"/>
      <x:c r="D5" s="60"/>
      <x:c r="E5" s="60" t="n">
        <x:f>'Country Summary'!D9</x:f>
        <x:v>205</x:v>
      </x:c>
      <x:c r="F5" s="60"/>
      <x:c r="G5" s="60"/>
      <x:c r="H5" s="60"/>
      <x:c r="I5" s="60" t="n">
        <x:f>'Country Summary'!G9</x:f>
        <x:v>273</x:v>
      </x:c>
      <x:c r="J5" s="60"/>
      <x:c r="K5" s="60"/>
      <x:c r="L5" s="60"/>
      <x:c r="M5" s="60" t="n">
        <x:f>'Country Summary'!J9</x:f>
        <x:v>471</x:v>
      </x:c>
      <x:c r="N5" s="60"/>
      <x:c r="O5" s="60"/>
      <x:c r="P5" s="60"/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</x:row>
    <x:row r="7">
      <x:c r="A7" s="67" t="str">
        <x:f>"Master roster, excluding #N/A country"</x:f>
        <x:v>Master roster, excluding #N/A country</x:v>
      </x:c>
      <x:c r="B7" s="67"/>
      <x:c r="C7" s="67"/>
      <x:c r="D7" s="67"/>
      <x:c r="E7" s="67" t="str">
        <x:f>TEXT(E5/$A$5,"0.0%")&amp;" of eligible employees"</x:f>
        <x:v>30.6% of eligible employees</x:v>
      </x:c>
      <x:c r="F7" s="67"/>
      <x:c r="G7" s="67"/>
      <x:c r="H7" s="67"/>
      <x:c r="I7" s="67" t="str">
        <x:f>TEXT(I5/$A$5,"0.0%")&amp;" of eligible employees"</x:f>
        <x:v>40.8% of eligible employees</x:v>
      </x:c>
      <x:c r="J7" s="67"/>
      <x:c r="K7" s="67"/>
      <x:c r="L7" s="67"/>
      <x:c r="M7" s="67" t="str">
        <x:f>TEXT(M5/$A$5,"0.0%")&amp;" of eligible employees"</x:f>
        <x:v>70.4% of eligible employees</x:v>
      </x:c>
      <x:c r="N7" s="67"/>
      <x:c r="O7" s="67"/>
      <x:c r="P7" s="67"/>
    </x:row>
    <x:row r="9" ht="22" customHeight="1">
      <x:c r="A9" s="53" t="str">
        <x:v>OPTION 1 DID NOT ATTEND</x:v>
      </x:c>
      <x:c r="B9" s="53"/>
      <x:c r="C9" s="53"/>
      <x:c r="D9" s="53"/>
      <x:c r="E9" s="53" t="str">
        <x:v>OPTION 2 DID NOT ATTEND</x:v>
      </x:c>
      <x:c r="F9" s="53"/>
      <x:c r="G9" s="53"/>
      <x:c r="H9" s="53"/>
      <x:c r="I9" s="74" t="str">
        <x:v>COMBINED DID NOT ATTEND</x:v>
      </x:c>
      <x:c r="J9" s="74"/>
      <x:c r="K9" s="74"/>
      <x:c r="L9" s="74"/>
      <x:c r="M9" s="74" t="str">
        <x:v>COMBINED PARTIAL ATTENDANCE</x:v>
      </x:c>
      <x:c r="N9" s="74"/>
      <x:c r="O9" s="74"/>
      <x:c r="P9" s="74"/>
    </x:row>
    <x:row r="10">
      <x:c r="A10" s="60" t="n">
        <x:f>'Country Summary'!F9</x:f>
        <x:v>365</x:v>
      </x:c>
      <x:c r="B10" s="60"/>
      <x:c r="C10" s="60"/>
      <x:c r="D10" s="60"/>
      <x:c r="E10" s="60" t="n">
        <x:f>'Country Summary'!I9</x:f>
        <x:v>267</x:v>
      </x:c>
      <x:c r="F10" s="60"/>
      <x:c r="G10" s="60"/>
      <x:c r="H10" s="60"/>
      <x:c r="I10" s="60" t="n">
        <x:f>'Country Summary'!L9</x:f>
        <x:v>41</x:v>
      </x:c>
      <x:c r="J10" s="60"/>
      <x:c r="K10" s="60"/>
      <x:c r="L10" s="60"/>
      <x:c r="M10" s="60" t="n">
        <x:f>'Country Summary'!K9</x:f>
        <x:v>157</x:v>
      </x:c>
      <x:c r="N10" s="60"/>
      <x:c r="O10" s="60"/>
      <x:c r="P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</x:row>
    <x:row r="12">
      <x:c r="A12" s="67" t="str">
        <x:f>TEXT(A10/$A$5,"0.0%")&amp;" of eligible employees"</x:f>
        <x:v>54.6% of eligible employees</x:v>
      </x:c>
      <x:c r="B12" s="67"/>
      <x:c r="C12" s="67"/>
      <x:c r="D12" s="67"/>
      <x:c r="E12" s="67" t="str">
        <x:f>TEXT(E10/$A$5,"0.0%")&amp;" of eligible employees"</x:f>
        <x:v>39.9% of eligible employees</x:v>
      </x:c>
      <x:c r="F12" s="67"/>
      <x:c r="G12" s="67"/>
      <x:c r="H12" s="67"/>
      <x:c r="I12" s="67" t="str">
        <x:f>TEXT(I10/$A$5,"0.0%")&amp;" of eligible employees"</x:f>
        <x:v>6.1% of eligible employees</x:v>
      </x:c>
      <x:c r="J12" s="67"/>
      <x:c r="K12" s="67"/>
      <x:c r="L12" s="67"/>
      <x:c r="M12" s="67" t="str">
        <x:f>TEXT(M10/$A$5,"0.0%")&amp;" of eligible employees"</x:f>
        <x:v>23.5% of eligible employees</x:v>
      </x:c>
      <x:c r="N12" s="67"/>
      <x:c r="O12" s="67"/>
      <x:c r="P12" s="67"/>
    </x:row>
    <x:row r="14" ht="24" customHeight="1">
      <x:c r="A14" s="79" t="str">
        <x:v>COUNTRY BREAKDOWN | EMPLOYEE COUNTS BY ATTENDANCE STATUS</x:v>
      </x:c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</x:row>
    <x:row r="15" ht="44" customHeight="1">
      <x:c r="A15" s="84" t="str">
        <x:v>Country</x:v>
      </x:c>
      <x:c r="B15" s="84" t="str">
        <x:v>Country Code</x:v>
      </x:c>
      <x:c r="C15" s="84" t="str">
        <x:v>Eligible Employees</x:v>
      </x:c>
      <x:c r="D15" s="84" t="str">
        <x:v>Option 1 - Fully</x:v>
      </x:c>
      <x:c r="E15" s="84" t="str">
        <x:v>Option 1 - Partial</x:v>
      </x:c>
      <x:c r="F15" s="84" t="str">
        <x:v>Option 1 - Did Not Attend</x:v>
      </x:c>
      <x:c r="G15" s="84" t="str">
        <x:v>Option 2 - Fully</x:v>
      </x:c>
      <x:c r="H15" s="84" t="str">
        <x:v>Option 2 - Partial</x:v>
      </x:c>
      <x:c r="I15" s="84" t="str">
        <x:v>Option 2 - Did Not Attend</x:v>
      </x:c>
      <x:c r="J15" s="84" t="str">
        <x:v>Combined - Fully</x:v>
      </x:c>
      <x:c r="K15" s="84" t="str">
        <x:v>Combined - Partial</x:v>
      </x:c>
      <x:c r="L15" s="84" t="str">
        <x:v>Combined - Did Not Attend</x:v>
      </x:c>
    </x:row>
    <x:row r="16" ht="22" customHeight="1">
      <x:c r="A16" s="90" t="str">
        <x:f>'Country Summary'!A2</x:f>
        <x:v>Kenya</x:v>
      </x:c>
      <x:c r="B16" s="90" t="str">
        <x:f>'Country Summary'!B2</x:f>
        <x:v>KE</x:v>
      </x:c>
      <x:c r="C16" s="90" t="n">
        <x:f>'Country Summary'!C2</x:f>
        <x:v>187</x:v>
      </x:c>
      <x:c r="D16" s="90" t="n">
        <x:f>'Country Summary'!D2</x:f>
        <x:v>66</x:v>
      </x:c>
      <x:c r="E16" s="90" t="n">
        <x:f>'Country Summary'!E2</x:f>
        <x:v>27</x:v>
      </x:c>
      <x:c r="F16" s="90" t="n">
        <x:f>'Country Summary'!F2</x:f>
        <x:v>94</x:v>
      </x:c>
      <x:c r="G16" s="90" t="n">
        <x:f>'Country Summary'!G2</x:f>
        <x:v>63</x:v>
      </x:c>
      <x:c r="H16" s="90" t="n">
        <x:f>'Country Summary'!H2</x:f>
        <x:v>39</x:v>
      </x:c>
      <x:c r="I16" s="90" t="n">
        <x:f>'Country Summary'!I2</x:f>
        <x:v>85</x:v>
      </x:c>
      <x:c r="J16" s="90" t="n">
        <x:f>'Country Summary'!J2</x:f>
        <x:v>127</x:v>
      </x:c>
      <x:c r="K16" s="90" t="n">
        <x:f>'Country Summary'!K2</x:f>
        <x:v>47</x:v>
      </x:c>
      <x:c r="L16" s="90" t="n">
        <x:f>'Country Summary'!L2</x:f>
        <x:v>13</x:v>
      </x:c>
    </x:row>
    <x:row r="17" ht="22" customHeight="1">
      <x:c r="A17" s="90" t="str">
        <x:f>'Country Summary'!A3</x:f>
        <x:v>Uganda</x:v>
      </x:c>
      <x:c r="B17" s="90" t="str">
        <x:f>'Country Summary'!B3</x:f>
        <x:v>UG</x:v>
      </x:c>
      <x:c r="C17" s="90" t="n">
        <x:f>'Country Summary'!C3</x:f>
        <x:v>60</x:v>
      </x:c>
      <x:c r="D17" s="90" t="n">
        <x:f>'Country Summary'!D3</x:f>
        <x:v>16</x:v>
      </x:c>
      <x:c r="E17" s="90" t="n">
        <x:f>'Country Summary'!E3</x:f>
        <x:v>7</x:v>
      </x:c>
      <x:c r="F17" s="90" t="n">
        <x:f>'Country Summary'!F3</x:f>
        <x:v>37</x:v>
      </x:c>
      <x:c r="G17" s="90" t="n">
        <x:f>'Country Summary'!G3</x:f>
        <x:v>33</x:v>
      </x:c>
      <x:c r="H17" s="90" t="n">
        <x:f>'Country Summary'!H3</x:f>
        <x:v>6</x:v>
      </x:c>
      <x:c r="I17" s="90" t="n">
        <x:f>'Country Summary'!I3</x:f>
        <x:v>21</x:v>
      </x:c>
      <x:c r="J17" s="90" t="n">
        <x:f>'Country Summary'!J3</x:f>
        <x:v>49</x:v>
      </x:c>
      <x:c r="K17" s="90" t="n">
        <x:f>'Country Summary'!K3</x:f>
        <x:v>8</x:v>
      </x:c>
      <x:c r="L17" s="90" t="n">
        <x:f>'Country Summary'!L3</x:f>
        <x:v>3</x:v>
      </x:c>
    </x:row>
    <x:row r="18" ht="22" customHeight="1">
      <x:c r="A18" s="90" t="str">
        <x:f>'Country Summary'!A4</x:f>
        <x:v>Mauritius</x:v>
      </x:c>
      <x:c r="B18" s="90" t="str">
        <x:f>'Country Summary'!B4</x:f>
        <x:v>MU</x:v>
      </x:c>
      <x:c r="C18" s="90" t="n">
        <x:f>'Country Summary'!C4</x:f>
        <x:v>180</x:v>
      </x:c>
      <x:c r="D18" s="90" t="n">
        <x:f>'Country Summary'!D4</x:f>
        <x:v>26</x:v>
      </x:c>
      <x:c r="E18" s="90" t="n">
        <x:f>'Country Summary'!E4</x:f>
        <x:v>27</x:v>
      </x:c>
      <x:c r="F18" s="90" t="n">
        <x:f>'Country Summary'!F4</x:f>
        <x:v>127</x:v>
      </x:c>
      <x:c r="G18" s="90" t="n">
        <x:f>'Country Summary'!G4</x:f>
        <x:v>106</x:v>
      </x:c>
      <x:c r="H18" s="90" t="n">
        <x:f>'Country Summary'!H4</x:f>
        <x:v>29</x:v>
      </x:c>
      <x:c r="I18" s="90" t="n">
        <x:f>'Country Summary'!I4</x:f>
        <x:v>45</x:v>
      </x:c>
      <x:c r="J18" s="90" t="n">
        <x:f>'Country Summary'!J4</x:f>
        <x:v>132</x:v>
      </x:c>
      <x:c r="K18" s="90" t="n">
        <x:f>'Country Summary'!K4</x:f>
        <x:v>35</x:v>
      </x:c>
      <x:c r="L18" s="90" t="n">
        <x:f>'Country Summary'!L4</x:f>
        <x:v>13</x:v>
      </x:c>
    </x:row>
    <x:row r="19" ht="22" customHeight="1">
      <x:c r="A19" s="90" t="str">
        <x:f>'Country Summary'!A5</x:f>
        <x:v>Tanzania</x:v>
      </x:c>
      <x:c r="B19" s="90" t="str">
        <x:f>'Country Summary'!B5</x:f>
        <x:v>TZ</x:v>
      </x:c>
      <x:c r="C19" s="90" t="n">
        <x:f>'Country Summary'!C5</x:f>
        <x:v>125</x:v>
      </x:c>
      <x:c r="D19" s="90" t="n">
        <x:f>'Country Summary'!D5</x:f>
        <x:v>55</x:v>
      </x:c>
      <x:c r="E19" s="90" t="n">
        <x:f>'Country Summary'!E5</x:f>
        <x:v>16</x:v>
      </x:c>
      <x:c r="F19" s="90" t="n">
        <x:f>'Country Summary'!F5</x:f>
        <x:v>54</x:v>
      </x:c>
      <x:c r="G19" s="90" t="n">
        <x:f>'Country Summary'!G5</x:f>
        <x:v>42</x:v>
      </x:c>
      <x:c r="H19" s="90" t="n">
        <x:f>'Country Summary'!H5</x:f>
        <x:v>26</x:v>
      </x:c>
      <x:c r="I19" s="90" t="n">
        <x:f>'Country Summary'!I5</x:f>
        <x:v>57</x:v>
      </x:c>
      <x:c r="J19" s="90" t="n">
        <x:f>'Country Summary'!J5</x:f>
        <x:v>96</x:v>
      </x:c>
      <x:c r="K19" s="90" t="n">
        <x:f>'Country Summary'!K5</x:f>
        <x:v>24</x:v>
      </x:c>
      <x:c r="L19" s="90" t="n">
        <x:f>'Country Summary'!L5</x:f>
        <x:v>5</x:v>
      </x:c>
    </x:row>
    <x:row r="20" ht="22" customHeight="1">
      <x:c r="A20" s="90" t="str">
        <x:f>'Country Summary'!A6</x:f>
        <x:v>Rwanda</x:v>
      </x:c>
      <x:c r="B20" s="90" t="str">
        <x:f>'Country Summary'!B6</x:f>
        <x:v>RW</x:v>
      </x:c>
      <x:c r="C20" s="90" t="n">
        <x:f>'Country Summary'!C6</x:f>
        <x:v>37</x:v>
      </x:c>
      <x:c r="D20" s="90" t="n">
        <x:f>'Country Summary'!D6</x:f>
        <x:v>14</x:v>
      </x:c>
      <x:c r="E20" s="90" t="n">
        <x:f>'Country Summary'!E6</x:f>
        <x:v>9</x:v>
      </x:c>
      <x:c r="F20" s="90" t="n">
        <x:f>'Country Summary'!F6</x:f>
        <x:v>14</x:v>
      </x:c>
      <x:c r="G20" s="90" t="n">
        <x:f>'Country Summary'!G6</x:f>
        <x:v>7</x:v>
      </x:c>
      <x:c r="H20" s="90" t="n">
        <x:f>'Country Summary'!H6</x:f>
        <x:v>6</x:v>
      </x:c>
      <x:c r="I20" s="90" t="n">
        <x:f>'Country Summary'!I6</x:f>
        <x:v>24</x:v>
      </x:c>
      <x:c r="J20" s="90" t="n">
        <x:f>'Country Summary'!J6</x:f>
        <x:v>21</x:v>
      </x:c>
      <x:c r="K20" s="90" t="n">
        <x:f>'Country Summary'!K6</x:f>
        <x:v>13</x:v>
      </x:c>
      <x:c r="L20" s="90" t="n">
        <x:f>'Country Summary'!L6</x:f>
        <x:v>3</x:v>
      </x:c>
    </x:row>
    <x:row r="21" ht="22" customHeight="1">
      <x:c r="A21" s="90" t="str">
        <x:f>'Country Summary'!A7</x:f>
        <x:v>South Africa</x:v>
      </x:c>
      <x:c r="B21" s="90" t="str">
        <x:f>'Country Summary'!B7</x:f>
        <x:v>ZA</x:v>
      </x:c>
      <x:c r="C21" s="90" t="n">
        <x:f>'Country Summary'!C7</x:f>
        <x:v>4</x:v>
      </x:c>
      <x:c r="D21" s="90" t="n">
        <x:f>'Country Summary'!D7</x:f>
        <x:v>3</x:v>
      </x:c>
      <x:c r="E21" s="90" t="n">
        <x:f>'Country Summary'!E7</x:f>
        <x:v>0</x:v>
      </x:c>
      <x:c r="F21" s="90" t="n">
        <x:f>'Country Summary'!F7</x:f>
        <x:v>1</x:v>
      </x:c>
      <x:c r="G21" s="90" t="n">
        <x:f>'Country Summary'!G7</x:f>
        <x:v>1</x:v>
      </x:c>
      <x:c r="H21" s="90" t="n">
        <x:f>'Country Summary'!H7</x:f>
        <x:v>1</x:v>
      </x:c>
      <x:c r="I21" s="90" t="n">
        <x:f>'Country Summary'!I7</x:f>
        <x:v>2</x:v>
      </x:c>
      <x:c r="J21" s="90" t="n">
        <x:f>'Country Summary'!J7</x:f>
        <x:v>3</x:v>
      </x:c>
      <x:c r="K21" s="90" t="n">
        <x:f>'Country Summary'!K7</x:f>
        <x:v>1</x:v>
      </x:c>
      <x:c r="L21" s="90" t="n">
        <x:f>'Country Summary'!L7</x:f>
        <x:v>0</x:v>
      </x:c>
    </x:row>
    <x:row r="22" ht="22" customHeight="1">
      <x:c r="A22" s="90" t="str">
        <x:f>'Country Summary'!A8</x:f>
        <x:v>Zambia</x:v>
      </x:c>
      <x:c r="B22" s="90" t="str">
        <x:f>'Country Summary'!B8</x:f>
        <x:v>ZM</x:v>
      </x:c>
      <x:c r="C22" s="90" t="n">
        <x:f>'Country Summary'!C8</x:f>
        <x:v>76</x:v>
      </x:c>
      <x:c r="D22" s="90" t="n">
        <x:f>'Country Summary'!D8</x:f>
        <x:v>25</x:v>
      </x:c>
      <x:c r="E22" s="90" t="n">
        <x:f>'Country Summary'!E8</x:f>
        <x:v>13</x:v>
      </x:c>
      <x:c r="F22" s="90" t="n">
        <x:f>'Country Summary'!F8</x:f>
        <x:v>38</x:v>
      </x:c>
      <x:c r="G22" s="90" t="n">
        <x:f>'Country Summary'!G8</x:f>
        <x:v>21</x:v>
      </x:c>
      <x:c r="H22" s="90" t="n">
        <x:f>'Country Summary'!H8</x:f>
        <x:v>22</x:v>
      </x:c>
      <x:c r="I22" s="90" t="n">
        <x:f>'Country Summary'!I8</x:f>
        <x:v>33</x:v>
      </x:c>
      <x:c r="J22" s="90" t="n">
        <x:f>'Country Summary'!J8</x:f>
        <x:v>43</x:v>
      </x:c>
      <x:c r="K22" s="90" t="n">
        <x:f>'Country Summary'!K8</x:f>
        <x:v>29</x:v>
      </x:c>
      <x:c r="L22" s="90" t="n">
        <x:f>'Country Summary'!L8</x:f>
        <x:v>4</x:v>
      </x:c>
    </x:row>
    <x:row r="23" ht="22" customHeight="1">
      <x:c r="A23" s="91" t="str">
        <x:v>TOTAL</x:v>
      </x:c>
      <x:c r="B23" s="91" t="str"/>
      <x:c r="C23" s="91" t="n">
        <x:f>'Country Summary'!C9</x:f>
        <x:v>669</x:v>
      </x:c>
      <x:c r="D23" s="91" t="n">
        <x:f>'Country Summary'!D9</x:f>
        <x:v>205</x:v>
      </x:c>
      <x:c r="E23" s="91" t="n">
        <x:f>'Country Summary'!E9</x:f>
        <x:v>99</x:v>
      </x:c>
      <x:c r="F23" s="91" t="n">
        <x:f>'Country Summary'!F9</x:f>
        <x:v>365</x:v>
      </x:c>
      <x:c r="G23" s="91" t="n">
        <x:f>'Country Summary'!G9</x:f>
        <x:v>273</x:v>
      </x:c>
      <x:c r="H23" s="91" t="n">
        <x:f>'Country Summary'!H9</x:f>
        <x:v>129</x:v>
      </x:c>
      <x:c r="I23" s="91" t="n">
        <x:f>'Country Summary'!I9</x:f>
        <x:v>267</x:v>
      </x:c>
      <x:c r="J23" s="91" t="n">
        <x:f>'Country Summary'!J9</x:f>
        <x:v>471</x:v>
      </x:c>
      <x:c r="K23" s="91" t="n">
        <x:f>'Country Summary'!K9</x:f>
        <x:v>157</x:v>
      </x:c>
      <x:c r="L23" s="91" t="n">
        <x:f>'Country Summary'!L9</x:f>
        <x:v>41</x:v>
      </x:c>
    </x:row>
    <x:row r="25" ht="24" customHeight="1">
      <x:c r="A25" s="96" t="str">
        <x:v>ATTENDANCE STATUS COMPARISON</x:v>
      </x:c>
      <x:c r="B25" s="96"/>
      <x:c r="C25" s="96"/>
      <x:c r="D25" s="96"/>
      <x:c r="E25" s="96"/>
      <x:c r="F25" s="96"/>
      <x:c r="G25" s="96"/>
      <x:c r="H25" s="96"/>
      <x:c r="I25" s="96" t="str">
        <x:v>COMBINED STATUS BY COUNTRY</x:v>
      </x:c>
      <x:c r="J25" s="96"/>
      <x:c r="K25" s="96"/>
      <x:c r="L25" s="96"/>
      <x:c r="M25" s="96"/>
      <x:c r="N25" s="96"/>
      <x:c r="O25" s="96"/>
      <x:c r="P25" s="96"/>
    </x:row>
    <x:row r="44">
      <x:c r="A44" s="103" t="str">
        <x:v>Methodology: Emails are trimmed and matched without case sensitivity. Full attendance = 90 minutes or more; partial = above 0 but below 90 minutes; did not attend = no matching participant email or 0 duration. Combined duration adds Option 1 and Option 2. Combined full attendance does not mean full attendance at each individual meeting.</x:v>
      </x:c>
      <x:c r="B44" s="103"/>
      <x:c r="C44" s="103"/>
      <x:c r="D44" s="103"/>
      <x:c r="E44" s="103"/>
      <x:c r="F44" s="103"/>
      <x:c r="G44" s="103"/>
      <x:c r="H44" s="103"/>
      <x:c r="I44" s="103"/>
      <x:c r="J44" s="103"/>
      <x:c r="K44" s="103"/>
      <x:c r="L44" s="103"/>
      <x:c r="M44" s="103"/>
      <x:c r="N44" s="103"/>
      <x:c r="O44" s="103"/>
      <x:c r="P44" s="103"/>
    </x:row>
    <x:row r="45">
      <x:c r="A45" s="103"/>
      <x:c r="B45" s="103"/>
      <x:c r="C45" s="103"/>
      <x:c r="D45" s="103"/>
      <x:c r="E45" s="103"/>
      <x:c r="F45" s="103"/>
      <x:c r="G45" s="103"/>
      <x:c r="H45" s="103"/>
      <x:c r="I45" s="103"/>
      <x:c r="J45" s="103"/>
      <x:c r="K45" s="103"/>
      <x:c r="L45" s="103"/>
      <x:c r="M45" s="103"/>
      <x:c r="N45" s="103"/>
      <x:c r="O45" s="103"/>
      <x:c r="P45" s="103"/>
    </x:row>
  </x:sheetData>
  <x:mergeCells>
    <x:mergeCell ref="A1:P1"/>
    <x:mergeCell ref="A2:P2"/>
    <x:mergeCell ref="A4:D4"/>
    <x:mergeCell ref="A5:D6"/>
    <x:mergeCell ref="A7:D7"/>
    <x:mergeCell ref="E4:H4"/>
    <x:mergeCell ref="E5:H6"/>
    <x:mergeCell ref="E7:H7"/>
    <x:mergeCell ref="I4:L4"/>
    <x:mergeCell ref="I5:L6"/>
    <x:mergeCell ref="I7:L7"/>
    <x:mergeCell ref="M4:P4"/>
    <x:mergeCell ref="M5:P6"/>
    <x:mergeCell ref="M7:P7"/>
    <x:mergeCell ref="A9:D9"/>
    <x:mergeCell ref="A10:D11"/>
    <x:mergeCell ref="A12:D12"/>
    <x:mergeCell ref="E9:H9"/>
    <x:mergeCell ref="E10:H11"/>
    <x:mergeCell ref="E12:H12"/>
    <x:mergeCell ref="I9:L9"/>
    <x:mergeCell ref="I10:L11"/>
    <x:mergeCell ref="I12:L12"/>
    <x:mergeCell ref="M9:P9"/>
    <x:mergeCell ref="M10:P11"/>
    <x:mergeCell ref="M12:P12"/>
    <x:mergeCell ref="A14:L14"/>
    <x:mergeCell ref="A25:H25"/>
    <x:mergeCell ref="I25:P25"/>
    <x:mergeCell ref="A44:P45"/>
  </x:mergeCells>
  <x:pageMargins left="0.7" right="0.7" top="0.75" bottom="0.75" header="0.3" footer="0.3"/>
  <x:drawing xmlns:r="http://schemas.openxmlformats.org/officeDocument/2006/relationships" r:id="Rf095ae8079394c0b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3" hidden="0" customWidth="1"/>
    <x:col min="4" max="4" width="34" hidden="0" customWidth="1"/>
    <x:col min="5" max="5" width="20" hidden="0" customWidth="1"/>
    <x:col min="7" max="7" width="20" hidden="0" customWidth="1"/>
    <x:col min="9" max="9" width="20" hidden="0" customWidth="1"/>
    <x:col min="6" max="6" width="20" hidden="0" customWidth="1"/>
    <x:col min="8" max="8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2" customHeight="1">
      <x:c r="A1" s="8" t="str">
        <x:v>Employee Name</x:v>
      </x:c>
      <x:c r="B1" s="8" t="str">
        <x:v>Country</x:v>
      </x:c>
      <x:c r="C1" s="8" t="str">
        <x:v>Country Code</x:v>
      </x:c>
      <x:c r="D1" s="8" t="str">
        <x:v>Normalized Email</x:v>
      </x:c>
      <x:c r="E1" s="8" t="str">
        <x:v>Option 1 Duration</x:v>
      </x:c>
      <x:c r="F1" s="8" t="str">
        <x:v>Option 1 Status</x:v>
      </x:c>
      <x:c r="G1" s="8" t="str">
        <x:v>Option 2 Duration</x:v>
      </x:c>
      <x:c r="H1" s="8" t="str">
        <x:v>Option 2 Status</x:v>
      </x:c>
      <x:c r="I1" s="8" t="str">
        <x:v>Combined Duration</x:v>
      </x:c>
      <x:c r="J1" s="8" t="str">
        <x:v>Combined Status</x:v>
      </x:c>
      <x:c r="K1" s="8" t="str">
        <x:v>Option 1 Present?</x:v>
      </x:c>
      <x:c r="L1" s="8" t="str">
        <x:v>Option 2 Present?</x:v>
      </x:c>
    </x:row>
    <x:row r="2">
      <x:c r="A2" s="16" t="str">
        <x:f>'EMA Assurance Employee List'!A2</x:f>
        <x:v>Aaliya Nubheebucus</x:v>
      </x:c>
      <x:c r="B2" s="16" t="str">
        <x:f>IF(C2="KE","Kenya",IF(C2="UG","Uganda",IF(C2="MU","Mauritius",IF(C2="TZ","Tanzania",IF(C2="RW","Rwanda",IF(C2="ZA","South Africa",IF(C2="ZM","Zambia","")))))))</x:f>
        <x:v>Mauritius</x:v>
      </x:c>
      <x:c r="C2" s="16" t="str">
        <x:f>'EMA Assurance Employee List'!B2</x:f>
        <x:v>MU</x:v>
      </x:c>
      <x:c r="D2" s="16" t="str">
        <x:f>'EMA Assurance Employee List'!D2</x:f>
        <x:v>aaliya.nubheebucus@pwc.com</x:v>
      </x:c>
      <x:c r="E2" s="130" t="n">
        <x:f>IF($D2="",0,SUMIF('Attendance Report - Option 1'!$P$11:$P$315,$D2,'Attendance Report - Option 1'!$Q$11:$Q$315)/86400)</x:f>
        <x:v>0</x:v>
      </x:c>
      <x:c r="F2" s="131" t="str">
        <x:f>IF(E2=0,"Did not attend",IF(E2&gt;='Read Me'!$E$2/86400,"Fully attended","Partially attended"))</x:f>
        <x:v>Did not attend</x:v>
      </x:c>
      <x:c r="G2" s="130" t="n">
        <x:f>IF($D2="",0,SUMIF('Attendance Report - Option 2'!$P$11:$P$412,$D2,'Attendance Report - Option 2'!$Q$11:$Q$412)/86400)</x:f>
        <x:v>0.06241898148148148</x:v>
      </x:c>
      <x:c r="H2" s="131" t="str">
        <x:f>IF(G2=0,"Did not attend",IF(G2&gt;='Read Me'!$E$2/86400,"Fully attended","Partially attended"))</x:f>
        <x:v>Partially attended</x:v>
      </x:c>
      <x:c r="I2" s="130" t="n">
        <x:f>E2+G2</x:f>
        <x:v>0.06241898148148148</x:v>
      </x:c>
      <x:c r="J2" s="131" t="str">
        <x:f>IF(I2=0,"Did not attend",IF(I2&gt;='Read Me'!$E$2/86400,"Fully attended","Partially attended"))</x:f>
        <x:v>Partially attended</x:v>
      </x:c>
      <x:c r="K2" s="131" t="str">
        <x:f>IF($D2="","No",IF(COUNTIF('Attendance Report - Option 1'!$P$11:$P$315,$D2)&gt;0,"Yes","No"))</x:f>
        <x:v>No</x:v>
      </x:c>
      <x:c r="L2" s="131" t="str">
        <x:f>IF($D2="","No",IF(COUNTIF('Attendance Report - Option 2'!$P$11:$P$412,$D2)&gt;0,"Yes","No"))</x:f>
        <x:v>Yes</x:v>
      </x:c>
    </x:row>
    <x:row r="3">
      <x:c r="A3" s="16" t="str">
        <x:f>'EMA Assurance Employee List'!A3</x:f>
        <x:v>Abdulswamadu Ssekajja</x:v>
      </x:c>
      <x:c r="B3" s="16" t="str">
        <x:f>IF(C3="KE","Kenya",IF(C3="UG","Uganda",IF(C3="MU","Mauritius",IF(C3="TZ","Tanzania",IF(C3="RW","Rwanda",IF(C3="ZA","South Africa",IF(C3="ZM","Zambia","")))))))</x:f>
        <x:v>Uganda</x:v>
      </x:c>
      <x:c r="C3" s="16" t="str">
        <x:f>'EMA Assurance Employee List'!B3</x:f>
        <x:v>UG</x:v>
      </x:c>
      <x:c r="D3" s="16" t="str">
        <x:f>'EMA Assurance Employee List'!D3</x:f>
        <x:v>abdulswamadu.ssekajja@pwc.com</x:v>
      </x:c>
      <x:c r="E3" s="130" t="n">
        <x:f>IF($D3="",0,SUMIF('Attendance Report - Option 1'!$P$11:$P$315,$D3,'Attendance Report - Option 1'!$Q$11:$Q$315)/86400)</x:f>
        <x:v>0</x:v>
      </x:c>
      <x:c r="F3" s="131" t="str">
        <x:f>IF(E3=0,"Did not attend",IF(E3&gt;='Read Me'!$E$2/86400,"Fully attended","Partially attended"))</x:f>
        <x:v>Did not attend</x:v>
      </x:c>
      <x:c r="G3" s="130" t="n">
        <x:f>IF($D3="",0,SUMIF('Attendance Report - Option 2'!$P$11:$P$412,$D3,'Attendance Report - Option 2'!$Q$11:$Q$412)/86400)</x:f>
        <x:v>0.06775462962962962</x:v>
      </x:c>
      <x:c r="H3" s="131" t="str">
        <x:f>IF(G3=0,"Did not attend",IF(G3&gt;='Read Me'!$E$2/86400,"Fully attended","Partially attended"))</x:f>
        <x:v>Fully attended</x:v>
      </x:c>
      <x:c r="I3" s="130" t="n">
        <x:f>E3+G3</x:f>
        <x:v>0.06775462962962962</x:v>
      </x:c>
      <x:c r="J3" s="131" t="str">
        <x:f>IF(I3=0,"Did not attend",IF(I3&gt;='Read Me'!$E$2/86400,"Fully attended","Partially attended"))</x:f>
        <x:v>Fully attended</x:v>
      </x:c>
      <x:c r="K3" s="131" t="str">
        <x:f>IF($D3="","No",IF(COUNTIF('Attendance Report - Option 1'!$P$11:$P$315,$D3)&gt;0,"Yes","No"))</x:f>
        <x:v>No</x:v>
      </x:c>
      <x:c r="L3" s="131" t="str">
        <x:f>IF($D3="","No",IF(COUNTIF('Attendance Report - Option 2'!$P$11:$P$412,$D3)&gt;0,"Yes","No"))</x:f>
        <x:v>Yes</x:v>
      </x:c>
    </x:row>
    <x:row r="4">
      <x:c r="A4" s="16" t="str">
        <x:f>'EMA Assurance Employee List'!A4</x:f>
        <x:v>Abel Legesse</x:v>
      </x:c>
      <x:c r="B4" s="16" t="str">
        <x:f>IF(C4="KE","Kenya",IF(C4="UG","Uganda",IF(C4="MU","Mauritius",IF(C4="TZ","Tanzania",IF(C4="RW","Rwanda",IF(C4="ZA","South Africa",IF(C4="ZM","Zambia","")))))))</x:f>
        <x:v>Kenya</x:v>
      </x:c>
      <x:c r="C4" s="16" t="str">
        <x:f>'EMA Assurance Employee List'!B4</x:f>
        <x:v>KE</x:v>
      </x:c>
      <x:c r="D4" s="16" t="str">
        <x:f>'EMA Assurance Employee List'!D4</x:f>
        <x:v>abel.legesse@pwc.com</x:v>
      </x:c>
      <x:c r="E4" s="130" t="n">
        <x:f>IF($D4="",0,SUMIF('Attendance Report - Option 1'!$P$11:$P$315,$D4,'Attendance Report - Option 1'!$Q$11:$Q$315)/86400)</x:f>
        <x:v>0</x:v>
      </x:c>
      <x:c r="F4" s="131" t="str">
        <x:f>IF(E4=0,"Did not attend",IF(E4&gt;='Read Me'!$E$2/86400,"Fully attended","Partially attended"))</x:f>
        <x:v>Did not attend</x:v>
      </x:c>
      <x:c r="G4" s="130" t="n">
        <x:f>IF($D4="",0,SUMIF('Attendance Report - Option 2'!$P$11:$P$412,$D4,'Attendance Report - Option 2'!$Q$11:$Q$412)/86400)</x:f>
        <x:v>0.07605324074074074</x:v>
      </x:c>
      <x:c r="H4" s="131" t="str">
        <x:f>IF(G4=0,"Did not attend",IF(G4&gt;='Read Me'!$E$2/86400,"Fully attended","Partially attended"))</x:f>
        <x:v>Fully attended</x:v>
      </x:c>
      <x:c r="I4" s="130" t="n">
        <x:f>E4+G4</x:f>
        <x:v>0.07605324074074074</x:v>
      </x:c>
      <x:c r="J4" s="131" t="str">
        <x:f>IF(I4=0,"Did not attend",IF(I4&gt;='Read Me'!$E$2/86400,"Fully attended","Partially attended"))</x:f>
        <x:v>Fully attended</x:v>
      </x:c>
      <x:c r="K4" s="131" t="str">
        <x:f>IF($D4="","No",IF(COUNTIF('Attendance Report - Option 1'!$P$11:$P$315,$D4)&gt;0,"Yes","No"))</x:f>
        <x:v>No</x:v>
      </x:c>
      <x:c r="L4" s="131" t="str">
        <x:f>IF($D4="","No",IF(COUNTIF('Attendance Report - Option 2'!$P$11:$P$412,$D4)&gt;0,"Yes","No"))</x:f>
        <x:v>Yes</x:v>
      </x:c>
    </x:row>
    <x:row r="5">
      <x:c r="A5" s="16" t="str">
        <x:f>'EMA Assurance Employee List'!A5</x:f>
        <x:v>Abigael Kimani</x:v>
      </x:c>
      <x:c r="B5" s="16" t="str">
        <x:f>IF(C5="KE","Kenya",IF(C5="UG","Uganda",IF(C5="MU","Mauritius",IF(C5="TZ","Tanzania",IF(C5="RW","Rwanda",IF(C5="ZA","South Africa",IF(C5="ZM","Zambia","")))))))</x:f>
        <x:v>Kenya</x:v>
      </x:c>
      <x:c r="C5" s="16" t="str">
        <x:f>'EMA Assurance Employee List'!B5</x:f>
        <x:v>KE</x:v>
      </x:c>
      <x:c r="D5" s="16" t="str">
        <x:f>'EMA Assurance Employee List'!D5</x:f>
        <x:v>abigael.kimani@pwc.com</x:v>
      </x:c>
      <x:c r="E5" s="130" t="n">
        <x:f>IF($D5="",0,SUMIF('Attendance Report - Option 1'!$P$11:$P$315,$D5,'Attendance Report - Option 1'!$Q$11:$Q$315)/86400)</x:f>
        <x:v>0.0627662037037037</x:v>
      </x:c>
      <x:c r="F5" s="131" t="str">
        <x:f>IF(E5=0,"Did not attend",IF(E5&gt;='Read Me'!$E$2/86400,"Fully attended","Partially attended"))</x:f>
        <x:v>Fully attended</x:v>
      </x:c>
      <x:c r="G5" s="130" t="n">
        <x:f>IF($D5="",0,SUMIF('Attendance Report - Option 2'!$P$11:$P$412,$D5,'Attendance Report - Option 2'!$Q$11:$Q$412)/86400)</x:f>
        <x:v>0</x:v>
      </x:c>
      <x:c r="H5" s="131" t="str">
        <x:f>IF(G5=0,"Did not attend",IF(G5&gt;='Read Me'!$E$2/86400,"Fully attended","Partially attended"))</x:f>
        <x:v>Did not attend</x:v>
      </x:c>
      <x:c r="I5" s="130" t="n">
        <x:f>E5+G5</x:f>
        <x:v>0.0627662037037037</x:v>
      </x:c>
      <x:c r="J5" s="131" t="str">
        <x:f>IF(I5=0,"Did not attend",IF(I5&gt;='Read Me'!$E$2/86400,"Fully attended","Partially attended"))</x:f>
        <x:v>Fully attended</x:v>
      </x:c>
      <x:c r="K5" s="131" t="str">
        <x:f>IF($D5="","No",IF(COUNTIF('Attendance Report - Option 1'!$P$11:$P$315,$D5)&gt;0,"Yes","No"))</x:f>
        <x:v>Yes</x:v>
      </x:c>
      <x:c r="L5" s="131" t="str">
        <x:f>IF($D5="","No",IF(COUNTIF('Attendance Report - Option 2'!$P$11:$P$412,$D5)&gt;0,"Yes","No"))</x:f>
        <x:v>No</x:v>
      </x:c>
    </x:row>
    <x:row r="6">
      <x:c r="A6" s="16" t="str">
        <x:f>'EMA Assurance Employee List'!A6</x:f>
        <x:v>Adrian Oile</x:v>
      </x:c>
      <x:c r="B6" s="16" t="str">
        <x:f>IF(C6="KE","Kenya",IF(C6="UG","Uganda",IF(C6="MU","Mauritius",IF(C6="TZ","Tanzania",IF(C6="RW","Rwanda",IF(C6="ZA","South Africa",IF(C6="ZM","Zambia","")))))))</x:f>
        <x:v>Kenya</x:v>
      </x:c>
      <x:c r="C6" s="16" t="str">
        <x:f>'EMA Assurance Employee List'!B6</x:f>
        <x:v>KE</x:v>
      </x:c>
      <x:c r="D6" s="16" t="str">
        <x:f>'EMA Assurance Employee List'!D6</x:f>
        <x:v>adrian.oile@pwc.com</x:v>
      </x:c>
      <x:c r="E6" s="130" t="n">
        <x:f>IF($D6="",0,SUMIF('Attendance Report - Option 1'!$P$11:$P$315,$D6,'Attendance Report - Option 1'!$Q$11:$Q$315)/86400)</x:f>
        <x:v>0</x:v>
      </x:c>
      <x:c r="F6" s="131" t="str">
        <x:f>IF(E6=0,"Did not attend",IF(E6&gt;='Read Me'!$E$2/86400,"Fully attended","Partially attended"))</x:f>
        <x:v>Did not attend</x:v>
      </x:c>
      <x:c r="G6" s="130" t="n">
        <x:f>IF($D6="",0,SUMIF('Attendance Report - Option 2'!$P$11:$P$412,$D6,'Attendance Report - Option 2'!$Q$11:$Q$412)/86400)</x:f>
        <x:v>0.05303240740740741</x:v>
      </x:c>
      <x:c r="H6" s="131" t="str">
        <x:f>IF(G6=0,"Did not attend",IF(G6&gt;='Read Me'!$E$2/86400,"Fully attended","Partially attended"))</x:f>
        <x:v>Partially attended</x:v>
      </x:c>
      <x:c r="I6" s="130" t="n">
        <x:f>E6+G6</x:f>
        <x:v>0.05303240740740741</x:v>
      </x:c>
      <x:c r="J6" s="131" t="str">
        <x:f>IF(I6=0,"Did not attend",IF(I6&gt;='Read Me'!$E$2/86400,"Fully attended","Partially attended"))</x:f>
        <x:v>Partially attended</x:v>
      </x:c>
      <x:c r="K6" s="131" t="str">
        <x:f>IF($D6="","No",IF(COUNTIF('Attendance Report - Option 1'!$P$11:$P$315,$D6)&gt;0,"Yes","No"))</x:f>
        <x:v>No</x:v>
      </x:c>
      <x:c r="L6" s="131" t="str">
        <x:f>IF($D6="","No",IF(COUNTIF('Attendance Report - Option 2'!$P$11:$P$412,$D6)&gt;0,"Yes","No"))</x:f>
        <x:v>Yes</x:v>
      </x:c>
    </x:row>
    <x:row r="7">
      <x:c r="A7" s="16" t="str">
        <x:f>'EMA Assurance Employee List'!A7</x:f>
        <x:v>Aime Niyokwizerwa</x:v>
      </x:c>
      <x:c r="B7" s="16" t="str">
        <x:f>IF(C7="KE","Kenya",IF(C7="UG","Uganda",IF(C7="MU","Mauritius",IF(C7="TZ","Tanzania",IF(C7="RW","Rwanda",IF(C7="ZA","South Africa",IF(C7="ZM","Zambia","")))))))</x:f>
        <x:v>Rwanda</x:v>
      </x:c>
      <x:c r="C7" s="16" t="str">
        <x:f>'EMA Assurance Employee List'!B7</x:f>
        <x:v>RW</x:v>
      </x:c>
      <x:c r="D7" s="16" t="str">
        <x:f>'EMA Assurance Employee List'!D7</x:f>
        <x:v>aime.niyokwizerwa@pwc.com</x:v>
      </x:c>
      <x:c r="E7" s="130" t="n">
        <x:f>IF($D7="",0,SUMIF('Attendance Report - Option 1'!$P$11:$P$315,$D7,'Attendance Report - Option 1'!$Q$11:$Q$315)/86400)</x:f>
        <x:v>0.028356481481481483</x:v>
      </x:c>
      <x:c r="F7" s="131" t="str">
        <x:f>IF(E7=0,"Did not attend",IF(E7&gt;='Read Me'!$E$2/86400,"Fully attended","Partially attended"))</x:f>
        <x:v>Partially attended</x:v>
      </x:c>
      <x:c r="G7" s="130" t="n">
        <x:f>IF($D7="",0,SUMIF('Attendance Report - Option 2'!$P$11:$P$412,$D7,'Attendance Report - Option 2'!$Q$11:$Q$412)/86400)</x:f>
        <x:v>0</x:v>
      </x:c>
      <x:c r="H7" s="131" t="str">
        <x:f>IF(G7=0,"Did not attend",IF(G7&gt;='Read Me'!$E$2/86400,"Fully attended","Partially attended"))</x:f>
        <x:v>Did not attend</x:v>
      </x:c>
      <x:c r="I7" s="130" t="n">
        <x:f>E7+G7</x:f>
        <x:v>0.028356481481481483</x:v>
      </x:c>
      <x:c r="J7" s="131" t="str">
        <x:f>IF(I7=0,"Did not attend",IF(I7&gt;='Read Me'!$E$2/86400,"Fully attended","Partially attended"))</x:f>
        <x:v>Partially attended</x:v>
      </x:c>
      <x:c r="K7" s="131" t="str">
        <x:f>IF($D7="","No",IF(COUNTIF('Attendance Report - Option 1'!$P$11:$P$315,$D7)&gt;0,"Yes","No"))</x:f>
        <x:v>Yes</x:v>
      </x:c>
      <x:c r="L7" s="131" t="str">
        <x:f>IF($D7="","No",IF(COUNTIF('Attendance Report - Option 2'!$P$11:$P$412,$D7)&gt;0,"Yes","No"))</x:f>
        <x:v>No</x:v>
      </x:c>
    </x:row>
    <x:row r="8">
      <x:c r="A8" s="16" t="str">
        <x:f>'EMA Assurance Employee List'!A8</x:f>
        <x:v>Akinyemi Awodumila</x:v>
      </x:c>
      <x:c r="B8" s="16" t="str">
        <x:f>IF(C8="KE","Kenya",IF(C8="UG","Uganda",IF(C8="MU","Mauritius",IF(C8="TZ","Tanzania",IF(C8="RW","Rwanda",IF(C8="ZA","South Africa",IF(C8="ZM","Zambia","")))))))</x:f>
        <x:v>Kenya</x:v>
      </x:c>
      <x:c r="C8" s="16" t="str">
        <x:f>'EMA Assurance Employee List'!B8</x:f>
        <x:v>KE</x:v>
      </x:c>
      <x:c r="D8" s="16" t="str">
        <x:f>'EMA Assurance Employee List'!D8</x:f>
        <x:v>akinyemi.awodumila@pwc.com</x:v>
      </x:c>
      <x:c r="E8" s="130" t="n">
        <x:f>IF($D8="",0,SUMIF('Attendance Report - Option 1'!$P$11:$P$315,$D8,'Attendance Report - Option 1'!$Q$11:$Q$315)/86400)</x:f>
        <x:v>0.08149305555555555</x:v>
      </x:c>
      <x:c r="F8" s="131" t="str">
        <x:f>IF(E8=0,"Did not attend",IF(E8&gt;='Read Me'!$E$2/86400,"Fully attended","Partially attended"))</x:f>
        <x:v>Fully attended</x:v>
      </x:c>
      <x:c r="G8" s="130" t="n">
        <x:f>IF($D8="",0,SUMIF('Attendance Report - Option 2'!$P$11:$P$412,$D8,'Attendance Report - Option 2'!$Q$11:$Q$412)/86400)</x:f>
        <x:v>0</x:v>
      </x:c>
      <x:c r="H8" s="131" t="str">
        <x:f>IF(G8=0,"Did not attend",IF(G8&gt;='Read Me'!$E$2/86400,"Fully attended","Partially attended"))</x:f>
        <x:v>Did not attend</x:v>
      </x:c>
      <x:c r="I8" s="130" t="n">
        <x:f>E8+G8</x:f>
        <x:v>0.08149305555555555</x:v>
      </x:c>
      <x:c r="J8" s="131" t="str">
        <x:f>IF(I8=0,"Did not attend",IF(I8&gt;='Read Me'!$E$2/86400,"Fully attended","Partially attended"))</x:f>
        <x:v>Fully attended</x:v>
      </x:c>
      <x:c r="K8" s="131" t="str">
        <x:f>IF($D8="","No",IF(COUNTIF('Attendance Report - Option 1'!$P$11:$P$315,$D8)&gt;0,"Yes","No"))</x:f>
        <x:v>Yes</x:v>
      </x:c>
      <x:c r="L8" s="131" t="str">
        <x:f>IF($D8="","No",IF(COUNTIF('Attendance Report - Option 2'!$P$11:$P$412,$D8)&gt;0,"Yes","No"))</x:f>
        <x:v>No</x:v>
      </x:c>
    </x:row>
    <x:row r="9">
      <x:c r="A9" s="16" t="str">
        <x:f>'EMA Assurance Employee List'!A9</x:f>
        <x:v>Alfred Mwendwa</x:v>
      </x:c>
      <x:c r="B9" s="16" t="str">
        <x:f>IF(C9="KE","Kenya",IF(C9="UG","Uganda",IF(C9="MU","Mauritius",IF(C9="TZ","Tanzania",IF(C9="RW","Rwanda",IF(C9="ZA","South Africa",IF(C9="ZM","Zambia","")))))))</x:f>
        <x:v>Kenya</x:v>
      </x:c>
      <x:c r="C9" s="16" t="str">
        <x:f>'EMA Assurance Employee List'!B9</x:f>
        <x:v>KE</x:v>
      </x:c>
      <x:c r="D9" s="16" t="str">
        <x:f>'EMA Assurance Employee List'!D9</x:f>
        <x:v>alfred.mwendwa@pwc.com</x:v>
      </x:c>
      <x:c r="E9" s="130" t="n">
        <x:f>IF($D9="",0,SUMIF('Attendance Report - Option 1'!$P$11:$P$315,$D9,'Attendance Report - Option 1'!$Q$11:$Q$315)/86400)</x:f>
        <x:v>0.07806712962962963</x:v>
      </x:c>
      <x:c r="F9" s="131" t="str">
        <x:f>IF(E9=0,"Did not attend",IF(E9&gt;='Read Me'!$E$2/86400,"Fully attended","Partially attended"))</x:f>
        <x:v>Fully attended</x:v>
      </x:c>
      <x:c r="G9" s="130" t="n">
        <x:f>IF($D9="",0,SUMIF('Attendance Report - Option 2'!$P$11:$P$412,$D9,'Attendance Report - Option 2'!$Q$11:$Q$412)/86400)</x:f>
        <x:v>0</x:v>
      </x:c>
      <x:c r="H9" s="131" t="str">
        <x:f>IF(G9=0,"Did not attend",IF(G9&gt;='Read Me'!$E$2/86400,"Fully attended","Partially attended"))</x:f>
        <x:v>Did not attend</x:v>
      </x:c>
      <x:c r="I9" s="130" t="n">
        <x:f>E9+G9</x:f>
        <x:v>0.07806712962962963</x:v>
      </x:c>
      <x:c r="J9" s="131" t="str">
        <x:f>IF(I9=0,"Did not attend",IF(I9&gt;='Read Me'!$E$2/86400,"Fully attended","Partially attended"))</x:f>
        <x:v>Fully attended</x:v>
      </x:c>
      <x:c r="K9" s="131" t="str">
        <x:f>IF($D9="","No",IF(COUNTIF('Attendance Report - Option 1'!$P$11:$P$315,$D9)&gt;0,"Yes","No"))</x:f>
        <x:v>Yes</x:v>
      </x:c>
      <x:c r="L9" s="131" t="str">
        <x:f>IF($D9="","No",IF(COUNTIF('Attendance Report - Option 2'!$P$11:$P$412,$D9)&gt;0,"Yes","No"))</x:f>
        <x:v>No</x:v>
      </x:c>
    </x:row>
    <x:row r="10">
      <x:c r="A10" s="16" t="str">
        <x:f>'EMA Assurance Employee List'!A10</x:f>
        <x:v>Alice Muchemi</x:v>
      </x:c>
      <x:c r="B10" s="16" t="str">
        <x:f>IF(C10="KE","Kenya",IF(C10="UG","Uganda",IF(C10="MU","Mauritius",IF(C10="TZ","Tanzania",IF(C10="RW","Rwanda",IF(C10="ZA","South Africa",IF(C10="ZM","Zambia","")))))))</x:f>
        <x:v>Rwanda</x:v>
      </x:c>
      <x:c r="C10" s="16" t="str">
        <x:f>'EMA Assurance Employee List'!B10</x:f>
        <x:v>RW</x:v>
      </x:c>
      <x:c r="D10" s="16" t="str">
        <x:f>'EMA Assurance Employee List'!D10</x:f>
        <x:v>alice.muchemi@pwc.com</x:v>
      </x:c>
      <x:c r="E10" s="130" t="n">
        <x:f>IF($D10="",0,SUMIF('Attendance Report - Option 1'!$P$11:$P$315,$D10,'Attendance Report - Option 1'!$Q$11:$Q$315)/86400)</x:f>
        <x:v>0.08148148148148149</x:v>
      </x:c>
      <x:c r="F10" s="131" t="str">
        <x:f>IF(E10=0,"Did not attend",IF(E10&gt;='Read Me'!$E$2/86400,"Fully attended","Partially attended"))</x:f>
        <x:v>Fully attended</x:v>
      </x:c>
      <x:c r="G10" s="130" t="n">
        <x:f>IF($D10="",0,SUMIF('Attendance Report - Option 2'!$P$11:$P$412,$D10,'Attendance Report - Option 2'!$Q$11:$Q$412)/86400)</x:f>
        <x:v>0</x:v>
      </x:c>
      <x:c r="H10" s="131" t="str">
        <x:f>IF(G10=0,"Did not attend",IF(G10&gt;='Read Me'!$E$2/86400,"Fully attended","Partially attended"))</x:f>
        <x:v>Did not attend</x:v>
      </x:c>
      <x:c r="I10" s="130" t="n">
        <x:f>E10+G10</x:f>
        <x:v>0.08148148148148149</x:v>
      </x:c>
      <x:c r="J10" s="131" t="str">
        <x:f>IF(I10=0,"Did not attend",IF(I10&gt;='Read Me'!$E$2/86400,"Fully attended","Partially attended"))</x:f>
        <x:v>Fully attended</x:v>
      </x:c>
      <x:c r="K10" s="131" t="str">
        <x:f>IF($D10="","No",IF(COUNTIF('Attendance Report - Option 1'!$P$11:$P$315,$D10)&gt;0,"Yes","No"))</x:f>
        <x:v>Yes</x:v>
      </x:c>
      <x:c r="L10" s="131" t="str">
        <x:f>IF($D10="","No",IF(COUNTIF('Attendance Report - Option 2'!$P$11:$P$412,$D10)&gt;0,"Yes","No"))</x:f>
        <x:v>No</x:v>
      </x:c>
    </x:row>
    <x:row r="11">
      <x:c r="A11" s="16" t="str">
        <x:f>'EMA Assurance Employee List'!A11</x:f>
        <x:v>Alice Nderitu</x:v>
      </x:c>
      <x:c r="B11" s="16" t="str">
        <x:f>IF(C11="KE","Kenya",IF(C11="UG","Uganda",IF(C11="MU","Mauritius",IF(C11="TZ","Tanzania",IF(C11="RW","Rwanda",IF(C11="ZA","South Africa",IF(C11="ZM","Zambia","")))))))</x:f>
        <x:v>Kenya</x:v>
      </x:c>
      <x:c r="C11" s="16" t="str">
        <x:f>'EMA Assurance Employee List'!B11</x:f>
        <x:v>KE</x:v>
      </x:c>
      <x:c r="D11" s="16" t="str">
        <x:f>'EMA Assurance Employee List'!D11</x:f>
        <x:v>alice.nderitu@pwc.com</x:v>
      </x:c>
      <x:c r="E11" s="130" t="n">
        <x:f>IF($D11="",0,SUMIF('Attendance Report - Option 1'!$P$11:$P$315,$D11,'Attendance Report - Option 1'!$Q$11:$Q$315)/86400)</x:f>
        <x:v>0.08074074074074074</x:v>
      </x:c>
      <x:c r="F11" s="131" t="str">
        <x:f>IF(E11=0,"Did not attend",IF(E11&gt;='Read Me'!$E$2/86400,"Fully attended","Partially attended"))</x:f>
        <x:v>Fully attended</x:v>
      </x:c>
      <x:c r="G11" s="130" t="n">
        <x:f>IF($D11="",0,SUMIF('Attendance Report - Option 2'!$P$11:$P$412,$D11,'Attendance Report - Option 2'!$Q$11:$Q$412)/86400)</x:f>
        <x:v>0.08506944444444445</x:v>
      </x:c>
      <x:c r="H11" s="131" t="str">
        <x:f>IF(G11=0,"Did not attend",IF(G11&gt;='Read Me'!$E$2/86400,"Fully attended","Partially attended"))</x:f>
        <x:v>Fully attended</x:v>
      </x:c>
      <x:c r="I11" s="130" t="n">
        <x:f>E11+G11</x:f>
        <x:v>0.1658101851851852</x:v>
      </x:c>
      <x:c r="J11" s="131" t="str">
        <x:f>IF(I11=0,"Did not attend",IF(I11&gt;='Read Me'!$E$2/86400,"Fully attended","Partially attended"))</x:f>
        <x:v>Fully attended</x:v>
      </x:c>
      <x:c r="K11" s="131" t="str">
        <x:f>IF($D11="","No",IF(COUNTIF('Attendance Report - Option 1'!$P$11:$P$315,$D11)&gt;0,"Yes","No"))</x:f>
        <x:v>Yes</x:v>
      </x:c>
      <x:c r="L11" s="131" t="str">
        <x:f>IF($D11="","No",IF(COUNTIF('Attendance Report - Option 2'!$P$11:$P$412,$D11)&gt;0,"Yes","No"))</x:f>
        <x:v>Yes</x:v>
      </x:c>
    </x:row>
    <x:row r="12">
      <x:c r="A12" s="16" t="str">
        <x:f>'EMA Assurance Employee List'!A12</x:f>
        <x:v>Alice Ngetich</x:v>
      </x:c>
      <x:c r="B12" s="16" t="str">
        <x:f>IF(C12="KE","Kenya",IF(C12="UG","Uganda",IF(C12="MU","Mauritius",IF(C12="TZ","Tanzania",IF(C12="RW","Rwanda",IF(C12="ZA","South Africa",IF(C12="ZM","Zambia","")))))))</x:f>
        <x:v>Kenya</x:v>
      </x:c>
      <x:c r="C12" s="16" t="str">
        <x:f>'EMA Assurance Employee List'!B12</x:f>
        <x:v>KE</x:v>
      </x:c>
      <x:c r="D12" s="16" t="str">
        <x:f>'EMA Assurance Employee List'!D12</x:f>
        <x:v>alice.ngetich@pwc.com</x:v>
      </x:c>
      <x:c r="E12" s="130" t="n">
        <x:f>IF($D12="",0,SUMIF('Attendance Report - Option 1'!$P$11:$P$315,$D12,'Attendance Report - Option 1'!$Q$11:$Q$315)/86400)</x:f>
        <x:v>0.08052083333333333</x:v>
      </x:c>
      <x:c r="F12" s="131" t="str">
        <x:f>IF(E12=0,"Did not attend",IF(E12&gt;='Read Me'!$E$2/86400,"Fully attended","Partially attended"))</x:f>
        <x:v>Fully attended</x:v>
      </x:c>
      <x:c r="G12" s="130" t="n">
        <x:f>IF($D12="",0,SUMIF('Attendance Report - Option 2'!$P$11:$P$412,$D12,'Attendance Report - Option 2'!$Q$11:$Q$412)/86400)</x:f>
        <x:v>0</x:v>
      </x:c>
      <x:c r="H12" s="131" t="str">
        <x:f>IF(G12=0,"Did not attend",IF(G12&gt;='Read Me'!$E$2/86400,"Fully attended","Partially attended"))</x:f>
        <x:v>Did not attend</x:v>
      </x:c>
      <x:c r="I12" s="130" t="n">
        <x:f>E12+G12</x:f>
        <x:v>0.08052083333333333</x:v>
      </x:c>
      <x:c r="J12" s="131" t="str">
        <x:f>IF(I12=0,"Did not attend",IF(I12&gt;='Read Me'!$E$2/86400,"Fully attended","Partially attended"))</x:f>
        <x:v>Fully attended</x:v>
      </x:c>
      <x:c r="K12" s="131" t="str">
        <x:f>IF($D12="","No",IF(COUNTIF('Attendance Report - Option 1'!$P$11:$P$315,$D12)&gt;0,"Yes","No"))</x:f>
        <x:v>Yes</x:v>
      </x:c>
      <x:c r="L12" s="131" t="str">
        <x:f>IF($D12="","No",IF(COUNTIF('Attendance Report - Option 2'!$P$11:$P$412,$D12)&gt;0,"Yes","No"))</x:f>
        <x:v>No</x:v>
      </x:c>
    </x:row>
    <x:row r="13">
      <x:c r="A13" s="16" t="str">
        <x:f>'EMA Assurance Employee List'!A13</x:f>
        <x:v>Allen Alfred</x:v>
      </x:c>
      <x:c r="B13" s="16" t="str">
        <x:f>IF(C13="KE","Kenya",IF(C13="UG","Uganda",IF(C13="MU","Mauritius",IF(C13="TZ","Tanzania",IF(C13="RW","Rwanda",IF(C13="ZA","South Africa",IF(C13="ZM","Zambia","")))))))</x:f>
        <x:v>Tanzania</x:v>
      </x:c>
      <x:c r="C13" s="16" t="str">
        <x:f>'EMA Assurance Employee List'!B13</x:f>
        <x:v>TZ</x:v>
      </x:c>
      <x:c r="D13" s="16" t="str">
        <x:f>'EMA Assurance Employee List'!D13</x:f>
        <x:v>allen.alfred@pwc.com</x:v>
      </x:c>
      <x:c r="E13" s="130" t="n">
        <x:f>IF($D13="",0,SUMIF('Attendance Report - Option 1'!$P$11:$P$315,$D13,'Attendance Report - Option 1'!$Q$11:$Q$315)/86400)</x:f>
        <x:v>0</x:v>
      </x:c>
      <x:c r="F13" s="131" t="str">
        <x:f>IF(E13=0,"Did not attend",IF(E13&gt;='Read Me'!$E$2/86400,"Fully attended","Partially attended"))</x:f>
        <x:v>Did not attend</x:v>
      </x:c>
      <x:c r="G13" s="130" t="n">
        <x:f>IF($D13="",0,SUMIF('Attendance Report - Option 2'!$P$11:$P$412,$D13,'Attendance Report - Option 2'!$Q$11:$Q$412)/86400)</x:f>
        <x:v>0.06953703703703704</x:v>
      </x:c>
      <x:c r="H13" s="131" t="str">
        <x:f>IF(G13=0,"Did not attend",IF(G13&gt;='Read Me'!$E$2/86400,"Fully attended","Partially attended"))</x:f>
        <x:v>Fully attended</x:v>
      </x:c>
      <x:c r="I13" s="130" t="n">
        <x:f>E13+G13</x:f>
        <x:v>0.06953703703703704</x:v>
      </x:c>
      <x:c r="J13" s="131" t="str">
        <x:f>IF(I13=0,"Did not attend",IF(I13&gt;='Read Me'!$E$2/86400,"Fully attended","Partially attended"))</x:f>
        <x:v>Fully attended</x:v>
      </x:c>
      <x:c r="K13" s="131" t="str">
        <x:f>IF($D13="","No",IF(COUNTIF('Attendance Report - Option 1'!$P$11:$P$315,$D13)&gt;0,"Yes","No"))</x:f>
        <x:v>No</x:v>
      </x:c>
      <x:c r="L13" s="131" t="str">
        <x:f>IF($D13="","No",IF(COUNTIF('Attendance Report - Option 2'!$P$11:$P$412,$D13)&gt;0,"Yes","No"))</x:f>
        <x:v>Yes</x:v>
      </x:c>
    </x:row>
    <x:row r="14">
      <x:c r="A14" s="16" t="str">
        <x:f>'EMA Assurance Employee List'!A14</x:f>
        <x:v>Alpha Mukazi</x:v>
      </x:c>
      <x:c r="B14" s="16" t="str">
        <x:f>IF(C14="KE","Kenya",IF(C14="UG","Uganda",IF(C14="MU","Mauritius",IF(C14="TZ","Tanzania",IF(C14="RW","Rwanda",IF(C14="ZA","South Africa",IF(C14="ZM","Zambia","")))))))</x:f>
        <x:v>Rwanda</x:v>
      </x:c>
      <x:c r="C14" s="16" t="str">
        <x:f>'EMA Assurance Employee List'!B14</x:f>
        <x:v>RW</x:v>
      </x:c>
      <x:c r="D14" s="16" t="str">
        <x:f>'EMA Assurance Employee List'!D14</x:f>
        <x:v>alpha.mukazi@pwc.com</x:v>
      </x:c>
      <x:c r="E14" s="130" t="n">
        <x:f>IF($D14="",0,SUMIF('Attendance Report - Option 1'!$P$11:$P$315,$D14,'Attendance Report - Option 1'!$Q$11:$Q$315)/86400)</x:f>
        <x:v>0.07930555555555556</x:v>
      </x:c>
      <x:c r="F14" s="131" t="str">
        <x:f>IF(E14=0,"Did not attend",IF(E14&gt;='Read Me'!$E$2/86400,"Fully attended","Partially attended"))</x:f>
        <x:v>Fully attended</x:v>
      </x:c>
      <x:c r="G14" s="130" t="n">
        <x:f>IF($D14="",0,SUMIF('Attendance Report - Option 2'!$P$11:$P$412,$D14,'Attendance Report - Option 2'!$Q$11:$Q$412)/86400)</x:f>
        <x:v>0</x:v>
      </x:c>
      <x:c r="H14" s="131" t="str">
        <x:f>IF(G14=0,"Did not attend",IF(G14&gt;='Read Me'!$E$2/86400,"Fully attended","Partially attended"))</x:f>
        <x:v>Did not attend</x:v>
      </x:c>
      <x:c r="I14" s="130" t="n">
        <x:f>E14+G14</x:f>
        <x:v>0.07930555555555556</x:v>
      </x:c>
      <x:c r="J14" s="131" t="str">
        <x:f>IF(I14=0,"Did not attend",IF(I14&gt;='Read Me'!$E$2/86400,"Fully attended","Partially attended"))</x:f>
        <x:v>Fully attended</x:v>
      </x:c>
      <x:c r="K14" s="131" t="str">
        <x:f>IF($D14="","No",IF(COUNTIF('Attendance Report - Option 1'!$P$11:$P$315,$D14)&gt;0,"Yes","No"))</x:f>
        <x:v>Yes</x:v>
      </x:c>
      <x:c r="L14" s="131" t="str">
        <x:f>IF($D14="","No",IF(COUNTIF('Attendance Report - Option 2'!$P$11:$P$412,$D14)&gt;0,"Yes","No"))</x:f>
        <x:v>No</x:v>
      </x:c>
    </x:row>
    <x:row r="15">
      <x:c r="A15" s="16" t="str">
        <x:f>'EMA Assurance Employee List'!A15</x:f>
        <x:v>Alphonce Odhiambo</x:v>
      </x:c>
      <x:c r="B15" s="16" t="str">
        <x:f>IF(C15="KE","Kenya",IF(C15="UG","Uganda",IF(C15="MU","Mauritius",IF(C15="TZ","Tanzania",IF(C15="RW","Rwanda",IF(C15="ZA","South Africa",IF(C15="ZM","Zambia","")))))))</x:f>
        <x:v>Tanzania</x:v>
      </x:c>
      <x:c r="C15" s="16" t="str">
        <x:f>'EMA Assurance Employee List'!B15</x:f>
        <x:v>TZ</x:v>
      </x:c>
      <x:c r="D15" s="16" t="str">
        <x:f>'EMA Assurance Employee List'!D15</x:f>
        <x:v>alphonce.o.odhiambo@pwc.com</x:v>
      </x:c>
      <x:c r="E15" s="130" t="n">
        <x:f>IF($D15="",0,SUMIF('Attendance Report - Option 1'!$P$11:$P$315,$D15,'Attendance Report - Option 1'!$Q$11:$Q$315)/86400)</x:f>
        <x:v>0.07833333333333334</x:v>
      </x:c>
      <x:c r="F15" s="131" t="str">
        <x:f>IF(E15=0,"Did not attend",IF(E15&gt;='Read Me'!$E$2/86400,"Fully attended","Partially attended"))</x:f>
        <x:v>Fully attended</x:v>
      </x:c>
      <x:c r="G15" s="130" t="n">
        <x:f>IF($D15="",0,SUMIF('Attendance Report - Option 2'!$P$11:$P$412,$D15,'Attendance Report - Option 2'!$Q$11:$Q$412)/86400)</x:f>
        <x:v>0</x:v>
      </x:c>
      <x:c r="H15" s="131" t="str">
        <x:f>IF(G15=0,"Did not attend",IF(G15&gt;='Read Me'!$E$2/86400,"Fully attended","Partially attended"))</x:f>
        <x:v>Did not attend</x:v>
      </x:c>
      <x:c r="I15" s="130" t="n">
        <x:f>E15+G15</x:f>
        <x:v>0.07833333333333334</x:v>
      </x:c>
      <x:c r="J15" s="131" t="str">
        <x:f>IF(I15=0,"Did not attend",IF(I15&gt;='Read Me'!$E$2/86400,"Fully attended","Partially attended"))</x:f>
        <x:v>Fully attended</x:v>
      </x:c>
      <x:c r="K15" s="131" t="str">
        <x:f>IF($D15="","No",IF(COUNTIF('Attendance Report - Option 1'!$P$11:$P$315,$D15)&gt;0,"Yes","No"))</x:f>
        <x:v>Yes</x:v>
      </x:c>
      <x:c r="L15" s="131" t="str">
        <x:f>IF($D15="","No",IF(COUNTIF('Attendance Report - Option 2'!$P$11:$P$412,$D15)&gt;0,"Yes","No"))</x:f>
        <x:v>No</x:v>
      </x:c>
    </x:row>
    <x:row r="16">
      <x:c r="A16" s="16" t="str">
        <x:f>'EMA Assurance Employee List'!A16</x:f>
        <x:v>Altar Inganji</x:v>
      </x:c>
      <x:c r="B16" s="16" t="str">
        <x:f>IF(C16="KE","Kenya",IF(C16="UG","Uganda",IF(C16="MU","Mauritius",IF(C16="TZ","Tanzania",IF(C16="RW","Rwanda",IF(C16="ZA","South Africa",IF(C16="ZM","Zambia","")))))))</x:f>
        <x:v>Kenya</x:v>
      </x:c>
      <x:c r="C16" s="16" t="str">
        <x:f>'EMA Assurance Employee List'!B16</x:f>
        <x:v>KE</x:v>
      </x:c>
      <x:c r="D16" s="16" t="str">
        <x:f>'EMA Assurance Employee List'!D16</x:f>
        <x:v>altar.inganji@pwc.com</x:v>
      </x:c>
      <x:c r="E16" s="130" t="n">
        <x:f>IF($D16="",0,SUMIF('Attendance Report - Option 1'!$P$11:$P$315,$D16,'Attendance Report - Option 1'!$Q$11:$Q$315)/86400)</x:f>
        <x:v>0</x:v>
      </x:c>
      <x:c r="F16" s="131" t="str">
        <x:f>IF(E16=0,"Did not attend",IF(E16&gt;='Read Me'!$E$2/86400,"Fully attended","Partially attended"))</x:f>
        <x:v>Did not attend</x:v>
      </x:c>
      <x:c r="G16" s="130" t="n">
        <x:f>IF($D16="",0,SUMIF('Attendance Report - Option 2'!$P$11:$P$412,$D16,'Attendance Report - Option 2'!$Q$11:$Q$412)/86400)</x:f>
        <x:v>0.08791666666666667</x:v>
      </x:c>
      <x:c r="H16" s="131" t="str">
        <x:f>IF(G16=0,"Did not attend",IF(G16&gt;='Read Me'!$E$2/86400,"Fully attended","Partially attended"))</x:f>
        <x:v>Fully attended</x:v>
      </x:c>
      <x:c r="I16" s="130" t="n">
        <x:f>E16+G16</x:f>
        <x:v>0.08791666666666667</x:v>
      </x:c>
      <x:c r="J16" s="131" t="str">
        <x:f>IF(I16=0,"Did not attend",IF(I16&gt;='Read Me'!$E$2/86400,"Fully attended","Partially attended"))</x:f>
        <x:v>Fully attended</x:v>
      </x:c>
      <x:c r="K16" s="131" t="str">
        <x:f>IF($D16="","No",IF(COUNTIF('Attendance Report - Option 1'!$P$11:$P$315,$D16)&gt;0,"Yes","No"))</x:f>
        <x:v>No</x:v>
      </x:c>
      <x:c r="L16" s="131" t="str">
        <x:f>IF($D16="","No",IF(COUNTIF('Attendance Report - Option 2'!$P$11:$P$412,$D16)&gt;0,"Yes","No"))</x:f>
        <x:v>Yes</x:v>
      </x:c>
    </x:row>
    <x:row r="17">
      <x:c r="A17" s="16" t="str">
        <x:f>'EMA Assurance Employee List'!A17</x:f>
        <x:v>Alvine Oyonga</x:v>
      </x:c>
      <x:c r="B17" s="16" t="str">
        <x:f>IF(C17="KE","Kenya",IF(C17="UG","Uganda",IF(C17="MU","Mauritius",IF(C17="TZ","Tanzania",IF(C17="RW","Rwanda",IF(C17="ZA","South Africa",IF(C17="ZM","Zambia","")))))))</x:f>
        <x:v>Kenya</x:v>
      </x:c>
      <x:c r="C17" s="16" t="str">
        <x:f>'EMA Assurance Employee List'!B17</x:f>
        <x:v>KE</x:v>
      </x:c>
      <x:c r="D17" s="16" t="str">
        <x:f>'EMA Assurance Employee List'!D17</x:f>
        <x:v>alvine.oyonga@pwc.com</x:v>
      </x:c>
      <x:c r="E17" s="130" t="n">
        <x:f>IF($D17="",0,SUMIF('Attendance Report - Option 1'!$P$11:$P$315,$D17,'Attendance Report - Option 1'!$Q$11:$Q$315)/86400)</x:f>
        <x:v>0.08135416666666667</x:v>
      </x:c>
      <x:c r="F17" s="131" t="str">
        <x:f>IF(E17=0,"Did not attend",IF(E17&gt;='Read Me'!$E$2/86400,"Fully attended","Partially attended"))</x:f>
        <x:v>Fully attended</x:v>
      </x:c>
      <x:c r="G17" s="130" t="n">
        <x:f>IF($D17="",0,SUMIF('Attendance Report - Option 2'!$P$11:$P$412,$D17,'Attendance Report - Option 2'!$Q$11:$Q$412)/86400)</x:f>
        <x:v>0.06773148148148148</x:v>
      </x:c>
      <x:c r="H17" s="131" t="str">
        <x:f>IF(G17=0,"Did not attend",IF(G17&gt;='Read Me'!$E$2/86400,"Fully attended","Partially attended"))</x:f>
        <x:v>Fully attended</x:v>
      </x:c>
      <x:c r="I17" s="130" t="n">
        <x:f>E17+G17</x:f>
        <x:v>0.14908564814814815</x:v>
      </x:c>
      <x:c r="J17" s="131" t="str">
        <x:f>IF(I17=0,"Did not attend",IF(I17&gt;='Read Me'!$E$2/86400,"Fully attended","Partially attended"))</x:f>
        <x:v>Fully attended</x:v>
      </x:c>
      <x:c r="K17" s="131" t="str">
        <x:f>IF($D17="","No",IF(COUNTIF('Attendance Report - Option 1'!$P$11:$P$315,$D17)&gt;0,"Yes","No"))</x:f>
        <x:v>Yes</x:v>
      </x:c>
      <x:c r="L17" s="131" t="str">
        <x:f>IF($D17="","No",IF(COUNTIF('Attendance Report - Option 2'!$P$11:$P$412,$D17)&gt;0,"Yes","No"))</x:f>
        <x:v>Yes</x:v>
      </x:c>
    </x:row>
    <x:row r="18">
      <x:c r="A18" s="16" t="str">
        <x:f>'EMA Assurance Employee List'!A18</x:f>
        <x:v>Amani Mbajo</x:v>
      </x:c>
      <x:c r="B18" s="16" t="str">
        <x:f>IF(C18="KE","Kenya",IF(C18="UG","Uganda",IF(C18="MU","Mauritius",IF(C18="TZ","Tanzania",IF(C18="RW","Rwanda",IF(C18="ZA","South Africa",IF(C18="ZM","Zambia","")))))))</x:f>
        <x:v>Tanzania</x:v>
      </x:c>
      <x:c r="C18" s="16" t="str">
        <x:f>'EMA Assurance Employee List'!B18</x:f>
        <x:v>TZ</x:v>
      </x:c>
      <x:c r="D18" s="16" t="str">
        <x:f>'EMA Assurance Employee List'!D18</x:f>
        <x:v>amani.mbajo@pwc.com</x:v>
      </x:c>
      <x:c r="E18" s="130" t="n">
        <x:f>IF($D18="",0,SUMIF('Attendance Report - Option 1'!$P$11:$P$315,$D18,'Attendance Report - Option 1'!$Q$11:$Q$315)/86400)</x:f>
        <x:v>0</x:v>
      </x:c>
      <x:c r="F18" s="131" t="str">
        <x:f>IF(E18=0,"Did not attend",IF(E18&gt;='Read Me'!$E$2/86400,"Fully attended","Partially attended"))</x:f>
        <x:v>Did not attend</x:v>
      </x:c>
      <x:c r="G18" s="130" t="n">
        <x:f>IF($D18="",0,SUMIF('Attendance Report - Option 2'!$P$11:$P$412,$D18,'Attendance Report - Option 2'!$Q$11:$Q$412)/86400)</x:f>
        <x:v>0.088125</x:v>
      </x:c>
      <x:c r="H18" s="131" t="str">
        <x:f>IF(G18=0,"Did not attend",IF(G18&gt;='Read Me'!$E$2/86400,"Fully attended","Partially attended"))</x:f>
        <x:v>Fully attended</x:v>
      </x:c>
      <x:c r="I18" s="130" t="n">
        <x:f>E18+G18</x:f>
        <x:v>0.088125</x:v>
      </x:c>
      <x:c r="J18" s="131" t="str">
        <x:f>IF(I18=0,"Did not attend",IF(I18&gt;='Read Me'!$E$2/86400,"Fully attended","Partially attended"))</x:f>
        <x:v>Fully attended</x:v>
      </x:c>
      <x:c r="K18" s="131" t="str">
        <x:f>IF($D18="","No",IF(COUNTIF('Attendance Report - Option 1'!$P$11:$P$315,$D18)&gt;0,"Yes","No"))</x:f>
        <x:v>No</x:v>
      </x:c>
      <x:c r="L18" s="131" t="str">
        <x:f>IF($D18="","No",IF(COUNTIF('Attendance Report - Option 2'!$P$11:$P$412,$D18)&gt;0,"Yes","No"))</x:f>
        <x:v>Yes</x:v>
      </x:c>
    </x:row>
    <x:row r="19">
      <x:c r="A19" s="16" t="str">
        <x:f>'EMA Assurance Employee List'!A19</x:f>
        <x:v>Amos Masangwa</x:v>
      </x:c>
      <x:c r="B19" s="16" t="str">
        <x:f>IF(C19="KE","Kenya",IF(C19="UG","Uganda",IF(C19="MU","Mauritius",IF(C19="TZ","Tanzania",IF(C19="RW","Rwanda",IF(C19="ZA","South Africa",IF(C19="ZM","Zambia","")))))))</x:f>
        <x:v>Tanzania</x:v>
      </x:c>
      <x:c r="C19" s="16" t="str">
        <x:f>'EMA Assurance Employee List'!B19</x:f>
        <x:v>TZ</x:v>
      </x:c>
      <x:c r="D19" s="16" t="str">
        <x:f>'EMA Assurance Employee List'!D19</x:f>
        <x:v>amos.masangwa@pwc.com</x:v>
      </x:c>
      <x:c r="E19" s="130" t="n">
        <x:f>IF($D19="",0,SUMIF('Attendance Report - Option 1'!$P$11:$P$315,$D19,'Attendance Report - Option 1'!$Q$11:$Q$315)/86400)</x:f>
        <x:v>0</x:v>
      </x:c>
      <x:c r="F19" s="131" t="str">
        <x:f>IF(E19=0,"Did not attend",IF(E19&gt;='Read Me'!$E$2/86400,"Fully attended","Partially attended"))</x:f>
        <x:v>Did not attend</x:v>
      </x:c>
      <x:c r="G19" s="130" t="n">
        <x:f>IF($D19="",0,SUMIF('Attendance Report - Option 2'!$P$11:$P$412,$D19,'Attendance Report - Option 2'!$Q$11:$Q$412)/86400)</x:f>
        <x:v>0.019282407407407408</x:v>
      </x:c>
      <x:c r="H19" s="131" t="str">
        <x:f>IF(G19=0,"Did not attend",IF(G19&gt;='Read Me'!$E$2/86400,"Fully attended","Partially attended"))</x:f>
        <x:v>Partially attended</x:v>
      </x:c>
      <x:c r="I19" s="130" t="n">
        <x:f>E19+G19</x:f>
        <x:v>0.019282407407407408</x:v>
      </x:c>
      <x:c r="J19" s="131" t="str">
        <x:f>IF(I19=0,"Did not attend",IF(I19&gt;='Read Me'!$E$2/86400,"Fully attended","Partially attended"))</x:f>
        <x:v>Partially attended</x:v>
      </x:c>
      <x:c r="K19" s="131" t="str">
        <x:f>IF($D19="","No",IF(COUNTIF('Attendance Report - Option 1'!$P$11:$P$315,$D19)&gt;0,"Yes","No"))</x:f>
        <x:v>No</x:v>
      </x:c>
      <x:c r="L19" s="131" t="str">
        <x:f>IF($D19="","No",IF(COUNTIF('Attendance Report - Option 2'!$P$11:$P$412,$D19)&gt;0,"Yes","No"))</x:f>
        <x:v>Yes</x:v>
      </x:c>
    </x:row>
    <x:row r="20">
      <x:c r="A20" s="16" t="str">
        <x:f>'EMA Assurance Employee List'!A20</x:f>
        <x:v>Andrew Chibuye</x:v>
      </x:c>
      <x:c r="B20" s="16" t="str">
        <x:f>IF(C20="KE","Kenya",IF(C20="UG","Uganda",IF(C20="MU","Mauritius",IF(C20="TZ","Tanzania",IF(C20="RW","Rwanda",IF(C20="ZA","South Africa",IF(C20="ZM","Zambia","")))))))</x:f>
        <x:v>Zambia</x:v>
      </x:c>
      <x:c r="C20" s="16" t="str">
        <x:f>'EMA Assurance Employee List'!B20</x:f>
        <x:v>ZM</x:v>
      </x:c>
      <x:c r="D20" s="16" t="str">
        <x:f>'EMA Assurance Employee List'!D20</x:f>
        <x:v>andrew.chibuye@pwc.com</x:v>
      </x:c>
      <x:c r="E20" s="130" t="n">
        <x:f>IF($D20="",0,SUMIF('Attendance Report - Option 1'!$P$11:$P$315,$D20,'Attendance Report - Option 1'!$Q$11:$Q$315)/86400)</x:f>
        <x:v>0.08268518518518518</x:v>
      </x:c>
      <x:c r="F20" s="131" t="str">
        <x:f>IF(E20=0,"Did not attend",IF(E20&gt;='Read Me'!$E$2/86400,"Fully attended","Partially attended"))</x:f>
        <x:v>Fully attended</x:v>
      </x:c>
      <x:c r="G20" s="130" t="n">
        <x:f>IF($D20="",0,SUMIF('Attendance Report - Option 2'!$P$11:$P$412,$D20,'Attendance Report - Option 2'!$Q$11:$Q$412)/86400)</x:f>
        <x:v>0.07362268518518518</x:v>
      </x:c>
      <x:c r="H20" s="131" t="str">
        <x:f>IF(G20=0,"Did not attend",IF(G20&gt;='Read Me'!$E$2/86400,"Fully attended","Partially attended"))</x:f>
        <x:v>Fully attended</x:v>
      </x:c>
      <x:c r="I20" s="130" t="n">
        <x:f>E20+G20</x:f>
        <x:v>0.15630787037037036</x:v>
      </x:c>
      <x:c r="J20" s="131" t="str">
        <x:f>IF(I20=0,"Did not attend",IF(I20&gt;='Read Me'!$E$2/86400,"Fully attended","Partially attended"))</x:f>
        <x:v>Fully attended</x:v>
      </x:c>
      <x:c r="K20" s="131" t="str">
        <x:f>IF($D20="","No",IF(COUNTIF('Attendance Report - Option 1'!$P$11:$P$315,$D20)&gt;0,"Yes","No"))</x:f>
        <x:v>Yes</x:v>
      </x:c>
      <x:c r="L20" s="131" t="str">
        <x:f>IF($D20="","No",IF(COUNTIF('Attendance Report - Option 2'!$P$11:$P$412,$D20)&gt;0,"Yes","No"))</x:f>
        <x:v>Yes</x:v>
      </x:c>
    </x:row>
    <x:row r="21">
      <x:c r="A21" s="16" t="str">
        <x:f>'EMA Assurance Employee List'!A21</x:f>
        <x:v>Andrew Musyimi</x:v>
      </x:c>
      <x:c r="B21" s="16" t="str">
        <x:f>IF(C21="KE","Kenya",IF(C21="UG","Uganda",IF(C21="MU","Mauritius",IF(C21="TZ","Tanzania",IF(C21="RW","Rwanda",IF(C21="ZA","South Africa",IF(C21="ZM","Zambia","")))))))</x:f>
        <x:v>Kenya</x:v>
      </x:c>
      <x:c r="C21" s="16" t="str">
        <x:f>'EMA Assurance Employee List'!B21</x:f>
        <x:v>KE</x:v>
      </x:c>
      <x:c r="D21" s="16" t="str">
        <x:f>'EMA Assurance Employee List'!D21</x:f>
        <x:v>andrew.musyimi@pwc.com</x:v>
      </x:c>
      <x:c r="E21" s="130" t="n">
        <x:f>IF($D21="",0,SUMIF('Attendance Report - Option 1'!$P$11:$P$315,$D21,'Attendance Report - Option 1'!$Q$11:$Q$315)/86400)</x:f>
        <x:v>0</x:v>
      </x:c>
      <x:c r="F21" s="131" t="str">
        <x:f>IF(E21=0,"Did not attend",IF(E21&gt;='Read Me'!$E$2/86400,"Fully attended","Partially attended"))</x:f>
        <x:v>Did not attend</x:v>
      </x:c>
      <x:c r="G21" s="130" t="n">
        <x:f>IF($D21="",0,SUMIF('Attendance Report - Option 2'!$P$11:$P$412,$D21,'Attendance Report - Option 2'!$Q$11:$Q$412)/86400)</x:f>
        <x:v>0.08614583333333334</x:v>
      </x:c>
      <x:c r="H21" s="131" t="str">
        <x:f>IF(G21=0,"Did not attend",IF(G21&gt;='Read Me'!$E$2/86400,"Fully attended","Partially attended"))</x:f>
        <x:v>Fully attended</x:v>
      </x:c>
      <x:c r="I21" s="130" t="n">
        <x:f>E21+G21</x:f>
        <x:v>0.08614583333333334</x:v>
      </x:c>
      <x:c r="J21" s="131" t="str">
        <x:f>IF(I21=0,"Did not attend",IF(I21&gt;='Read Me'!$E$2/86400,"Fully attended","Partially attended"))</x:f>
        <x:v>Fully attended</x:v>
      </x:c>
      <x:c r="K21" s="131" t="str">
        <x:f>IF($D21="","No",IF(COUNTIF('Attendance Report - Option 1'!$P$11:$P$315,$D21)&gt;0,"Yes","No"))</x:f>
        <x:v>No</x:v>
      </x:c>
      <x:c r="L21" s="131" t="str">
        <x:f>IF($D21="","No",IF(COUNTIF('Attendance Report - Option 2'!$P$11:$P$412,$D21)&gt;0,"Yes","No"))</x:f>
        <x:v>Yes</x:v>
      </x:c>
    </x:row>
    <x:row r="22">
      <x:c r="A22" s="16" t="str">
        <x:f>'EMA Assurance Employee List'!A22</x:f>
        <x:v>Anel Eksteen</x:v>
      </x:c>
      <x:c r="B22" s="16" t="str">
        <x:f>IF(C22="KE","Kenya",IF(C22="UG","Uganda",IF(C22="MU","Mauritius",IF(C22="TZ","Tanzania",IF(C22="RW","Rwanda",IF(C22="ZA","South Africa",IF(C22="ZM","Zambia","")))))))</x:f>
        <x:v>South Africa</x:v>
      </x:c>
      <x:c r="C22" s="16" t="str">
        <x:f>'EMA Assurance Employee List'!B22</x:f>
        <x:v>ZA</x:v>
      </x:c>
      <x:c r="D22" s="16" t="str">
        <x:f>'EMA Assurance Employee List'!D22</x:f>
        <x:v>anel.eksteen@pwc.com</x:v>
      </x:c>
      <x:c r="E22" s="130" t="n">
        <x:f>IF($D22="",0,SUMIF('Attendance Report - Option 1'!$P$11:$P$315,$D22,'Attendance Report - Option 1'!$Q$11:$Q$315)/86400)</x:f>
        <x:v>0.0796412037037037</x:v>
      </x:c>
      <x:c r="F22" s="131" t="str">
        <x:f>IF(E22=0,"Did not attend",IF(E22&gt;='Read Me'!$E$2/86400,"Fully attended","Partially attended"))</x:f>
        <x:v>Fully attended</x:v>
      </x:c>
      <x:c r="G22" s="130" t="n">
        <x:f>IF($D22="",0,SUMIF('Attendance Report - Option 2'!$P$11:$P$412,$D22,'Attendance Report - Option 2'!$Q$11:$Q$412)/86400)</x:f>
        <x:v>0.08761574074074074</x:v>
      </x:c>
      <x:c r="H22" s="131" t="str">
        <x:f>IF(G22=0,"Did not attend",IF(G22&gt;='Read Me'!$E$2/86400,"Fully attended","Partially attended"))</x:f>
        <x:v>Fully attended</x:v>
      </x:c>
      <x:c r="I22" s="130" t="n">
        <x:f>E22+G22</x:f>
        <x:v>0.16725694444444444</x:v>
      </x:c>
      <x:c r="J22" s="131" t="str">
        <x:f>IF(I22=0,"Did not attend",IF(I22&gt;='Read Me'!$E$2/86400,"Fully attended","Partially attended"))</x:f>
        <x:v>Fully attended</x:v>
      </x:c>
      <x:c r="K22" s="131" t="str">
        <x:f>IF($D22="","No",IF(COUNTIF('Attendance Report - Option 1'!$P$11:$P$315,$D22)&gt;0,"Yes","No"))</x:f>
        <x:v>Yes</x:v>
      </x:c>
      <x:c r="L22" s="131" t="str">
        <x:f>IF($D22="","No",IF(COUNTIF('Attendance Report - Option 2'!$P$11:$P$412,$D22)&gt;0,"Yes","No"))</x:f>
        <x:v>Yes</x:v>
      </x:c>
    </x:row>
    <x:row r="23">
      <x:c r="A23" s="16" t="str">
        <x:f>'EMA Assurance Employee List'!A23</x:f>
        <x:v>Anesius Kambei</x:v>
      </x:c>
      <x:c r="B23" s="16" t="str">
        <x:f>IF(C23="KE","Kenya",IF(C23="UG","Uganda",IF(C23="MU","Mauritius",IF(C23="TZ","Tanzania",IF(C23="RW","Rwanda",IF(C23="ZA","South Africa",IF(C23="ZM","Zambia","")))))))</x:f>
        <x:v>Tanzania</x:v>
      </x:c>
      <x:c r="C23" s="16" t="str">
        <x:f>'EMA Assurance Employee List'!B23</x:f>
        <x:v>TZ</x:v>
      </x:c>
      <x:c r="D23" s="16" t="str">
        <x:f>'EMA Assurance Employee List'!D23</x:f>
        <x:v>anesius.kambei@pwc.com</x:v>
      </x:c>
      <x:c r="E23" s="130" t="n">
        <x:f>IF($D23="",0,SUMIF('Attendance Report - Option 1'!$P$11:$P$315,$D23,'Attendance Report - Option 1'!$Q$11:$Q$315)/86400)</x:f>
        <x:v>0</x:v>
      </x:c>
      <x:c r="F23" s="131" t="str">
        <x:f>IF(E23=0,"Did not attend",IF(E23&gt;='Read Me'!$E$2/86400,"Fully attended","Partially attended"))</x:f>
        <x:v>Did not attend</x:v>
      </x:c>
      <x:c r="G23" s="130" t="n">
        <x:f>IF($D23="",0,SUMIF('Attendance Report - Option 2'!$P$11:$P$412,$D23,'Attendance Report - Option 2'!$Q$11:$Q$412)/86400)</x:f>
        <x:v>0</x:v>
      </x:c>
      <x:c r="H23" s="131" t="str">
        <x:f>IF(G23=0,"Did not attend",IF(G23&gt;='Read Me'!$E$2/86400,"Fully attended","Partially attended"))</x:f>
        <x:v>Did not attend</x:v>
      </x:c>
      <x:c r="I23" s="130" t="n">
        <x:f>E23+G23</x:f>
        <x:v>0</x:v>
      </x:c>
      <x:c r="J23" s="131" t="str">
        <x:f>IF(I23=0,"Did not attend",IF(I23&gt;='Read Me'!$E$2/86400,"Fully attended","Partially attended"))</x:f>
        <x:v>Did not attend</x:v>
      </x:c>
      <x:c r="K23" s="131" t="str">
        <x:f>IF($D23="","No",IF(COUNTIF('Attendance Report - Option 1'!$P$11:$P$315,$D23)&gt;0,"Yes","No"))</x:f>
        <x:v>No</x:v>
      </x:c>
      <x:c r="L23" s="131" t="str">
        <x:f>IF($D23="","No",IF(COUNTIF('Attendance Report - Option 2'!$P$11:$P$412,$D23)&gt;0,"Yes","No"))</x:f>
        <x:v>No</x:v>
      </x:c>
    </x:row>
    <x:row r="24">
      <x:c r="A24" s="16" t="str">
        <x:f>'EMA Assurance Employee List'!A24</x:f>
        <x:v>Angel Qamara</x:v>
      </x:c>
      <x:c r="B24" s="16" t="str">
        <x:f>IF(C24="KE","Kenya",IF(C24="UG","Uganda",IF(C24="MU","Mauritius",IF(C24="TZ","Tanzania",IF(C24="RW","Rwanda",IF(C24="ZA","South Africa",IF(C24="ZM","Zambia","")))))))</x:f>
        <x:v>Tanzania</x:v>
      </x:c>
      <x:c r="C24" s="16" t="str">
        <x:f>'EMA Assurance Employee List'!B24</x:f>
        <x:v>TZ</x:v>
      </x:c>
      <x:c r="D24" s="16" t="str">
        <x:f>'EMA Assurance Employee List'!D24</x:f>
        <x:v>angel.qamara@pwc.com</x:v>
      </x:c>
      <x:c r="E24" s="130" t="n">
        <x:f>IF($D24="",0,SUMIF('Attendance Report - Option 1'!$P$11:$P$315,$D24,'Attendance Report - Option 1'!$Q$11:$Q$315)/86400)</x:f>
        <x:v>0.07167824074074074</x:v>
      </x:c>
      <x:c r="F24" s="131" t="str">
        <x:f>IF(E24=0,"Did not attend",IF(E24&gt;='Read Me'!$E$2/86400,"Fully attended","Partially attended"))</x:f>
        <x:v>Fully attended</x:v>
      </x:c>
      <x:c r="G24" s="130" t="n">
        <x:f>IF($D24="",0,SUMIF('Attendance Report - Option 2'!$P$11:$P$412,$D24,'Attendance Report - Option 2'!$Q$11:$Q$412)/86400)</x:f>
        <x:v>0.09048611111111111</x:v>
      </x:c>
      <x:c r="H24" s="131" t="str">
        <x:f>IF(G24=0,"Did not attend",IF(G24&gt;='Read Me'!$E$2/86400,"Fully attended","Partially attended"))</x:f>
        <x:v>Fully attended</x:v>
      </x:c>
      <x:c r="I24" s="130" t="n">
        <x:f>E24+G24</x:f>
        <x:v>0.16216435185185185</x:v>
      </x:c>
      <x:c r="J24" s="131" t="str">
        <x:f>IF(I24=0,"Did not attend",IF(I24&gt;='Read Me'!$E$2/86400,"Fully attended","Partially attended"))</x:f>
        <x:v>Fully attended</x:v>
      </x:c>
      <x:c r="K24" s="131" t="str">
        <x:f>IF($D24="","No",IF(COUNTIF('Attendance Report - Option 1'!$P$11:$P$315,$D24)&gt;0,"Yes","No"))</x:f>
        <x:v>Yes</x:v>
      </x:c>
      <x:c r="L24" s="131" t="str">
        <x:f>IF($D24="","No",IF(COUNTIF('Attendance Report - Option 2'!$P$11:$P$412,$D24)&gt;0,"Yes","No"))</x:f>
        <x:v>Yes</x:v>
      </x:c>
    </x:row>
    <x:row r="25">
      <x:c r="A25" s="16" t="str">
        <x:f>'EMA Assurance Employee List'!A25</x:f>
        <x:v>Angelah Mumbia</x:v>
      </x:c>
      <x:c r="B25" s="16" t="str">
        <x:f>IF(C25="KE","Kenya",IF(C25="UG","Uganda",IF(C25="MU","Mauritius",IF(C25="TZ","Tanzania",IF(C25="RW","Rwanda",IF(C25="ZA","South Africa",IF(C25="ZM","Zambia","")))))))</x:f>
        <x:v>Kenya</x:v>
      </x:c>
      <x:c r="C25" s="16" t="str">
        <x:f>'EMA Assurance Employee List'!B25</x:f>
        <x:v>KE</x:v>
      </x:c>
      <x:c r="D25" s="16" t="str">
        <x:f>'EMA Assurance Employee List'!D25</x:f>
        <x:v>angelah.mumbia@pwc.com</x:v>
      </x:c>
      <x:c r="E25" s="130" t="n">
        <x:f>IF($D25="",0,SUMIF('Attendance Report - Option 1'!$P$11:$P$315,$D25,'Attendance Report - Option 1'!$Q$11:$Q$315)/86400)</x:f>
        <x:v>0</x:v>
      </x:c>
      <x:c r="F25" s="131" t="str">
        <x:f>IF(E25=0,"Did not attend",IF(E25&gt;='Read Me'!$E$2/86400,"Fully attended","Partially attended"))</x:f>
        <x:v>Did not attend</x:v>
      </x:c>
      <x:c r="G25" s="130" t="n">
        <x:f>IF($D25="",0,SUMIF('Attendance Report - Option 2'!$P$11:$P$412,$D25,'Attendance Report - Option 2'!$Q$11:$Q$412)/86400)</x:f>
        <x:v>0.08238425925925925</x:v>
      </x:c>
      <x:c r="H25" s="131" t="str">
        <x:f>IF(G25=0,"Did not attend",IF(G25&gt;='Read Me'!$E$2/86400,"Fully attended","Partially attended"))</x:f>
        <x:v>Fully attended</x:v>
      </x:c>
      <x:c r="I25" s="130" t="n">
        <x:f>E25+G25</x:f>
        <x:v>0.08238425925925925</x:v>
      </x:c>
      <x:c r="J25" s="131" t="str">
        <x:f>IF(I25=0,"Did not attend",IF(I25&gt;='Read Me'!$E$2/86400,"Fully attended","Partially attended"))</x:f>
        <x:v>Fully attended</x:v>
      </x:c>
      <x:c r="K25" s="131" t="str">
        <x:f>IF($D25="","No",IF(COUNTIF('Attendance Report - Option 1'!$P$11:$P$315,$D25)&gt;0,"Yes","No"))</x:f>
        <x:v>No</x:v>
      </x:c>
      <x:c r="L25" s="131" t="str">
        <x:f>IF($D25="","No",IF(COUNTIF('Attendance Report - Option 2'!$P$11:$P$412,$D25)&gt;0,"Yes","No"))</x:f>
        <x:v>Yes</x:v>
      </x:c>
    </x:row>
    <x:row r="26">
      <x:c r="A26" s="16" t="str">
        <x:f>'EMA Assurance Employee List'!A26</x:f>
        <x:v>Angella Mwai</x:v>
      </x:c>
      <x:c r="B26" s="16" t="str">
        <x:f>IF(C26="KE","Kenya",IF(C26="UG","Uganda",IF(C26="MU","Mauritius",IF(C26="TZ","Tanzania",IF(C26="RW","Rwanda",IF(C26="ZA","South Africa",IF(C26="ZM","Zambia","")))))))</x:f>
        <x:v>Kenya</x:v>
      </x:c>
      <x:c r="C26" s="16" t="str">
        <x:f>'EMA Assurance Employee List'!B26</x:f>
        <x:v>KE</x:v>
      </x:c>
      <x:c r="D26" s="16" t="str">
        <x:f>'EMA Assurance Employee List'!D26</x:f>
        <x:v>angella.mwai@pwc.com</x:v>
      </x:c>
      <x:c r="E26" s="130" t="n">
        <x:f>IF($D26="",0,SUMIF('Attendance Report - Option 1'!$P$11:$P$315,$D26,'Attendance Report - Option 1'!$Q$11:$Q$315)/86400)</x:f>
        <x:v>0</x:v>
      </x:c>
      <x:c r="F26" s="131" t="str">
        <x:f>IF(E26=0,"Did not attend",IF(E26&gt;='Read Me'!$E$2/86400,"Fully attended","Partially attended"))</x:f>
        <x:v>Did not attend</x:v>
      </x:c>
      <x:c r="G26" s="130" t="n">
        <x:f>IF($D26="",0,SUMIF('Attendance Report - Option 2'!$P$11:$P$412,$D26,'Attendance Report - Option 2'!$Q$11:$Q$412)/86400)</x:f>
        <x:v>0.06497685185185186</x:v>
      </x:c>
      <x:c r="H26" s="131" t="str">
        <x:f>IF(G26=0,"Did not attend",IF(G26&gt;='Read Me'!$E$2/86400,"Fully attended","Partially attended"))</x:f>
        <x:v>Fully attended</x:v>
      </x:c>
      <x:c r="I26" s="130" t="n">
        <x:f>E26+G26</x:f>
        <x:v>0.06497685185185186</x:v>
      </x:c>
      <x:c r="J26" s="131" t="str">
        <x:f>IF(I26=0,"Did not attend",IF(I26&gt;='Read Me'!$E$2/86400,"Fully attended","Partially attended"))</x:f>
        <x:v>Fully attended</x:v>
      </x:c>
      <x:c r="K26" s="131" t="str">
        <x:f>IF($D26="","No",IF(COUNTIF('Attendance Report - Option 1'!$P$11:$P$315,$D26)&gt;0,"Yes","No"))</x:f>
        <x:v>No</x:v>
      </x:c>
      <x:c r="L26" s="131" t="str">
        <x:f>IF($D26="","No",IF(COUNTIF('Attendance Report - Option 2'!$P$11:$P$412,$D26)&gt;0,"Yes","No"))</x:f>
        <x:v>Yes</x:v>
      </x:c>
    </x:row>
    <x:row r="27">
      <x:c r="A27" s="16" t="str">
        <x:f>'EMA Assurance Employee List'!A27</x:f>
        <x:v>Anish Ramdhonee</x:v>
      </x:c>
      <x:c r="B27" s="16" t="str">
        <x:f>IF(C27="KE","Kenya",IF(C27="UG","Uganda",IF(C27="MU","Mauritius",IF(C27="TZ","Tanzania",IF(C27="RW","Rwanda",IF(C27="ZA","South Africa",IF(C27="ZM","Zambia","")))))))</x:f>
        <x:v>Mauritius</x:v>
      </x:c>
      <x:c r="C27" s="16" t="str">
        <x:f>'EMA Assurance Employee List'!B27</x:f>
        <x:v>MU</x:v>
      </x:c>
      <x:c r="D27" s="16" t="str">
        <x:f>'EMA Assurance Employee List'!D27</x:f>
        <x:v>anish.r.ramdhonee@pwc.com</x:v>
      </x:c>
      <x:c r="E27" s="130" t="n">
        <x:f>IF($D27="",0,SUMIF('Attendance Report - Option 1'!$P$11:$P$315,$D27,'Attendance Report - Option 1'!$Q$11:$Q$315)/86400)</x:f>
        <x:v>0</x:v>
      </x:c>
      <x:c r="F27" s="131" t="str">
        <x:f>IF(E27=0,"Did not attend",IF(E27&gt;='Read Me'!$E$2/86400,"Fully attended","Partially attended"))</x:f>
        <x:v>Did not attend</x:v>
      </x:c>
      <x:c r="G27" s="130" t="n">
        <x:f>IF($D27="",0,SUMIF('Attendance Report - Option 2'!$P$11:$P$412,$D27,'Attendance Report - Option 2'!$Q$11:$Q$412)/86400)</x:f>
        <x:v>0.08798611111111111</x:v>
      </x:c>
      <x:c r="H27" s="131" t="str">
        <x:f>IF(G27=0,"Did not attend",IF(G27&gt;='Read Me'!$E$2/86400,"Fully attended","Partially attended"))</x:f>
        <x:v>Fully attended</x:v>
      </x:c>
      <x:c r="I27" s="130" t="n">
        <x:f>E27+G27</x:f>
        <x:v>0.08798611111111111</x:v>
      </x:c>
      <x:c r="J27" s="131" t="str">
        <x:f>IF(I27=0,"Did not attend",IF(I27&gt;='Read Me'!$E$2/86400,"Fully attended","Partially attended"))</x:f>
        <x:v>Fully attended</x:v>
      </x:c>
      <x:c r="K27" s="131" t="str">
        <x:f>IF($D27="","No",IF(COUNTIF('Attendance Report - Option 1'!$P$11:$P$315,$D27)&gt;0,"Yes","No"))</x:f>
        <x:v>No</x:v>
      </x:c>
      <x:c r="L27" s="131" t="str">
        <x:f>IF($D27="","No",IF(COUNTIF('Attendance Report - Option 2'!$P$11:$P$412,$D27)&gt;0,"Yes","No"))</x:f>
        <x:v>Yes</x:v>
      </x:c>
    </x:row>
    <x:row r="28">
      <x:c r="A28" s="16" t="str">
        <x:f>'EMA Assurance Employee List'!A28</x:f>
        <x:v>Anjela Papiah</x:v>
      </x:c>
      <x:c r="B28" s="16" t="str">
        <x:f>IF(C28="KE","Kenya",IF(C28="UG","Uganda",IF(C28="MU","Mauritius",IF(C28="TZ","Tanzania",IF(C28="RW","Rwanda",IF(C28="ZA","South Africa",IF(C28="ZM","Zambia","")))))))</x:f>
        <x:v>Mauritius</x:v>
      </x:c>
      <x:c r="C28" s="16" t="str">
        <x:f>'EMA Assurance Employee List'!B28</x:f>
        <x:v>MU</x:v>
      </x:c>
      <x:c r="D28" s="16" t="str">
        <x:f>'EMA Assurance Employee List'!D28</x:f>
        <x:v>anjelah.papiah@pwc.com</x:v>
      </x:c>
      <x:c r="E28" s="130" t="n">
        <x:f>IF($D28="",0,SUMIF('Attendance Report - Option 1'!$P$11:$P$315,$D28,'Attendance Report - Option 1'!$Q$11:$Q$315)/86400)</x:f>
        <x:v>0</x:v>
      </x:c>
      <x:c r="F28" s="131" t="str">
        <x:f>IF(E28=0,"Did not attend",IF(E28&gt;='Read Me'!$E$2/86400,"Fully attended","Partially attended"))</x:f>
        <x:v>Did not attend</x:v>
      </x:c>
      <x:c r="G28" s="130" t="n">
        <x:f>IF($D28="",0,SUMIF('Attendance Report - Option 2'!$P$11:$P$412,$D28,'Attendance Report - Option 2'!$Q$11:$Q$412)/86400)</x:f>
        <x:v>0.07805555555555556</x:v>
      </x:c>
      <x:c r="H28" s="131" t="str">
        <x:f>IF(G28=0,"Did not attend",IF(G28&gt;='Read Me'!$E$2/86400,"Fully attended","Partially attended"))</x:f>
        <x:v>Fully attended</x:v>
      </x:c>
      <x:c r="I28" s="130" t="n">
        <x:f>E28+G28</x:f>
        <x:v>0.07805555555555556</x:v>
      </x:c>
      <x:c r="J28" s="131" t="str">
        <x:f>IF(I28=0,"Did not attend",IF(I28&gt;='Read Me'!$E$2/86400,"Fully attended","Partially attended"))</x:f>
        <x:v>Fully attended</x:v>
      </x:c>
      <x:c r="K28" s="131" t="str">
        <x:f>IF($D28="","No",IF(COUNTIF('Attendance Report - Option 1'!$P$11:$P$315,$D28)&gt;0,"Yes","No"))</x:f>
        <x:v>No</x:v>
      </x:c>
      <x:c r="L28" s="131" t="str">
        <x:f>IF($D28="","No",IF(COUNTIF('Attendance Report - Option 2'!$P$11:$P$412,$D28)&gt;0,"Yes","No"))</x:f>
        <x:v>Yes</x:v>
      </x:c>
    </x:row>
    <x:row r="29">
      <x:c r="A29" s="16" t="str">
        <x:f>'EMA Assurance Employee List'!A29</x:f>
        <x:v>Anju Sunnassy</x:v>
      </x:c>
      <x:c r="B29" s="16" t="str">
        <x:f>IF(C29="KE","Kenya",IF(C29="UG","Uganda",IF(C29="MU","Mauritius",IF(C29="TZ","Tanzania",IF(C29="RW","Rwanda",IF(C29="ZA","South Africa",IF(C29="ZM","Zambia","")))))))</x:f>
        <x:v>Mauritius</x:v>
      </x:c>
      <x:c r="C29" s="16" t="str">
        <x:f>'EMA Assurance Employee List'!B29</x:f>
        <x:v>MU</x:v>
      </x:c>
      <x:c r="D29" s="16" t="str">
        <x:f>'EMA Assurance Employee List'!D29</x:f>
        <x:v>anju.sunnassy@pwc.com</x:v>
      </x:c>
      <x:c r="E29" s="130" t="n">
        <x:f>IF($D29="",0,SUMIF('Attendance Report - Option 1'!$P$11:$P$315,$D29,'Attendance Report - Option 1'!$Q$11:$Q$315)/86400)</x:f>
        <x:v>0</x:v>
      </x:c>
      <x:c r="F29" s="131" t="str">
        <x:f>IF(E29=0,"Did not attend",IF(E29&gt;='Read Me'!$E$2/86400,"Fully attended","Partially attended"))</x:f>
        <x:v>Did not attend</x:v>
      </x:c>
      <x:c r="G29" s="130" t="n">
        <x:f>IF($D29="",0,SUMIF('Attendance Report - Option 2'!$P$11:$P$412,$D29,'Attendance Report - Option 2'!$Q$11:$Q$412)/86400)</x:f>
        <x:v>0.08733796296296296</x:v>
      </x:c>
      <x:c r="H29" s="131" t="str">
        <x:f>IF(G29=0,"Did not attend",IF(G29&gt;='Read Me'!$E$2/86400,"Fully attended","Partially attended"))</x:f>
        <x:v>Fully attended</x:v>
      </x:c>
      <x:c r="I29" s="130" t="n">
        <x:f>E29+G29</x:f>
        <x:v>0.08733796296296296</x:v>
      </x:c>
      <x:c r="J29" s="131" t="str">
        <x:f>IF(I29=0,"Did not attend",IF(I29&gt;='Read Me'!$E$2/86400,"Fully attended","Partially attended"))</x:f>
        <x:v>Fully attended</x:v>
      </x:c>
      <x:c r="K29" s="131" t="str">
        <x:f>IF($D29="","No",IF(COUNTIF('Attendance Report - Option 1'!$P$11:$P$315,$D29)&gt;0,"Yes","No"))</x:f>
        <x:v>No</x:v>
      </x:c>
      <x:c r="L29" s="131" t="str">
        <x:f>IF($D29="","No",IF(COUNTIF('Attendance Report - Option 2'!$P$11:$P$412,$D29)&gt;0,"Yes","No"))</x:f>
        <x:v>Yes</x:v>
      </x:c>
    </x:row>
    <x:row r="30">
      <x:c r="A30" s="16" t="str">
        <x:f>'EMA Assurance Employee List'!A30</x:f>
        <x:v>Ann Muchoki</x:v>
      </x:c>
      <x:c r="B30" s="16" t="str">
        <x:f>IF(C30="KE","Kenya",IF(C30="UG","Uganda",IF(C30="MU","Mauritius",IF(C30="TZ","Tanzania",IF(C30="RW","Rwanda",IF(C30="ZA","South Africa",IF(C30="ZM","Zambia","")))))))</x:f>
        <x:v>Kenya</x:v>
      </x:c>
      <x:c r="C30" s="16" t="str">
        <x:f>'EMA Assurance Employee List'!B30</x:f>
        <x:v>KE</x:v>
      </x:c>
      <x:c r="D30" s="16" t="str">
        <x:f>'EMA Assurance Employee List'!D30</x:f>
        <x:v>ann.muchoki@pwc.com</x:v>
      </x:c>
      <x:c r="E30" s="130" t="n">
        <x:f>IF($D30="",0,SUMIF('Attendance Report - Option 1'!$P$11:$P$315,$D30,'Attendance Report - Option 1'!$Q$11:$Q$315)/86400)</x:f>
        <x:v>0.0007523148148148148</x:v>
      </x:c>
      <x:c r="F30" s="131" t="str">
        <x:f>IF(E30=0,"Did not attend",IF(E30&gt;='Read Me'!$E$2/86400,"Fully attended","Partially attended"))</x:f>
        <x:v>Partially attended</x:v>
      </x:c>
      <x:c r="G30" s="130" t="n">
        <x:f>IF($D30="",0,SUMIF('Attendance Report - Option 2'!$P$11:$P$412,$D30,'Attendance Report - Option 2'!$Q$11:$Q$412)/86400)</x:f>
        <x:v>0.01733796296296296</x:v>
      </x:c>
      <x:c r="H30" s="131" t="str">
        <x:f>IF(G30=0,"Did not attend",IF(G30&gt;='Read Me'!$E$2/86400,"Fully attended","Partially attended"))</x:f>
        <x:v>Partially attended</x:v>
      </x:c>
      <x:c r="I30" s="130" t="n">
        <x:f>E30+G30</x:f>
        <x:v>0.018090277777777775</x:v>
      </x:c>
      <x:c r="J30" s="131" t="str">
        <x:f>IF(I30=0,"Did not attend",IF(I30&gt;='Read Me'!$E$2/86400,"Fully attended","Partially attended"))</x:f>
        <x:v>Partially attended</x:v>
      </x:c>
      <x:c r="K30" s="131" t="str">
        <x:f>IF($D30="","No",IF(COUNTIF('Attendance Report - Option 1'!$P$11:$P$315,$D30)&gt;0,"Yes","No"))</x:f>
        <x:v>Yes</x:v>
      </x:c>
      <x:c r="L30" s="131" t="str">
        <x:f>IF($D30="","No",IF(COUNTIF('Attendance Report - Option 2'!$P$11:$P$412,$D30)&gt;0,"Yes","No"))</x:f>
        <x:v>Yes</x:v>
      </x:c>
    </x:row>
    <x:row r="31">
      <x:c r="A31" s="16" t="str">
        <x:f>'EMA Assurance Employee List'!A31</x:f>
        <x:v>Anna Mlay</x:v>
      </x:c>
      <x:c r="B31" s="16" t="str">
        <x:f>IF(C31="KE","Kenya",IF(C31="UG","Uganda",IF(C31="MU","Mauritius",IF(C31="TZ","Tanzania",IF(C31="RW","Rwanda",IF(C31="ZA","South Africa",IF(C31="ZM","Zambia","")))))))</x:f>
        <x:v>Tanzania</x:v>
      </x:c>
      <x:c r="C31" s="16" t="str">
        <x:f>'EMA Assurance Employee List'!B31</x:f>
        <x:v>TZ</x:v>
      </x:c>
      <x:c r="D31" s="16" t="str">
        <x:f>'EMA Assurance Employee List'!D31</x:f>
        <x:v>anna.mlay@pwc.com</x:v>
      </x:c>
      <x:c r="E31" s="130" t="n">
        <x:f>IF($D31="",0,SUMIF('Attendance Report - Option 1'!$P$11:$P$315,$D31,'Attendance Report - Option 1'!$Q$11:$Q$315)/86400)</x:f>
        <x:v>0</x:v>
      </x:c>
      <x:c r="F31" s="131" t="str">
        <x:f>IF(E31=0,"Did not attend",IF(E31&gt;='Read Me'!$E$2/86400,"Fully attended","Partially attended"))</x:f>
        <x:v>Did not attend</x:v>
      </x:c>
      <x:c r="G31" s="130" t="n">
        <x:f>IF($D31="",0,SUMIF('Attendance Report - Option 2'!$P$11:$P$412,$D31,'Attendance Report - Option 2'!$Q$11:$Q$412)/86400)</x:f>
        <x:v>0.06149305555555556</x:v>
      </x:c>
      <x:c r="H31" s="131" t="str">
        <x:f>IF(G31=0,"Did not attend",IF(G31&gt;='Read Me'!$E$2/86400,"Fully attended","Partially attended"))</x:f>
        <x:v>Partially attended</x:v>
      </x:c>
      <x:c r="I31" s="130" t="n">
        <x:f>E31+G31</x:f>
        <x:v>0.06149305555555556</x:v>
      </x:c>
      <x:c r="J31" s="131" t="str">
        <x:f>IF(I31=0,"Did not attend",IF(I31&gt;='Read Me'!$E$2/86400,"Fully attended","Partially attended"))</x:f>
        <x:v>Partially attended</x:v>
      </x:c>
      <x:c r="K31" s="131" t="str">
        <x:f>IF($D31="","No",IF(COUNTIF('Attendance Report - Option 1'!$P$11:$P$315,$D31)&gt;0,"Yes","No"))</x:f>
        <x:v>No</x:v>
      </x:c>
      <x:c r="L31" s="131" t="str">
        <x:f>IF($D31="","No",IF(COUNTIF('Attendance Report - Option 2'!$P$11:$P$412,$D31)&gt;0,"Yes","No"))</x:f>
        <x:v>Yes</x:v>
      </x:c>
    </x:row>
    <x:row r="32">
      <x:c r="A32" s="16" t="str">
        <x:f>'EMA Assurance Employee List'!A32</x:f>
        <x:v>Annah Mwikali</x:v>
      </x:c>
      <x:c r="B32" s="16" t="str">
        <x:f>IF(C32="KE","Kenya",IF(C32="UG","Uganda",IF(C32="MU","Mauritius",IF(C32="TZ","Tanzania",IF(C32="RW","Rwanda",IF(C32="ZA","South Africa",IF(C32="ZM","Zambia","")))))))</x:f>
        <x:v>Kenya</x:v>
      </x:c>
      <x:c r="C32" s="16" t="str">
        <x:f>'EMA Assurance Employee List'!B32</x:f>
        <x:v>KE</x:v>
      </x:c>
      <x:c r="D32" s="16" t="str">
        <x:f>'EMA Assurance Employee List'!D32</x:f>
        <x:v>annah.mwikali@pwc.com</x:v>
      </x:c>
      <x:c r="E32" s="130" t="n">
        <x:f>IF($D32="",0,SUMIF('Attendance Report - Option 1'!$P$11:$P$315,$D32,'Attendance Report - Option 1'!$Q$11:$Q$315)/86400)</x:f>
        <x:v>0</x:v>
      </x:c>
      <x:c r="F32" s="131" t="str">
        <x:f>IF(E32=0,"Did not attend",IF(E32&gt;='Read Me'!$E$2/86400,"Fully attended","Partially attended"))</x:f>
        <x:v>Did not attend</x:v>
      </x:c>
      <x:c r="G32" s="130" t="n">
        <x:f>IF($D32="",0,SUMIF('Attendance Report - Option 2'!$P$11:$P$412,$D32,'Attendance Report - Option 2'!$Q$11:$Q$412)/86400)</x:f>
        <x:v>0.08307870370370371</x:v>
      </x:c>
      <x:c r="H32" s="131" t="str">
        <x:f>IF(G32=0,"Did not attend",IF(G32&gt;='Read Me'!$E$2/86400,"Fully attended","Partially attended"))</x:f>
        <x:v>Fully attended</x:v>
      </x:c>
      <x:c r="I32" s="130" t="n">
        <x:f>E32+G32</x:f>
        <x:v>0.08307870370370371</x:v>
      </x:c>
      <x:c r="J32" s="131" t="str">
        <x:f>IF(I32=0,"Did not attend",IF(I32&gt;='Read Me'!$E$2/86400,"Fully attended","Partially attended"))</x:f>
        <x:v>Fully attended</x:v>
      </x:c>
      <x:c r="K32" s="131" t="str">
        <x:f>IF($D32="","No",IF(COUNTIF('Attendance Report - Option 1'!$P$11:$P$315,$D32)&gt;0,"Yes","No"))</x:f>
        <x:v>No</x:v>
      </x:c>
      <x:c r="L32" s="131" t="str">
        <x:f>IF($D32="","No",IF(COUNTIF('Attendance Report - Option 2'!$P$11:$P$412,$D32)&gt;0,"Yes","No"))</x:f>
        <x:v>Yes</x:v>
      </x:c>
    </x:row>
    <x:row r="33">
      <x:c r="A33" s="16" t="str">
        <x:f>'EMA Assurance Employee List'!A33</x:f>
        <x:v>Anneria Bender</x:v>
      </x:c>
      <x:c r="B33" s="16" t="str">
        <x:f>IF(C33="KE","Kenya",IF(C33="UG","Uganda",IF(C33="MU","Mauritius",IF(C33="TZ","Tanzania",IF(C33="RW","Rwanda",IF(C33="ZA","South Africa",IF(C33="ZM","Zambia","")))))))</x:f>
        <x:v>Mauritius</x:v>
      </x:c>
      <x:c r="C33" s="16" t="str">
        <x:f>'EMA Assurance Employee List'!B33</x:f>
        <x:v>MU</x:v>
      </x:c>
      <x:c r="D33" s="16" t="str">
        <x:f>'EMA Assurance Employee List'!D33</x:f>
        <x:v>anneria.b.bender@pwc.com</x:v>
      </x:c>
      <x:c r="E33" s="130" t="n">
        <x:f>IF($D33="",0,SUMIF('Attendance Report - Option 1'!$P$11:$P$315,$D33,'Attendance Report - Option 1'!$Q$11:$Q$315)/86400)</x:f>
        <x:v>0</x:v>
      </x:c>
      <x:c r="F33" s="131" t="str">
        <x:f>IF(E33=0,"Did not attend",IF(E33&gt;='Read Me'!$E$2/86400,"Fully attended","Partially attended"))</x:f>
        <x:v>Did not attend</x:v>
      </x:c>
      <x:c r="G33" s="130" t="n">
        <x:f>IF($D33="",0,SUMIF('Attendance Report - Option 2'!$P$11:$P$412,$D33,'Attendance Report - Option 2'!$Q$11:$Q$412)/86400)</x:f>
        <x:v>0</x:v>
      </x:c>
      <x:c r="H33" s="131" t="str">
        <x:f>IF(G33=0,"Did not attend",IF(G33&gt;='Read Me'!$E$2/86400,"Fully attended","Partially attended"))</x:f>
        <x:v>Did not attend</x:v>
      </x:c>
      <x:c r="I33" s="130" t="n">
        <x:f>E33+G33</x:f>
        <x:v>0</x:v>
      </x:c>
      <x:c r="J33" s="131" t="str">
        <x:f>IF(I33=0,"Did not attend",IF(I33&gt;='Read Me'!$E$2/86400,"Fully attended","Partially attended"))</x:f>
        <x:v>Did not attend</x:v>
      </x:c>
      <x:c r="K33" s="131" t="str">
        <x:f>IF($D33="","No",IF(COUNTIF('Attendance Report - Option 1'!$P$11:$P$315,$D33)&gt;0,"Yes","No"))</x:f>
        <x:v>No</x:v>
      </x:c>
      <x:c r="L33" s="131" t="str">
        <x:f>IF($D33="","No",IF(COUNTIF('Attendance Report - Option 2'!$P$11:$P$412,$D33)&gt;0,"Yes","No"))</x:f>
        <x:v>No</x:v>
      </x:c>
    </x:row>
    <x:row r="34">
      <x:c r="A34" s="16" t="str">
        <x:f>'EMA Assurance Employee List'!A34</x:f>
        <x:v>Anthony Njeeh</x:v>
      </x:c>
      <x:c r="B34" s="16" t="str">
        <x:f>IF(C34="KE","Kenya",IF(C34="UG","Uganda",IF(C34="MU","Mauritius",IF(C34="TZ","Tanzania",IF(C34="RW","Rwanda",IF(C34="ZA","South Africa",IF(C34="ZM","Zambia","")))))))</x:f>
        <x:v>Rwanda</x:v>
      </x:c>
      <x:c r="C34" s="16" t="str">
        <x:f>'EMA Assurance Employee List'!B34</x:f>
        <x:v>RW</x:v>
      </x:c>
      <x:c r="D34" s="16" t="str">
        <x:f>'EMA Assurance Employee List'!D34</x:f>
        <x:v>anthony.k.njeeh@pwc.com</x:v>
      </x:c>
      <x:c r="E34" s="130" t="n">
        <x:f>IF($D34="",0,SUMIF('Attendance Report - Option 1'!$P$11:$P$315,$D34,'Attendance Report - Option 1'!$Q$11:$Q$315)/86400)</x:f>
        <x:v>0</x:v>
      </x:c>
      <x:c r="F34" s="131" t="str">
        <x:f>IF(E34=0,"Did not attend",IF(E34&gt;='Read Me'!$E$2/86400,"Fully attended","Partially attended"))</x:f>
        <x:v>Did not attend</x:v>
      </x:c>
      <x:c r="G34" s="130" t="n">
        <x:f>IF($D34="",0,SUMIF('Attendance Report - Option 2'!$P$11:$P$412,$D34,'Attendance Report - Option 2'!$Q$11:$Q$412)/86400)</x:f>
        <x:v>0.0862962962962963</x:v>
      </x:c>
      <x:c r="H34" s="131" t="str">
        <x:f>IF(G34=0,"Did not attend",IF(G34&gt;='Read Me'!$E$2/86400,"Fully attended","Partially attended"))</x:f>
        <x:v>Fully attended</x:v>
      </x:c>
      <x:c r="I34" s="130" t="n">
        <x:f>E34+G34</x:f>
        <x:v>0.0862962962962963</x:v>
      </x:c>
      <x:c r="J34" s="131" t="str">
        <x:f>IF(I34=0,"Did not attend",IF(I34&gt;='Read Me'!$E$2/86400,"Fully attended","Partially attended"))</x:f>
        <x:v>Fully attended</x:v>
      </x:c>
      <x:c r="K34" s="131" t="str">
        <x:f>IF($D34="","No",IF(COUNTIF('Attendance Report - Option 1'!$P$11:$P$315,$D34)&gt;0,"Yes","No"))</x:f>
        <x:v>No</x:v>
      </x:c>
      <x:c r="L34" s="131" t="str">
        <x:f>IF($D34="","No",IF(COUNTIF('Attendance Report - Option 2'!$P$11:$P$412,$D34)&gt;0,"Yes","No"))</x:f>
        <x:v>Yes</x:v>
      </x:c>
    </x:row>
    <x:row r="35">
      <x:c r="A35" s="16" t="str">
        <x:f>'EMA Assurance Employee List'!A35</x:f>
        <x:v>Antony Waweru</x:v>
      </x:c>
      <x:c r="B35" s="16" t="str">
        <x:f>IF(C35="KE","Kenya",IF(C35="UG","Uganda",IF(C35="MU","Mauritius",IF(C35="TZ","Tanzania",IF(C35="RW","Rwanda",IF(C35="ZA","South Africa",IF(C35="ZM","Zambia","")))))))</x:f>
        <x:v>Kenya</x:v>
      </x:c>
      <x:c r="C35" s="16" t="str">
        <x:f>'EMA Assurance Employee List'!B35</x:f>
        <x:v>KE</x:v>
      </x:c>
      <x:c r="D35" s="16" t="str">
        <x:f>'EMA Assurance Employee List'!D35</x:f>
        <x:v>antony.waweru@pwc.com</x:v>
      </x:c>
      <x:c r="E35" s="130" t="n">
        <x:f>IF($D35="",0,SUMIF('Attendance Report - Option 1'!$P$11:$P$315,$D35,'Attendance Report - Option 1'!$Q$11:$Q$315)/86400)</x:f>
        <x:v>0</x:v>
      </x:c>
      <x:c r="F35" s="131" t="str">
        <x:f>IF(E35=0,"Did not attend",IF(E35&gt;='Read Me'!$E$2/86400,"Fully attended","Partially attended"))</x:f>
        <x:v>Did not attend</x:v>
      </x:c>
      <x:c r="G35" s="130" t="n">
        <x:f>IF($D35="",0,SUMIF('Attendance Report - Option 2'!$P$11:$P$412,$D35,'Attendance Report - Option 2'!$Q$11:$Q$412)/86400)</x:f>
        <x:v>0.0639699074074074</x:v>
      </x:c>
      <x:c r="H35" s="131" t="str">
        <x:f>IF(G35=0,"Did not attend",IF(G35&gt;='Read Me'!$E$2/86400,"Fully attended","Partially attended"))</x:f>
        <x:v>Fully attended</x:v>
      </x:c>
      <x:c r="I35" s="130" t="n">
        <x:f>E35+G35</x:f>
        <x:v>0.0639699074074074</x:v>
      </x:c>
      <x:c r="J35" s="131" t="str">
        <x:f>IF(I35=0,"Did not attend",IF(I35&gt;='Read Me'!$E$2/86400,"Fully attended","Partially attended"))</x:f>
        <x:v>Fully attended</x:v>
      </x:c>
      <x:c r="K35" s="131" t="str">
        <x:f>IF($D35="","No",IF(COUNTIF('Attendance Report - Option 1'!$P$11:$P$315,$D35)&gt;0,"Yes","No"))</x:f>
        <x:v>No</x:v>
      </x:c>
      <x:c r="L35" s="131" t="str">
        <x:f>IF($D35="","No",IF(COUNTIF('Attendance Report - Option 2'!$P$11:$P$412,$D35)&gt;0,"Yes","No"))</x:f>
        <x:v>Yes</x:v>
      </x:c>
    </x:row>
    <x:row r="36">
      <x:c r="A36" s="16" t="str">
        <x:f>'EMA Assurance Employee List'!A36</x:f>
        <x:v>Antony Wawira</x:v>
      </x:c>
      <x:c r="B36" s="16" t="str">
        <x:f>IF(C36="KE","Kenya",IF(C36="UG","Uganda",IF(C36="MU","Mauritius",IF(C36="TZ","Tanzania",IF(C36="RW","Rwanda",IF(C36="ZA","South Africa",IF(C36="ZM","Zambia","")))))))</x:f>
        <x:v>Kenya</x:v>
      </x:c>
      <x:c r="C36" s="16" t="str">
        <x:f>'EMA Assurance Employee List'!B36</x:f>
        <x:v>KE</x:v>
      </x:c>
      <x:c r="D36" s="16" t="str">
        <x:f>'EMA Assurance Employee List'!D36</x:f>
        <x:v>antony.wawira@pwc.com</x:v>
      </x:c>
      <x:c r="E36" s="130" t="n">
        <x:f>IF($D36="",0,SUMIF('Attendance Report - Option 1'!$P$11:$P$315,$D36,'Attendance Report - Option 1'!$Q$11:$Q$315)/86400)</x:f>
        <x:v>0.05219907407407407</x:v>
      </x:c>
      <x:c r="F36" s="131" t="str">
        <x:f>IF(E36=0,"Did not attend",IF(E36&gt;='Read Me'!$E$2/86400,"Fully attended","Partially attended"))</x:f>
        <x:v>Partially attended</x:v>
      </x:c>
      <x:c r="G36" s="130" t="n">
        <x:f>IF($D36="",0,SUMIF('Attendance Report - Option 2'!$P$11:$P$412,$D36,'Attendance Report - Option 2'!$Q$11:$Q$412)/86400)</x:f>
        <x:v>0</x:v>
      </x:c>
      <x:c r="H36" s="131" t="str">
        <x:f>IF(G36=0,"Did not attend",IF(G36&gt;='Read Me'!$E$2/86400,"Fully attended","Partially attended"))</x:f>
        <x:v>Did not attend</x:v>
      </x:c>
      <x:c r="I36" s="130" t="n">
        <x:f>E36+G36</x:f>
        <x:v>0.05219907407407407</x:v>
      </x:c>
      <x:c r="J36" s="131" t="str">
        <x:f>IF(I36=0,"Did not attend",IF(I36&gt;='Read Me'!$E$2/86400,"Fully attended","Partially attended"))</x:f>
        <x:v>Partially attended</x:v>
      </x:c>
      <x:c r="K36" s="131" t="str">
        <x:f>IF($D36="","No",IF(COUNTIF('Attendance Report - Option 1'!$P$11:$P$315,$D36)&gt;0,"Yes","No"))</x:f>
        <x:v>Yes</x:v>
      </x:c>
      <x:c r="L36" s="131" t="str">
        <x:f>IF($D36="","No",IF(COUNTIF('Attendance Report - Option 2'!$P$11:$P$412,$D36)&gt;0,"Yes","No"))</x:f>
        <x:v>No</x:v>
      </x:c>
    </x:row>
    <x:row r="37">
      <x:c r="A37" s="16" t="str">
        <x:f>'EMA Assurance Employee List'!A37</x:f>
        <x:v>Anusha Jokhoo</x:v>
      </x:c>
      <x:c r="B37" s="16" t="str">
        <x:f>IF(C37="KE","Kenya",IF(C37="UG","Uganda",IF(C37="MU","Mauritius",IF(C37="TZ","Tanzania",IF(C37="RW","Rwanda",IF(C37="ZA","South Africa",IF(C37="ZM","Zambia","")))))))</x:f>
        <x:v>Mauritius</x:v>
      </x:c>
      <x:c r="C37" s="16" t="str">
        <x:f>'EMA Assurance Employee List'!B37</x:f>
        <x:v>MU</x:v>
      </x:c>
      <x:c r="D37" s="16" t="str">
        <x:f>'EMA Assurance Employee List'!D37</x:f>
        <x:v>anusha.jokhoo@pwc.com</x:v>
      </x:c>
      <x:c r="E37" s="130" t="n">
        <x:f>IF($D37="",0,SUMIF('Attendance Report - Option 1'!$P$11:$P$315,$D37,'Attendance Report - Option 1'!$Q$11:$Q$315)/86400)</x:f>
        <x:v>0.030150462962962962</x:v>
      </x:c>
      <x:c r="F37" s="131" t="str">
        <x:f>IF(E37=0,"Did not attend",IF(E37&gt;='Read Me'!$E$2/86400,"Fully attended","Partially attended"))</x:f>
        <x:v>Partially attended</x:v>
      </x:c>
      <x:c r="G37" s="130" t="n">
        <x:f>IF($D37="",0,SUMIF('Attendance Report - Option 2'!$P$11:$P$412,$D37,'Attendance Report - Option 2'!$Q$11:$Q$412)/86400)</x:f>
        <x:v>0.07931712962962963</x:v>
      </x:c>
      <x:c r="H37" s="131" t="str">
        <x:f>IF(G37=0,"Did not attend",IF(G37&gt;='Read Me'!$E$2/86400,"Fully attended","Partially attended"))</x:f>
        <x:v>Fully attended</x:v>
      </x:c>
      <x:c r="I37" s="130" t="n">
        <x:f>E37+G37</x:f>
        <x:v>0.10946759259259259</x:v>
      </x:c>
      <x:c r="J37" s="131" t="str">
        <x:f>IF(I37=0,"Did not attend",IF(I37&gt;='Read Me'!$E$2/86400,"Fully attended","Partially attended"))</x:f>
        <x:v>Fully attended</x:v>
      </x:c>
      <x:c r="K37" s="131" t="str">
        <x:f>IF($D37="","No",IF(COUNTIF('Attendance Report - Option 1'!$P$11:$P$315,$D37)&gt;0,"Yes","No"))</x:f>
        <x:v>Yes</x:v>
      </x:c>
      <x:c r="L37" s="131" t="str">
        <x:f>IF($D37="","No",IF(COUNTIF('Attendance Report - Option 2'!$P$11:$P$412,$D37)&gt;0,"Yes","No"))</x:f>
        <x:v>Yes</x:v>
      </x:c>
    </x:row>
    <x:row r="38">
      <x:c r="A38" s="16" t="str">
        <x:f>'EMA Assurance Employee List'!A38</x:f>
        <x:v>Ashvi Puholoo</x:v>
      </x:c>
      <x:c r="B38" s="16" t="str">
        <x:f>IF(C38="KE","Kenya",IF(C38="UG","Uganda",IF(C38="MU","Mauritius",IF(C38="TZ","Tanzania",IF(C38="RW","Rwanda",IF(C38="ZA","South Africa",IF(C38="ZM","Zambia","")))))))</x:f>
        <x:v>Mauritius</x:v>
      </x:c>
      <x:c r="C38" s="16" t="str">
        <x:f>'EMA Assurance Employee List'!B38</x:f>
        <x:v>MU</x:v>
      </x:c>
      <x:c r="D38" s="16" t="str">
        <x:f>'EMA Assurance Employee List'!D38</x:f>
        <x:v>ashvi.p.puholoo@pwc.com</x:v>
      </x:c>
      <x:c r="E38" s="130" t="n">
        <x:f>IF($D38="",0,SUMIF('Attendance Report - Option 1'!$P$11:$P$315,$D38,'Attendance Report - Option 1'!$Q$11:$Q$315)/86400)</x:f>
        <x:v>0.08253472222222222</x:v>
      </x:c>
      <x:c r="F38" s="131" t="str">
        <x:f>IF(E38=0,"Did not attend",IF(E38&gt;='Read Me'!$E$2/86400,"Fully attended","Partially attended"))</x:f>
        <x:v>Fully attended</x:v>
      </x:c>
      <x:c r="G38" s="130" t="n">
        <x:f>IF($D38="",0,SUMIF('Attendance Report - Option 2'!$P$11:$P$412,$D38,'Attendance Report - Option 2'!$Q$11:$Q$412)/86400)</x:f>
        <x:v>0</x:v>
      </x:c>
      <x:c r="H38" s="131" t="str">
        <x:f>IF(G38=0,"Did not attend",IF(G38&gt;='Read Me'!$E$2/86400,"Fully attended","Partially attended"))</x:f>
        <x:v>Did not attend</x:v>
      </x:c>
      <x:c r="I38" s="130" t="n">
        <x:f>E38+G38</x:f>
        <x:v>0.08253472222222222</x:v>
      </x:c>
      <x:c r="J38" s="131" t="str">
        <x:f>IF(I38=0,"Did not attend",IF(I38&gt;='Read Me'!$E$2/86400,"Fully attended","Partially attended"))</x:f>
        <x:v>Fully attended</x:v>
      </x:c>
      <x:c r="K38" s="131" t="str">
        <x:f>IF($D38="","No",IF(COUNTIF('Attendance Report - Option 1'!$P$11:$P$315,$D38)&gt;0,"Yes","No"))</x:f>
        <x:v>Yes</x:v>
      </x:c>
      <x:c r="L38" s="131" t="str">
        <x:f>IF($D38="","No",IF(COUNTIF('Attendance Report - Option 2'!$P$11:$P$412,$D38)&gt;0,"Yes","No"))</x:f>
        <x:v>No</x:v>
      </x:c>
    </x:row>
    <x:row r="39">
      <x:c r="A39" s="16" t="str">
        <x:f>'EMA Assurance Employee List'!A39</x:f>
        <x:v>Assery Msangi</x:v>
      </x:c>
      <x:c r="B39" s="16" t="str">
        <x:f>IF(C39="KE","Kenya",IF(C39="UG","Uganda",IF(C39="MU","Mauritius",IF(C39="TZ","Tanzania",IF(C39="RW","Rwanda",IF(C39="ZA","South Africa",IF(C39="ZM","Zambia","")))))))</x:f>
        <x:v>Tanzania</x:v>
      </x:c>
      <x:c r="C39" s="16" t="str">
        <x:f>'EMA Assurance Employee List'!B39</x:f>
        <x:v>TZ</x:v>
      </x:c>
      <x:c r="D39" s="16" t="str">
        <x:f>'EMA Assurance Employee List'!D39</x:f>
        <x:v>assery.msangi@pwc.com</x:v>
      </x:c>
      <x:c r="E39" s="130" t="n">
        <x:f>IF($D39="",0,SUMIF('Attendance Report - Option 1'!$P$11:$P$315,$D39,'Attendance Report - Option 1'!$Q$11:$Q$315)/86400)</x:f>
        <x:v>0.06864583333333334</x:v>
      </x:c>
      <x:c r="F39" s="131" t="str">
        <x:f>IF(E39=0,"Did not attend",IF(E39&gt;='Read Me'!$E$2/86400,"Fully attended","Partially attended"))</x:f>
        <x:v>Fully attended</x:v>
      </x:c>
      <x:c r="G39" s="130" t="n">
        <x:f>IF($D39="",0,SUMIF('Attendance Report - Option 2'!$P$11:$P$412,$D39,'Attendance Report - Option 2'!$Q$11:$Q$412)/86400)</x:f>
        <x:v>0.08869212962962963</x:v>
      </x:c>
      <x:c r="H39" s="131" t="str">
        <x:f>IF(G39=0,"Did not attend",IF(G39&gt;='Read Me'!$E$2/86400,"Fully attended","Partially attended"))</x:f>
        <x:v>Fully attended</x:v>
      </x:c>
      <x:c r="I39" s="130" t="n">
        <x:f>E39+G39</x:f>
        <x:v>0.15733796296296299</x:v>
      </x:c>
      <x:c r="J39" s="131" t="str">
        <x:f>IF(I39=0,"Did not attend",IF(I39&gt;='Read Me'!$E$2/86400,"Fully attended","Partially attended"))</x:f>
        <x:v>Fully attended</x:v>
      </x:c>
      <x:c r="K39" s="131" t="str">
        <x:f>IF($D39="","No",IF(COUNTIF('Attendance Report - Option 1'!$P$11:$P$315,$D39)&gt;0,"Yes","No"))</x:f>
        <x:v>Yes</x:v>
      </x:c>
      <x:c r="L39" s="131" t="str">
        <x:f>IF($D39="","No",IF(COUNTIF('Attendance Report - Option 2'!$P$11:$P$412,$D39)&gt;0,"Yes","No"))</x:f>
        <x:v>Yes</x:v>
      </x:c>
    </x:row>
    <x:row r="40">
      <x:c r="A40" s="16" t="str">
        <x:f>'EMA Assurance Employee List'!A40</x:f>
        <x:v>Astrid Cassia</x:v>
      </x:c>
      <x:c r="B40" s="16" t="str">
        <x:f>IF(C40="KE","Kenya",IF(C40="UG","Uganda",IF(C40="MU","Mauritius",IF(C40="TZ","Tanzania",IF(C40="RW","Rwanda",IF(C40="ZA","South Africa",IF(C40="ZM","Zambia","")))))))</x:f>
        <x:v>Mauritius</x:v>
      </x:c>
      <x:c r="C40" s="16" t="str">
        <x:f>'EMA Assurance Employee List'!B40</x:f>
        <x:v>MU</x:v>
      </x:c>
      <x:c r="D40" s="16" t="str">
        <x:f>'EMA Assurance Employee List'!D40</x:f>
        <x:v>astrid.cassia@pwc.com</x:v>
      </x:c>
      <x:c r="E40" s="130" t="n">
        <x:f>IF($D40="",0,SUMIF('Attendance Report - Option 1'!$P$11:$P$315,$D40,'Attendance Report - Option 1'!$Q$11:$Q$315)/86400)</x:f>
        <x:v>0</x:v>
      </x:c>
      <x:c r="F40" s="131" t="str">
        <x:f>IF(E40=0,"Did not attend",IF(E40&gt;='Read Me'!$E$2/86400,"Fully attended","Partially attended"))</x:f>
        <x:v>Did not attend</x:v>
      </x:c>
      <x:c r="G40" s="130" t="n">
        <x:f>IF($D40="",0,SUMIF('Attendance Report - Option 2'!$P$11:$P$412,$D40,'Attendance Report - Option 2'!$Q$11:$Q$412)/86400)</x:f>
        <x:v>0</x:v>
      </x:c>
      <x:c r="H40" s="131" t="str">
        <x:f>IF(G40=0,"Did not attend",IF(G40&gt;='Read Me'!$E$2/86400,"Fully attended","Partially attended"))</x:f>
        <x:v>Did not attend</x:v>
      </x:c>
      <x:c r="I40" s="130" t="n">
        <x:f>E40+G40</x:f>
        <x:v>0</x:v>
      </x:c>
      <x:c r="J40" s="131" t="str">
        <x:f>IF(I40=0,"Did not attend",IF(I40&gt;='Read Me'!$E$2/86400,"Fully attended","Partially attended"))</x:f>
        <x:v>Did not attend</x:v>
      </x:c>
      <x:c r="K40" s="131" t="str">
        <x:f>IF($D40="","No",IF(COUNTIF('Attendance Report - Option 1'!$P$11:$P$315,$D40)&gt;0,"Yes","No"))</x:f>
        <x:v>No</x:v>
      </x:c>
      <x:c r="L40" s="131" t="str">
        <x:f>IF($D40="","No",IF(COUNTIF('Attendance Report - Option 2'!$P$11:$P$412,$D40)&gt;0,"Yes","No"))</x:f>
        <x:v>No</x:v>
      </x:c>
    </x:row>
    <x:row r="41">
      <x:c r="A41" s="16" t="str">
        <x:f>'EMA Assurance Employee List'!A41</x:f>
        <x:v>Azmiya Khodadin</x:v>
      </x:c>
      <x:c r="B41" s="16" t="str">
        <x:f>IF(C41="KE","Kenya",IF(C41="UG","Uganda",IF(C41="MU","Mauritius",IF(C41="TZ","Tanzania",IF(C41="RW","Rwanda",IF(C41="ZA","South Africa",IF(C41="ZM","Zambia","")))))))</x:f>
        <x:v>Mauritius</x:v>
      </x:c>
      <x:c r="C41" s="16" t="str">
        <x:f>'EMA Assurance Employee List'!B41</x:f>
        <x:v>MU</x:v>
      </x:c>
      <x:c r="D41" s="16" t="str">
        <x:f>'EMA Assurance Employee List'!D41</x:f>
        <x:v>azmiya.khodadin@pwc.com</x:v>
      </x:c>
      <x:c r="E41" s="130" t="n">
        <x:f>IF($D41="",0,SUMIF('Attendance Report - Option 1'!$P$11:$P$315,$D41,'Attendance Report - Option 1'!$Q$11:$Q$315)/86400)</x:f>
        <x:v>0</x:v>
      </x:c>
      <x:c r="F41" s="131" t="str">
        <x:f>IF(E41=0,"Did not attend",IF(E41&gt;='Read Me'!$E$2/86400,"Fully attended","Partially attended"))</x:f>
        <x:v>Did not attend</x:v>
      </x:c>
      <x:c r="G41" s="130" t="n">
        <x:f>IF($D41="",0,SUMIF('Attendance Report - Option 2'!$P$11:$P$412,$D41,'Attendance Report - Option 2'!$Q$11:$Q$412)/86400)</x:f>
        <x:v>0.018298611111111113</x:v>
      </x:c>
      <x:c r="H41" s="131" t="str">
        <x:f>IF(G41=0,"Did not attend",IF(G41&gt;='Read Me'!$E$2/86400,"Fully attended","Partially attended"))</x:f>
        <x:v>Partially attended</x:v>
      </x:c>
      <x:c r="I41" s="130" t="n">
        <x:f>E41+G41</x:f>
        <x:v>0.018298611111111113</x:v>
      </x:c>
      <x:c r="J41" s="131" t="str">
        <x:f>IF(I41=0,"Did not attend",IF(I41&gt;='Read Me'!$E$2/86400,"Fully attended","Partially attended"))</x:f>
        <x:v>Partially attended</x:v>
      </x:c>
      <x:c r="K41" s="131" t="str">
        <x:f>IF($D41="","No",IF(COUNTIF('Attendance Report - Option 1'!$P$11:$P$315,$D41)&gt;0,"Yes","No"))</x:f>
        <x:v>No</x:v>
      </x:c>
      <x:c r="L41" s="131" t="str">
        <x:f>IF($D41="","No",IF(COUNTIF('Attendance Report - Option 2'!$P$11:$P$412,$D41)&gt;0,"Yes","No"))</x:f>
        <x:v>Yes</x:v>
      </x:c>
    </x:row>
    <x:row r="42">
      <x:c r="A42" s="16" t="str">
        <x:f>'EMA Assurance Employee List'!A42</x:f>
        <x:v>Babra Truphena</x:v>
      </x:c>
      <x:c r="B42" s="16" t="str">
        <x:f>IF(C42="KE","Kenya",IF(C42="UG","Uganda",IF(C42="MU","Mauritius",IF(C42="TZ","Tanzania",IF(C42="RW","Rwanda",IF(C42="ZA","South Africa",IF(C42="ZM","Zambia","")))))))</x:f>
        <x:v>Kenya</x:v>
      </x:c>
      <x:c r="C42" s="16" t="str">
        <x:f>'EMA Assurance Employee List'!B42</x:f>
        <x:v>KE</x:v>
      </x:c>
      <x:c r="D42" s="16" t="str">
        <x:f>'EMA Assurance Employee List'!D42</x:f>
        <x:v>babra.truphena@pwc.com</x:v>
      </x:c>
      <x:c r="E42" s="130" t="n">
        <x:f>IF($D42="",0,SUMIF('Attendance Report - Option 1'!$P$11:$P$315,$D42,'Attendance Report - Option 1'!$Q$11:$Q$315)/86400)</x:f>
        <x:v>0</x:v>
      </x:c>
      <x:c r="F42" s="131" t="str">
        <x:f>IF(E42=0,"Did not attend",IF(E42&gt;='Read Me'!$E$2/86400,"Fully attended","Partially attended"))</x:f>
        <x:v>Did not attend</x:v>
      </x:c>
      <x:c r="G42" s="130" t="n">
        <x:f>IF($D42="",0,SUMIF('Attendance Report - Option 2'!$P$11:$P$412,$D42,'Attendance Report - Option 2'!$Q$11:$Q$412)/86400)</x:f>
        <x:v>0.04162037037037037</x:v>
      </x:c>
      <x:c r="H42" s="131" t="str">
        <x:f>IF(G42=0,"Did not attend",IF(G42&gt;='Read Me'!$E$2/86400,"Fully attended","Partially attended"))</x:f>
        <x:v>Partially attended</x:v>
      </x:c>
      <x:c r="I42" s="130" t="n">
        <x:f>E42+G42</x:f>
        <x:v>0.04162037037037037</x:v>
      </x:c>
      <x:c r="J42" s="131" t="str">
        <x:f>IF(I42=0,"Did not attend",IF(I42&gt;='Read Me'!$E$2/86400,"Fully attended","Partially attended"))</x:f>
        <x:v>Partially attended</x:v>
      </x:c>
      <x:c r="K42" s="131" t="str">
        <x:f>IF($D42="","No",IF(COUNTIF('Attendance Report - Option 1'!$P$11:$P$315,$D42)&gt;0,"Yes","No"))</x:f>
        <x:v>No</x:v>
      </x:c>
      <x:c r="L42" s="131" t="str">
        <x:f>IF($D42="","No",IF(COUNTIF('Attendance Report - Option 2'!$P$11:$P$412,$D42)&gt;0,"Yes","No"))</x:f>
        <x:v>Yes</x:v>
      </x:c>
    </x:row>
    <x:row r="43">
      <x:c r="A43" s="16" t="str">
        <x:f>'EMA Assurance Employee List'!A43</x:f>
        <x:v>Baraka Pallangyo</x:v>
      </x:c>
      <x:c r="B43" s="16" t="str">
        <x:f>IF(C43="KE","Kenya",IF(C43="UG","Uganda",IF(C43="MU","Mauritius",IF(C43="TZ","Tanzania",IF(C43="RW","Rwanda",IF(C43="ZA","South Africa",IF(C43="ZM","Zambia","")))))))</x:f>
        <x:v>Tanzania</x:v>
      </x:c>
      <x:c r="C43" s="16" t="str">
        <x:f>'EMA Assurance Employee List'!B43</x:f>
        <x:v>TZ</x:v>
      </x:c>
      <x:c r="D43" s="16" t="str">
        <x:f>'EMA Assurance Employee List'!D43</x:f>
        <x:v>baraka.p.pallangyo@pwc.com</x:v>
      </x:c>
      <x:c r="E43" s="130" t="n">
        <x:f>IF($D43="",0,SUMIF('Attendance Report - Option 1'!$P$11:$P$315,$D43,'Attendance Report - Option 1'!$Q$11:$Q$315)/86400)</x:f>
        <x:v>0</x:v>
      </x:c>
      <x:c r="F43" s="131" t="str">
        <x:f>IF(E43=0,"Did not attend",IF(E43&gt;='Read Me'!$E$2/86400,"Fully attended","Partially attended"))</x:f>
        <x:v>Did not attend</x:v>
      </x:c>
      <x:c r="G43" s="130" t="n">
        <x:f>IF($D43="",0,SUMIF('Attendance Report - Option 2'!$P$11:$P$412,$D43,'Attendance Report - Option 2'!$Q$11:$Q$412)/86400)</x:f>
        <x:v>0.0859375</x:v>
      </x:c>
      <x:c r="H43" s="131" t="str">
        <x:f>IF(G43=0,"Did not attend",IF(G43&gt;='Read Me'!$E$2/86400,"Fully attended","Partially attended"))</x:f>
        <x:v>Fully attended</x:v>
      </x:c>
      <x:c r="I43" s="130" t="n">
        <x:f>E43+G43</x:f>
        <x:v>0.0859375</x:v>
      </x:c>
      <x:c r="J43" s="131" t="str">
        <x:f>IF(I43=0,"Did not attend",IF(I43&gt;='Read Me'!$E$2/86400,"Fully attended","Partially attended"))</x:f>
        <x:v>Fully attended</x:v>
      </x:c>
      <x:c r="K43" s="131" t="str">
        <x:f>IF($D43="","No",IF(COUNTIF('Attendance Report - Option 1'!$P$11:$P$315,$D43)&gt;0,"Yes","No"))</x:f>
        <x:v>No</x:v>
      </x:c>
      <x:c r="L43" s="131" t="str">
        <x:f>IF($D43="","No",IF(COUNTIF('Attendance Report - Option 2'!$P$11:$P$412,$D43)&gt;0,"Yes","No"))</x:f>
        <x:v>Yes</x:v>
      </x:c>
    </x:row>
    <x:row r="44">
      <x:c r="A44" s="16" t="str">
        <x:f>'EMA Assurance Employee List'!A44</x:f>
        <x:v>Bellonce Nyambura</x:v>
      </x:c>
      <x:c r="B44" s="16" t="str">
        <x:f>IF(C44="KE","Kenya",IF(C44="UG","Uganda",IF(C44="MU","Mauritius",IF(C44="TZ","Tanzania",IF(C44="RW","Rwanda",IF(C44="ZA","South Africa",IF(C44="ZM","Zambia","")))))))</x:f>
        <x:v>Kenya</x:v>
      </x:c>
      <x:c r="C44" s="16" t="str">
        <x:f>'EMA Assurance Employee List'!B44</x:f>
        <x:v>KE</x:v>
      </x:c>
      <x:c r="D44" s="16" t="str">
        <x:f>'EMA Assurance Employee List'!D44</x:f>
        <x:v>bellonce.nyambura@pwc.com</x:v>
      </x:c>
      <x:c r="E44" s="130" t="n">
        <x:f>IF($D44="",0,SUMIF('Attendance Report - Option 1'!$P$11:$P$315,$D44,'Attendance Report - Option 1'!$Q$11:$Q$315)/86400)</x:f>
        <x:v>0</x:v>
      </x:c>
      <x:c r="F44" s="131" t="str">
        <x:f>IF(E44=0,"Did not attend",IF(E44&gt;='Read Me'!$E$2/86400,"Fully attended","Partially attended"))</x:f>
        <x:v>Did not attend</x:v>
      </x:c>
      <x:c r="G44" s="130" t="n">
        <x:f>IF($D44="",0,SUMIF('Attendance Report - Option 2'!$P$11:$P$412,$D44,'Attendance Report - Option 2'!$Q$11:$Q$412)/86400)</x:f>
        <x:v>0.08457175925925926</x:v>
      </x:c>
      <x:c r="H44" s="131" t="str">
        <x:f>IF(G44=0,"Did not attend",IF(G44&gt;='Read Me'!$E$2/86400,"Fully attended","Partially attended"))</x:f>
        <x:v>Fully attended</x:v>
      </x:c>
      <x:c r="I44" s="130" t="n">
        <x:f>E44+G44</x:f>
        <x:v>0.08457175925925926</x:v>
      </x:c>
      <x:c r="J44" s="131" t="str">
        <x:f>IF(I44=0,"Did not attend",IF(I44&gt;='Read Me'!$E$2/86400,"Fully attended","Partially attended"))</x:f>
        <x:v>Fully attended</x:v>
      </x:c>
      <x:c r="K44" s="131" t="str">
        <x:f>IF($D44="","No",IF(COUNTIF('Attendance Report - Option 1'!$P$11:$P$315,$D44)&gt;0,"Yes","No"))</x:f>
        <x:v>No</x:v>
      </x:c>
      <x:c r="L44" s="131" t="str">
        <x:f>IF($D44="","No",IF(COUNTIF('Attendance Report - Option 2'!$P$11:$P$412,$D44)&gt;0,"Yes","No"))</x:f>
        <x:v>Yes</x:v>
      </x:c>
    </x:row>
    <x:row r="45">
      <x:c r="A45" s="16" t="str">
        <x:f>'EMA Assurance Employee List'!A45</x:f>
        <x:v>Ben Victor Kibet</x:v>
      </x:c>
      <x:c r="B45" s="16" t="str">
        <x:f>IF(C45="KE","Kenya",IF(C45="UG","Uganda",IF(C45="MU","Mauritius",IF(C45="TZ","Tanzania",IF(C45="RW","Rwanda",IF(C45="ZA","South Africa",IF(C45="ZM","Zambia","")))))))</x:f>
        <x:v>Kenya</x:v>
      </x:c>
      <x:c r="C45" s="16" t="str">
        <x:f>'EMA Assurance Employee List'!B45</x:f>
        <x:v>KE</x:v>
      </x:c>
      <x:c r="D45" s="16" t="str">
        <x:f>'EMA Assurance Employee List'!D45</x:f>
        <x:v>ben.kibet@pwc.com</x:v>
      </x:c>
      <x:c r="E45" s="130" t="n">
        <x:f>IF($D45="",0,SUMIF('Attendance Report - Option 1'!$P$11:$P$315,$D45,'Attendance Report - Option 1'!$Q$11:$Q$315)/86400)</x:f>
        <x:v>0</x:v>
      </x:c>
      <x:c r="F45" s="131" t="str">
        <x:f>IF(E45=0,"Did not attend",IF(E45&gt;='Read Me'!$E$2/86400,"Fully attended","Partially attended"))</x:f>
        <x:v>Did not attend</x:v>
      </x:c>
      <x:c r="G45" s="130" t="n">
        <x:f>IF($D45="",0,SUMIF('Attendance Report - Option 2'!$P$11:$P$412,$D45,'Attendance Report - Option 2'!$Q$11:$Q$412)/86400)</x:f>
        <x:v>0.0013773148148148147</x:v>
      </x:c>
      <x:c r="H45" s="131" t="str">
        <x:f>IF(G45=0,"Did not attend",IF(G45&gt;='Read Me'!$E$2/86400,"Fully attended","Partially attended"))</x:f>
        <x:v>Partially attended</x:v>
      </x:c>
      <x:c r="I45" s="130" t="n">
        <x:f>E45+G45</x:f>
        <x:v>0.0013773148148148147</x:v>
      </x:c>
      <x:c r="J45" s="131" t="str">
        <x:f>IF(I45=0,"Did not attend",IF(I45&gt;='Read Me'!$E$2/86400,"Fully attended","Partially attended"))</x:f>
        <x:v>Partially attended</x:v>
      </x:c>
      <x:c r="K45" s="131" t="str">
        <x:f>IF($D45="","No",IF(COUNTIF('Attendance Report - Option 1'!$P$11:$P$315,$D45)&gt;0,"Yes","No"))</x:f>
        <x:v>No</x:v>
      </x:c>
      <x:c r="L45" s="131" t="str">
        <x:f>IF($D45="","No",IF(COUNTIF('Attendance Report - Option 2'!$P$11:$P$412,$D45)&gt;0,"Yes","No"))</x:f>
        <x:v>Yes</x:v>
      </x:c>
    </x:row>
    <x:row r="46">
      <x:c r="A46" s="16" t="str">
        <x:f>'EMA Assurance Employee List'!A46</x:f>
        <x:v>Benard Thiong'o</x:v>
      </x:c>
      <x:c r="B46" s="16" t="str">
        <x:f>IF(C46="KE","Kenya",IF(C46="UG","Uganda",IF(C46="MU","Mauritius",IF(C46="TZ","Tanzania",IF(C46="RW","Rwanda",IF(C46="ZA","South Africa",IF(C46="ZM","Zambia","")))))))</x:f>
        <x:v>Kenya</x:v>
      </x:c>
      <x:c r="C46" s="16" t="str">
        <x:f>'EMA Assurance Employee List'!B46</x:f>
        <x:v>KE</x:v>
      </x:c>
      <x:c r="D46" s="16" t="str">
        <x:f>'EMA Assurance Employee List'!D46</x:f>
        <x:v>benard.thiongo@pwc.com</x:v>
      </x:c>
      <x:c r="E46" s="130" t="n">
        <x:f>IF($D46="",0,SUMIF('Attendance Report - Option 1'!$P$11:$P$315,$D46,'Attendance Report - Option 1'!$Q$11:$Q$315)/86400)</x:f>
        <x:v>0</x:v>
      </x:c>
      <x:c r="F46" s="131" t="str">
        <x:f>IF(E46=0,"Did not attend",IF(E46&gt;='Read Me'!$E$2/86400,"Fully attended","Partially attended"))</x:f>
        <x:v>Did not attend</x:v>
      </x:c>
      <x:c r="G46" s="130" t="n">
        <x:f>IF($D46="",0,SUMIF('Attendance Report - Option 2'!$P$11:$P$412,$D46,'Attendance Report - Option 2'!$Q$11:$Q$412)/86400)</x:f>
        <x:v>0.08422453703703704</x:v>
      </x:c>
      <x:c r="H46" s="131" t="str">
        <x:f>IF(G46=0,"Did not attend",IF(G46&gt;='Read Me'!$E$2/86400,"Fully attended","Partially attended"))</x:f>
        <x:v>Fully attended</x:v>
      </x:c>
      <x:c r="I46" s="130" t="n">
        <x:f>E46+G46</x:f>
        <x:v>0.08422453703703704</x:v>
      </x:c>
      <x:c r="J46" s="131" t="str">
        <x:f>IF(I46=0,"Did not attend",IF(I46&gt;='Read Me'!$E$2/86400,"Fully attended","Partially attended"))</x:f>
        <x:v>Fully attended</x:v>
      </x:c>
      <x:c r="K46" s="131" t="str">
        <x:f>IF($D46="","No",IF(COUNTIF('Attendance Report - Option 1'!$P$11:$P$315,$D46)&gt;0,"Yes","No"))</x:f>
        <x:v>No</x:v>
      </x:c>
      <x:c r="L46" s="131" t="str">
        <x:f>IF($D46="","No",IF(COUNTIF('Attendance Report - Option 2'!$P$11:$P$412,$D46)&gt;0,"Yes","No"))</x:f>
        <x:v>Yes</x:v>
      </x:c>
    </x:row>
    <x:row r="47">
      <x:c r="A47" s="16" t="str">
        <x:f>'EMA Assurance Employee List'!A47</x:f>
        <x:v>Benedict Odero</x:v>
      </x:c>
      <x:c r="B47" s="16" t="str">
        <x:f>IF(C47="KE","Kenya",IF(C47="UG","Uganda",IF(C47="MU","Mauritius",IF(C47="TZ","Tanzania",IF(C47="RW","Rwanda",IF(C47="ZA","South Africa",IF(C47="ZM","Zambia","")))))))</x:f>
        <x:v>Kenya</x:v>
      </x:c>
      <x:c r="C47" s="16" t="str">
        <x:f>'EMA Assurance Employee List'!B47</x:f>
        <x:v>KE</x:v>
      </x:c>
      <x:c r="D47" s="16" t="str">
        <x:f>'EMA Assurance Employee List'!D47</x:f>
        <x:v>benedict.odero@pwc.com</x:v>
      </x:c>
      <x:c r="E47" s="130" t="n">
        <x:f>IF($D47="",0,SUMIF('Attendance Report - Option 1'!$P$11:$P$315,$D47,'Attendance Report - Option 1'!$Q$11:$Q$315)/86400)</x:f>
        <x:v>0.07630787037037037</x:v>
      </x:c>
      <x:c r="F47" s="131" t="str">
        <x:f>IF(E47=0,"Did not attend",IF(E47&gt;='Read Me'!$E$2/86400,"Fully attended","Partially attended"))</x:f>
        <x:v>Fully attended</x:v>
      </x:c>
      <x:c r="G47" s="130" t="n">
        <x:f>IF($D47="",0,SUMIF('Attendance Report - Option 2'!$P$11:$P$412,$D47,'Attendance Report - Option 2'!$Q$11:$Q$412)/86400)</x:f>
        <x:v>0.040914351851851855</x:v>
      </x:c>
      <x:c r="H47" s="131" t="str">
        <x:f>IF(G47=0,"Did not attend",IF(G47&gt;='Read Me'!$E$2/86400,"Fully attended","Partially attended"))</x:f>
        <x:v>Partially attended</x:v>
      </x:c>
      <x:c r="I47" s="130" t="n">
        <x:f>E47+G47</x:f>
        <x:v>0.11722222222222223</x:v>
      </x:c>
      <x:c r="J47" s="131" t="str">
        <x:f>IF(I47=0,"Did not attend",IF(I47&gt;='Read Me'!$E$2/86400,"Fully attended","Partially attended"))</x:f>
        <x:v>Fully attended</x:v>
      </x:c>
      <x:c r="K47" s="131" t="str">
        <x:f>IF($D47="","No",IF(COUNTIF('Attendance Report - Option 1'!$P$11:$P$315,$D47)&gt;0,"Yes","No"))</x:f>
        <x:v>Yes</x:v>
      </x:c>
      <x:c r="L47" s="131" t="str">
        <x:f>IF($D47="","No",IF(COUNTIF('Attendance Report - Option 2'!$P$11:$P$412,$D47)&gt;0,"Yes","No"))</x:f>
        <x:v>Yes</x:v>
      </x:c>
    </x:row>
    <x:row r="48">
      <x:c r="A48" s="16" t="str">
        <x:f>'EMA Assurance Employee List'!A48</x:f>
        <x:v>Benson Okundi</x:v>
      </x:c>
      <x:c r="B48" s="16" t="str">
        <x:f>IF(C48="KE","Kenya",IF(C48="UG","Uganda",IF(C48="MU","Mauritius",IF(C48="TZ","Tanzania",IF(C48="RW","Rwanda",IF(C48="ZA","South Africa",IF(C48="ZM","Zambia","")))))))</x:f>
        <x:v>Kenya</x:v>
      </x:c>
      <x:c r="C48" s="16" t="str">
        <x:f>'EMA Assurance Employee List'!B48</x:f>
        <x:v>KE</x:v>
      </x:c>
      <x:c r="D48" s="16" t="str">
        <x:f>'EMA Assurance Employee List'!D48</x:f>
        <x:v>benson.okundi@pwc.com</x:v>
      </x:c>
      <x:c r="E48" s="130" t="n">
        <x:f>IF($D48="",0,SUMIF('Attendance Report - Option 1'!$P$11:$P$315,$D48,'Attendance Report - Option 1'!$Q$11:$Q$315)/86400)</x:f>
        <x:v>0</x:v>
      </x:c>
      <x:c r="F48" s="131" t="str">
        <x:f>IF(E48=0,"Did not attend",IF(E48&gt;='Read Me'!$E$2/86400,"Fully attended","Partially attended"))</x:f>
        <x:v>Did not attend</x:v>
      </x:c>
      <x:c r="G48" s="130" t="n">
        <x:f>IF($D48="",0,SUMIF('Attendance Report - Option 2'!$P$11:$P$412,$D48,'Attendance Report - Option 2'!$Q$11:$Q$412)/86400)</x:f>
        <x:v>0.08472222222222223</x:v>
      </x:c>
      <x:c r="H48" s="131" t="str">
        <x:f>IF(G48=0,"Did not attend",IF(G48&gt;='Read Me'!$E$2/86400,"Fully attended","Partially attended"))</x:f>
        <x:v>Fully attended</x:v>
      </x:c>
      <x:c r="I48" s="130" t="n">
        <x:f>E48+G48</x:f>
        <x:v>0.08472222222222223</x:v>
      </x:c>
      <x:c r="J48" s="131" t="str">
        <x:f>IF(I48=0,"Did not attend",IF(I48&gt;='Read Me'!$E$2/86400,"Fully attended","Partially attended"))</x:f>
        <x:v>Fully attended</x:v>
      </x:c>
      <x:c r="K48" s="131" t="str">
        <x:f>IF($D48="","No",IF(COUNTIF('Attendance Report - Option 1'!$P$11:$P$315,$D48)&gt;0,"Yes","No"))</x:f>
        <x:v>No</x:v>
      </x:c>
      <x:c r="L48" s="131" t="str">
        <x:f>IF($D48="","No",IF(COUNTIF('Attendance Report - Option 2'!$P$11:$P$412,$D48)&gt;0,"Yes","No"))</x:f>
        <x:v>Yes</x:v>
      </x:c>
    </x:row>
    <x:row r="49">
      <x:c r="A49" s="16" t="str">
        <x:f>'EMA Assurance Employee List'!A49</x:f>
        <x:v>Bernice Kimacia</x:v>
      </x:c>
      <x:c r="B49" s="16" t="str">
        <x:f>IF(C49="KE","Kenya",IF(C49="UG","Uganda",IF(C49="MU","Mauritius",IF(C49="TZ","Tanzania",IF(C49="RW","Rwanda",IF(C49="ZA","South Africa",IF(C49="ZM","Zambia","")))))))</x:f>
        <x:v>Kenya</x:v>
      </x:c>
      <x:c r="C49" s="16" t="str">
        <x:f>'EMA Assurance Employee List'!B49</x:f>
        <x:v>KE</x:v>
      </x:c>
      <x:c r="D49" s="16" t="str">
        <x:f>'EMA Assurance Employee List'!D49</x:f>
        <x:v>bernice.kimacia@pwc.com</x:v>
      </x:c>
      <x:c r="E49" s="130" t="n">
        <x:f>IF($D49="",0,SUMIF('Attendance Report - Option 1'!$P$11:$P$315,$D49,'Attendance Report - Option 1'!$Q$11:$Q$315)/86400)</x:f>
        <x:v>0.08003472222222222</x:v>
      </x:c>
      <x:c r="F49" s="131" t="str">
        <x:f>IF(E49=0,"Did not attend",IF(E49&gt;='Read Me'!$E$2/86400,"Fully attended","Partially attended"))</x:f>
        <x:v>Fully attended</x:v>
      </x:c>
      <x:c r="G49" s="130" t="n">
        <x:f>IF($D49="",0,SUMIF('Attendance Report - Option 2'!$P$11:$P$412,$D49,'Attendance Report - Option 2'!$Q$11:$Q$412)/86400)</x:f>
        <x:v>0.08575231481481481</x:v>
      </x:c>
      <x:c r="H49" s="131" t="str">
        <x:f>IF(G49=0,"Did not attend",IF(G49&gt;='Read Me'!$E$2/86400,"Fully attended","Partially attended"))</x:f>
        <x:v>Fully attended</x:v>
      </x:c>
      <x:c r="I49" s="130" t="n">
        <x:f>E49+G49</x:f>
        <x:v>0.165787037037037</x:v>
      </x:c>
      <x:c r="J49" s="131" t="str">
        <x:f>IF(I49=0,"Did not attend",IF(I49&gt;='Read Me'!$E$2/86400,"Fully attended","Partially attended"))</x:f>
        <x:v>Fully attended</x:v>
      </x:c>
      <x:c r="K49" s="131" t="str">
        <x:f>IF($D49="","No",IF(COUNTIF('Attendance Report - Option 1'!$P$11:$P$315,$D49)&gt;0,"Yes","No"))</x:f>
        <x:v>Yes</x:v>
      </x:c>
      <x:c r="L49" s="131" t="str">
        <x:f>IF($D49="","No",IF(COUNTIF('Attendance Report - Option 2'!$P$11:$P$412,$D49)&gt;0,"Yes","No"))</x:f>
        <x:v>Yes</x:v>
      </x:c>
    </x:row>
    <x:row r="50">
      <x:c r="A50" s="16" t="str">
        <x:f>'EMA Assurance Employee List'!A50</x:f>
        <x:v>Bertha Pascal</x:v>
      </x:c>
      <x:c r="B50" s="16" t="str">
        <x:f>IF(C50="KE","Kenya",IF(C50="UG","Uganda",IF(C50="MU","Mauritius",IF(C50="TZ","Tanzania",IF(C50="RW","Rwanda",IF(C50="ZA","South Africa",IF(C50="ZM","Zambia","")))))))</x:f>
        <x:v>Tanzania</x:v>
      </x:c>
      <x:c r="C50" s="16" t="str">
        <x:f>'EMA Assurance Employee List'!B50</x:f>
        <x:v>TZ</x:v>
      </x:c>
      <x:c r="D50" s="16" t="str">
        <x:f>'EMA Assurance Employee List'!D50</x:f>
        <x:v>bertha.p.pascal@pwc.com</x:v>
      </x:c>
      <x:c r="E50" s="130" t="n">
        <x:f>IF($D50="",0,SUMIF('Attendance Report - Option 1'!$P$11:$P$315,$D50,'Attendance Report - Option 1'!$Q$11:$Q$315)/86400)</x:f>
        <x:v>0</x:v>
      </x:c>
      <x:c r="F50" s="131" t="str">
        <x:f>IF(E50=0,"Did not attend",IF(E50&gt;='Read Me'!$E$2/86400,"Fully attended","Partially attended"))</x:f>
        <x:v>Did not attend</x:v>
      </x:c>
      <x:c r="G50" s="130" t="n">
        <x:f>IF($D50="",0,SUMIF('Attendance Report - Option 2'!$P$11:$P$412,$D50,'Attendance Report - Option 2'!$Q$11:$Q$412)/86400)</x:f>
        <x:v>0.08543981481481482</x:v>
      </x:c>
      <x:c r="H50" s="131" t="str">
        <x:f>IF(G50=0,"Did not attend",IF(G50&gt;='Read Me'!$E$2/86400,"Fully attended","Partially attended"))</x:f>
        <x:v>Fully attended</x:v>
      </x:c>
      <x:c r="I50" s="130" t="n">
        <x:f>E50+G50</x:f>
        <x:v>0.08543981481481482</x:v>
      </x:c>
      <x:c r="J50" s="131" t="str">
        <x:f>IF(I50=0,"Did not attend",IF(I50&gt;='Read Me'!$E$2/86400,"Fully attended","Partially attended"))</x:f>
        <x:v>Fully attended</x:v>
      </x:c>
      <x:c r="K50" s="131" t="str">
        <x:f>IF($D50="","No",IF(COUNTIF('Attendance Report - Option 1'!$P$11:$P$315,$D50)&gt;0,"Yes","No"))</x:f>
        <x:v>No</x:v>
      </x:c>
      <x:c r="L50" s="131" t="str">
        <x:f>IF($D50="","No",IF(COUNTIF('Attendance Report - Option 2'!$P$11:$P$412,$D50)&gt;0,"Yes","No"))</x:f>
        <x:v>Yes</x:v>
      </x:c>
    </x:row>
    <x:row r="51">
      <x:c r="A51" s="16" t="str">
        <x:f>'EMA Assurance Employee List'!A51</x:f>
        <x:v>Beryl Wasungu</x:v>
      </x:c>
      <x:c r="B51" s="16" t="str">
        <x:f>IF(C51="KE","Kenya",IF(C51="UG","Uganda",IF(C51="MU","Mauritius",IF(C51="TZ","Tanzania",IF(C51="RW","Rwanda",IF(C51="ZA","South Africa",IF(C51="ZM","Zambia","")))))))</x:f>
        <x:v>Kenya</x:v>
      </x:c>
      <x:c r="C51" s="16" t="str">
        <x:f>'EMA Assurance Employee List'!B51</x:f>
        <x:v>KE</x:v>
      </x:c>
      <x:c r="D51" s="16" t="str">
        <x:f>'EMA Assurance Employee List'!D51</x:f>
        <x:v>beryl.wasungu@pwc.com</x:v>
      </x:c>
      <x:c r="E51" s="130" t="n">
        <x:f>IF($D51="",0,SUMIF('Attendance Report - Option 1'!$P$11:$P$315,$D51,'Attendance Report - Option 1'!$Q$11:$Q$315)/86400)</x:f>
        <x:v>0.07309027777777778</x:v>
      </x:c>
      <x:c r="F51" s="131" t="str">
        <x:f>IF(E51=0,"Did not attend",IF(E51&gt;='Read Me'!$E$2/86400,"Fully attended","Partially attended"))</x:f>
        <x:v>Fully attended</x:v>
      </x:c>
      <x:c r="G51" s="130" t="n">
        <x:f>IF($D51="",0,SUMIF('Attendance Report - Option 2'!$P$11:$P$412,$D51,'Attendance Report - Option 2'!$Q$11:$Q$412)/86400)</x:f>
        <x:v>0</x:v>
      </x:c>
      <x:c r="H51" s="131" t="str">
        <x:f>IF(G51=0,"Did not attend",IF(G51&gt;='Read Me'!$E$2/86400,"Fully attended","Partially attended"))</x:f>
        <x:v>Did not attend</x:v>
      </x:c>
      <x:c r="I51" s="130" t="n">
        <x:f>E51+G51</x:f>
        <x:v>0.07309027777777778</x:v>
      </x:c>
      <x:c r="J51" s="131" t="str">
        <x:f>IF(I51=0,"Did not attend",IF(I51&gt;='Read Me'!$E$2/86400,"Fully attended","Partially attended"))</x:f>
        <x:v>Fully attended</x:v>
      </x:c>
      <x:c r="K51" s="131" t="str">
        <x:f>IF($D51="","No",IF(COUNTIF('Attendance Report - Option 1'!$P$11:$P$315,$D51)&gt;0,"Yes","No"))</x:f>
        <x:v>Yes</x:v>
      </x:c>
      <x:c r="L51" s="131" t="str">
        <x:f>IF($D51="","No",IF(COUNTIF('Attendance Report - Option 2'!$P$11:$P$412,$D51)&gt;0,"Yes","No"))</x:f>
        <x:v>No</x:v>
      </x:c>
    </x:row>
    <x:row r="52">
      <x:c r="A52" s="16" t="str">
        <x:f>'EMA Assurance Employee List'!A52</x:f>
        <x:v>Bhavesh Naggea</x:v>
      </x:c>
      <x:c r="B52" s="16" t="str">
        <x:f>IF(C52="KE","Kenya",IF(C52="UG","Uganda",IF(C52="MU","Mauritius",IF(C52="TZ","Tanzania",IF(C52="RW","Rwanda",IF(C52="ZA","South Africa",IF(C52="ZM","Zambia","")))))))</x:f>
        <x:v>Mauritius</x:v>
      </x:c>
      <x:c r="C52" s="16" t="str">
        <x:f>'EMA Assurance Employee List'!B52</x:f>
        <x:v>MU</x:v>
      </x:c>
      <x:c r="D52" s="16" t="str">
        <x:f>'EMA Assurance Employee List'!D52</x:f>
        <x:v>bhavesh.naggea@pwc.com</x:v>
      </x:c>
      <x:c r="E52" s="130" t="n">
        <x:f>IF($D52="",0,SUMIF('Attendance Report - Option 1'!$P$11:$P$315,$D52,'Attendance Report - Option 1'!$Q$11:$Q$315)/86400)</x:f>
        <x:v>0.08358796296296296</x:v>
      </x:c>
      <x:c r="F52" s="131" t="str">
        <x:f>IF(E52=0,"Did not attend",IF(E52&gt;='Read Me'!$E$2/86400,"Fully attended","Partially attended"))</x:f>
        <x:v>Fully attended</x:v>
      </x:c>
      <x:c r="G52" s="130" t="n">
        <x:f>IF($D52="",0,SUMIF('Attendance Report - Option 2'!$P$11:$P$412,$D52,'Attendance Report - Option 2'!$Q$11:$Q$412)/86400)</x:f>
        <x:v>0</x:v>
      </x:c>
      <x:c r="H52" s="131" t="str">
        <x:f>IF(G52=0,"Did not attend",IF(G52&gt;='Read Me'!$E$2/86400,"Fully attended","Partially attended"))</x:f>
        <x:v>Did not attend</x:v>
      </x:c>
      <x:c r="I52" s="130" t="n">
        <x:f>E52+G52</x:f>
        <x:v>0.08358796296296296</x:v>
      </x:c>
      <x:c r="J52" s="131" t="str">
        <x:f>IF(I52=0,"Did not attend",IF(I52&gt;='Read Me'!$E$2/86400,"Fully attended","Partially attended"))</x:f>
        <x:v>Fully attended</x:v>
      </x:c>
      <x:c r="K52" s="131" t="str">
        <x:f>IF($D52="","No",IF(COUNTIF('Attendance Report - Option 1'!$P$11:$P$315,$D52)&gt;0,"Yes","No"))</x:f>
        <x:v>Yes</x:v>
      </x:c>
      <x:c r="L52" s="131" t="str">
        <x:f>IF($D52="","No",IF(COUNTIF('Attendance Report - Option 2'!$P$11:$P$412,$D52)&gt;0,"Yes","No"))</x:f>
        <x:v>No</x:v>
      </x:c>
    </x:row>
    <x:row r="53">
      <x:c r="A53" s="16" t="str">
        <x:f>'EMA Assurance Employee List'!A53</x:f>
        <x:v>Bhuvana Mulliah</x:v>
      </x:c>
      <x:c r="B53" s="16" t="str">
        <x:f>IF(C53="KE","Kenya",IF(C53="UG","Uganda",IF(C53="MU","Mauritius",IF(C53="TZ","Tanzania",IF(C53="RW","Rwanda",IF(C53="ZA","South Africa",IF(C53="ZM","Zambia","")))))))</x:f>
        <x:v>Mauritius</x:v>
      </x:c>
      <x:c r="C53" s="16" t="str">
        <x:f>'EMA Assurance Employee List'!B53</x:f>
        <x:v>MU</x:v>
      </x:c>
      <x:c r="D53" s="16" t="str">
        <x:f>'EMA Assurance Employee List'!D53</x:f>
        <x:v>bhuvana.mulliah@pwc.com</x:v>
      </x:c>
      <x:c r="E53" s="130" t="n">
        <x:f>IF($D53="",0,SUMIF('Attendance Report - Option 1'!$P$11:$P$315,$D53,'Attendance Report - Option 1'!$Q$11:$Q$315)/86400)</x:f>
        <x:v>0.08252314814814815</x:v>
      </x:c>
      <x:c r="F53" s="131" t="str">
        <x:f>IF(E53=0,"Did not attend",IF(E53&gt;='Read Me'!$E$2/86400,"Fully attended","Partially attended"))</x:f>
        <x:v>Fully attended</x:v>
      </x:c>
      <x:c r="G53" s="130" t="n">
        <x:f>IF($D53="",0,SUMIF('Attendance Report - Option 2'!$P$11:$P$412,$D53,'Attendance Report - Option 2'!$Q$11:$Q$412)/86400)</x:f>
        <x:v>0</x:v>
      </x:c>
      <x:c r="H53" s="131" t="str">
        <x:f>IF(G53=0,"Did not attend",IF(G53&gt;='Read Me'!$E$2/86400,"Fully attended","Partially attended"))</x:f>
        <x:v>Did not attend</x:v>
      </x:c>
      <x:c r="I53" s="130" t="n">
        <x:f>E53+G53</x:f>
        <x:v>0.08252314814814815</x:v>
      </x:c>
      <x:c r="J53" s="131" t="str">
        <x:f>IF(I53=0,"Did not attend",IF(I53&gt;='Read Me'!$E$2/86400,"Fully attended","Partially attended"))</x:f>
        <x:v>Fully attended</x:v>
      </x:c>
      <x:c r="K53" s="131" t="str">
        <x:f>IF($D53="","No",IF(COUNTIF('Attendance Report - Option 1'!$P$11:$P$315,$D53)&gt;0,"Yes","No"))</x:f>
        <x:v>Yes</x:v>
      </x:c>
      <x:c r="L53" s="131" t="str">
        <x:f>IF($D53="","No",IF(COUNTIF('Attendance Report - Option 2'!$P$11:$P$412,$D53)&gt;0,"Yes","No"))</x:f>
        <x:v>No</x:v>
      </x:c>
    </x:row>
    <x:row r="54">
      <x:c r="A54" s="16" t="str">
        <x:f>'EMA Assurance Employee List'!A54</x:f>
        <x:v>Brayan Laizer</x:v>
      </x:c>
      <x:c r="B54" s="16" t="str">
        <x:f>IF(C54="KE","Kenya",IF(C54="UG","Uganda",IF(C54="MU","Mauritius",IF(C54="TZ","Tanzania",IF(C54="RW","Rwanda",IF(C54="ZA","South Africa",IF(C54="ZM","Zambia","")))))))</x:f>
        <x:v>Tanzania</x:v>
      </x:c>
      <x:c r="C54" s="16" t="str">
        <x:f>'EMA Assurance Employee List'!B54</x:f>
        <x:v>TZ</x:v>
      </x:c>
      <x:c r="D54" s="16" t="str">
        <x:f>'EMA Assurance Employee List'!D54</x:f>
        <x:v>brayan.laizer@pwc.com</x:v>
      </x:c>
      <x:c r="E54" s="130" t="n">
        <x:f>IF($D54="",0,SUMIF('Attendance Report - Option 1'!$P$11:$P$315,$D54,'Attendance Report - Option 1'!$Q$11:$Q$315)/86400)</x:f>
        <x:v>0.0852662037037037</x:v>
      </x:c>
      <x:c r="F54" s="131" t="str">
        <x:f>IF(E54=0,"Did not attend",IF(E54&gt;='Read Me'!$E$2/86400,"Fully attended","Partially attended"))</x:f>
        <x:v>Fully attended</x:v>
      </x:c>
      <x:c r="G54" s="130" t="n">
        <x:f>IF($D54="",0,SUMIF('Attendance Report - Option 2'!$P$11:$P$412,$D54,'Attendance Report - Option 2'!$Q$11:$Q$412)/86400)</x:f>
        <x:v>0.054814814814814816</x:v>
      </x:c>
      <x:c r="H54" s="131" t="str">
        <x:f>IF(G54=0,"Did not attend",IF(G54&gt;='Read Me'!$E$2/86400,"Fully attended","Partially attended"))</x:f>
        <x:v>Partially attended</x:v>
      </x:c>
      <x:c r="I54" s="130" t="n">
        <x:f>E54+G54</x:f>
        <x:v>0.1400810185185185</x:v>
      </x:c>
      <x:c r="J54" s="131" t="str">
        <x:f>IF(I54=0,"Did not attend",IF(I54&gt;='Read Me'!$E$2/86400,"Fully attended","Partially attended"))</x:f>
        <x:v>Fully attended</x:v>
      </x:c>
      <x:c r="K54" s="131" t="str">
        <x:f>IF($D54="","No",IF(COUNTIF('Attendance Report - Option 1'!$P$11:$P$315,$D54)&gt;0,"Yes","No"))</x:f>
        <x:v>Yes</x:v>
      </x:c>
      <x:c r="L54" s="131" t="str">
        <x:f>IF($D54="","No",IF(COUNTIF('Attendance Report - Option 2'!$P$11:$P$412,$D54)&gt;0,"Yes","No"))</x:f>
        <x:v>Yes</x:v>
      </x:c>
    </x:row>
    <x:row r="55">
      <x:c r="A55" s="16" t="str">
        <x:f>'EMA Assurance Employee List'!A55</x:f>
        <x:v>Brian Morara</x:v>
      </x:c>
      <x:c r="B55" s="16" t="str">
        <x:f>IF(C55="KE","Kenya",IF(C55="UG","Uganda",IF(C55="MU","Mauritius",IF(C55="TZ","Tanzania",IF(C55="RW","Rwanda",IF(C55="ZA","South Africa",IF(C55="ZM","Zambia","")))))))</x:f>
        <x:v>Kenya</x:v>
      </x:c>
      <x:c r="C55" s="16" t="str">
        <x:f>'EMA Assurance Employee List'!B55</x:f>
        <x:v>KE</x:v>
      </x:c>
      <x:c r="D55" s="16" t="str">
        <x:f>'EMA Assurance Employee List'!D55</x:f>
        <x:v>brian.morara@pwc.com</x:v>
      </x:c>
      <x:c r="E55" s="130" t="n">
        <x:f>IF($D55="",0,SUMIF('Attendance Report - Option 1'!$P$11:$P$315,$D55,'Attendance Report - Option 1'!$Q$11:$Q$315)/86400)</x:f>
        <x:v>0</x:v>
      </x:c>
      <x:c r="F55" s="131" t="str">
        <x:f>IF(E55=0,"Did not attend",IF(E55&gt;='Read Me'!$E$2/86400,"Fully attended","Partially attended"))</x:f>
        <x:v>Did not attend</x:v>
      </x:c>
      <x:c r="G55" s="130" t="n">
        <x:f>IF($D55="",0,SUMIF('Attendance Report - Option 2'!$P$11:$P$412,$D55,'Attendance Report - Option 2'!$Q$11:$Q$412)/86400)</x:f>
        <x:v>0.07690972222222223</x:v>
      </x:c>
      <x:c r="H55" s="131" t="str">
        <x:f>IF(G55=0,"Did not attend",IF(G55&gt;='Read Me'!$E$2/86400,"Fully attended","Partially attended"))</x:f>
        <x:v>Fully attended</x:v>
      </x:c>
      <x:c r="I55" s="130" t="n">
        <x:f>E55+G55</x:f>
        <x:v>0.07690972222222223</x:v>
      </x:c>
      <x:c r="J55" s="131" t="str">
        <x:f>IF(I55=0,"Did not attend",IF(I55&gt;='Read Me'!$E$2/86400,"Fully attended","Partially attended"))</x:f>
        <x:v>Fully attended</x:v>
      </x:c>
      <x:c r="K55" s="131" t="str">
        <x:f>IF($D55="","No",IF(COUNTIF('Attendance Report - Option 1'!$P$11:$P$315,$D55)&gt;0,"Yes","No"))</x:f>
        <x:v>No</x:v>
      </x:c>
      <x:c r="L55" s="131" t="str">
        <x:f>IF($D55="","No",IF(COUNTIF('Attendance Report - Option 2'!$P$11:$P$412,$D55)&gt;0,"Yes","No"))</x:f>
        <x:v>Yes</x:v>
      </x:c>
    </x:row>
    <x:row r="56">
      <x:c r="A56" s="16" t="str">
        <x:f>'EMA Assurance Employee List'!A56</x:f>
        <x:v>Brian Ndagala</x:v>
      </x:c>
      <x:c r="B56" s="16" t="str">
        <x:f>IF(C56="KE","Kenya",IF(C56="UG","Uganda",IF(C56="MU","Mauritius",IF(C56="TZ","Tanzania",IF(C56="RW","Rwanda",IF(C56="ZA","South Africa",IF(C56="ZM","Zambia","")))))))</x:f>
        <x:v>Kenya</x:v>
      </x:c>
      <x:c r="C56" s="16" t="str">
        <x:f>'EMA Assurance Employee List'!B56</x:f>
        <x:v>KE</x:v>
      </x:c>
      <x:c r="D56" s="16" t="str">
        <x:f>'EMA Assurance Employee List'!D56</x:f>
        <x:v>brian.ndagala@pwc.com</x:v>
      </x:c>
      <x:c r="E56" s="130" t="n">
        <x:f>IF($D56="",0,SUMIF('Attendance Report - Option 1'!$P$11:$P$315,$D56,'Attendance Report - Option 1'!$Q$11:$Q$315)/86400)</x:f>
        <x:v>0</x:v>
      </x:c>
      <x:c r="F56" s="131" t="str">
        <x:f>IF(E56=0,"Did not attend",IF(E56&gt;='Read Me'!$E$2/86400,"Fully attended","Partially attended"))</x:f>
        <x:v>Did not attend</x:v>
      </x:c>
      <x:c r="G56" s="130" t="n">
        <x:f>IF($D56="",0,SUMIF('Attendance Report - Option 2'!$P$11:$P$412,$D56,'Attendance Report - Option 2'!$Q$11:$Q$412)/86400)</x:f>
        <x:v>0.08157407407407408</x:v>
      </x:c>
      <x:c r="H56" s="131" t="str">
        <x:f>IF(G56=0,"Did not attend",IF(G56&gt;='Read Me'!$E$2/86400,"Fully attended","Partially attended"))</x:f>
        <x:v>Fully attended</x:v>
      </x:c>
      <x:c r="I56" s="130" t="n">
        <x:f>E56+G56</x:f>
        <x:v>0.08157407407407408</x:v>
      </x:c>
      <x:c r="J56" s="131" t="str">
        <x:f>IF(I56=0,"Did not attend",IF(I56&gt;='Read Me'!$E$2/86400,"Fully attended","Partially attended"))</x:f>
        <x:v>Fully attended</x:v>
      </x:c>
      <x:c r="K56" s="131" t="str">
        <x:f>IF($D56="","No",IF(COUNTIF('Attendance Report - Option 1'!$P$11:$P$315,$D56)&gt;0,"Yes","No"))</x:f>
        <x:v>No</x:v>
      </x:c>
      <x:c r="L56" s="131" t="str">
        <x:f>IF($D56="","No",IF(COUNTIF('Attendance Report - Option 2'!$P$11:$P$412,$D56)&gt;0,"Yes","No"))</x:f>
        <x:v>Yes</x:v>
      </x:c>
    </x:row>
    <x:row r="57">
      <x:c r="A57" s="16" t="str">
        <x:f>'EMA Assurance Employee List'!A57</x:f>
        <x:v>Brian Ngunjiri</x:v>
      </x:c>
      <x:c r="B57" s="16" t="str">
        <x:f>IF(C57="KE","Kenya",IF(C57="UG","Uganda",IF(C57="MU","Mauritius",IF(C57="TZ","Tanzania",IF(C57="RW","Rwanda",IF(C57="ZA","South Africa",IF(C57="ZM","Zambia","")))))))</x:f>
        <x:v>Rwanda</x:v>
      </x:c>
      <x:c r="C57" s="16" t="str">
        <x:f>'EMA Assurance Employee List'!B57</x:f>
        <x:v>RW</x:v>
      </x:c>
      <x:c r="D57" s="16" t="str">
        <x:f>'EMA Assurance Employee List'!D57</x:f>
        <x:v>brian.m.ngunjiri@pwc.com</x:v>
      </x:c>
      <x:c r="E57" s="130" t="n">
        <x:f>IF($D57="",0,SUMIF('Attendance Report - Option 1'!$P$11:$P$315,$D57,'Attendance Report - Option 1'!$Q$11:$Q$315)/86400)</x:f>
        <x:v>0</x:v>
      </x:c>
      <x:c r="F57" s="131" t="str">
        <x:f>IF(E57=0,"Did not attend",IF(E57&gt;='Read Me'!$E$2/86400,"Fully attended","Partially attended"))</x:f>
        <x:v>Did not attend</x:v>
      </x:c>
      <x:c r="G57" s="130" t="n">
        <x:f>IF($D57="",0,SUMIF('Attendance Report - Option 2'!$P$11:$P$412,$D57,'Attendance Report - Option 2'!$Q$11:$Q$412)/86400)</x:f>
        <x:v>0.08765046296296296</x:v>
      </x:c>
      <x:c r="H57" s="131" t="str">
        <x:f>IF(G57=0,"Did not attend",IF(G57&gt;='Read Me'!$E$2/86400,"Fully attended","Partially attended"))</x:f>
        <x:v>Fully attended</x:v>
      </x:c>
      <x:c r="I57" s="130" t="n">
        <x:f>E57+G57</x:f>
        <x:v>0.08765046296296296</x:v>
      </x:c>
      <x:c r="J57" s="131" t="str">
        <x:f>IF(I57=0,"Did not attend",IF(I57&gt;='Read Me'!$E$2/86400,"Fully attended","Partially attended"))</x:f>
        <x:v>Fully attended</x:v>
      </x:c>
      <x:c r="K57" s="131" t="str">
        <x:f>IF($D57="","No",IF(COUNTIF('Attendance Report - Option 1'!$P$11:$P$315,$D57)&gt;0,"Yes","No"))</x:f>
        <x:v>No</x:v>
      </x:c>
      <x:c r="L57" s="131" t="str">
        <x:f>IF($D57="","No",IF(COUNTIF('Attendance Report - Option 2'!$P$11:$P$412,$D57)&gt;0,"Yes","No"))</x:f>
        <x:v>Yes</x:v>
      </x:c>
    </x:row>
    <x:row r="58">
      <x:c r="A58" s="16" t="str">
        <x:f>'EMA Assurance Employee List'!A58</x:f>
        <x:v>Brian Nyangweso</x:v>
      </x:c>
      <x:c r="B58" s="16" t="str">
        <x:f>IF(C58="KE","Kenya",IF(C58="UG","Uganda",IF(C58="MU","Mauritius",IF(C58="TZ","Tanzania",IF(C58="RW","Rwanda",IF(C58="ZA","South Africa",IF(C58="ZM","Zambia","")))))))</x:f>
        <x:v>Kenya</x:v>
      </x:c>
      <x:c r="C58" s="16" t="str">
        <x:f>'EMA Assurance Employee List'!B58</x:f>
        <x:v>KE</x:v>
      </x:c>
      <x:c r="D58" s="16" t="str">
        <x:f>'EMA Assurance Employee List'!D58</x:f>
        <x:v>brian.nyangweso@pwc.com</x:v>
      </x:c>
      <x:c r="E58" s="130" t="n">
        <x:f>IF($D58="",0,SUMIF('Attendance Report - Option 1'!$P$11:$P$315,$D58,'Attendance Report - Option 1'!$Q$11:$Q$315)/86400)</x:f>
        <x:v>0</x:v>
      </x:c>
      <x:c r="F58" s="131" t="str">
        <x:f>IF(E58=0,"Did not attend",IF(E58&gt;='Read Me'!$E$2/86400,"Fully attended","Partially attended"))</x:f>
        <x:v>Did not attend</x:v>
      </x:c>
      <x:c r="G58" s="130" t="n">
        <x:f>IF($D58="",0,SUMIF('Attendance Report - Option 2'!$P$11:$P$412,$D58,'Attendance Report - Option 2'!$Q$11:$Q$412)/86400)</x:f>
        <x:v>0.0875925925925926</x:v>
      </x:c>
      <x:c r="H58" s="131" t="str">
        <x:f>IF(G58=0,"Did not attend",IF(G58&gt;='Read Me'!$E$2/86400,"Fully attended","Partially attended"))</x:f>
        <x:v>Fully attended</x:v>
      </x:c>
      <x:c r="I58" s="130" t="n">
        <x:f>E58+G58</x:f>
        <x:v>0.0875925925925926</x:v>
      </x:c>
      <x:c r="J58" s="131" t="str">
        <x:f>IF(I58=0,"Did not attend",IF(I58&gt;='Read Me'!$E$2/86400,"Fully attended","Partially attended"))</x:f>
        <x:v>Fully attended</x:v>
      </x:c>
      <x:c r="K58" s="131" t="str">
        <x:f>IF($D58="","No",IF(COUNTIF('Attendance Report - Option 1'!$P$11:$P$315,$D58)&gt;0,"Yes","No"))</x:f>
        <x:v>No</x:v>
      </x:c>
      <x:c r="L58" s="131" t="str">
        <x:f>IF($D58="","No",IF(COUNTIF('Attendance Report - Option 2'!$P$11:$P$412,$D58)&gt;0,"Yes","No"))</x:f>
        <x:v>Yes</x:v>
      </x:c>
    </x:row>
    <x:row r="59">
      <x:c r="A59" s="16" t="str">
        <x:f>'EMA Assurance Employee List'!A59</x:f>
        <x:v>Brian Ogoti</x:v>
      </x:c>
      <x:c r="B59" s="16" t="str">
        <x:f>IF(C59="KE","Kenya",IF(C59="UG","Uganda",IF(C59="MU","Mauritius",IF(C59="TZ","Tanzania",IF(C59="RW","Rwanda",IF(C59="ZA","South Africa",IF(C59="ZM","Zambia","")))))))</x:f>
        <x:v>Kenya</x:v>
      </x:c>
      <x:c r="C59" s="16" t="str">
        <x:f>'EMA Assurance Employee List'!B59</x:f>
        <x:v>KE</x:v>
      </x:c>
      <x:c r="D59" s="16" t="str">
        <x:f>'EMA Assurance Employee List'!D59</x:f>
        <x:v>brian.ogoti@pwc.com</x:v>
      </x:c>
      <x:c r="E59" s="130" t="n">
        <x:f>IF($D59="",0,SUMIF('Attendance Report - Option 1'!$P$11:$P$315,$D59,'Attendance Report - Option 1'!$Q$11:$Q$315)/86400)</x:f>
        <x:v>0</x:v>
      </x:c>
      <x:c r="F59" s="131" t="str">
        <x:f>IF(E59=0,"Did not attend",IF(E59&gt;='Read Me'!$E$2/86400,"Fully attended","Partially attended"))</x:f>
        <x:v>Did not attend</x:v>
      </x:c>
      <x:c r="G59" s="130" t="n">
        <x:f>IF($D59="",0,SUMIF('Attendance Report - Option 2'!$P$11:$P$412,$D59,'Attendance Report - Option 2'!$Q$11:$Q$412)/86400)</x:f>
        <x:v>0.006678240740740741</x:v>
      </x:c>
      <x:c r="H59" s="131" t="str">
        <x:f>IF(G59=0,"Did not attend",IF(G59&gt;='Read Me'!$E$2/86400,"Fully attended","Partially attended"))</x:f>
        <x:v>Partially attended</x:v>
      </x:c>
      <x:c r="I59" s="130" t="n">
        <x:f>E59+G59</x:f>
        <x:v>0.006678240740740741</x:v>
      </x:c>
      <x:c r="J59" s="131" t="str">
        <x:f>IF(I59=0,"Did not attend",IF(I59&gt;='Read Me'!$E$2/86400,"Fully attended","Partially attended"))</x:f>
        <x:v>Partially attended</x:v>
      </x:c>
      <x:c r="K59" s="131" t="str">
        <x:f>IF($D59="","No",IF(COUNTIF('Attendance Report - Option 1'!$P$11:$P$315,$D59)&gt;0,"Yes","No"))</x:f>
        <x:v>No</x:v>
      </x:c>
      <x:c r="L59" s="131" t="str">
        <x:f>IF($D59="","No",IF(COUNTIF('Attendance Report - Option 2'!$P$11:$P$412,$D59)&gt;0,"Yes","No"))</x:f>
        <x:v>Yes</x:v>
      </x:c>
    </x:row>
    <x:row r="60">
      <x:c r="A60" s="16" t="str">
        <x:f>'EMA Assurance Employee List'!A60</x:f>
        <x:v>Brian Okech</x:v>
      </x:c>
      <x:c r="B60" s="16" t="str">
        <x:f>IF(C60="KE","Kenya",IF(C60="UG","Uganda",IF(C60="MU","Mauritius",IF(C60="TZ","Tanzania",IF(C60="RW","Rwanda",IF(C60="ZA","South Africa",IF(C60="ZM","Zambia","")))))))</x:f>
        <x:v>Kenya</x:v>
      </x:c>
      <x:c r="C60" s="16" t="str">
        <x:f>'EMA Assurance Employee List'!B60</x:f>
        <x:v>KE</x:v>
      </x:c>
      <x:c r="D60" s="16" t="str">
        <x:f>'EMA Assurance Employee List'!D60</x:f>
        <x:v>brian.okech@pwc.com</x:v>
      </x:c>
      <x:c r="E60" s="130" t="n">
        <x:f>IF($D60="",0,SUMIF('Attendance Report - Option 1'!$P$11:$P$315,$D60,'Attendance Report - Option 1'!$Q$11:$Q$315)/86400)</x:f>
        <x:v>0</x:v>
      </x:c>
      <x:c r="F60" s="131" t="str">
        <x:f>IF(E60=0,"Did not attend",IF(E60&gt;='Read Me'!$E$2/86400,"Fully attended","Partially attended"))</x:f>
        <x:v>Did not attend</x:v>
      </x:c>
      <x:c r="G60" s="130" t="n">
        <x:f>IF($D60="",0,SUMIF('Attendance Report - Option 2'!$P$11:$P$412,$D60,'Attendance Report - Option 2'!$Q$11:$Q$412)/86400)</x:f>
        <x:v>0.07741898148148148</x:v>
      </x:c>
      <x:c r="H60" s="131" t="str">
        <x:f>IF(G60=0,"Did not attend",IF(G60&gt;='Read Me'!$E$2/86400,"Fully attended","Partially attended"))</x:f>
        <x:v>Fully attended</x:v>
      </x:c>
      <x:c r="I60" s="130" t="n">
        <x:f>E60+G60</x:f>
        <x:v>0.07741898148148148</x:v>
      </x:c>
      <x:c r="J60" s="131" t="str">
        <x:f>IF(I60=0,"Did not attend",IF(I60&gt;='Read Me'!$E$2/86400,"Fully attended","Partially attended"))</x:f>
        <x:v>Fully attended</x:v>
      </x:c>
      <x:c r="K60" s="131" t="str">
        <x:f>IF($D60="","No",IF(COUNTIF('Attendance Report - Option 1'!$P$11:$P$315,$D60)&gt;0,"Yes","No"))</x:f>
        <x:v>No</x:v>
      </x:c>
      <x:c r="L60" s="131" t="str">
        <x:f>IF($D60="","No",IF(COUNTIF('Attendance Report - Option 2'!$P$11:$P$412,$D60)&gt;0,"Yes","No"))</x:f>
        <x:v>Yes</x:v>
      </x:c>
    </x:row>
    <x:row r="61">
      <x:c r="A61" s="16" t="str">
        <x:f>'EMA Assurance Employee List'!A61</x:f>
        <x:v>Bruno Kayonga</x:v>
      </x:c>
      <x:c r="B61" s="16" t="str">
        <x:f>IF(C61="KE","Kenya",IF(C61="UG","Uganda",IF(C61="MU","Mauritius",IF(C61="TZ","Tanzania",IF(C61="RW","Rwanda",IF(C61="ZA","South Africa",IF(C61="ZM","Zambia","")))))))</x:f>
        <x:v>Rwanda</x:v>
      </x:c>
      <x:c r="C61" s="16" t="str">
        <x:f>'EMA Assurance Employee List'!B61</x:f>
        <x:v>RW</x:v>
      </x:c>
      <x:c r="D61" s="16" t="str">
        <x:f>'EMA Assurance Employee List'!D61</x:f>
        <x:v>bruno.kayonga@pwc.com</x:v>
      </x:c>
      <x:c r="E61" s="130" t="n">
        <x:f>IF($D61="",0,SUMIF('Attendance Report - Option 1'!$P$11:$P$315,$D61,'Attendance Report - Option 1'!$Q$11:$Q$315)/86400)</x:f>
        <x:v>0.07231481481481482</x:v>
      </x:c>
      <x:c r="F61" s="131" t="str">
        <x:f>IF(E61=0,"Did not attend",IF(E61&gt;='Read Me'!$E$2/86400,"Fully attended","Partially attended"))</x:f>
        <x:v>Fully attended</x:v>
      </x:c>
      <x:c r="G61" s="130" t="n">
        <x:f>IF($D61="",0,SUMIF('Attendance Report - Option 2'!$P$11:$P$412,$D61,'Attendance Report - Option 2'!$Q$11:$Q$412)/86400)</x:f>
        <x:v>0</x:v>
      </x:c>
      <x:c r="H61" s="131" t="str">
        <x:f>IF(G61=0,"Did not attend",IF(G61&gt;='Read Me'!$E$2/86400,"Fully attended","Partially attended"))</x:f>
        <x:v>Did not attend</x:v>
      </x:c>
      <x:c r="I61" s="130" t="n">
        <x:f>E61+G61</x:f>
        <x:v>0.07231481481481482</x:v>
      </x:c>
      <x:c r="J61" s="131" t="str">
        <x:f>IF(I61=0,"Did not attend",IF(I61&gt;='Read Me'!$E$2/86400,"Fully attended","Partially attended"))</x:f>
        <x:v>Fully attended</x:v>
      </x:c>
      <x:c r="K61" s="131" t="str">
        <x:f>IF($D61="","No",IF(COUNTIF('Attendance Report - Option 1'!$P$11:$P$315,$D61)&gt;0,"Yes","No"))</x:f>
        <x:v>Yes</x:v>
      </x:c>
      <x:c r="L61" s="131" t="str">
        <x:f>IF($D61="","No",IF(COUNTIF('Attendance Report - Option 2'!$P$11:$P$412,$D61)&gt;0,"Yes","No"))</x:f>
        <x:v>No</x:v>
      </x:c>
    </x:row>
    <x:row r="62">
      <x:c r="A62" s="16" t="str">
        <x:f>'EMA Assurance Employee List'!A62</x:f>
        <x:v>Bumi Mwampullo</x:v>
      </x:c>
      <x:c r="B62" s="16" t="str">
        <x:f>IF(C62="KE","Kenya",IF(C62="UG","Uganda",IF(C62="MU","Mauritius",IF(C62="TZ","Tanzania",IF(C62="RW","Rwanda",IF(C62="ZA","South Africa",IF(C62="ZM","Zambia","")))))))</x:f>
        <x:v>Tanzania</x:v>
      </x:c>
      <x:c r="C62" s="16" t="str">
        <x:f>'EMA Assurance Employee List'!B62</x:f>
        <x:v>TZ</x:v>
      </x:c>
      <x:c r="D62" s="16" t="str">
        <x:f>'EMA Assurance Employee List'!D62</x:f>
        <x:v>bumi.mwampullo@pwc.com</x:v>
      </x:c>
      <x:c r="E62" s="130" t="n">
        <x:f>IF($D62="",0,SUMIF('Attendance Report - Option 1'!$P$11:$P$315,$D62,'Attendance Report - Option 1'!$Q$11:$Q$315)/86400)</x:f>
        <x:v>0.07861111111111112</x:v>
      </x:c>
      <x:c r="F62" s="131" t="str">
        <x:f>IF(E62=0,"Did not attend",IF(E62&gt;='Read Me'!$E$2/86400,"Fully attended","Partially attended"))</x:f>
        <x:v>Fully attended</x:v>
      </x:c>
      <x:c r="G62" s="130" t="n">
        <x:f>IF($D62="",0,SUMIF('Attendance Report - Option 2'!$P$11:$P$412,$D62,'Attendance Report - Option 2'!$Q$11:$Q$412)/86400)</x:f>
        <x:v>0</x:v>
      </x:c>
      <x:c r="H62" s="131" t="str">
        <x:f>IF(G62=0,"Did not attend",IF(G62&gt;='Read Me'!$E$2/86400,"Fully attended","Partially attended"))</x:f>
        <x:v>Did not attend</x:v>
      </x:c>
      <x:c r="I62" s="130" t="n">
        <x:f>E62+G62</x:f>
        <x:v>0.07861111111111112</x:v>
      </x:c>
      <x:c r="J62" s="131" t="str">
        <x:f>IF(I62=0,"Did not attend",IF(I62&gt;='Read Me'!$E$2/86400,"Fully attended","Partially attended"))</x:f>
        <x:v>Fully attended</x:v>
      </x:c>
      <x:c r="K62" s="131" t="str">
        <x:f>IF($D62="","No",IF(COUNTIF('Attendance Report - Option 1'!$P$11:$P$315,$D62)&gt;0,"Yes","No"))</x:f>
        <x:v>Yes</x:v>
      </x:c>
      <x:c r="L62" s="131" t="str">
        <x:f>IF($D62="","No",IF(COUNTIF('Attendance Report - Option 2'!$P$11:$P$412,$D62)&gt;0,"Yes","No"))</x:f>
        <x:v>No</x:v>
      </x:c>
    </x:row>
    <x:row r="63">
      <x:c r="A63" s="16" t="str">
        <x:f>'EMA Assurance Employee List'!A63</x:f>
        <x:v>Bupe Mutale</x:v>
      </x:c>
      <x:c r="B63" s="16" t="str">
        <x:f>IF(C63="KE","Kenya",IF(C63="UG","Uganda",IF(C63="MU","Mauritius",IF(C63="TZ","Tanzania",IF(C63="RW","Rwanda",IF(C63="ZA","South Africa",IF(C63="ZM","Zambia","")))))))</x:f>
        <x:v>Zambia</x:v>
      </x:c>
      <x:c r="C63" s="16" t="str">
        <x:f>'EMA Assurance Employee List'!B63</x:f>
        <x:v>ZM</x:v>
      </x:c>
      <x:c r="D63" s="16" t="str">
        <x:f>'EMA Assurance Employee List'!D63</x:f>
        <x:v>bupe.b.mutale@pwc.com</x:v>
      </x:c>
      <x:c r="E63" s="130" t="n">
        <x:f>IF($D63="",0,SUMIF('Attendance Report - Option 1'!$P$11:$P$315,$D63,'Attendance Report - Option 1'!$Q$11:$Q$315)/86400)</x:f>
        <x:v>0</x:v>
      </x:c>
      <x:c r="F63" s="131" t="str">
        <x:f>IF(E63=0,"Did not attend",IF(E63&gt;='Read Me'!$E$2/86400,"Fully attended","Partially attended"))</x:f>
        <x:v>Did not attend</x:v>
      </x:c>
      <x:c r="G63" s="130" t="n">
        <x:f>IF($D63="",0,SUMIF('Attendance Report - Option 2'!$P$11:$P$412,$D63,'Attendance Report - Option 2'!$Q$11:$Q$412)/86400)</x:f>
        <x:v>0</x:v>
      </x:c>
      <x:c r="H63" s="131" t="str">
        <x:f>IF(G63=0,"Did not attend",IF(G63&gt;='Read Me'!$E$2/86400,"Fully attended","Partially attended"))</x:f>
        <x:v>Did not attend</x:v>
      </x:c>
      <x:c r="I63" s="130" t="n">
        <x:f>E63+G63</x:f>
        <x:v>0</x:v>
      </x:c>
      <x:c r="J63" s="131" t="str">
        <x:f>IF(I63=0,"Did not attend",IF(I63&gt;='Read Me'!$E$2/86400,"Fully attended","Partially attended"))</x:f>
        <x:v>Did not attend</x:v>
      </x:c>
      <x:c r="K63" s="131" t="str">
        <x:f>IF($D63="","No",IF(COUNTIF('Attendance Report - Option 1'!$P$11:$P$315,$D63)&gt;0,"Yes","No"))</x:f>
        <x:v>No</x:v>
      </x:c>
      <x:c r="L63" s="131" t="str">
        <x:f>IF($D63="","No",IF(COUNTIF('Attendance Report - Option 2'!$P$11:$P$412,$D63)&gt;0,"Yes","No"))</x:f>
        <x:v>No</x:v>
      </x:c>
    </x:row>
    <x:row r="64">
      <x:c r="A64" s="16" t="str">
        <x:f>'EMA Assurance Employee List'!A64</x:f>
        <x:v>Byron Carter</x:v>
      </x:c>
      <x:c r="B64" s="16" t="str">
        <x:f>IF(C64="KE","Kenya",IF(C64="UG","Uganda",IF(C64="MU","Mauritius",IF(C64="TZ","Tanzania",IF(C64="RW","Rwanda",IF(C64="ZA","South Africa",IF(C64="ZM","Zambia","")))))))</x:f>
        <x:v>Mauritius</x:v>
      </x:c>
      <x:c r="C64" s="16" t="str">
        <x:f>'EMA Assurance Employee List'!B64</x:f>
        <x:v>MU</x:v>
      </x:c>
      <x:c r="D64" s="16" t="str">
        <x:f>'EMA Assurance Employee List'!D64</x:f>
        <x:v>byron.carter@pwc.com</x:v>
      </x:c>
      <x:c r="E64" s="130" t="n">
        <x:f>IF($D64="",0,SUMIF('Attendance Report - Option 1'!$P$11:$P$315,$D64,'Attendance Report - Option 1'!$Q$11:$Q$315)/86400)</x:f>
        <x:v>0.08402777777777778</x:v>
      </x:c>
      <x:c r="F64" s="131" t="str">
        <x:f>IF(E64=0,"Did not attend",IF(E64&gt;='Read Me'!$E$2/86400,"Fully attended","Partially attended"))</x:f>
        <x:v>Fully attended</x:v>
      </x:c>
      <x:c r="G64" s="130" t="n">
        <x:f>IF($D64="",0,SUMIF('Attendance Report - Option 2'!$P$11:$P$412,$D64,'Attendance Report - Option 2'!$Q$11:$Q$412)/86400)</x:f>
        <x:v>0</x:v>
      </x:c>
      <x:c r="H64" s="131" t="str">
        <x:f>IF(G64=0,"Did not attend",IF(G64&gt;='Read Me'!$E$2/86400,"Fully attended","Partially attended"))</x:f>
        <x:v>Did not attend</x:v>
      </x:c>
      <x:c r="I64" s="130" t="n">
        <x:f>E64+G64</x:f>
        <x:v>0.08402777777777778</x:v>
      </x:c>
      <x:c r="J64" s="131" t="str">
        <x:f>IF(I64=0,"Did not attend",IF(I64&gt;='Read Me'!$E$2/86400,"Fully attended","Partially attended"))</x:f>
        <x:v>Fully attended</x:v>
      </x:c>
      <x:c r="K64" s="131" t="str">
        <x:f>IF($D64="","No",IF(COUNTIF('Attendance Report - Option 1'!$P$11:$P$315,$D64)&gt;0,"Yes","No"))</x:f>
        <x:v>Yes</x:v>
      </x:c>
      <x:c r="L64" s="131" t="str">
        <x:f>IF($D64="","No",IF(COUNTIF('Attendance Report - Option 2'!$P$11:$P$412,$D64)&gt;0,"Yes","No"))</x:f>
        <x:v>No</x:v>
      </x:c>
    </x:row>
    <x:row r="65">
      <x:c r="A65" s="16" t="str">
        <x:f>'EMA Assurance Employee List'!A65</x:f>
        <x:v>Caleb Ogola</x:v>
      </x:c>
      <x:c r="B65" s="16" t="str">
        <x:f>IF(C65="KE","Kenya",IF(C65="UG","Uganda",IF(C65="MU","Mauritius",IF(C65="TZ","Tanzania",IF(C65="RW","Rwanda",IF(C65="ZA","South Africa",IF(C65="ZM","Zambia","")))))))</x:f>
        <x:v>Rwanda</x:v>
      </x:c>
      <x:c r="C65" s="16" t="str">
        <x:f>'EMA Assurance Employee List'!B65</x:f>
        <x:v>RW</x:v>
      </x:c>
      <x:c r="D65" s="16" t="str">
        <x:f>'EMA Assurance Employee List'!D65</x:f>
        <x:v>caleb.b.ogola@pwc.com</x:v>
      </x:c>
      <x:c r="E65" s="130" t="n">
        <x:f>IF($D65="",0,SUMIF('Attendance Report - Option 1'!$P$11:$P$315,$D65,'Attendance Report - Option 1'!$Q$11:$Q$315)/86400)</x:f>
        <x:v>0</x:v>
      </x:c>
      <x:c r="F65" s="131" t="str">
        <x:f>IF(E65=0,"Did not attend",IF(E65&gt;='Read Me'!$E$2/86400,"Fully attended","Partially attended"))</x:f>
        <x:v>Did not attend</x:v>
      </x:c>
      <x:c r="G65" s="130" t="n">
        <x:f>IF($D65="",0,SUMIF('Attendance Report - Option 2'!$P$11:$P$412,$D65,'Attendance Report - Option 2'!$Q$11:$Q$412)/86400)</x:f>
        <x:v>0.05092592592592592</x:v>
      </x:c>
      <x:c r="H65" s="131" t="str">
        <x:f>IF(G65=0,"Did not attend",IF(G65&gt;='Read Me'!$E$2/86400,"Fully attended","Partially attended"))</x:f>
        <x:v>Partially attended</x:v>
      </x:c>
      <x:c r="I65" s="130" t="n">
        <x:f>E65+G65</x:f>
        <x:v>0.05092592592592592</x:v>
      </x:c>
      <x:c r="J65" s="131" t="str">
        <x:f>IF(I65=0,"Did not attend",IF(I65&gt;='Read Me'!$E$2/86400,"Fully attended","Partially attended"))</x:f>
        <x:v>Partially attended</x:v>
      </x:c>
      <x:c r="K65" s="131" t="str">
        <x:f>IF($D65="","No",IF(COUNTIF('Attendance Report - Option 1'!$P$11:$P$315,$D65)&gt;0,"Yes","No"))</x:f>
        <x:v>No</x:v>
      </x:c>
      <x:c r="L65" s="131" t="str">
        <x:f>IF($D65="","No",IF(COUNTIF('Attendance Report - Option 2'!$P$11:$P$412,$D65)&gt;0,"Yes","No"))</x:f>
        <x:v>Yes</x:v>
      </x:c>
    </x:row>
    <x:row r="66">
      <x:c r="A66" s="16" t="str">
        <x:f>'EMA Assurance Employee List'!A66</x:f>
        <x:v>Carine Katabarwa</x:v>
      </x:c>
      <x:c r="B66" s="16" t="str">
        <x:f>IF(C66="KE","Kenya",IF(C66="UG","Uganda",IF(C66="MU","Mauritius",IF(C66="TZ","Tanzania",IF(C66="RW","Rwanda",IF(C66="ZA","South Africa",IF(C66="ZM","Zambia","")))))))</x:f>
        <x:v>Rwanda</x:v>
      </x:c>
      <x:c r="C66" s="16" t="str">
        <x:f>'EMA Assurance Employee List'!B66</x:f>
        <x:v>RW</x:v>
      </x:c>
      <x:c r="D66" s="16" t="str">
        <x:f>'EMA Assurance Employee List'!D66</x:f>
        <x:v>carine.katabarwa@pwc.com</x:v>
      </x:c>
      <x:c r="E66" s="130" t="n">
        <x:f>IF($D66="",0,SUMIF('Attendance Report - Option 1'!$P$11:$P$315,$D66,'Attendance Report - Option 1'!$Q$11:$Q$315)/86400)</x:f>
        <x:v>0</x:v>
      </x:c>
      <x:c r="F66" s="131" t="str">
        <x:f>IF(E66=0,"Did not attend",IF(E66&gt;='Read Me'!$E$2/86400,"Fully attended","Partially attended"))</x:f>
        <x:v>Did not attend</x:v>
      </x:c>
      <x:c r="G66" s="130" t="n">
        <x:f>IF($D66="",0,SUMIF('Attendance Report - Option 2'!$P$11:$P$412,$D66,'Attendance Report - Option 2'!$Q$11:$Q$412)/86400)</x:f>
        <x:v>0</x:v>
      </x:c>
      <x:c r="H66" s="131" t="str">
        <x:f>IF(G66=0,"Did not attend",IF(G66&gt;='Read Me'!$E$2/86400,"Fully attended","Partially attended"))</x:f>
        <x:v>Did not attend</x:v>
      </x:c>
      <x:c r="I66" s="130" t="n">
        <x:f>E66+G66</x:f>
        <x:v>0</x:v>
      </x:c>
      <x:c r="J66" s="131" t="str">
        <x:f>IF(I66=0,"Did not attend",IF(I66&gt;='Read Me'!$E$2/86400,"Fully attended","Partially attended"))</x:f>
        <x:v>Did not attend</x:v>
      </x:c>
      <x:c r="K66" s="131" t="str">
        <x:f>IF($D66="","No",IF(COUNTIF('Attendance Report - Option 1'!$P$11:$P$315,$D66)&gt;0,"Yes","No"))</x:f>
        <x:v>No</x:v>
      </x:c>
      <x:c r="L66" s="131" t="str">
        <x:f>IF($D66="","No",IF(COUNTIF('Attendance Report - Option 2'!$P$11:$P$412,$D66)&gt;0,"Yes","No"))</x:f>
        <x:v>No</x:v>
      </x:c>
    </x:row>
    <x:row r="67">
      <x:c r="A67" s="16" t="str">
        <x:f>'EMA Assurance Employee List'!A67</x:f>
        <x:v>Caroline Kimario</x:v>
      </x:c>
      <x:c r="B67" s="16" t="str">
        <x:f>IF(C67="KE","Kenya",IF(C67="UG","Uganda",IF(C67="MU","Mauritius",IF(C67="TZ","Tanzania",IF(C67="RW","Rwanda",IF(C67="ZA","South Africa",IF(C67="ZM","Zambia","")))))))</x:f>
        <x:v>Tanzania</x:v>
      </x:c>
      <x:c r="C67" s="16" t="str">
        <x:f>'EMA Assurance Employee List'!B67</x:f>
        <x:v>TZ</x:v>
      </x:c>
      <x:c r="D67" s="16" t="str">
        <x:f>'EMA Assurance Employee List'!D67</x:f>
        <x:v>caroline.kimario@pwc.com</x:v>
      </x:c>
      <x:c r="E67" s="130" t="n">
        <x:f>IF($D67="",0,SUMIF('Attendance Report - Option 1'!$P$11:$P$315,$D67,'Attendance Report - Option 1'!$Q$11:$Q$315)/86400)</x:f>
        <x:v>0</x:v>
      </x:c>
      <x:c r="F67" s="131" t="str">
        <x:f>IF(E67=0,"Did not attend",IF(E67&gt;='Read Me'!$E$2/86400,"Fully attended","Partially attended"))</x:f>
        <x:v>Did not attend</x:v>
      </x:c>
      <x:c r="G67" s="130" t="n">
        <x:f>IF($D67="",0,SUMIF('Attendance Report - Option 2'!$P$11:$P$412,$D67,'Attendance Report - Option 2'!$Q$11:$Q$412)/86400)</x:f>
        <x:v>0.08773148148148148</x:v>
      </x:c>
      <x:c r="H67" s="131" t="str">
        <x:f>IF(G67=0,"Did not attend",IF(G67&gt;='Read Me'!$E$2/86400,"Fully attended","Partially attended"))</x:f>
        <x:v>Fully attended</x:v>
      </x:c>
      <x:c r="I67" s="130" t="n">
        <x:f>E67+G67</x:f>
        <x:v>0.08773148148148148</x:v>
      </x:c>
      <x:c r="J67" s="131" t="str">
        <x:f>IF(I67=0,"Did not attend",IF(I67&gt;='Read Me'!$E$2/86400,"Fully attended","Partially attended"))</x:f>
        <x:v>Fully attended</x:v>
      </x:c>
      <x:c r="K67" s="131" t="str">
        <x:f>IF($D67="","No",IF(COUNTIF('Attendance Report - Option 1'!$P$11:$P$315,$D67)&gt;0,"Yes","No"))</x:f>
        <x:v>No</x:v>
      </x:c>
      <x:c r="L67" s="131" t="str">
        <x:f>IF($D67="","No",IF(COUNTIF('Attendance Report - Option 2'!$P$11:$P$412,$D67)&gt;0,"Yes","No"))</x:f>
        <x:v>Yes</x:v>
      </x:c>
    </x:row>
    <x:row r="68">
      <x:c r="A68" s="16" t="str">
        <x:f>'EMA Assurance Employee List'!A68</x:f>
        <x:v>Catherine Kilasara</x:v>
      </x:c>
      <x:c r="B68" s="16" t="str">
        <x:f>IF(C68="KE","Kenya",IF(C68="UG","Uganda",IF(C68="MU","Mauritius",IF(C68="TZ","Tanzania",IF(C68="RW","Rwanda",IF(C68="ZA","South Africa",IF(C68="ZM","Zambia","")))))))</x:f>
        <x:v>Tanzania</x:v>
      </x:c>
      <x:c r="C68" s="16" t="str">
        <x:f>'EMA Assurance Employee List'!B68</x:f>
        <x:v>TZ</x:v>
      </x:c>
      <x:c r="D68" s="16" t="str">
        <x:f>'EMA Assurance Employee List'!D68</x:f>
        <x:v>catherine.kilasara@pwc.com</x:v>
      </x:c>
      <x:c r="E68" s="130" t="n">
        <x:f>IF($D68="",0,SUMIF('Attendance Report - Option 1'!$P$11:$P$315,$D68,'Attendance Report - Option 1'!$Q$11:$Q$315)/86400)</x:f>
        <x:v>0.061412037037037036</x:v>
      </x:c>
      <x:c r="F68" s="131" t="str">
        <x:f>IF(E68=0,"Did not attend",IF(E68&gt;='Read Me'!$E$2/86400,"Fully attended","Partially attended"))</x:f>
        <x:v>Partially attended</x:v>
      </x:c>
      <x:c r="G68" s="130" t="n">
        <x:f>IF($D68="",0,SUMIF('Attendance Report - Option 2'!$P$11:$P$412,$D68,'Attendance Report - Option 2'!$Q$11:$Q$412)/86400)</x:f>
        <x:v>0</x:v>
      </x:c>
      <x:c r="H68" s="131" t="str">
        <x:f>IF(G68=0,"Did not attend",IF(G68&gt;='Read Me'!$E$2/86400,"Fully attended","Partially attended"))</x:f>
        <x:v>Did not attend</x:v>
      </x:c>
      <x:c r="I68" s="130" t="n">
        <x:f>E68+G68</x:f>
        <x:v>0.061412037037037036</x:v>
      </x:c>
      <x:c r="J68" s="131" t="str">
        <x:f>IF(I68=0,"Did not attend",IF(I68&gt;='Read Me'!$E$2/86400,"Fully attended","Partially attended"))</x:f>
        <x:v>Partially attended</x:v>
      </x:c>
      <x:c r="K68" s="131" t="str">
        <x:f>IF($D68="","No",IF(COUNTIF('Attendance Report - Option 1'!$P$11:$P$315,$D68)&gt;0,"Yes","No"))</x:f>
        <x:v>Yes</x:v>
      </x:c>
      <x:c r="L68" s="131" t="str">
        <x:f>IF($D68="","No",IF(COUNTIF('Attendance Report - Option 2'!$P$11:$P$412,$D68)&gt;0,"Yes","No"))</x:f>
        <x:v>No</x:v>
      </x:c>
    </x:row>
    <x:row r="69">
      <x:c r="A69" s="16" t="str">
        <x:f>'EMA Assurance Employee List'!A69</x:f>
        <x:v>Catherine Mlay</x:v>
      </x:c>
      <x:c r="B69" s="16" t="str">
        <x:f>IF(C69="KE","Kenya",IF(C69="UG","Uganda",IF(C69="MU","Mauritius",IF(C69="TZ","Tanzania",IF(C69="RW","Rwanda",IF(C69="ZA","South Africa",IF(C69="ZM","Zambia","")))))))</x:f>
        <x:v>Tanzania</x:v>
      </x:c>
      <x:c r="C69" s="16" t="str">
        <x:f>'EMA Assurance Employee List'!B69</x:f>
        <x:v>TZ</x:v>
      </x:c>
      <x:c r="D69" s="16" t="str">
        <x:f>'EMA Assurance Employee List'!D69</x:f>
        <x:v>catherine.mlay@pwc.com</x:v>
      </x:c>
      <x:c r="E69" s="130" t="n">
        <x:f>IF($D69="",0,SUMIF('Attendance Report - Option 1'!$P$11:$P$315,$D69,'Attendance Report - Option 1'!$Q$11:$Q$315)/86400)</x:f>
        <x:v>0.08621527777777778</x:v>
      </x:c>
      <x:c r="F69" s="131" t="str">
        <x:f>IF(E69=0,"Did not attend",IF(E69&gt;='Read Me'!$E$2/86400,"Fully attended","Partially attended"))</x:f>
        <x:v>Fully attended</x:v>
      </x:c>
      <x:c r="G69" s="130" t="n">
        <x:f>IF($D69="",0,SUMIF('Attendance Report - Option 2'!$P$11:$P$412,$D69,'Attendance Report - Option 2'!$Q$11:$Q$412)/86400)</x:f>
        <x:v>0.05918981481481481</x:v>
      </x:c>
      <x:c r="H69" s="131" t="str">
        <x:f>IF(G69=0,"Did not attend",IF(G69&gt;='Read Me'!$E$2/86400,"Fully attended","Partially attended"))</x:f>
        <x:v>Partially attended</x:v>
      </x:c>
      <x:c r="I69" s="130" t="n">
        <x:f>E69+G69</x:f>
        <x:v>0.1454050925925926</x:v>
      </x:c>
      <x:c r="J69" s="131" t="str">
        <x:f>IF(I69=0,"Did not attend",IF(I69&gt;='Read Me'!$E$2/86400,"Fully attended","Partially attended"))</x:f>
        <x:v>Fully attended</x:v>
      </x:c>
      <x:c r="K69" s="131" t="str">
        <x:f>IF($D69="","No",IF(COUNTIF('Attendance Report - Option 1'!$P$11:$P$315,$D69)&gt;0,"Yes","No"))</x:f>
        <x:v>Yes</x:v>
      </x:c>
      <x:c r="L69" s="131" t="str">
        <x:f>IF($D69="","No",IF(COUNTIF('Attendance Report - Option 2'!$P$11:$P$412,$D69)&gt;0,"Yes","No"))</x:f>
        <x:v>Yes</x:v>
      </x:c>
    </x:row>
    <x:row r="70">
      <x:c r="A70" s="16" t="str">
        <x:f>'EMA Assurance Employee List'!A70</x:f>
        <x:v>Catherine Muli</x:v>
      </x:c>
      <x:c r="B70" s="16" t="str">
        <x:f>IF(C70="KE","Kenya",IF(C70="UG","Uganda",IF(C70="MU","Mauritius",IF(C70="TZ","Tanzania",IF(C70="RW","Rwanda",IF(C70="ZA","South Africa",IF(C70="ZM","Zambia","")))))))</x:f>
        <x:v>Kenya</x:v>
      </x:c>
      <x:c r="C70" s="16" t="str">
        <x:f>'EMA Assurance Employee List'!B70</x:f>
        <x:v>KE</x:v>
      </x:c>
      <x:c r="D70" s="16" t="str">
        <x:f>'EMA Assurance Employee List'!D70</x:f>
        <x:v>catherine.muli@pwc.com</x:v>
      </x:c>
      <x:c r="E70" s="130" t="n">
        <x:f>IF($D70="",0,SUMIF('Attendance Report - Option 1'!$P$11:$P$315,$D70,'Attendance Report - Option 1'!$Q$11:$Q$315)/86400)</x:f>
        <x:v>0</x:v>
      </x:c>
      <x:c r="F70" s="131" t="str">
        <x:f>IF(E70=0,"Did not attend",IF(E70&gt;='Read Me'!$E$2/86400,"Fully attended","Partially attended"))</x:f>
        <x:v>Did not attend</x:v>
      </x:c>
      <x:c r="G70" s="130" t="n">
        <x:f>IF($D70="",0,SUMIF('Attendance Report - Option 2'!$P$11:$P$412,$D70,'Attendance Report - Option 2'!$Q$11:$Q$412)/86400)</x:f>
        <x:v>0</x:v>
      </x:c>
      <x:c r="H70" s="131" t="str">
        <x:f>IF(G70=0,"Did not attend",IF(G70&gt;='Read Me'!$E$2/86400,"Fully attended","Partially attended"))</x:f>
        <x:v>Did not attend</x:v>
      </x:c>
      <x:c r="I70" s="130" t="n">
        <x:f>E70+G70</x:f>
        <x:v>0</x:v>
      </x:c>
      <x:c r="J70" s="131" t="str">
        <x:f>IF(I70=0,"Did not attend",IF(I70&gt;='Read Me'!$E$2/86400,"Fully attended","Partially attended"))</x:f>
        <x:v>Did not attend</x:v>
      </x:c>
      <x:c r="K70" s="131" t="str">
        <x:f>IF($D70="","No",IF(COUNTIF('Attendance Report - Option 1'!$P$11:$P$315,$D70)&gt;0,"Yes","No"))</x:f>
        <x:v>No</x:v>
      </x:c>
      <x:c r="L70" s="131" t="str">
        <x:f>IF($D70="","No",IF(COUNTIF('Attendance Report - Option 2'!$P$11:$P$412,$D70)&gt;0,"Yes","No"))</x:f>
        <x:v>No</x:v>
      </x:c>
    </x:row>
    <x:row r="71">
      <x:c r="A71" s="16" t="str">
        <x:f>'EMA Assurance Employee List'!A71</x:f>
        <x:v>Catherine Naluuma</x:v>
      </x:c>
      <x:c r="B71" s="16" t="str">
        <x:f>IF(C71="KE","Kenya",IF(C71="UG","Uganda",IF(C71="MU","Mauritius",IF(C71="TZ","Tanzania",IF(C71="RW","Rwanda",IF(C71="ZA","South Africa",IF(C71="ZM","Zambia","")))))))</x:f>
        <x:v>Uganda</x:v>
      </x:c>
      <x:c r="C71" s="16" t="str">
        <x:f>'EMA Assurance Employee List'!B71</x:f>
        <x:v>UG</x:v>
      </x:c>
      <x:c r="D71" s="16" t="str">
        <x:f>'EMA Assurance Employee List'!D71</x:f>
        <x:v>catherine.naluuma@pwc.com</x:v>
      </x:c>
      <x:c r="E71" s="130" t="n">
        <x:f>IF($D71="",0,SUMIF('Attendance Report - Option 1'!$P$11:$P$315,$D71,'Attendance Report - Option 1'!$Q$11:$Q$315)/86400)</x:f>
        <x:v>0</x:v>
      </x:c>
      <x:c r="F71" s="131" t="str">
        <x:f>IF(E71=0,"Did not attend",IF(E71&gt;='Read Me'!$E$2/86400,"Fully attended","Partially attended"))</x:f>
        <x:v>Did not attend</x:v>
      </x:c>
      <x:c r="G71" s="130" t="n">
        <x:f>IF($D71="",0,SUMIF('Attendance Report - Option 2'!$P$11:$P$412,$D71,'Attendance Report - Option 2'!$Q$11:$Q$412)/86400)</x:f>
        <x:v>0.06695601851851851</x:v>
      </x:c>
      <x:c r="H71" s="131" t="str">
        <x:f>IF(G71=0,"Did not attend",IF(G71&gt;='Read Me'!$E$2/86400,"Fully attended","Partially attended"))</x:f>
        <x:v>Fully attended</x:v>
      </x:c>
      <x:c r="I71" s="130" t="n">
        <x:f>E71+G71</x:f>
        <x:v>0.06695601851851851</x:v>
      </x:c>
      <x:c r="J71" s="131" t="str">
        <x:f>IF(I71=0,"Did not attend",IF(I71&gt;='Read Me'!$E$2/86400,"Fully attended","Partially attended"))</x:f>
        <x:v>Fully attended</x:v>
      </x:c>
      <x:c r="K71" s="131" t="str">
        <x:f>IF($D71="","No",IF(COUNTIF('Attendance Report - Option 1'!$P$11:$P$315,$D71)&gt;0,"Yes","No"))</x:f>
        <x:v>No</x:v>
      </x:c>
      <x:c r="L71" s="131" t="str">
        <x:f>IF($D71="","No",IF(COUNTIF('Attendance Report - Option 2'!$P$11:$P$412,$D71)&gt;0,"Yes","No"))</x:f>
        <x:v>Yes</x:v>
      </x:c>
    </x:row>
    <x:row r="72">
      <x:c r="A72" s="16" t="str">
        <x:f>'EMA Assurance Employee List'!A72</x:f>
        <x:v>Catherine Rutenge</x:v>
      </x:c>
      <x:c r="B72" s="16" t="str">
        <x:f>IF(C72="KE","Kenya",IF(C72="UG","Uganda",IF(C72="MU","Mauritius",IF(C72="TZ","Tanzania",IF(C72="RW","Rwanda",IF(C72="ZA","South Africa",IF(C72="ZM","Zambia","")))))))</x:f>
        <x:v>Tanzania</x:v>
      </x:c>
      <x:c r="C72" s="16" t="str">
        <x:f>'EMA Assurance Employee List'!B72</x:f>
        <x:v>TZ</x:v>
      </x:c>
      <x:c r="D72" s="16" t="str">
        <x:f>'EMA Assurance Employee List'!D72</x:f>
        <x:v>catherine.rutenge@pwc.com</x:v>
      </x:c>
      <x:c r="E72" s="130" t="n">
        <x:f>IF($D72="",0,SUMIF('Attendance Report - Option 1'!$P$11:$P$315,$D72,'Attendance Report - Option 1'!$Q$11:$Q$315)/86400)</x:f>
        <x:v>0</x:v>
      </x:c>
      <x:c r="F72" s="131" t="str">
        <x:f>IF(E72=0,"Did not attend",IF(E72&gt;='Read Me'!$E$2/86400,"Fully attended","Partially attended"))</x:f>
        <x:v>Did not attend</x:v>
      </x:c>
      <x:c r="G72" s="130" t="n">
        <x:f>IF($D72="",0,SUMIF('Attendance Report - Option 2'!$P$11:$P$412,$D72,'Attendance Report - Option 2'!$Q$11:$Q$412)/86400)</x:f>
        <x:v>0.055393518518518516</x:v>
      </x:c>
      <x:c r="H72" s="131" t="str">
        <x:f>IF(G72=0,"Did not attend",IF(G72&gt;='Read Me'!$E$2/86400,"Fully attended","Partially attended"))</x:f>
        <x:v>Partially attended</x:v>
      </x:c>
      <x:c r="I72" s="130" t="n">
        <x:f>E72+G72</x:f>
        <x:v>0.055393518518518516</x:v>
      </x:c>
      <x:c r="J72" s="131" t="str">
        <x:f>IF(I72=0,"Did not attend",IF(I72&gt;='Read Me'!$E$2/86400,"Fully attended","Partially attended"))</x:f>
        <x:v>Partially attended</x:v>
      </x:c>
      <x:c r="K72" s="131" t="str">
        <x:f>IF($D72="","No",IF(COUNTIF('Attendance Report - Option 1'!$P$11:$P$315,$D72)&gt;0,"Yes","No"))</x:f>
        <x:v>No</x:v>
      </x:c>
      <x:c r="L72" s="131" t="str">
        <x:f>IF($D72="","No",IF(COUNTIF('Attendance Report - Option 2'!$P$11:$P$412,$D72)&gt;0,"Yes","No"))</x:f>
        <x:v>Yes</x:v>
      </x:c>
    </x:row>
    <x:row r="73">
      <x:c r="A73" s="16" t="str">
        <x:f>'EMA Assurance Employee List'!A73</x:f>
        <x:v>Cedric Mpobusingye</x:v>
      </x:c>
      <x:c r="B73" s="16" t="str">
        <x:f>IF(C73="KE","Kenya",IF(C73="UG","Uganda",IF(C73="MU","Mauritius",IF(C73="TZ","Tanzania",IF(C73="RW","Rwanda",IF(C73="ZA","South Africa",IF(C73="ZM","Zambia","")))))))</x:f>
        <x:v>Tanzania</x:v>
      </x:c>
      <x:c r="C73" s="16" t="str">
        <x:f>'EMA Assurance Employee List'!B73</x:f>
        <x:v>TZ</x:v>
      </x:c>
      <x:c r="D73" s="16" t="str">
        <x:f>'EMA Assurance Employee List'!D73</x:f>
        <x:v>cedric.t.mpobusingye@pwc.com</x:v>
      </x:c>
      <x:c r="E73" s="130" t="n">
        <x:f>IF($D73="",0,SUMIF('Attendance Report - Option 1'!$P$11:$P$315,$D73,'Attendance Report - Option 1'!$Q$11:$Q$315)/86400)</x:f>
        <x:v>0.07675925925925926</x:v>
      </x:c>
      <x:c r="F73" s="131" t="str">
        <x:f>IF(E73=0,"Did not attend",IF(E73&gt;='Read Me'!$E$2/86400,"Fully attended","Partially attended"))</x:f>
        <x:v>Fully attended</x:v>
      </x:c>
      <x:c r="G73" s="130" t="n">
        <x:f>IF($D73="",0,SUMIF('Attendance Report - Option 2'!$P$11:$P$412,$D73,'Attendance Report - Option 2'!$Q$11:$Q$412)/86400)</x:f>
        <x:v>0</x:v>
      </x:c>
      <x:c r="H73" s="131" t="str">
        <x:f>IF(G73=0,"Did not attend",IF(G73&gt;='Read Me'!$E$2/86400,"Fully attended","Partially attended"))</x:f>
        <x:v>Did not attend</x:v>
      </x:c>
      <x:c r="I73" s="130" t="n">
        <x:f>E73+G73</x:f>
        <x:v>0.07675925925925926</x:v>
      </x:c>
      <x:c r="J73" s="131" t="str">
        <x:f>IF(I73=0,"Did not attend",IF(I73&gt;='Read Me'!$E$2/86400,"Fully attended","Partially attended"))</x:f>
        <x:v>Fully attended</x:v>
      </x:c>
      <x:c r="K73" s="131" t="str">
        <x:f>IF($D73="","No",IF(COUNTIF('Attendance Report - Option 1'!$P$11:$P$315,$D73)&gt;0,"Yes","No"))</x:f>
        <x:v>Yes</x:v>
      </x:c>
      <x:c r="L73" s="131" t="str">
        <x:f>IF($D73="","No",IF(COUNTIF('Attendance Report - Option 2'!$P$11:$P$412,$D73)&gt;0,"Yes","No"))</x:f>
        <x:v>No</x:v>
      </x:c>
    </x:row>
    <x:row r="74">
      <x:c r="A74" s="16" t="str">
        <x:f>'EMA Assurance Employee List'!A74</x:f>
        <x:v>Chanda Chileshe</x:v>
      </x:c>
      <x:c r="B74" s="16" t="str">
        <x:f>IF(C74="KE","Kenya",IF(C74="UG","Uganda",IF(C74="MU","Mauritius",IF(C74="TZ","Tanzania",IF(C74="RW","Rwanda",IF(C74="ZA","South Africa",IF(C74="ZM","Zambia","")))))))</x:f>
        <x:v>Zambia</x:v>
      </x:c>
      <x:c r="C74" s="16" t="str">
        <x:f>'EMA Assurance Employee List'!B74</x:f>
        <x:v>ZM</x:v>
      </x:c>
      <x:c r="D74" s="16" t="str">
        <x:f>'EMA Assurance Employee List'!D74</x:f>
        <x:v>chanda.chileshe@pwc.com</x:v>
      </x:c>
      <x:c r="E74" s="130" t="n">
        <x:f>IF($D74="",0,SUMIF('Attendance Report - Option 1'!$P$11:$P$315,$D74,'Attendance Report - Option 1'!$Q$11:$Q$315)/86400)</x:f>
        <x:v>0.07954861111111111</x:v>
      </x:c>
      <x:c r="F74" s="131" t="str">
        <x:f>IF(E74=0,"Did not attend",IF(E74&gt;='Read Me'!$E$2/86400,"Fully attended","Partially attended"))</x:f>
        <x:v>Fully attended</x:v>
      </x:c>
      <x:c r="G74" s="130" t="n">
        <x:f>IF($D74="",0,SUMIF('Attendance Report - Option 2'!$P$11:$P$412,$D74,'Attendance Report - Option 2'!$Q$11:$Q$412)/86400)</x:f>
        <x:v>0</x:v>
      </x:c>
      <x:c r="H74" s="131" t="str">
        <x:f>IF(G74=0,"Did not attend",IF(G74&gt;='Read Me'!$E$2/86400,"Fully attended","Partially attended"))</x:f>
        <x:v>Did not attend</x:v>
      </x:c>
      <x:c r="I74" s="130" t="n">
        <x:f>E74+G74</x:f>
        <x:v>0.07954861111111111</x:v>
      </x:c>
      <x:c r="J74" s="131" t="str">
        <x:f>IF(I74=0,"Did not attend",IF(I74&gt;='Read Me'!$E$2/86400,"Fully attended","Partially attended"))</x:f>
        <x:v>Fully attended</x:v>
      </x:c>
      <x:c r="K74" s="131" t="str">
        <x:f>IF($D74="","No",IF(COUNTIF('Attendance Report - Option 1'!$P$11:$P$315,$D74)&gt;0,"Yes","No"))</x:f>
        <x:v>Yes</x:v>
      </x:c>
      <x:c r="L74" s="131" t="str">
        <x:f>IF($D74="","No",IF(COUNTIF('Attendance Report - Option 2'!$P$11:$P$412,$D74)&gt;0,"Yes","No"))</x:f>
        <x:v>No</x:v>
      </x:c>
    </x:row>
    <x:row r="75">
      <x:c r="A75" s="16" t="str">
        <x:f>'EMA Assurance Employee List'!A75</x:f>
        <x:v>Chanele Machimane</x:v>
      </x:c>
      <x:c r="B75" s="16" t="str">
        <x:f>IF(C75="KE","Kenya",IF(C75="UG","Uganda",IF(C75="MU","Mauritius",IF(C75="TZ","Tanzania",IF(C75="RW","Rwanda",IF(C75="ZA","South Africa",IF(C75="ZM","Zambia","")))))))</x:f>
        <x:v>Tanzania</x:v>
      </x:c>
      <x:c r="C75" s="16" t="str">
        <x:f>'EMA Assurance Employee List'!B75</x:f>
        <x:v>TZ</x:v>
      </x:c>
      <x:c r="D75" s="16" t="str">
        <x:f>'EMA Assurance Employee List'!D75</x:f>
        <x:v>chanele.m.machimane@pwc.com</x:v>
      </x:c>
      <x:c r="E75" s="130" t="n">
        <x:f>IF($D75="",0,SUMIF('Attendance Report - Option 1'!$P$11:$P$315,$D75,'Attendance Report - Option 1'!$Q$11:$Q$315)/86400)</x:f>
        <x:v>0.0749537037037037</x:v>
      </x:c>
      <x:c r="F75" s="131" t="str">
        <x:f>IF(E75=0,"Did not attend",IF(E75&gt;='Read Me'!$E$2/86400,"Fully attended","Partially attended"))</x:f>
        <x:v>Fully attended</x:v>
      </x:c>
      <x:c r="G75" s="130" t="n">
        <x:f>IF($D75="",0,SUMIF('Attendance Report - Option 2'!$P$11:$P$412,$D75,'Attendance Report - Option 2'!$Q$11:$Q$412)/86400)</x:f>
        <x:v>0</x:v>
      </x:c>
      <x:c r="H75" s="131" t="str">
        <x:f>IF(G75=0,"Did not attend",IF(G75&gt;='Read Me'!$E$2/86400,"Fully attended","Partially attended"))</x:f>
        <x:v>Did not attend</x:v>
      </x:c>
      <x:c r="I75" s="130" t="n">
        <x:f>E75+G75</x:f>
        <x:v>0.0749537037037037</x:v>
      </x:c>
      <x:c r="J75" s="131" t="str">
        <x:f>IF(I75=0,"Did not attend",IF(I75&gt;='Read Me'!$E$2/86400,"Fully attended","Partially attended"))</x:f>
        <x:v>Fully attended</x:v>
      </x:c>
      <x:c r="K75" s="131" t="str">
        <x:f>IF($D75="","No",IF(COUNTIF('Attendance Report - Option 1'!$P$11:$P$315,$D75)&gt;0,"Yes","No"))</x:f>
        <x:v>Yes</x:v>
      </x:c>
      <x:c r="L75" s="131" t="str">
        <x:f>IF($D75="","No",IF(COUNTIF('Attendance Report - Option 2'!$P$11:$P$412,$D75)&gt;0,"Yes","No"))</x:f>
        <x:v>No</x:v>
      </x:c>
    </x:row>
    <x:row r="76">
      <x:c r="A76" s="16" t="str">
        <x:f>'EMA Assurance Employee List'!A76</x:f>
        <x:v>Charity Mrinji</x:v>
      </x:c>
      <x:c r="B76" s="16" t="str">
        <x:f>IF(C76="KE","Kenya",IF(C76="UG","Uganda",IF(C76="MU","Mauritius",IF(C76="TZ","Tanzania",IF(C76="RW","Rwanda",IF(C76="ZA","South Africa",IF(C76="ZM","Zambia","")))))))</x:f>
        <x:v>Tanzania</x:v>
      </x:c>
      <x:c r="C76" s="16" t="str">
        <x:f>'EMA Assurance Employee List'!B76</x:f>
        <x:v>TZ</x:v>
      </x:c>
      <x:c r="D76" s="16" t="str">
        <x:f>'EMA Assurance Employee List'!D76</x:f>
        <x:v>charity.mrinji@pwc.com</x:v>
      </x:c>
      <x:c r="E76" s="130" t="n">
        <x:f>IF($D76="",0,SUMIF('Attendance Report - Option 1'!$P$11:$P$315,$D76,'Attendance Report - Option 1'!$Q$11:$Q$315)/86400)</x:f>
        <x:v>0.04943287037037037</x:v>
      </x:c>
      <x:c r="F76" s="131" t="str">
        <x:f>IF(E76=0,"Did not attend",IF(E76&gt;='Read Me'!$E$2/86400,"Fully attended","Partially attended"))</x:f>
        <x:v>Partially attended</x:v>
      </x:c>
      <x:c r="G76" s="130" t="n">
        <x:f>IF($D76="",0,SUMIF('Attendance Report - Option 2'!$P$11:$P$412,$D76,'Attendance Report - Option 2'!$Q$11:$Q$412)/86400)</x:f>
        <x:v>0</x:v>
      </x:c>
      <x:c r="H76" s="131" t="str">
        <x:f>IF(G76=0,"Did not attend",IF(G76&gt;='Read Me'!$E$2/86400,"Fully attended","Partially attended"))</x:f>
        <x:v>Did not attend</x:v>
      </x:c>
      <x:c r="I76" s="130" t="n">
        <x:f>E76+G76</x:f>
        <x:v>0.04943287037037037</x:v>
      </x:c>
      <x:c r="J76" s="131" t="str">
        <x:f>IF(I76=0,"Did not attend",IF(I76&gt;='Read Me'!$E$2/86400,"Fully attended","Partially attended"))</x:f>
        <x:v>Partially attended</x:v>
      </x:c>
      <x:c r="K76" s="131" t="str">
        <x:f>IF($D76="","No",IF(COUNTIF('Attendance Report - Option 1'!$P$11:$P$315,$D76)&gt;0,"Yes","No"))</x:f>
        <x:v>Yes</x:v>
      </x:c>
      <x:c r="L76" s="131" t="str">
        <x:f>IF($D76="","No",IF(COUNTIF('Attendance Report - Option 2'!$P$11:$P$412,$D76)&gt;0,"Yes","No"))</x:f>
        <x:v>No</x:v>
      </x:c>
    </x:row>
    <x:row r="77">
      <x:c r="A77" s="16" t="str">
        <x:f>'EMA Assurance Employee List'!A77</x:f>
        <x:v>Charity Mulenga</x:v>
      </x:c>
      <x:c r="B77" s="16" t="str">
        <x:f>IF(C77="KE","Kenya",IF(C77="UG","Uganda",IF(C77="MU","Mauritius",IF(C77="TZ","Tanzania",IF(C77="RW","Rwanda",IF(C77="ZA","South Africa",IF(C77="ZM","Zambia","")))))))</x:f>
        <x:v>Zambia</x:v>
      </x:c>
      <x:c r="C77" s="16" t="str">
        <x:f>'EMA Assurance Employee List'!B77</x:f>
        <x:v>ZM</x:v>
      </x:c>
      <x:c r="D77" s="16" t="str">
        <x:f>'EMA Assurance Employee List'!D77</x:f>
        <x:v>charity.mulenga@pwc.com</x:v>
      </x:c>
      <x:c r="E77" s="130" t="n">
        <x:f>IF($D77="",0,SUMIF('Attendance Report - Option 1'!$P$11:$P$315,$D77,'Attendance Report - Option 1'!$Q$11:$Q$315)/86400)</x:f>
        <x:v>0.08120370370370371</x:v>
      </x:c>
      <x:c r="F77" s="131" t="str">
        <x:f>IF(E77=0,"Did not attend",IF(E77&gt;='Read Me'!$E$2/86400,"Fully attended","Partially attended"))</x:f>
        <x:v>Fully attended</x:v>
      </x:c>
      <x:c r="G77" s="130" t="n">
        <x:f>IF($D77="",0,SUMIF('Attendance Report - Option 2'!$P$11:$P$412,$D77,'Attendance Report - Option 2'!$Q$11:$Q$412)/86400)</x:f>
        <x:v>0</x:v>
      </x:c>
      <x:c r="H77" s="131" t="str">
        <x:f>IF(G77=0,"Did not attend",IF(G77&gt;='Read Me'!$E$2/86400,"Fully attended","Partially attended"))</x:f>
        <x:v>Did not attend</x:v>
      </x:c>
      <x:c r="I77" s="130" t="n">
        <x:f>E77+G77</x:f>
        <x:v>0.08120370370370371</x:v>
      </x:c>
      <x:c r="J77" s="131" t="str">
        <x:f>IF(I77=0,"Did not attend",IF(I77&gt;='Read Me'!$E$2/86400,"Fully attended","Partially attended"))</x:f>
        <x:v>Fully attended</x:v>
      </x:c>
      <x:c r="K77" s="131" t="str">
        <x:f>IF($D77="","No",IF(COUNTIF('Attendance Report - Option 1'!$P$11:$P$315,$D77)&gt;0,"Yes","No"))</x:f>
        <x:v>Yes</x:v>
      </x:c>
      <x:c r="L77" s="131" t="str">
        <x:f>IF($D77="","No",IF(COUNTIF('Attendance Report - Option 2'!$P$11:$P$412,$D77)&gt;0,"Yes","No"))</x:f>
        <x:v>No</x:v>
      </x:c>
    </x:row>
    <x:row r="78">
      <x:c r="A78" s="16" t="str">
        <x:f>'EMA Assurance Employee List'!A78</x:f>
        <x:v>Chetna Sembhoo</x:v>
      </x:c>
      <x:c r="B78" s="16" t="str">
        <x:f>IF(C78="KE","Kenya",IF(C78="UG","Uganda",IF(C78="MU","Mauritius",IF(C78="TZ","Tanzania",IF(C78="RW","Rwanda",IF(C78="ZA","South Africa",IF(C78="ZM","Zambia","")))))))</x:f>
        <x:v>Mauritius</x:v>
      </x:c>
      <x:c r="C78" s="16" t="str">
        <x:f>'EMA Assurance Employee List'!B78</x:f>
        <x:v>MU</x:v>
      </x:c>
      <x:c r="D78" s="16" t="str">
        <x:f>'EMA Assurance Employee List'!D78</x:f>
        <x:v>chetna.sembhoo@pwc.com</x:v>
      </x:c>
      <x:c r="E78" s="130" t="n">
        <x:f>IF($D78="",0,SUMIF('Attendance Report - Option 1'!$P$11:$P$315,$D78,'Attendance Report - Option 1'!$Q$11:$Q$315)/86400)</x:f>
        <x:v>0</x:v>
      </x:c>
      <x:c r="F78" s="131" t="str">
        <x:f>IF(E78=0,"Did not attend",IF(E78&gt;='Read Me'!$E$2/86400,"Fully attended","Partially attended"))</x:f>
        <x:v>Did not attend</x:v>
      </x:c>
      <x:c r="G78" s="130" t="n">
        <x:f>IF($D78="",0,SUMIF('Attendance Report - Option 2'!$P$11:$P$412,$D78,'Attendance Report - Option 2'!$Q$11:$Q$412)/86400)</x:f>
        <x:v>0.0880787037037037</x:v>
      </x:c>
      <x:c r="H78" s="131" t="str">
        <x:f>IF(G78=0,"Did not attend",IF(G78&gt;='Read Me'!$E$2/86400,"Fully attended","Partially attended"))</x:f>
        <x:v>Fully attended</x:v>
      </x:c>
      <x:c r="I78" s="130" t="n">
        <x:f>E78+G78</x:f>
        <x:v>0.0880787037037037</x:v>
      </x:c>
      <x:c r="J78" s="131" t="str">
        <x:f>IF(I78=0,"Did not attend",IF(I78&gt;='Read Me'!$E$2/86400,"Fully attended","Partially attended"))</x:f>
        <x:v>Fully attended</x:v>
      </x:c>
      <x:c r="K78" s="131" t="str">
        <x:f>IF($D78="","No",IF(COUNTIF('Attendance Report - Option 1'!$P$11:$P$315,$D78)&gt;0,"Yes","No"))</x:f>
        <x:v>No</x:v>
      </x:c>
      <x:c r="L78" s="131" t="str">
        <x:f>IF($D78="","No",IF(COUNTIF('Attendance Report - Option 2'!$P$11:$P$412,$D78)&gt;0,"Yes","No"))</x:f>
        <x:v>Yes</x:v>
      </x:c>
    </x:row>
    <x:row r="79">
      <x:c r="A79" s="16" t="str">
        <x:f>'EMA Assurance Employee List'!A79</x:f>
        <x:v>Chilufya Mwansa</x:v>
      </x:c>
      <x:c r="B79" s="16" t="str">
        <x:f>IF(C79="KE","Kenya",IF(C79="UG","Uganda",IF(C79="MU","Mauritius",IF(C79="TZ","Tanzania",IF(C79="RW","Rwanda",IF(C79="ZA","South Africa",IF(C79="ZM","Zambia","")))))))</x:f>
        <x:v>Zambia</x:v>
      </x:c>
      <x:c r="C79" s="16" t="str">
        <x:f>'EMA Assurance Employee List'!B79</x:f>
        <x:v>ZM</x:v>
      </x:c>
      <x:c r="D79" s="16" t="str">
        <x:f>'EMA Assurance Employee List'!D79</x:f>
        <x:v>chilufya.mwansa@pwc.com</x:v>
      </x:c>
      <x:c r="E79" s="130" t="n">
        <x:f>IF($D79="",0,SUMIF('Attendance Report - Option 1'!$P$11:$P$315,$D79,'Attendance Report - Option 1'!$Q$11:$Q$315)/86400)</x:f>
        <x:v>0</x:v>
      </x:c>
      <x:c r="F79" s="131" t="str">
        <x:f>IF(E79=0,"Did not attend",IF(E79&gt;='Read Me'!$E$2/86400,"Fully attended","Partially attended"))</x:f>
        <x:v>Did not attend</x:v>
      </x:c>
      <x:c r="G79" s="130" t="n">
        <x:f>IF($D79="",0,SUMIF('Attendance Report - Option 2'!$P$11:$P$412,$D79,'Attendance Report - Option 2'!$Q$11:$Q$412)/86400)</x:f>
        <x:v>0.036319444444444446</x:v>
      </x:c>
      <x:c r="H79" s="131" t="str">
        <x:f>IF(G79=0,"Did not attend",IF(G79&gt;='Read Me'!$E$2/86400,"Fully attended","Partially attended"))</x:f>
        <x:v>Partially attended</x:v>
      </x:c>
      <x:c r="I79" s="130" t="n">
        <x:f>E79+G79</x:f>
        <x:v>0.036319444444444446</x:v>
      </x:c>
      <x:c r="J79" s="131" t="str">
        <x:f>IF(I79=0,"Did not attend",IF(I79&gt;='Read Me'!$E$2/86400,"Fully attended","Partially attended"))</x:f>
        <x:v>Partially attended</x:v>
      </x:c>
      <x:c r="K79" s="131" t="str">
        <x:f>IF($D79="","No",IF(COUNTIF('Attendance Report - Option 1'!$P$11:$P$315,$D79)&gt;0,"Yes","No"))</x:f>
        <x:v>No</x:v>
      </x:c>
      <x:c r="L79" s="131" t="str">
        <x:f>IF($D79="","No",IF(COUNTIF('Attendance Report - Option 2'!$P$11:$P$412,$D79)&gt;0,"Yes","No"))</x:f>
        <x:v>Yes</x:v>
      </x:c>
    </x:row>
    <x:row r="80">
      <x:c r="A80" s="16" t="str">
        <x:f>'EMA Assurance Employee List'!A80</x:f>
        <x:v>Chimwemwe Mtonga</x:v>
      </x:c>
      <x:c r="B80" s="16" t="str">
        <x:f>IF(C80="KE","Kenya",IF(C80="UG","Uganda",IF(C80="MU","Mauritius",IF(C80="TZ","Tanzania",IF(C80="RW","Rwanda",IF(C80="ZA","South Africa",IF(C80="ZM","Zambia","")))))))</x:f>
        <x:v>Zambia</x:v>
      </x:c>
      <x:c r="C80" s="16" t="str">
        <x:f>'EMA Assurance Employee List'!B80</x:f>
        <x:v>ZM</x:v>
      </x:c>
      <x:c r="D80" s="16" t="str">
        <x:f>'EMA Assurance Employee List'!D80</x:f>
        <x:v>chimwemwe.mtonga@pwc.com</x:v>
      </x:c>
      <x:c r="E80" s="130" t="n">
        <x:f>IF($D80="",0,SUMIF('Attendance Report - Option 1'!$P$11:$P$315,$D80,'Attendance Report - Option 1'!$Q$11:$Q$315)/86400)</x:f>
        <x:v>0.09177083333333333</x:v>
      </x:c>
      <x:c r="F80" s="131" t="str">
        <x:f>IF(E80=0,"Did not attend",IF(E80&gt;='Read Me'!$E$2/86400,"Fully attended","Partially attended"))</x:f>
        <x:v>Fully attended</x:v>
      </x:c>
      <x:c r="G80" s="130" t="n">
        <x:f>IF($D80="",0,SUMIF('Attendance Report - Option 2'!$P$11:$P$412,$D80,'Attendance Report - Option 2'!$Q$11:$Q$412)/86400)</x:f>
        <x:v>0</x:v>
      </x:c>
      <x:c r="H80" s="131" t="str">
        <x:f>IF(G80=0,"Did not attend",IF(G80&gt;='Read Me'!$E$2/86400,"Fully attended","Partially attended"))</x:f>
        <x:v>Did not attend</x:v>
      </x:c>
      <x:c r="I80" s="130" t="n">
        <x:f>E80+G80</x:f>
        <x:v>0.09177083333333333</x:v>
      </x:c>
      <x:c r="J80" s="131" t="str">
        <x:f>IF(I80=0,"Did not attend",IF(I80&gt;='Read Me'!$E$2/86400,"Fully attended","Partially attended"))</x:f>
        <x:v>Fully attended</x:v>
      </x:c>
      <x:c r="K80" s="131" t="str">
        <x:f>IF($D80="","No",IF(COUNTIF('Attendance Report - Option 1'!$P$11:$P$315,$D80)&gt;0,"Yes","No"))</x:f>
        <x:v>Yes</x:v>
      </x:c>
      <x:c r="L80" s="131" t="str">
        <x:f>IF($D80="","No",IF(COUNTIF('Attendance Report - Option 2'!$P$11:$P$412,$D80)&gt;0,"Yes","No"))</x:f>
        <x:v>No</x:v>
      </x:c>
    </x:row>
    <x:row r="81">
      <x:c r="A81" s="16" t="str">
        <x:f>'EMA Assurance Employee List'!A81</x:f>
        <x:v>Chiranjeev Luchoomun</x:v>
      </x:c>
      <x:c r="B81" s="16" t="str">
        <x:f>IF(C81="KE","Kenya",IF(C81="UG","Uganda",IF(C81="MU","Mauritius",IF(C81="TZ","Tanzania",IF(C81="RW","Rwanda",IF(C81="ZA","South Africa",IF(C81="ZM","Zambia","")))))))</x:f>
        <x:v>Mauritius</x:v>
      </x:c>
      <x:c r="C81" s="16" t="str">
        <x:f>'EMA Assurance Employee List'!B81</x:f>
        <x:v>MU</x:v>
      </x:c>
      <x:c r="D81" s="16" t="str">
        <x:f>'EMA Assurance Employee List'!D81</x:f>
        <x:v>chiranjeev.l.luchoomun@pwc.com</x:v>
      </x:c>
      <x:c r="E81" s="130" t="n">
        <x:f>IF($D81="",0,SUMIF('Attendance Report - Option 1'!$P$11:$P$315,$D81,'Attendance Report - Option 1'!$Q$11:$Q$315)/86400)</x:f>
        <x:v>0.0002777777777777778</x:v>
      </x:c>
      <x:c r="F81" s="131" t="str">
        <x:f>IF(E81=0,"Did not attend",IF(E81&gt;='Read Me'!$E$2/86400,"Fully attended","Partially attended"))</x:f>
        <x:v>Partially attended</x:v>
      </x:c>
      <x:c r="G81" s="130" t="n">
        <x:f>IF($D81="",0,SUMIF('Attendance Report - Option 2'!$P$11:$P$412,$D81,'Attendance Report - Option 2'!$Q$11:$Q$412)/86400)</x:f>
        <x:v>0.0872337962962963</x:v>
      </x:c>
      <x:c r="H81" s="131" t="str">
        <x:f>IF(G81=0,"Did not attend",IF(G81&gt;='Read Me'!$E$2/86400,"Fully attended","Partially attended"))</x:f>
        <x:v>Fully attended</x:v>
      </x:c>
      <x:c r="I81" s="130" t="n">
        <x:f>E81+G81</x:f>
        <x:v>0.08751157407407407</x:v>
      </x:c>
      <x:c r="J81" s="131" t="str">
        <x:f>IF(I81=0,"Did not attend",IF(I81&gt;='Read Me'!$E$2/86400,"Fully attended","Partially attended"))</x:f>
        <x:v>Fully attended</x:v>
      </x:c>
      <x:c r="K81" s="131" t="str">
        <x:f>IF($D81="","No",IF(COUNTIF('Attendance Report - Option 1'!$P$11:$P$315,$D81)&gt;0,"Yes","No"))</x:f>
        <x:v>Yes</x:v>
      </x:c>
      <x:c r="L81" s="131" t="str">
        <x:f>IF($D81="","No",IF(COUNTIF('Attendance Report - Option 2'!$P$11:$P$412,$D81)&gt;0,"Yes","No"))</x:f>
        <x:v>Yes</x:v>
      </x:c>
    </x:row>
    <x:row r="82">
      <x:c r="A82" s="16" t="str">
        <x:f>'EMA Assurance Employee List'!A82</x:f>
        <x:v>Chisala Mukonde</x:v>
      </x:c>
      <x:c r="B82" s="16" t="str">
        <x:f>IF(C82="KE","Kenya",IF(C82="UG","Uganda",IF(C82="MU","Mauritius",IF(C82="TZ","Tanzania",IF(C82="RW","Rwanda",IF(C82="ZA","South Africa",IF(C82="ZM","Zambia","")))))))</x:f>
        <x:v>Zambia</x:v>
      </x:c>
      <x:c r="C82" s="16" t="str">
        <x:f>'EMA Assurance Employee List'!B82</x:f>
        <x:v>ZM</x:v>
      </x:c>
      <x:c r="D82" s="16" t="str">
        <x:f>'EMA Assurance Employee List'!D82</x:f>
        <x:v>chisala.mukonde@pwc.com</x:v>
      </x:c>
      <x:c r="E82" s="130" t="n">
        <x:f>IF($D82="",0,SUMIF('Attendance Report - Option 1'!$P$11:$P$315,$D82,'Attendance Report - Option 1'!$Q$11:$Q$315)/86400)</x:f>
        <x:v>0.08613425925925926</x:v>
      </x:c>
      <x:c r="F82" s="131" t="str">
        <x:f>IF(E82=0,"Did not attend",IF(E82&gt;='Read Me'!$E$2/86400,"Fully attended","Partially attended"))</x:f>
        <x:v>Fully attended</x:v>
      </x:c>
      <x:c r="G82" s="130" t="n">
        <x:f>IF($D82="",0,SUMIF('Attendance Report - Option 2'!$P$11:$P$412,$D82,'Attendance Report - Option 2'!$Q$11:$Q$412)/86400)</x:f>
        <x:v>0</x:v>
      </x:c>
      <x:c r="H82" s="131" t="str">
        <x:f>IF(G82=0,"Did not attend",IF(G82&gt;='Read Me'!$E$2/86400,"Fully attended","Partially attended"))</x:f>
        <x:v>Did not attend</x:v>
      </x:c>
      <x:c r="I82" s="130" t="n">
        <x:f>E82+G82</x:f>
        <x:v>0.08613425925925926</x:v>
      </x:c>
      <x:c r="J82" s="131" t="str">
        <x:f>IF(I82=0,"Did not attend",IF(I82&gt;='Read Me'!$E$2/86400,"Fully attended","Partially attended"))</x:f>
        <x:v>Fully attended</x:v>
      </x:c>
      <x:c r="K82" s="131" t="str">
        <x:f>IF($D82="","No",IF(COUNTIF('Attendance Report - Option 1'!$P$11:$P$315,$D82)&gt;0,"Yes","No"))</x:f>
        <x:v>Yes</x:v>
      </x:c>
      <x:c r="L82" s="131" t="str">
        <x:f>IF($D82="","No",IF(COUNTIF('Attendance Report - Option 2'!$P$11:$P$412,$D82)&gt;0,"Yes","No"))</x:f>
        <x:v>No</x:v>
      </x:c>
    </x:row>
    <x:row r="83">
      <x:c r="A83" s="16" t="str">
        <x:f>'EMA Assurance Employee List'!A83</x:f>
        <x:v>Chisela Chileshe</x:v>
      </x:c>
      <x:c r="B83" s="16" t="str">
        <x:f>IF(C83="KE","Kenya",IF(C83="UG","Uganda",IF(C83="MU","Mauritius",IF(C83="TZ","Tanzania",IF(C83="RW","Rwanda",IF(C83="ZA","South Africa",IF(C83="ZM","Zambia","")))))))</x:f>
        <x:v>Zambia</x:v>
      </x:c>
      <x:c r="C83" s="16" t="str">
        <x:f>'EMA Assurance Employee List'!B83</x:f>
        <x:v>ZM</x:v>
      </x:c>
      <x:c r="D83" s="16" t="str">
        <x:f>'EMA Assurance Employee List'!D83</x:f>
        <x:v>chisela.k.chileshe@pwc.com</x:v>
      </x:c>
      <x:c r="E83" s="130" t="n">
        <x:f>IF($D83="",0,SUMIF('Attendance Report - Option 1'!$P$11:$P$315,$D83,'Attendance Report - Option 1'!$Q$11:$Q$315)/86400)</x:f>
        <x:v>0</x:v>
      </x:c>
      <x:c r="F83" s="131" t="str">
        <x:f>IF(E83=0,"Did not attend",IF(E83&gt;='Read Me'!$E$2/86400,"Fully attended","Partially attended"))</x:f>
        <x:v>Did not attend</x:v>
      </x:c>
      <x:c r="G83" s="130" t="n">
        <x:f>IF($D83="",0,SUMIF('Attendance Report - Option 2'!$P$11:$P$412,$D83,'Attendance Report - Option 2'!$Q$11:$Q$412)/86400)</x:f>
        <x:v>0.060405092592592594</x:v>
      </x:c>
      <x:c r="H83" s="131" t="str">
        <x:f>IF(G83=0,"Did not attend",IF(G83&gt;='Read Me'!$E$2/86400,"Fully attended","Partially attended"))</x:f>
        <x:v>Partially attended</x:v>
      </x:c>
      <x:c r="I83" s="130" t="n">
        <x:f>E83+G83</x:f>
        <x:v>0.060405092592592594</x:v>
      </x:c>
      <x:c r="J83" s="131" t="str">
        <x:f>IF(I83=0,"Did not attend",IF(I83&gt;='Read Me'!$E$2/86400,"Fully attended","Partially attended"))</x:f>
        <x:v>Partially attended</x:v>
      </x:c>
      <x:c r="K83" s="131" t="str">
        <x:f>IF($D83="","No",IF(COUNTIF('Attendance Report - Option 1'!$P$11:$P$315,$D83)&gt;0,"Yes","No"))</x:f>
        <x:v>No</x:v>
      </x:c>
      <x:c r="L83" s="131" t="str">
        <x:f>IF($D83="","No",IF(COUNTIF('Attendance Report - Option 2'!$P$11:$P$412,$D83)&gt;0,"Yes","No"))</x:f>
        <x:v>Yes</x:v>
      </x:c>
    </x:row>
    <x:row r="84">
      <x:c r="A84" s="16" t="str">
        <x:f>'EMA Assurance Employee List'!A84</x:f>
        <x:v>Chitundu Mbewe</x:v>
      </x:c>
      <x:c r="B84" s="16" t="str">
        <x:f>IF(C84="KE","Kenya",IF(C84="UG","Uganda",IF(C84="MU","Mauritius",IF(C84="TZ","Tanzania",IF(C84="RW","Rwanda",IF(C84="ZA","South Africa",IF(C84="ZM","Zambia","")))))))</x:f>
        <x:v>Zambia</x:v>
      </x:c>
      <x:c r="C84" s="16" t="str">
        <x:f>'EMA Assurance Employee List'!B84</x:f>
        <x:v>ZM</x:v>
      </x:c>
      <x:c r="D84" s="16" t="str">
        <x:f>'EMA Assurance Employee List'!D84</x:f>
        <x:v>chitundu.mbewe@pwc.com</x:v>
      </x:c>
      <x:c r="E84" s="130" t="n">
        <x:f>IF($D84="",0,SUMIF('Attendance Report - Option 1'!$P$11:$P$315,$D84,'Attendance Report - Option 1'!$Q$11:$Q$315)/86400)</x:f>
        <x:v>0.0830324074074074</x:v>
      </x:c>
      <x:c r="F84" s="131" t="str">
        <x:f>IF(E84=0,"Did not attend",IF(E84&gt;='Read Me'!$E$2/86400,"Fully attended","Partially attended"))</x:f>
        <x:v>Fully attended</x:v>
      </x:c>
      <x:c r="G84" s="130" t="n">
        <x:f>IF($D84="",0,SUMIF('Attendance Report - Option 2'!$P$11:$P$412,$D84,'Attendance Report - Option 2'!$Q$11:$Q$412)/86400)</x:f>
        <x:v>0</x:v>
      </x:c>
      <x:c r="H84" s="131" t="str">
        <x:f>IF(G84=0,"Did not attend",IF(G84&gt;='Read Me'!$E$2/86400,"Fully attended","Partially attended"))</x:f>
        <x:v>Did not attend</x:v>
      </x:c>
      <x:c r="I84" s="130" t="n">
        <x:f>E84+G84</x:f>
        <x:v>0.0830324074074074</x:v>
      </x:c>
      <x:c r="J84" s="131" t="str">
        <x:f>IF(I84=0,"Did not attend",IF(I84&gt;='Read Me'!$E$2/86400,"Fully attended","Partially attended"))</x:f>
        <x:v>Fully attended</x:v>
      </x:c>
      <x:c r="K84" s="131" t="str">
        <x:f>IF($D84="","No",IF(COUNTIF('Attendance Report - Option 1'!$P$11:$P$315,$D84)&gt;0,"Yes","No"))</x:f>
        <x:v>Yes</x:v>
      </x:c>
      <x:c r="L84" s="131" t="str">
        <x:f>IF($D84="","No",IF(COUNTIF('Attendance Report - Option 2'!$P$11:$P$412,$D84)&gt;0,"Yes","No"))</x:f>
        <x:v>No</x:v>
      </x:c>
    </x:row>
    <x:row r="85">
      <x:c r="A85" s="16" t="str">
        <x:f>'EMA Assurance Employee List'!A85</x:f>
        <x:v>Christella Baho</x:v>
      </x:c>
      <x:c r="B85" s="16" t="str">
        <x:f>IF(C85="KE","Kenya",IF(C85="UG","Uganda",IF(C85="MU","Mauritius",IF(C85="TZ","Tanzania",IF(C85="RW","Rwanda",IF(C85="ZA","South Africa",IF(C85="ZM","Zambia","")))))))</x:f>
        <x:v>Rwanda</x:v>
      </x:c>
      <x:c r="C85" s="16" t="str">
        <x:f>'EMA Assurance Employee List'!B85</x:f>
        <x:v>RW</x:v>
      </x:c>
      <x:c r="D85" s="16" t="str">
        <x:f>'EMA Assurance Employee List'!D85</x:f>
        <x:v>christella.anny.baho@pwc.com</x:v>
      </x:c>
      <x:c r="E85" s="130" t="n">
        <x:f>IF($D85="",0,SUMIF('Attendance Report - Option 1'!$P$11:$P$315,$D85,'Attendance Report - Option 1'!$Q$11:$Q$315)/86400)</x:f>
        <x:v>0.09091435185185186</x:v>
      </x:c>
      <x:c r="F85" s="131" t="str">
        <x:f>IF(E85=0,"Did not attend",IF(E85&gt;='Read Me'!$E$2/86400,"Fully attended","Partially attended"))</x:f>
        <x:v>Fully attended</x:v>
      </x:c>
      <x:c r="G85" s="130" t="n">
        <x:f>IF($D85="",0,SUMIF('Attendance Report - Option 2'!$P$11:$P$412,$D85,'Attendance Report - Option 2'!$Q$11:$Q$412)/86400)</x:f>
        <x:v>0</x:v>
      </x:c>
      <x:c r="H85" s="131" t="str">
        <x:f>IF(G85=0,"Did not attend",IF(G85&gt;='Read Me'!$E$2/86400,"Fully attended","Partially attended"))</x:f>
        <x:v>Did not attend</x:v>
      </x:c>
      <x:c r="I85" s="130" t="n">
        <x:f>E85+G85</x:f>
        <x:v>0.09091435185185186</x:v>
      </x:c>
      <x:c r="J85" s="131" t="str">
        <x:f>IF(I85=0,"Did not attend",IF(I85&gt;='Read Me'!$E$2/86400,"Fully attended","Partially attended"))</x:f>
        <x:v>Fully attended</x:v>
      </x:c>
      <x:c r="K85" s="131" t="str">
        <x:f>IF($D85="","No",IF(COUNTIF('Attendance Report - Option 1'!$P$11:$P$315,$D85)&gt;0,"Yes","No"))</x:f>
        <x:v>Yes</x:v>
      </x:c>
      <x:c r="L85" s="131" t="str">
        <x:f>IF($D85="","No",IF(COUNTIF('Attendance Report - Option 2'!$P$11:$P$412,$D85)&gt;0,"Yes","No"))</x:f>
        <x:v>No</x:v>
      </x:c>
    </x:row>
    <x:row r="86">
      <x:c r="A86" s="16" t="str">
        <x:f>'EMA Assurance Employee List'!A86</x:f>
        <x:v>Christine Nalwoga</x:v>
      </x:c>
      <x:c r="B86" s="16" t="str">
        <x:f>IF(C86="KE","Kenya",IF(C86="UG","Uganda",IF(C86="MU","Mauritius",IF(C86="TZ","Tanzania",IF(C86="RW","Rwanda",IF(C86="ZA","South Africa",IF(C86="ZM","Zambia","")))))))</x:f>
        <x:v>Uganda</x:v>
      </x:c>
      <x:c r="C86" s="16" t="str">
        <x:f>'EMA Assurance Employee List'!B86</x:f>
        <x:v>UG</x:v>
      </x:c>
      <x:c r="D86" s="16" t="str">
        <x:f>'EMA Assurance Employee List'!D86</x:f>
        <x:v>christine.nalwoga@pwc.com</x:v>
      </x:c>
      <x:c r="E86" s="130" t="n">
        <x:f>IF($D86="",0,SUMIF('Attendance Report - Option 1'!$P$11:$P$315,$D86,'Attendance Report - Option 1'!$Q$11:$Q$315)/86400)</x:f>
        <x:v>0</x:v>
      </x:c>
      <x:c r="F86" s="131" t="str">
        <x:f>IF(E86=0,"Did not attend",IF(E86&gt;='Read Me'!$E$2/86400,"Fully attended","Partially attended"))</x:f>
        <x:v>Did not attend</x:v>
      </x:c>
      <x:c r="G86" s="130" t="n">
        <x:f>IF($D86="",0,SUMIF('Attendance Report - Option 2'!$P$11:$P$412,$D86,'Attendance Report - Option 2'!$Q$11:$Q$412)/86400)</x:f>
        <x:v>0.08135416666666667</x:v>
      </x:c>
      <x:c r="H86" s="131" t="str">
        <x:f>IF(G86=0,"Did not attend",IF(G86&gt;='Read Me'!$E$2/86400,"Fully attended","Partially attended"))</x:f>
        <x:v>Fully attended</x:v>
      </x:c>
      <x:c r="I86" s="130" t="n">
        <x:f>E86+G86</x:f>
        <x:v>0.08135416666666667</x:v>
      </x:c>
      <x:c r="J86" s="131" t="str">
        <x:f>IF(I86=0,"Did not attend",IF(I86&gt;='Read Me'!$E$2/86400,"Fully attended","Partially attended"))</x:f>
        <x:v>Fully attended</x:v>
      </x:c>
      <x:c r="K86" s="131" t="str">
        <x:f>IF($D86="","No",IF(COUNTIF('Attendance Report - Option 1'!$P$11:$P$315,$D86)&gt;0,"Yes","No"))</x:f>
        <x:v>No</x:v>
      </x:c>
      <x:c r="L86" s="131" t="str">
        <x:f>IF($D86="","No",IF(COUNTIF('Attendance Report - Option 2'!$P$11:$P$412,$D86)&gt;0,"Yes","No"))</x:f>
        <x:v>Yes</x:v>
      </x:c>
    </x:row>
    <x:row r="87">
      <x:c r="A87" s="16" t="str">
        <x:f>'EMA Assurance Employee List'!A87</x:f>
        <x:v>Clement Muhoro</x:v>
      </x:c>
      <x:c r="B87" s="16" t="str">
        <x:f>IF(C87="KE","Kenya",IF(C87="UG","Uganda",IF(C87="MU","Mauritius",IF(C87="TZ","Tanzania",IF(C87="RW","Rwanda",IF(C87="ZA","South Africa",IF(C87="ZM","Zambia","")))))))</x:f>
        <x:v>Kenya</x:v>
      </x:c>
      <x:c r="C87" s="16" t="str">
        <x:f>'EMA Assurance Employee List'!B87</x:f>
        <x:v>KE</x:v>
      </x:c>
      <x:c r="D87" s="16" t="str">
        <x:f>'EMA Assurance Employee List'!D87</x:f>
        <x:v>clement.muhoro@pwc.com</x:v>
      </x:c>
      <x:c r="E87" s="130" t="n">
        <x:f>IF($D87="",0,SUMIF('Attendance Report - Option 1'!$P$11:$P$315,$D87,'Attendance Report - Option 1'!$Q$11:$Q$315)/86400)</x:f>
        <x:v>0.07099537037037038</x:v>
      </x:c>
      <x:c r="F87" s="131" t="str">
        <x:f>IF(E87=0,"Did not attend",IF(E87&gt;='Read Me'!$E$2/86400,"Fully attended","Partially attended"))</x:f>
        <x:v>Fully attended</x:v>
      </x:c>
      <x:c r="G87" s="130" t="n">
        <x:f>IF($D87="",0,SUMIF('Attendance Report - Option 2'!$P$11:$P$412,$D87,'Attendance Report - Option 2'!$Q$11:$Q$412)/86400)</x:f>
        <x:v>0</x:v>
      </x:c>
      <x:c r="H87" s="131" t="str">
        <x:f>IF(G87=0,"Did not attend",IF(G87&gt;='Read Me'!$E$2/86400,"Fully attended","Partially attended"))</x:f>
        <x:v>Did not attend</x:v>
      </x:c>
      <x:c r="I87" s="130" t="n">
        <x:f>E87+G87</x:f>
        <x:v>0.07099537037037038</x:v>
      </x:c>
      <x:c r="J87" s="131" t="str">
        <x:f>IF(I87=0,"Did not attend",IF(I87&gt;='Read Me'!$E$2/86400,"Fully attended","Partially attended"))</x:f>
        <x:v>Fully attended</x:v>
      </x:c>
      <x:c r="K87" s="131" t="str">
        <x:f>IF($D87="","No",IF(COUNTIF('Attendance Report - Option 1'!$P$11:$P$315,$D87)&gt;0,"Yes","No"))</x:f>
        <x:v>Yes</x:v>
      </x:c>
      <x:c r="L87" s="131" t="str">
        <x:f>IF($D87="","No",IF(COUNTIF('Attendance Report - Option 2'!$P$11:$P$412,$D87)&gt;0,"Yes","No"))</x:f>
        <x:v>No</x:v>
      </x:c>
    </x:row>
    <x:row r="88">
      <x:c r="A88" s="16" t="str">
        <x:f>'EMA Assurance Employee List'!A88</x:f>
        <x:v>Cletus Kiyuga</x:v>
      </x:c>
      <x:c r="B88" s="16" t="str">
        <x:f>IF(C88="KE","Kenya",IF(C88="UG","Uganda",IF(C88="MU","Mauritius",IF(C88="TZ","Tanzania",IF(C88="RW","Rwanda",IF(C88="ZA","South Africa",IF(C88="ZM","Zambia","")))))))</x:f>
        <x:v>Tanzania</x:v>
      </x:c>
      <x:c r="C88" s="16" t="str">
        <x:f>'EMA Assurance Employee List'!B88</x:f>
        <x:v>TZ</x:v>
      </x:c>
      <x:c r="D88" s="16" t="str">
        <x:f>'EMA Assurance Employee List'!D88</x:f>
        <x:v>cletus.kiyuga@pwc.com</x:v>
      </x:c>
      <x:c r="E88" s="130" t="n">
        <x:f>IF($D88="",0,SUMIF('Attendance Report - Option 1'!$P$11:$P$315,$D88,'Attendance Report - Option 1'!$Q$11:$Q$315)/86400)</x:f>
        <x:v>0</x:v>
      </x:c>
      <x:c r="F88" s="131" t="str">
        <x:f>IF(E88=0,"Did not attend",IF(E88&gt;='Read Me'!$E$2/86400,"Fully attended","Partially attended"))</x:f>
        <x:v>Did not attend</x:v>
      </x:c>
      <x:c r="G88" s="130" t="n">
        <x:f>IF($D88="",0,SUMIF('Attendance Report - Option 2'!$P$11:$P$412,$D88,'Attendance Report - Option 2'!$Q$11:$Q$412)/86400)</x:f>
        <x:v>0.07958333333333334</x:v>
      </x:c>
      <x:c r="H88" s="131" t="str">
        <x:f>IF(G88=0,"Did not attend",IF(G88&gt;='Read Me'!$E$2/86400,"Fully attended","Partially attended"))</x:f>
        <x:v>Fully attended</x:v>
      </x:c>
      <x:c r="I88" s="130" t="n">
        <x:f>E88+G88</x:f>
        <x:v>0.07958333333333334</x:v>
      </x:c>
      <x:c r="J88" s="131" t="str">
        <x:f>IF(I88=0,"Did not attend",IF(I88&gt;='Read Me'!$E$2/86400,"Fully attended","Partially attended"))</x:f>
        <x:v>Fully attended</x:v>
      </x:c>
      <x:c r="K88" s="131" t="str">
        <x:f>IF($D88="","No",IF(COUNTIF('Attendance Report - Option 1'!$P$11:$P$315,$D88)&gt;0,"Yes","No"))</x:f>
        <x:v>No</x:v>
      </x:c>
      <x:c r="L88" s="131" t="str">
        <x:f>IF($D88="","No",IF(COUNTIF('Attendance Report - Option 2'!$P$11:$P$412,$D88)&gt;0,"Yes","No"))</x:f>
        <x:v>Yes</x:v>
      </x:c>
    </x:row>
    <x:row r="89">
      <x:c r="A89" s="16" t="str">
        <x:f>'EMA Assurance Employee List'!A89</x:f>
        <x:v>Clive Mayombwe</x:v>
      </x:c>
      <x:c r="B89" s="16" t="str">
        <x:f>IF(C89="KE","Kenya",IF(C89="UG","Uganda",IF(C89="MU","Mauritius",IF(C89="TZ","Tanzania",IF(C89="RW","Rwanda",IF(C89="ZA","South Africa",IF(C89="ZM","Zambia","")))))))</x:f>
        <x:v>Uganda</x:v>
      </x:c>
      <x:c r="C89" s="16" t="str">
        <x:f>'EMA Assurance Employee List'!B89</x:f>
        <x:v>UG</x:v>
      </x:c>
      <x:c r="D89" s="16" t="str">
        <x:f>'EMA Assurance Employee List'!D89</x:f>
        <x:v>clive.mayombwe@pwc.com</x:v>
      </x:c>
      <x:c r="E89" s="130" t="n">
        <x:f>IF($D89="",0,SUMIF('Attendance Report - Option 1'!$P$11:$P$315,$D89,'Attendance Report - Option 1'!$Q$11:$Q$315)/86400)</x:f>
        <x:v>0</x:v>
      </x:c>
      <x:c r="F89" s="131" t="str">
        <x:f>IF(E89=0,"Did not attend",IF(E89&gt;='Read Me'!$E$2/86400,"Fully attended","Partially attended"))</x:f>
        <x:v>Did not attend</x:v>
      </x:c>
      <x:c r="G89" s="130" t="n">
        <x:f>IF($D89="",0,SUMIF('Attendance Report - Option 2'!$P$11:$P$412,$D89,'Attendance Report - Option 2'!$Q$11:$Q$412)/86400)</x:f>
        <x:v>0.08375</x:v>
      </x:c>
      <x:c r="H89" s="131" t="str">
        <x:f>IF(G89=0,"Did not attend",IF(G89&gt;='Read Me'!$E$2/86400,"Fully attended","Partially attended"))</x:f>
        <x:v>Fully attended</x:v>
      </x:c>
      <x:c r="I89" s="130" t="n">
        <x:f>E89+G89</x:f>
        <x:v>0.08375</x:v>
      </x:c>
      <x:c r="J89" s="131" t="str">
        <x:f>IF(I89=0,"Did not attend",IF(I89&gt;='Read Me'!$E$2/86400,"Fully attended","Partially attended"))</x:f>
        <x:v>Fully attended</x:v>
      </x:c>
      <x:c r="K89" s="131" t="str">
        <x:f>IF($D89="","No",IF(COUNTIF('Attendance Report - Option 1'!$P$11:$P$315,$D89)&gt;0,"Yes","No"))</x:f>
        <x:v>No</x:v>
      </x:c>
      <x:c r="L89" s="131" t="str">
        <x:f>IF($D89="","No",IF(COUNTIF('Attendance Report - Option 2'!$P$11:$P$412,$D89)&gt;0,"Yes","No"))</x:f>
        <x:v>Yes</x:v>
      </x:c>
    </x:row>
    <x:row r="90">
      <x:c r="A90" s="16" t="str">
        <x:f>'EMA Assurance Employee List'!A90</x:f>
        <x:v>Colins Muteti</x:v>
      </x:c>
      <x:c r="B90" s="16" t="str">
        <x:f>IF(C90="KE","Kenya",IF(C90="UG","Uganda",IF(C90="MU","Mauritius",IF(C90="TZ","Tanzania",IF(C90="RW","Rwanda",IF(C90="ZA","South Africa",IF(C90="ZM","Zambia","")))))))</x:f>
        <x:v>Kenya</x:v>
      </x:c>
      <x:c r="C90" s="16" t="str">
        <x:f>'EMA Assurance Employee List'!B90</x:f>
        <x:v>KE</x:v>
      </x:c>
      <x:c r="D90" s="16" t="str">
        <x:f>'EMA Assurance Employee List'!D90</x:f>
        <x:v>colins.muteti@pwc.com</x:v>
      </x:c>
      <x:c r="E90" s="130" t="n">
        <x:f>IF($D90="",0,SUMIF('Attendance Report - Option 1'!$P$11:$P$315,$D90,'Attendance Report - Option 1'!$Q$11:$Q$315)/86400)</x:f>
        <x:v>0.08158564814814814</x:v>
      </x:c>
      <x:c r="F90" s="131" t="str">
        <x:f>IF(E90=0,"Did not attend",IF(E90&gt;='Read Me'!$E$2/86400,"Fully attended","Partially attended"))</x:f>
        <x:v>Fully attended</x:v>
      </x:c>
      <x:c r="G90" s="130" t="n">
        <x:f>IF($D90="",0,SUMIF('Attendance Report - Option 2'!$P$11:$P$412,$D90,'Attendance Report - Option 2'!$Q$11:$Q$412)/86400)</x:f>
        <x:v>0</x:v>
      </x:c>
      <x:c r="H90" s="131" t="str">
        <x:f>IF(G90=0,"Did not attend",IF(G90&gt;='Read Me'!$E$2/86400,"Fully attended","Partially attended"))</x:f>
        <x:v>Did not attend</x:v>
      </x:c>
      <x:c r="I90" s="130" t="n">
        <x:f>E90+G90</x:f>
        <x:v>0.08158564814814814</x:v>
      </x:c>
      <x:c r="J90" s="131" t="str">
        <x:f>IF(I90=0,"Did not attend",IF(I90&gt;='Read Me'!$E$2/86400,"Fully attended","Partially attended"))</x:f>
        <x:v>Fully attended</x:v>
      </x:c>
      <x:c r="K90" s="131" t="str">
        <x:f>IF($D90="","No",IF(COUNTIF('Attendance Report - Option 1'!$P$11:$P$315,$D90)&gt;0,"Yes","No"))</x:f>
        <x:v>Yes</x:v>
      </x:c>
      <x:c r="L90" s="131" t="str">
        <x:f>IF($D90="","No",IF(COUNTIF('Attendance Report - Option 2'!$P$11:$P$412,$D90)&gt;0,"Yes","No"))</x:f>
        <x:v>No</x:v>
      </x:c>
    </x:row>
    <x:row r="91">
      <x:c r="A91" s="16" t="str">
        <x:f>'EMA Assurance Employee List'!A91</x:f>
        <x:v>Collins Kamugisha</x:v>
      </x:c>
      <x:c r="B91" s="16" t="str">
        <x:f>IF(C91="KE","Kenya",IF(C91="UG","Uganda",IF(C91="MU","Mauritius",IF(C91="TZ","Tanzania",IF(C91="RW","Rwanda",IF(C91="ZA","South Africa",IF(C91="ZM","Zambia","")))))))</x:f>
        <x:v>Rwanda</x:v>
      </x:c>
      <x:c r="C91" s="16" t="str">
        <x:f>'EMA Assurance Employee List'!B91</x:f>
        <x:v>RW</x:v>
      </x:c>
      <x:c r="D91" s="16" t="str">
        <x:f>'EMA Assurance Employee List'!D91</x:f>
        <x:v>collins.i.kamugisha@pwc.com</x:v>
      </x:c>
      <x:c r="E91" s="130" t="n">
        <x:f>IF($D91="",0,SUMIF('Attendance Report - Option 1'!$P$11:$P$315,$D91,'Attendance Report - Option 1'!$Q$11:$Q$315)/86400)</x:f>
        <x:v>0</x:v>
      </x:c>
      <x:c r="F91" s="131" t="str">
        <x:f>IF(E91=0,"Did not attend",IF(E91&gt;='Read Me'!$E$2/86400,"Fully attended","Partially attended"))</x:f>
        <x:v>Did not attend</x:v>
      </x:c>
      <x:c r="G91" s="130" t="n">
        <x:f>IF($D91="",0,SUMIF('Attendance Report - Option 2'!$P$11:$P$412,$D91,'Attendance Report - Option 2'!$Q$11:$Q$412)/86400)</x:f>
        <x:v>0</x:v>
      </x:c>
      <x:c r="H91" s="131" t="str">
        <x:f>IF(G91=0,"Did not attend",IF(G91&gt;='Read Me'!$E$2/86400,"Fully attended","Partially attended"))</x:f>
        <x:v>Did not attend</x:v>
      </x:c>
      <x:c r="I91" s="130" t="n">
        <x:f>E91+G91</x:f>
        <x:v>0</x:v>
      </x:c>
      <x:c r="J91" s="131" t="str">
        <x:f>IF(I91=0,"Did not attend",IF(I91&gt;='Read Me'!$E$2/86400,"Fully attended","Partially attended"))</x:f>
        <x:v>Did not attend</x:v>
      </x:c>
      <x:c r="K91" s="131" t="str">
        <x:f>IF($D91="","No",IF(COUNTIF('Attendance Report - Option 1'!$P$11:$P$315,$D91)&gt;0,"Yes","No"))</x:f>
        <x:v>No</x:v>
      </x:c>
      <x:c r="L91" s="131" t="str">
        <x:f>IF($D91="","No",IF(COUNTIF('Attendance Report - Option 2'!$P$11:$P$412,$D91)&gt;0,"Yes","No"))</x:f>
        <x:v>No</x:v>
      </x:c>
    </x:row>
    <x:row r="92">
      <x:c r="A92" s="16" t="str">
        <x:f>'EMA Assurance Employee List'!A92</x:f>
        <x:v>Collins Maina</x:v>
      </x:c>
      <x:c r="B92" s="16" t="str">
        <x:f>IF(C92="KE","Kenya",IF(C92="UG","Uganda",IF(C92="MU","Mauritius",IF(C92="TZ","Tanzania",IF(C92="RW","Rwanda",IF(C92="ZA","South Africa",IF(C92="ZM","Zambia","")))))))</x:f>
        <x:v>Kenya</x:v>
      </x:c>
      <x:c r="C92" s="16" t="str">
        <x:f>'EMA Assurance Employee List'!B92</x:f>
        <x:v>KE</x:v>
      </x:c>
      <x:c r="D92" s="16" t="str">
        <x:f>'EMA Assurance Employee List'!D92</x:f>
        <x:v>collins.maina@pwc.com</x:v>
      </x:c>
      <x:c r="E92" s="130" t="n">
        <x:f>IF($D92="",0,SUMIF('Attendance Report - Option 1'!$P$11:$P$315,$D92,'Attendance Report - Option 1'!$Q$11:$Q$315)/86400)</x:f>
        <x:v>0.07256944444444445</x:v>
      </x:c>
      <x:c r="F92" s="131" t="str">
        <x:f>IF(E92=0,"Did not attend",IF(E92&gt;='Read Me'!$E$2/86400,"Fully attended","Partially attended"))</x:f>
        <x:v>Fully attended</x:v>
      </x:c>
      <x:c r="G92" s="130" t="n">
        <x:f>IF($D92="",0,SUMIF('Attendance Report - Option 2'!$P$11:$P$412,$D92,'Attendance Report - Option 2'!$Q$11:$Q$412)/86400)</x:f>
        <x:v>0</x:v>
      </x:c>
      <x:c r="H92" s="131" t="str">
        <x:f>IF(G92=0,"Did not attend",IF(G92&gt;='Read Me'!$E$2/86400,"Fully attended","Partially attended"))</x:f>
        <x:v>Did not attend</x:v>
      </x:c>
      <x:c r="I92" s="130" t="n">
        <x:f>E92+G92</x:f>
        <x:v>0.07256944444444445</x:v>
      </x:c>
      <x:c r="J92" s="131" t="str">
        <x:f>IF(I92=0,"Did not attend",IF(I92&gt;='Read Me'!$E$2/86400,"Fully attended","Partially attended"))</x:f>
        <x:v>Fully attended</x:v>
      </x:c>
      <x:c r="K92" s="131" t="str">
        <x:f>IF($D92="","No",IF(COUNTIF('Attendance Report - Option 1'!$P$11:$P$315,$D92)&gt;0,"Yes","No"))</x:f>
        <x:v>Yes</x:v>
      </x:c>
      <x:c r="L92" s="131" t="str">
        <x:f>IF($D92="","No",IF(COUNTIF('Attendance Report - Option 2'!$P$11:$P$412,$D92)&gt;0,"Yes","No"))</x:f>
        <x:v>No</x:v>
      </x:c>
    </x:row>
    <x:row r="93">
      <x:c r="A93" s="16" t="str">
        <x:f>'EMA Assurance Employee List'!A93</x:f>
        <x:v>Consolata Orodi</x:v>
      </x:c>
      <x:c r="B93" s="16" t="str">
        <x:f>IF(C93="KE","Kenya",IF(C93="UG","Uganda",IF(C93="MU","Mauritius",IF(C93="TZ","Tanzania",IF(C93="RW","Rwanda",IF(C93="ZA","South Africa",IF(C93="ZM","Zambia","")))))))</x:f>
        <x:v>Kenya</x:v>
      </x:c>
      <x:c r="C93" s="16" t="str">
        <x:f>'EMA Assurance Employee List'!B93</x:f>
        <x:v>KE</x:v>
      </x:c>
      <x:c r="D93" s="16" t="str">
        <x:f>'EMA Assurance Employee List'!D93</x:f>
        <x:v>consolata.orodi@pwc.com</x:v>
      </x:c>
      <x:c r="E93" s="130" t="n">
        <x:f>IF($D93="",0,SUMIF('Attendance Report - Option 1'!$P$11:$P$315,$D93,'Attendance Report - Option 1'!$Q$11:$Q$315)/86400)</x:f>
        <x:v>0.0794212962962963</x:v>
      </x:c>
      <x:c r="F93" s="131" t="str">
        <x:f>IF(E93=0,"Did not attend",IF(E93&gt;='Read Me'!$E$2/86400,"Fully attended","Partially attended"))</x:f>
        <x:v>Fully attended</x:v>
      </x:c>
      <x:c r="G93" s="130" t="n">
        <x:f>IF($D93="",0,SUMIF('Attendance Report - Option 2'!$P$11:$P$412,$D93,'Attendance Report - Option 2'!$Q$11:$Q$412)/86400)</x:f>
        <x:v>0</x:v>
      </x:c>
      <x:c r="H93" s="131" t="str">
        <x:f>IF(G93=0,"Did not attend",IF(G93&gt;='Read Me'!$E$2/86400,"Fully attended","Partially attended"))</x:f>
        <x:v>Did not attend</x:v>
      </x:c>
      <x:c r="I93" s="130" t="n">
        <x:f>E93+G93</x:f>
        <x:v>0.0794212962962963</x:v>
      </x:c>
      <x:c r="J93" s="131" t="str">
        <x:f>IF(I93=0,"Did not attend",IF(I93&gt;='Read Me'!$E$2/86400,"Fully attended","Partially attended"))</x:f>
        <x:v>Fully attended</x:v>
      </x:c>
      <x:c r="K93" s="131" t="str">
        <x:f>IF($D93="","No",IF(COUNTIF('Attendance Report - Option 1'!$P$11:$P$315,$D93)&gt;0,"Yes","No"))</x:f>
        <x:v>Yes</x:v>
      </x:c>
      <x:c r="L93" s="131" t="str">
        <x:f>IF($D93="","No",IF(COUNTIF('Attendance Report - Option 2'!$P$11:$P$412,$D93)&gt;0,"Yes","No"))</x:f>
        <x:v>No</x:v>
      </x:c>
    </x:row>
    <x:row r="94">
      <x:c r="A94" s="16" t="str">
        <x:f>'EMA Assurance Employee List'!A94</x:f>
        <x:v>Crystel Masson</x:v>
      </x:c>
      <x:c r="B94" s="16" t="str">
        <x:f>IF(C94="KE","Kenya",IF(C94="UG","Uganda",IF(C94="MU","Mauritius",IF(C94="TZ","Tanzania",IF(C94="RW","Rwanda",IF(C94="ZA","South Africa",IF(C94="ZM","Zambia","")))))))</x:f>
        <x:v>Mauritius</x:v>
      </x:c>
      <x:c r="C94" s="16" t="str">
        <x:f>'EMA Assurance Employee List'!B94</x:f>
        <x:v>MU</x:v>
      </x:c>
      <x:c r="D94" s="16" t="str">
        <x:f>'EMA Assurance Employee List'!D94</x:f>
        <x:v>crystel.masson@pwc.com</x:v>
      </x:c>
      <x:c r="E94" s="130" t="n">
        <x:f>IF($D94="",0,SUMIF('Attendance Report - Option 1'!$P$11:$P$315,$D94,'Attendance Report - Option 1'!$Q$11:$Q$315)/86400)</x:f>
        <x:v>0</x:v>
      </x:c>
      <x:c r="F94" s="131" t="str">
        <x:f>IF(E94=0,"Did not attend",IF(E94&gt;='Read Me'!$E$2/86400,"Fully attended","Partially attended"))</x:f>
        <x:v>Did not attend</x:v>
      </x:c>
      <x:c r="G94" s="130" t="n">
        <x:f>IF($D94="",0,SUMIF('Attendance Report - Option 2'!$P$11:$P$412,$D94,'Attendance Report - Option 2'!$Q$11:$Q$412)/86400)</x:f>
        <x:v>0.08709490740740741</x:v>
      </x:c>
      <x:c r="H94" s="131" t="str">
        <x:f>IF(G94=0,"Did not attend",IF(G94&gt;='Read Me'!$E$2/86400,"Fully attended","Partially attended"))</x:f>
        <x:v>Fully attended</x:v>
      </x:c>
      <x:c r="I94" s="130" t="n">
        <x:f>E94+G94</x:f>
        <x:v>0.08709490740740741</x:v>
      </x:c>
      <x:c r="J94" s="131" t="str">
        <x:f>IF(I94=0,"Did not attend",IF(I94&gt;='Read Me'!$E$2/86400,"Fully attended","Partially attended"))</x:f>
        <x:v>Fully attended</x:v>
      </x:c>
      <x:c r="K94" s="131" t="str">
        <x:f>IF($D94="","No",IF(COUNTIF('Attendance Report - Option 1'!$P$11:$P$315,$D94)&gt;0,"Yes","No"))</x:f>
        <x:v>No</x:v>
      </x:c>
      <x:c r="L94" s="131" t="str">
        <x:f>IF($D94="","No",IF(COUNTIF('Attendance Report - Option 2'!$P$11:$P$412,$D94)&gt;0,"Yes","No"))</x:f>
        <x:v>Yes</x:v>
      </x:c>
    </x:row>
    <x:row r="95">
      <x:c r="A95" s="16" t="str">
        <x:f>'EMA Assurance Employee List'!A95</x:f>
        <x:v>Cyprian Munene</x:v>
      </x:c>
      <x:c r="B95" s="16" t="str">
        <x:f>IF(C95="KE","Kenya",IF(C95="UG","Uganda",IF(C95="MU","Mauritius",IF(C95="TZ","Tanzania",IF(C95="RW","Rwanda",IF(C95="ZA","South Africa",IF(C95="ZM","Zambia","")))))))</x:f>
        <x:v>Kenya</x:v>
      </x:c>
      <x:c r="C95" s="16" t="str">
        <x:f>'EMA Assurance Employee List'!B95</x:f>
        <x:v>KE</x:v>
      </x:c>
      <x:c r="D95" s="16" t="str">
        <x:f>'EMA Assurance Employee List'!D95</x:f>
        <x:v>cyprian.munene@pwc.com</x:v>
      </x:c>
      <x:c r="E95" s="130" t="n">
        <x:f>IF($D95="",0,SUMIF('Attendance Report - Option 1'!$P$11:$P$315,$D95,'Attendance Report - Option 1'!$Q$11:$Q$315)/86400)</x:f>
        <x:v>0</x:v>
      </x:c>
      <x:c r="F95" s="131" t="str">
        <x:f>IF(E95=0,"Did not attend",IF(E95&gt;='Read Me'!$E$2/86400,"Fully attended","Partially attended"))</x:f>
        <x:v>Did not attend</x:v>
      </x:c>
      <x:c r="G95" s="130" t="n">
        <x:f>IF($D95="",0,SUMIF('Attendance Report - Option 2'!$P$11:$P$412,$D95,'Attendance Report - Option 2'!$Q$11:$Q$412)/86400)</x:f>
        <x:v>0.08943287037037037</x:v>
      </x:c>
      <x:c r="H95" s="131" t="str">
        <x:f>IF(G95=0,"Did not attend",IF(G95&gt;='Read Me'!$E$2/86400,"Fully attended","Partially attended"))</x:f>
        <x:v>Fully attended</x:v>
      </x:c>
      <x:c r="I95" s="130" t="n">
        <x:f>E95+G95</x:f>
        <x:v>0.08943287037037037</x:v>
      </x:c>
      <x:c r="J95" s="131" t="str">
        <x:f>IF(I95=0,"Did not attend",IF(I95&gt;='Read Me'!$E$2/86400,"Fully attended","Partially attended"))</x:f>
        <x:v>Fully attended</x:v>
      </x:c>
      <x:c r="K95" s="131" t="str">
        <x:f>IF($D95="","No",IF(COUNTIF('Attendance Report - Option 1'!$P$11:$P$315,$D95)&gt;0,"Yes","No"))</x:f>
        <x:v>No</x:v>
      </x:c>
      <x:c r="L95" s="131" t="str">
        <x:f>IF($D95="","No",IF(COUNTIF('Attendance Report - Option 2'!$P$11:$P$412,$D95)&gt;0,"Yes","No"))</x:f>
        <x:v>Yes</x:v>
      </x:c>
    </x:row>
    <x:row r="96">
      <x:c r="A96" s="16" t="str">
        <x:f>'EMA Assurance Employee List'!A96</x:f>
        <x:v>Cyrus Muturi</x:v>
      </x:c>
      <x:c r="B96" s="16" t="str">
        <x:f>IF(C96="KE","Kenya",IF(C96="UG","Uganda",IF(C96="MU","Mauritius",IF(C96="TZ","Tanzania",IF(C96="RW","Rwanda",IF(C96="ZA","South Africa",IF(C96="ZM","Zambia","")))))))</x:f>
        <x:v>Kenya</x:v>
      </x:c>
      <x:c r="C96" s="16" t="str">
        <x:f>'EMA Assurance Employee List'!B96</x:f>
        <x:v>KE</x:v>
      </x:c>
      <x:c r="D96" s="16" t="str">
        <x:f>'EMA Assurance Employee List'!D96</x:f>
        <x:v>cyrus.muturi@pwc.com</x:v>
      </x:c>
      <x:c r="E96" s="130" t="n">
        <x:f>IF($D96="",0,SUMIF('Attendance Report - Option 1'!$P$11:$P$315,$D96,'Attendance Report - Option 1'!$Q$11:$Q$315)/86400)</x:f>
        <x:v>0.014513888888888889</x:v>
      </x:c>
      <x:c r="F96" s="131" t="str">
        <x:f>IF(E96=0,"Did not attend",IF(E96&gt;='Read Me'!$E$2/86400,"Fully attended","Partially attended"))</x:f>
        <x:v>Partially attended</x:v>
      </x:c>
      <x:c r="G96" s="130" t="n">
        <x:f>IF($D96="",0,SUMIF('Attendance Report - Option 2'!$P$11:$P$412,$D96,'Attendance Report - Option 2'!$Q$11:$Q$412)/86400)</x:f>
        <x:v>0.007696759259259259</x:v>
      </x:c>
      <x:c r="H96" s="131" t="str">
        <x:f>IF(G96=0,"Did not attend",IF(G96&gt;='Read Me'!$E$2/86400,"Fully attended","Partially attended"))</x:f>
        <x:v>Partially attended</x:v>
      </x:c>
      <x:c r="I96" s="130" t="n">
        <x:f>E96+G96</x:f>
        <x:v>0.022210648148148146</x:v>
      </x:c>
      <x:c r="J96" s="131" t="str">
        <x:f>IF(I96=0,"Did not attend",IF(I96&gt;='Read Me'!$E$2/86400,"Fully attended","Partially attended"))</x:f>
        <x:v>Partially attended</x:v>
      </x:c>
      <x:c r="K96" s="131" t="str">
        <x:f>IF($D96="","No",IF(COUNTIF('Attendance Report - Option 1'!$P$11:$P$315,$D96)&gt;0,"Yes","No"))</x:f>
        <x:v>Yes</x:v>
      </x:c>
      <x:c r="L96" s="131" t="str">
        <x:f>IF($D96="","No",IF(COUNTIF('Attendance Report - Option 2'!$P$11:$P$412,$D96)&gt;0,"Yes","No"))</x:f>
        <x:v>Yes</x:v>
      </x:c>
    </x:row>
    <x:row r="97">
      <x:c r="A97" s="16" t="str">
        <x:f>'EMA Assurance Employee List'!A97</x:f>
        <x:v>Damien Hong Lin</x:v>
      </x:c>
      <x:c r="B97" s="16" t="str">
        <x:f>IF(C97="KE","Kenya",IF(C97="UG","Uganda",IF(C97="MU","Mauritius",IF(C97="TZ","Tanzania",IF(C97="RW","Rwanda",IF(C97="ZA","South Africa",IF(C97="ZM","Zambia","")))))))</x:f>
        <x:v>Mauritius</x:v>
      </x:c>
      <x:c r="C97" s="16" t="str">
        <x:f>'EMA Assurance Employee List'!B97</x:f>
        <x:v>MU</x:v>
      </x:c>
      <x:c r="D97" s="16" t="str">
        <x:f>'EMA Assurance Employee List'!D97</x:f>
        <x:v>damien.hong.lin@pwc.com</x:v>
      </x:c>
      <x:c r="E97" s="130" t="n">
        <x:f>IF($D97="",0,SUMIF('Attendance Report - Option 1'!$P$11:$P$315,$D97,'Attendance Report - Option 1'!$Q$11:$Q$315)/86400)</x:f>
        <x:v>0.00011574074074074075</x:v>
      </x:c>
      <x:c r="F97" s="131" t="str">
        <x:f>IF(E97=0,"Did not attend",IF(E97&gt;='Read Me'!$E$2/86400,"Fully attended","Partially attended"))</x:f>
        <x:v>Partially attended</x:v>
      </x:c>
      <x:c r="G97" s="130" t="n">
        <x:f>IF($D97="",0,SUMIF('Attendance Report - Option 2'!$P$11:$P$412,$D97,'Attendance Report - Option 2'!$Q$11:$Q$412)/86400)</x:f>
        <x:v>0.09423611111111112</x:v>
      </x:c>
      <x:c r="H97" s="131" t="str">
        <x:f>IF(G97=0,"Did not attend",IF(G97&gt;='Read Me'!$E$2/86400,"Fully attended","Partially attended"))</x:f>
        <x:v>Fully attended</x:v>
      </x:c>
      <x:c r="I97" s="130" t="n">
        <x:f>E97+G97</x:f>
        <x:v>0.09435185185185185</x:v>
      </x:c>
      <x:c r="J97" s="131" t="str">
        <x:f>IF(I97=0,"Did not attend",IF(I97&gt;='Read Me'!$E$2/86400,"Fully attended","Partially attended"))</x:f>
        <x:v>Fully attended</x:v>
      </x:c>
      <x:c r="K97" s="131" t="str">
        <x:f>IF($D97="","No",IF(COUNTIF('Attendance Report - Option 1'!$P$11:$P$315,$D97)&gt;0,"Yes","No"))</x:f>
        <x:v>Yes</x:v>
      </x:c>
      <x:c r="L97" s="131" t="str">
        <x:f>IF($D97="","No",IF(COUNTIF('Attendance Report - Option 2'!$P$11:$P$412,$D97)&gt;0,"Yes","No"))</x:f>
        <x:v>Yes</x:v>
      </x:c>
    </x:row>
    <x:row r="98">
      <x:c r="A98" s="16" t="str">
        <x:f>'EMA Assurance Employee List'!A98</x:f>
        <x:v>Daniel Kiilu</x:v>
      </x:c>
      <x:c r="B98" s="16" t="str">
        <x:f>IF(C98="KE","Kenya",IF(C98="UG","Uganda",IF(C98="MU","Mauritius",IF(C98="TZ","Tanzania",IF(C98="RW","Rwanda",IF(C98="ZA","South Africa",IF(C98="ZM","Zambia","")))))))</x:f>
        <x:v>Kenya</x:v>
      </x:c>
      <x:c r="C98" s="16" t="str">
        <x:f>'EMA Assurance Employee List'!B98</x:f>
        <x:v>KE</x:v>
      </x:c>
      <x:c r="D98" s="16" t="str">
        <x:f>'EMA Assurance Employee List'!D98</x:f>
        <x:v>daniel.kiilu@pwc.com</x:v>
      </x:c>
      <x:c r="E98" s="130" t="n">
        <x:f>IF($D98="",0,SUMIF('Attendance Report - Option 1'!$P$11:$P$315,$D98,'Attendance Report - Option 1'!$Q$11:$Q$315)/86400)</x:f>
        <x:v>0.05943287037037037</x:v>
      </x:c>
      <x:c r="F98" s="131" t="str">
        <x:f>IF(E98=0,"Did not attend",IF(E98&gt;='Read Me'!$E$2/86400,"Fully attended","Partially attended"))</x:f>
        <x:v>Partially attended</x:v>
      </x:c>
      <x:c r="G98" s="130" t="n">
        <x:f>IF($D98="",0,SUMIF('Attendance Report - Option 2'!$P$11:$P$412,$D98,'Attendance Report - Option 2'!$Q$11:$Q$412)/86400)</x:f>
        <x:v>0</x:v>
      </x:c>
      <x:c r="H98" s="131" t="str">
        <x:f>IF(G98=0,"Did not attend",IF(G98&gt;='Read Me'!$E$2/86400,"Fully attended","Partially attended"))</x:f>
        <x:v>Did not attend</x:v>
      </x:c>
      <x:c r="I98" s="130" t="n">
        <x:f>E98+G98</x:f>
        <x:v>0.05943287037037037</x:v>
      </x:c>
      <x:c r="J98" s="131" t="str">
        <x:f>IF(I98=0,"Did not attend",IF(I98&gt;='Read Me'!$E$2/86400,"Fully attended","Partially attended"))</x:f>
        <x:v>Partially attended</x:v>
      </x:c>
      <x:c r="K98" s="131" t="str">
        <x:f>IF($D98="","No",IF(COUNTIF('Attendance Report - Option 1'!$P$11:$P$315,$D98)&gt;0,"Yes","No"))</x:f>
        <x:v>Yes</x:v>
      </x:c>
      <x:c r="L98" s="131" t="str">
        <x:f>IF($D98="","No",IF(COUNTIF('Attendance Report - Option 2'!$P$11:$P$412,$D98)&gt;0,"Yes","No"))</x:f>
        <x:v>No</x:v>
      </x:c>
    </x:row>
    <x:row r="99">
      <x:c r="A99" s="16" t="str">
        <x:f>'EMA Assurance Employee List'!A99</x:f>
        <x:v>Daphne Akol</x:v>
      </x:c>
      <x:c r="B99" s="16" t="str">
        <x:f>IF(C99="KE","Kenya",IF(C99="UG","Uganda",IF(C99="MU","Mauritius",IF(C99="TZ","Tanzania",IF(C99="RW","Rwanda",IF(C99="ZA","South Africa",IF(C99="ZM","Zambia","")))))))</x:f>
        <x:v>Uganda</x:v>
      </x:c>
      <x:c r="C99" s="16" t="str">
        <x:f>'EMA Assurance Employee List'!B99</x:f>
        <x:v>UG</x:v>
      </x:c>
      <x:c r="D99" s="16" t="str">
        <x:f>'EMA Assurance Employee List'!D99</x:f>
        <x:v>daphne.akol@pwc.com</x:v>
      </x:c>
      <x:c r="E99" s="130" t="n">
        <x:f>IF($D99="",0,SUMIF('Attendance Report - Option 1'!$P$11:$P$315,$D99,'Attendance Report - Option 1'!$Q$11:$Q$315)/86400)</x:f>
        <x:v>0</x:v>
      </x:c>
      <x:c r="F99" s="131" t="str">
        <x:f>IF(E99=0,"Did not attend",IF(E99&gt;='Read Me'!$E$2/86400,"Fully attended","Partially attended"))</x:f>
        <x:v>Did not attend</x:v>
      </x:c>
      <x:c r="G99" s="130" t="n">
        <x:f>IF($D99="",0,SUMIF('Attendance Report - Option 2'!$P$11:$P$412,$D99,'Attendance Report - Option 2'!$Q$11:$Q$412)/86400)</x:f>
        <x:v>0.07930555555555556</x:v>
      </x:c>
      <x:c r="H99" s="131" t="str">
        <x:f>IF(G99=0,"Did not attend",IF(G99&gt;='Read Me'!$E$2/86400,"Fully attended","Partially attended"))</x:f>
        <x:v>Fully attended</x:v>
      </x:c>
      <x:c r="I99" s="130" t="n">
        <x:f>E99+G99</x:f>
        <x:v>0.07930555555555556</x:v>
      </x:c>
      <x:c r="J99" s="131" t="str">
        <x:f>IF(I99=0,"Did not attend",IF(I99&gt;='Read Me'!$E$2/86400,"Fully attended","Partially attended"))</x:f>
        <x:v>Fully attended</x:v>
      </x:c>
      <x:c r="K99" s="131" t="str">
        <x:f>IF($D99="","No",IF(COUNTIF('Attendance Report - Option 1'!$P$11:$P$315,$D99)&gt;0,"Yes","No"))</x:f>
        <x:v>No</x:v>
      </x:c>
      <x:c r="L99" s="131" t="str">
        <x:f>IF($D99="","No",IF(COUNTIF('Attendance Report - Option 2'!$P$11:$P$412,$D99)&gt;0,"Yes","No"))</x:f>
        <x:v>Yes</x:v>
      </x:c>
    </x:row>
    <x:row r="100">
      <x:c r="A100" s="16" t="str">
        <x:f>'EMA Assurance Employee List'!A100</x:f>
        <x:v>Darshil Ramyed</x:v>
      </x:c>
      <x:c r="B100" s="16" t="str">
        <x:f>IF(C100="KE","Kenya",IF(C100="UG","Uganda",IF(C100="MU","Mauritius",IF(C100="TZ","Tanzania",IF(C100="RW","Rwanda",IF(C100="ZA","South Africa",IF(C100="ZM","Zambia","")))))))</x:f>
        <x:v>Mauritius</x:v>
      </x:c>
      <x:c r="C100" s="16" t="str">
        <x:f>'EMA Assurance Employee List'!B100</x:f>
        <x:v>MU</x:v>
      </x:c>
      <x:c r="D100" s="16" t="str">
        <x:f>'EMA Assurance Employee List'!D100</x:f>
        <x:v>darshil.ramyed@pwc.com</x:v>
      </x:c>
      <x:c r="E100" s="130" t="n">
        <x:f>IF($D100="",0,SUMIF('Attendance Report - Option 1'!$P$11:$P$315,$D100,'Attendance Report - Option 1'!$Q$11:$Q$315)/86400)</x:f>
        <x:v>0</x:v>
      </x:c>
      <x:c r="F100" s="131" t="str">
        <x:f>IF(E100=0,"Did not attend",IF(E100&gt;='Read Me'!$E$2/86400,"Fully attended","Partially attended"))</x:f>
        <x:v>Did not attend</x:v>
      </x:c>
      <x:c r="G100" s="130" t="n">
        <x:f>IF($D100="",0,SUMIF('Attendance Report - Option 2'!$P$11:$P$412,$D100,'Attendance Report - Option 2'!$Q$11:$Q$412)/86400)</x:f>
        <x:v>0.05954861111111111</x:v>
      </x:c>
      <x:c r="H100" s="131" t="str">
        <x:f>IF(G100=0,"Did not attend",IF(G100&gt;='Read Me'!$E$2/86400,"Fully attended","Partially attended"))</x:f>
        <x:v>Partially attended</x:v>
      </x:c>
      <x:c r="I100" s="130" t="n">
        <x:f>E100+G100</x:f>
        <x:v>0.05954861111111111</x:v>
      </x:c>
      <x:c r="J100" s="131" t="str">
        <x:f>IF(I100=0,"Did not attend",IF(I100&gt;='Read Me'!$E$2/86400,"Fully attended","Partially attended"))</x:f>
        <x:v>Partially attended</x:v>
      </x:c>
      <x:c r="K100" s="131" t="str">
        <x:f>IF($D100="","No",IF(COUNTIF('Attendance Report - Option 1'!$P$11:$P$315,$D100)&gt;0,"Yes","No"))</x:f>
        <x:v>No</x:v>
      </x:c>
      <x:c r="L100" s="131" t="str">
        <x:f>IF($D100="","No",IF(COUNTIF('Attendance Report - Option 2'!$P$11:$P$412,$D100)&gt;0,"Yes","No"))</x:f>
        <x:v>Yes</x:v>
      </x:c>
    </x:row>
    <x:row r="101">
      <x:c r="A101" s="16" t="str">
        <x:f>'EMA Assurance Employee List'!A101</x:f>
        <x:v>Dauson Kaijunga</x:v>
      </x:c>
      <x:c r="B101" s="16" t="str">
        <x:f>IF(C101="KE","Kenya",IF(C101="UG","Uganda",IF(C101="MU","Mauritius",IF(C101="TZ","Tanzania",IF(C101="RW","Rwanda",IF(C101="ZA","South Africa",IF(C101="ZM","Zambia","")))))))</x:f>
        <x:v>Tanzania</x:v>
      </x:c>
      <x:c r="C101" s="16" t="str">
        <x:f>'EMA Assurance Employee List'!B101</x:f>
        <x:v>TZ</x:v>
      </x:c>
      <x:c r="D101" s="16" t="str">
        <x:f>'EMA Assurance Employee List'!D101</x:f>
        <x:v>dauson.kaijunga@pwc.com</x:v>
      </x:c>
      <x:c r="E101" s="130" t="n">
        <x:f>IF($D101="",0,SUMIF('Attendance Report - Option 1'!$P$11:$P$315,$D101,'Attendance Report - Option 1'!$Q$11:$Q$315)/86400)</x:f>
        <x:v>0.08298611111111111</x:v>
      </x:c>
      <x:c r="F101" s="131" t="str">
        <x:f>IF(E101=0,"Did not attend",IF(E101&gt;='Read Me'!$E$2/86400,"Fully attended","Partially attended"))</x:f>
        <x:v>Fully attended</x:v>
      </x:c>
      <x:c r="G101" s="130" t="n">
        <x:f>IF($D101="",0,SUMIF('Attendance Report - Option 2'!$P$11:$P$412,$D101,'Attendance Report - Option 2'!$Q$11:$Q$412)/86400)</x:f>
        <x:v>0</x:v>
      </x:c>
      <x:c r="H101" s="131" t="str">
        <x:f>IF(G101=0,"Did not attend",IF(G101&gt;='Read Me'!$E$2/86400,"Fully attended","Partially attended"))</x:f>
        <x:v>Did not attend</x:v>
      </x:c>
      <x:c r="I101" s="130" t="n">
        <x:f>E101+G101</x:f>
        <x:v>0.08298611111111111</x:v>
      </x:c>
      <x:c r="J101" s="131" t="str">
        <x:f>IF(I101=0,"Did not attend",IF(I101&gt;='Read Me'!$E$2/86400,"Fully attended","Partially attended"))</x:f>
        <x:v>Fully attended</x:v>
      </x:c>
      <x:c r="K101" s="131" t="str">
        <x:f>IF($D101="","No",IF(COUNTIF('Attendance Report - Option 1'!$P$11:$P$315,$D101)&gt;0,"Yes","No"))</x:f>
        <x:v>Yes</x:v>
      </x:c>
      <x:c r="L101" s="131" t="str">
        <x:f>IF($D101="","No",IF(COUNTIF('Attendance Report - Option 2'!$P$11:$P$412,$D101)&gt;0,"Yes","No"))</x:f>
        <x:v>No</x:v>
      </x:c>
    </x:row>
    <x:row r="102">
      <x:c r="A102" s="16" t="str">
        <x:f>'EMA Assurance Employee List'!A102</x:f>
        <x:v>David Mugo</x:v>
      </x:c>
      <x:c r="B102" s="16" t="str">
        <x:f>IF(C102="KE","Kenya",IF(C102="UG","Uganda",IF(C102="MU","Mauritius",IF(C102="TZ","Tanzania",IF(C102="RW","Rwanda",IF(C102="ZA","South Africa",IF(C102="ZM","Zambia","")))))))</x:f>
        <x:v>Kenya</x:v>
      </x:c>
      <x:c r="C102" s="16" t="str">
        <x:f>'EMA Assurance Employee List'!B102</x:f>
        <x:v>KE</x:v>
      </x:c>
      <x:c r="D102" s="16" t="str">
        <x:f>'EMA Assurance Employee List'!D102</x:f>
        <x:v>david.mugo@pwc.com</x:v>
      </x:c>
      <x:c r="E102" s="130" t="n">
        <x:f>IF($D102="",0,SUMIF('Attendance Report - Option 1'!$P$11:$P$315,$D102,'Attendance Report - Option 1'!$Q$11:$Q$315)/86400)</x:f>
        <x:v>0.08430555555555555</x:v>
      </x:c>
      <x:c r="F102" s="131" t="str">
        <x:f>IF(E102=0,"Did not attend",IF(E102&gt;='Read Me'!$E$2/86400,"Fully attended","Partially attended"))</x:f>
        <x:v>Fully attended</x:v>
      </x:c>
      <x:c r="G102" s="130" t="n">
        <x:f>IF($D102="",0,SUMIF('Attendance Report - Option 2'!$P$11:$P$412,$D102,'Attendance Report - Option 2'!$Q$11:$Q$412)/86400)</x:f>
        <x:v>0</x:v>
      </x:c>
      <x:c r="H102" s="131" t="str">
        <x:f>IF(G102=0,"Did not attend",IF(G102&gt;='Read Me'!$E$2/86400,"Fully attended","Partially attended"))</x:f>
        <x:v>Did not attend</x:v>
      </x:c>
      <x:c r="I102" s="130" t="n">
        <x:f>E102+G102</x:f>
        <x:v>0.08430555555555555</x:v>
      </x:c>
      <x:c r="J102" s="131" t="str">
        <x:f>IF(I102=0,"Did not attend",IF(I102&gt;='Read Me'!$E$2/86400,"Fully attended","Partially attended"))</x:f>
        <x:v>Fully attended</x:v>
      </x:c>
      <x:c r="K102" s="131" t="str">
        <x:f>IF($D102="","No",IF(COUNTIF('Attendance Report - Option 1'!$P$11:$P$315,$D102)&gt;0,"Yes","No"))</x:f>
        <x:v>Yes</x:v>
      </x:c>
      <x:c r="L102" s="131" t="str">
        <x:f>IF($D102="","No",IF(COUNTIF('Attendance Report - Option 2'!$P$11:$P$412,$D102)&gt;0,"Yes","No"))</x:f>
        <x:v>No</x:v>
      </x:c>
    </x:row>
    <x:row r="103">
      <x:c r="A103" s="16" t="str">
        <x:f>'EMA Assurance Employee List'!A103</x:f>
        <x:v>DAVID Pamba</x:v>
      </x:c>
      <x:c r="B103" s="16" t="str">
        <x:f>IF(C103="KE","Kenya",IF(C103="UG","Uganda",IF(C103="MU","Mauritius",IF(C103="TZ","Tanzania",IF(C103="RW","Rwanda",IF(C103="ZA","South Africa",IF(C103="ZM","Zambia","")))))))</x:f>
        <x:v>Rwanda</x:v>
      </x:c>
      <x:c r="C103" s="16" t="str">
        <x:f>'EMA Assurance Employee List'!B103</x:f>
        <x:v>RW</x:v>
      </x:c>
      <x:c r="D103" s="16" t="str">
        <x:f>'EMA Assurance Employee List'!D103</x:f>
        <x:v>david.pamba@pwc.com</x:v>
      </x:c>
      <x:c r="E103" s="130" t="n">
        <x:f>IF($D103="",0,SUMIF('Attendance Report - Option 1'!$P$11:$P$315,$D103,'Attendance Report - Option 1'!$Q$11:$Q$315)/86400)</x:f>
        <x:v>0.08686342592592593</x:v>
      </x:c>
      <x:c r="F103" s="131" t="str">
        <x:f>IF(E103=0,"Did not attend",IF(E103&gt;='Read Me'!$E$2/86400,"Fully attended","Partially attended"))</x:f>
        <x:v>Fully attended</x:v>
      </x:c>
      <x:c r="G103" s="130" t="n">
        <x:f>IF($D103="",0,SUMIF('Attendance Report - Option 2'!$P$11:$P$412,$D103,'Attendance Report - Option 2'!$Q$11:$Q$412)/86400)</x:f>
        <x:v>0</x:v>
      </x:c>
      <x:c r="H103" s="131" t="str">
        <x:f>IF(G103=0,"Did not attend",IF(G103&gt;='Read Me'!$E$2/86400,"Fully attended","Partially attended"))</x:f>
        <x:v>Did not attend</x:v>
      </x:c>
      <x:c r="I103" s="130" t="n">
        <x:f>E103+G103</x:f>
        <x:v>0.08686342592592593</x:v>
      </x:c>
      <x:c r="J103" s="131" t="str">
        <x:f>IF(I103=0,"Did not attend",IF(I103&gt;='Read Me'!$E$2/86400,"Fully attended","Partially attended"))</x:f>
        <x:v>Fully attended</x:v>
      </x:c>
      <x:c r="K103" s="131" t="str">
        <x:f>IF($D103="","No",IF(COUNTIF('Attendance Report - Option 1'!$P$11:$P$315,$D103)&gt;0,"Yes","No"))</x:f>
        <x:v>Yes</x:v>
      </x:c>
      <x:c r="L103" s="131" t="str">
        <x:f>IF($D103="","No",IF(COUNTIF('Attendance Report - Option 2'!$P$11:$P$412,$D103)&gt;0,"Yes","No"))</x:f>
        <x:v>No</x:v>
      </x:c>
    </x:row>
    <x:row r="104">
      <x:c r="A104" s="16" t="str">
        <x:f>'EMA Assurance Employee List'!A104</x:f>
        <x:v>Davidson Ringo</x:v>
      </x:c>
      <x:c r="B104" s="16" t="str">
        <x:f>IF(C104="KE","Kenya",IF(C104="UG","Uganda",IF(C104="MU","Mauritius",IF(C104="TZ","Tanzania",IF(C104="RW","Rwanda",IF(C104="ZA","South Africa",IF(C104="ZM","Zambia","")))))))</x:f>
        <x:v>Rwanda</x:v>
      </x:c>
      <x:c r="C104" s="16" t="str">
        <x:f>'EMA Assurance Employee List'!B104</x:f>
        <x:v>RW</x:v>
      </x:c>
      <x:c r="D104" s="16" t="str">
        <x:f>'EMA Assurance Employee List'!D104</x:f>
        <x:v>davidson.a.ringo@pwc.com</x:v>
      </x:c>
      <x:c r="E104" s="130" t="n">
        <x:f>IF($D104="",0,SUMIF('Attendance Report - Option 1'!$P$11:$P$315,$D104,'Attendance Report - Option 1'!$Q$11:$Q$315)/86400)</x:f>
        <x:v>0.03467592592592592</x:v>
      </x:c>
      <x:c r="F104" s="131" t="str">
        <x:f>IF(E104=0,"Did not attend",IF(E104&gt;='Read Me'!$E$2/86400,"Fully attended","Partially attended"))</x:f>
        <x:v>Partially attended</x:v>
      </x:c>
      <x:c r="G104" s="130" t="n">
        <x:f>IF($D104="",0,SUMIF('Attendance Report - Option 2'!$P$11:$P$412,$D104,'Attendance Report - Option 2'!$Q$11:$Q$412)/86400)</x:f>
        <x:v>0.026122685185185186</x:v>
      </x:c>
      <x:c r="H104" s="131" t="str">
        <x:f>IF(G104=0,"Did not attend",IF(G104&gt;='Read Me'!$E$2/86400,"Fully attended","Partially attended"))</x:f>
        <x:v>Partially attended</x:v>
      </x:c>
      <x:c r="I104" s="130" t="n">
        <x:f>E104+G104</x:f>
        <x:v>0.06079861111111111</x:v>
      </x:c>
      <x:c r="J104" s="131" t="str">
        <x:f>IF(I104=0,"Did not attend",IF(I104&gt;='Read Me'!$E$2/86400,"Fully attended","Partially attended"))</x:f>
        <x:v>Partially attended</x:v>
      </x:c>
      <x:c r="K104" s="131" t="str">
        <x:f>IF($D104="","No",IF(COUNTIF('Attendance Report - Option 1'!$P$11:$P$315,$D104)&gt;0,"Yes","No"))</x:f>
        <x:v>Yes</x:v>
      </x:c>
      <x:c r="L104" s="131" t="str">
        <x:f>IF($D104="","No",IF(COUNTIF('Attendance Report - Option 2'!$P$11:$P$412,$D104)&gt;0,"Yes","No"))</x:f>
        <x:v>Yes</x:v>
      </x:c>
    </x:row>
    <x:row r="105">
      <x:c r="A105" s="16" t="str">
        <x:f>'EMA Assurance Employee List'!A105</x:f>
        <x:v>Davis Ndunguru</x:v>
      </x:c>
      <x:c r="B105" s="16" t="str">
        <x:f>IF(C105="KE","Kenya",IF(C105="UG","Uganda",IF(C105="MU","Mauritius",IF(C105="TZ","Tanzania",IF(C105="RW","Rwanda",IF(C105="ZA","South Africa",IF(C105="ZM","Zambia","")))))))</x:f>
        <x:v>Tanzania</x:v>
      </x:c>
      <x:c r="C105" s="16" t="str">
        <x:f>'EMA Assurance Employee List'!B105</x:f>
        <x:v>TZ</x:v>
      </x:c>
      <x:c r="D105" s="16" t="str">
        <x:f>'EMA Assurance Employee List'!D105</x:f>
        <x:v>davis.ndunguru@pwc.com</x:v>
      </x:c>
      <x:c r="E105" s="130" t="n">
        <x:f>IF($D105="",0,SUMIF('Attendance Report - Option 1'!$P$11:$P$315,$D105,'Attendance Report - Option 1'!$Q$11:$Q$315)/86400)</x:f>
        <x:v>0.05313657407407407</x:v>
      </x:c>
      <x:c r="F105" s="131" t="str">
        <x:f>IF(E105=0,"Did not attend",IF(E105&gt;='Read Me'!$E$2/86400,"Fully attended","Partially attended"))</x:f>
        <x:v>Partially attended</x:v>
      </x:c>
      <x:c r="G105" s="130" t="n">
        <x:f>IF($D105="",0,SUMIF('Attendance Report - Option 2'!$P$11:$P$412,$D105,'Attendance Report - Option 2'!$Q$11:$Q$412)/86400)</x:f>
        <x:v>0.030694444444444444</x:v>
      </x:c>
      <x:c r="H105" s="131" t="str">
        <x:f>IF(G105=0,"Did not attend",IF(G105&gt;='Read Me'!$E$2/86400,"Fully attended","Partially attended"))</x:f>
        <x:v>Partially attended</x:v>
      </x:c>
      <x:c r="I105" s="130" t="n">
        <x:f>E105+G105</x:f>
        <x:v>0.08383101851851851</x:v>
      </x:c>
      <x:c r="J105" s="131" t="str">
        <x:f>IF(I105=0,"Did not attend",IF(I105&gt;='Read Me'!$E$2/86400,"Fully attended","Partially attended"))</x:f>
        <x:v>Fully attended</x:v>
      </x:c>
      <x:c r="K105" s="131" t="str">
        <x:f>IF($D105="","No",IF(COUNTIF('Attendance Report - Option 1'!$P$11:$P$315,$D105)&gt;0,"Yes","No"))</x:f>
        <x:v>Yes</x:v>
      </x:c>
      <x:c r="L105" s="131" t="str">
        <x:f>IF($D105="","No",IF(COUNTIF('Attendance Report - Option 2'!$P$11:$P$412,$D105)&gt;0,"Yes","No"))</x:f>
        <x:v>Yes</x:v>
      </x:c>
    </x:row>
    <x:row r="106">
      <x:c r="A106" s="16" t="str">
        <x:f>'EMA Assurance Employee List'!A106</x:f>
        <x:v>Davish Budhai</x:v>
      </x:c>
      <x:c r="B106" s="16" t="str">
        <x:f>IF(C106="KE","Kenya",IF(C106="UG","Uganda",IF(C106="MU","Mauritius",IF(C106="TZ","Tanzania",IF(C106="RW","Rwanda",IF(C106="ZA","South Africa",IF(C106="ZM","Zambia","")))))))</x:f>
        <x:v>Mauritius</x:v>
      </x:c>
      <x:c r="C106" s="16" t="str">
        <x:f>'EMA Assurance Employee List'!B106</x:f>
        <x:v>MU</x:v>
      </x:c>
      <x:c r="D106" s="16" t="str">
        <x:f>'EMA Assurance Employee List'!D106</x:f>
        <x:v>davish.budhai@pwc.com</x:v>
      </x:c>
      <x:c r="E106" s="130" t="n">
        <x:f>IF($D106="",0,SUMIF('Attendance Report - Option 1'!$P$11:$P$315,$D106,'Attendance Report - Option 1'!$Q$11:$Q$315)/86400)</x:f>
        <x:v>0.0846412037037037</x:v>
      </x:c>
      <x:c r="F106" s="131" t="str">
        <x:f>IF(E106=0,"Did not attend",IF(E106&gt;='Read Me'!$E$2/86400,"Fully attended","Partially attended"))</x:f>
        <x:v>Fully attended</x:v>
      </x:c>
      <x:c r="G106" s="130" t="n">
        <x:f>IF($D106="",0,SUMIF('Attendance Report - Option 2'!$P$11:$P$412,$D106,'Attendance Report - Option 2'!$Q$11:$Q$412)/86400)</x:f>
        <x:v>0</x:v>
      </x:c>
      <x:c r="H106" s="131" t="str">
        <x:f>IF(G106=0,"Did not attend",IF(G106&gt;='Read Me'!$E$2/86400,"Fully attended","Partially attended"))</x:f>
        <x:v>Did not attend</x:v>
      </x:c>
      <x:c r="I106" s="130" t="n">
        <x:f>E106+G106</x:f>
        <x:v>0.0846412037037037</x:v>
      </x:c>
      <x:c r="J106" s="131" t="str">
        <x:f>IF(I106=0,"Did not attend",IF(I106&gt;='Read Me'!$E$2/86400,"Fully attended","Partially attended"))</x:f>
        <x:v>Fully attended</x:v>
      </x:c>
      <x:c r="K106" s="131" t="str">
        <x:f>IF($D106="","No",IF(COUNTIF('Attendance Report - Option 1'!$P$11:$P$315,$D106)&gt;0,"Yes","No"))</x:f>
        <x:v>Yes</x:v>
      </x:c>
      <x:c r="L106" s="131" t="str">
        <x:f>IF($D106="","No",IF(COUNTIF('Attendance Report - Option 2'!$P$11:$P$412,$D106)&gt;0,"Yes","No"))</x:f>
        <x:v>No</x:v>
      </x:c>
    </x:row>
    <x:row r="107">
      <x:c r="A107" s="16" t="str">
        <x:f>'EMA Assurance Employee List'!A107</x:f>
        <x:v>Dean Young</x:v>
      </x:c>
      <x:c r="B107" s="16" t="str">
        <x:f>IF(C107="KE","Kenya",IF(C107="UG","Uganda",IF(C107="MU","Mauritius",IF(C107="TZ","Tanzania",IF(C107="RW","Rwanda",IF(C107="ZA","South Africa",IF(C107="ZM","Zambia","")))))))</x:f>
        <x:v>Mauritius</x:v>
      </x:c>
      <x:c r="C107" s="16" t="str">
        <x:f>'EMA Assurance Employee List'!B107</x:f>
        <x:v>MU</x:v>
      </x:c>
      <x:c r="D107" s="16" t="str">
        <x:f>'EMA Assurance Employee List'!D107</x:f>
        <x:v>dean.young@pwc.com</x:v>
      </x:c>
      <x:c r="E107" s="130" t="n">
        <x:f>IF($D107="",0,SUMIF('Attendance Report - Option 1'!$P$11:$P$315,$D107,'Attendance Report - Option 1'!$Q$11:$Q$315)/86400)</x:f>
        <x:v>0.08627314814814815</x:v>
      </x:c>
      <x:c r="F107" s="131" t="str">
        <x:f>IF(E107=0,"Did not attend",IF(E107&gt;='Read Me'!$E$2/86400,"Fully attended","Partially attended"))</x:f>
        <x:v>Fully attended</x:v>
      </x:c>
      <x:c r="G107" s="130" t="n">
        <x:f>IF($D107="",0,SUMIF('Attendance Report - Option 2'!$P$11:$P$412,$D107,'Attendance Report - Option 2'!$Q$11:$Q$412)/86400)</x:f>
        <x:v>0</x:v>
      </x:c>
      <x:c r="H107" s="131" t="str">
        <x:f>IF(G107=0,"Did not attend",IF(G107&gt;='Read Me'!$E$2/86400,"Fully attended","Partially attended"))</x:f>
        <x:v>Did not attend</x:v>
      </x:c>
      <x:c r="I107" s="130" t="n">
        <x:f>E107+G107</x:f>
        <x:v>0.08627314814814815</x:v>
      </x:c>
      <x:c r="J107" s="131" t="str">
        <x:f>IF(I107=0,"Did not attend",IF(I107&gt;='Read Me'!$E$2/86400,"Fully attended","Partially attended"))</x:f>
        <x:v>Fully attended</x:v>
      </x:c>
      <x:c r="K107" s="131" t="str">
        <x:f>IF($D107="","No",IF(COUNTIF('Attendance Report - Option 1'!$P$11:$P$315,$D107)&gt;0,"Yes","No"))</x:f>
        <x:v>Yes</x:v>
      </x:c>
      <x:c r="L107" s="131" t="str">
        <x:f>IF($D107="","No",IF(COUNTIF('Attendance Report - Option 2'!$P$11:$P$412,$D107)&gt;0,"Yes","No"))</x:f>
        <x:v>No</x:v>
      </x:c>
    </x:row>
    <x:row r="108">
      <x:c r="A108" s="16" t="str">
        <x:f>'EMA Assurance Employee List'!A108</x:f>
        <x:v>Deborah Lukwesa</x:v>
      </x:c>
      <x:c r="B108" s="16" t="str">
        <x:f>IF(C108="KE","Kenya",IF(C108="UG","Uganda",IF(C108="MU","Mauritius",IF(C108="TZ","Tanzania",IF(C108="RW","Rwanda",IF(C108="ZA","South Africa",IF(C108="ZM","Zambia","")))))))</x:f>
        <x:v>Zambia</x:v>
      </x:c>
      <x:c r="C108" s="16" t="str">
        <x:f>'EMA Assurance Employee List'!B108</x:f>
        <x:v>ZM</x:v>
      </x:c>
      <x:c r="D108" s="16" t="str">
        <x:f>'EMA Assurance Employee List'!D108</x:f>
        <x:v>deborah.lukwesa@pwc.com</x:v>
      </x:c>
      <x:c r="E108" s="130" t="n">
        <x:f>IF($D108="",0,SUMIF('Attendance Report - Option 1'!$P$11:$P$315,$D108,'Attendance Report - Option 1'!$Q$11:$Q$315)/86400)</x:f>
        <x:v>0.08847222222222222</x:v>
      </x:c>
      <x:c r="F108" s="131" t="str">
        <x:f>IF(E108=0,"Did not attend",IF(E108&gt;='Read Me'!$E$2/86400,"Fully attended","Partially attended"))</x:f>
        <x:v>Fully attended</x:v>
      </x:c>
      <x:c r="G108" s="130" t="n">
        <x:f>IF($D108="",0,SUMIF('Attendance Report - Option 2'!$P$11:$P$412,$D108,'Attendance Report - Option 2'!$Q$11:$Q$412)/86400)</x:f>
        <x:v>0.07778935185185185</x:v>
      </x:c>
      <x:c r="H108" s="131" t="str">
        <x:f>IF(G108=0,"Did not attend",IF(G108&gt;='Read Me'!$E$2/86400,"Fully attended","Partially attended"))</x:f>
        <x:v>Fully attended</x:v>
      </x:c>
      <x:c r="I108" s="130" t="n">
        <x:f>E108+G108</x:f>
        <x:v>0.16626157407407405</x:v>
      </x:c>
      <x:c r="J108" s="131" t="str">
        <x:f>IF(I108=0,"Did not attend",IF(I108&gt;='Read Me'!$E$2/86400,"Fully attended","Partially attended"))</x:f>
        <x:v>Fully attended</x:v>
      </x:c>
      <x:c r="K108" s="131" t="str">
        <x:f>IF($D108="","No",IF(COUNTIF('Attendance Report - Option 1'!$P$11:$P$315,$D108)&gt;0,"Yes","No"))</x:f>
        <x:v>Yes</x:v>
      </x:c>
      <x:c r="L108" s="131" t="str">
        <x:f>IF($D108="","No",IF(COUNTIF('Attendance Report - Option 2'!$P$11:$P$412,$D108)&gt;0,"Yes","No"))</x:f>
        <x:v>Yes</x:v>
      </x:c>
    </x:row>
    <x:row r="109">
      <x:c r="A109" s="16" t="str">
        <x:f>'EMA Assurance Employee List'!A109</x:f>
        <x:v>Debra Banda</x:v>
      </x:c>
      <x:c r="B109" s="16" t="str">
        <x:f>IF(C109="KE","Kenya",IF(C109="UG","Uganda",IF(C109="MU","Mauritius",IF(C109="TZ","Tanzania",IF(C109="RW","Rwanda",IF(C109="ZA","South Africa",IF(C109="ZM","Zambia","")))))))</x:f>
        <x:v>Zambia</x:v>
      </x:c>
      <x:c r="C109" s="16" t="str">
        <x:f>'EMA Assurance Employee List'!B109</x:f>
        <x:v>ZM</x:v>
      </x:c>
      <x:c r="D109" s="16" t="str">
        <x:f>'EMA Assurance Employee List'!D109</x:f>
        <x:v>debra.b.banda@pwc.com</x:v>
      </x:c>
      <x:c r="E109" s="130" t="n">
        <x:f>IF($D109="",0,SUMIF('Attendance Report - Option 1'!$P$11:$P$315,$D109,'Attendance Report - Option 1'!$Q$11:$Q$315)/86400)</x:f>
        <x:v>0</x:v>
      </x:c>
      <x:c r="F109" s="131" t="str">
        <x:f>IF(E109=0,"Did not attend",IF(E109&gt;='Read Me'!$E$2/86400,"Fully attended","Partially attended"))</x:f>
        <x:v>Did not attend</x:v>
      </x:c>
      <x:c r="G109" s="130" t="n">
        <x:f>IF($D109="",0,SUMIF('Attendance Report - Option 2'!$P$11:$P$412,$D109,'Attendance Report - Option 2'!$Q$11:$Q$412)/86400)</x:f>
        <x:v>0.08202546296296297</x:v>
      </x:c>
      <x:c r="H109" s="131" t="str">
        <x:f>IF(G109=0,"Did not attend",IF(G109&gt;='Read Me'!$E$2/86400,"Fully attended","Partially attended"))</x:f>
        <x:v>Fully attended</x:v>
      </x:c>
      <x:c r="I109" s="130" t="n">
        <x:f>E109+G109</x:f>
        <x:v>0.08202546296296297</x:v>
      </x:c>
      <x:c r="J109" s="131" t="str">
        <x:f>IF(I109=0,"Did not attend",IF(I109&gt;='Read Me'!$E$2/86400,"Fully attended","Partially attended"))</x:f>
        <x:v>Fully attended</x:v>
      </x:c>
      <x:c r="K109" s="131" t="str">
        <x:f>IF($D109="","No",IF(COUNTIF('Attendance Report - Option 1'!$P$11:$P$315,$D109)&gt;0,"Yes","No"))</x:f>
        <x:v>No</x:v>
      </x:c>
      <x:c r="L109" s="131" t="str">
        <x:f>IF($D109="","No",IF(COUNTIF('Attendance Report - Option 2'!$P$11:$P$412,$D109)&gt;0,"Yes","No"))</x:f>
        <x:v>Yes</x:v>
      </x:c>
    </x:row>
    <x:row r="110">
      <x:c r="A110" s="16" t="str">
        <x:f>'EMA Assurance Employee List'!A110</x:f>
        <x:v>Derrick Tembo</x:v>
      </x:c>
      <x:c r="B110" s="16" t="str">
        <x:f>IF(C110="KE","Kenya",IF(C110="UG","Uganda",IF(C110="MU","Mauritius",IF(C110="TZ","Tanzania",IF(C110="RW","Rwanda",IF(C110="ZA","South Africa",IF(C110="ZM","Zambia","")))))))</x:f>
        <x:v>Zambia</x:v>
      </x:c>
      <x:c r="C110" s="16" t="str">
        <x:f>'EMA Assurance Employee List'!B110</x:f>
        <x:v>ZM</x:v>
      </x:c>
      <x:c r="D110" s="16" t="str">
        <x:f>'EMA Assurance Employee List'!D110</x:f>
        <x:v>derrick.tembo@pwc.com</x:v>
      </x:c>
      <x:c r="E110" s="130" t="n">
        <x:f>IF($D110="",0,SUMIF('Attendance Report - Option 1'!$P$11:$P$315,$D110,'Attendance Report - Option 1'!$Q$11:$Q$315)/86400)</x:f>
        <x:v>0</x:v>
      </x:c>
      <x:c r="F110" s="131" t="str">
        <x:f>IF(E110=0,"Did not attend",IF(E110&gt;='Read Me'!$E$2/86400,"Fully attended","Partially attended"))</x:f>
        <x:v>Did not attend</x:v>
      </x:c>
      <x:c r="G110" s="130" t="n">
        <x:f>IF($D110="",0,SUMIF('Attendance Report - Option 2'!$P$11:$P$412,$D110,'Attendance Report - Option 2'!$Q$11:$Q$412)/86400)</x:f>
        <x:v>0.08168981481481481</x:v>
      </x:c>
      <x:c r="H110" s="131" t="str">
        <x:f>IF(G110=0,"Did not attend",IF(G110&gt;='Read Me'!$E$2/86400,"Fully attended","Partially attended"))</x:f>
        <x:v>Fully attended</x:v>
      </x:c>
      <x:c r="I110" s="130" t="n">
        <x:f>E110+G110</x:f>
        <x:v>0.08168981481481481</x:v>
      </x:c>
      <x:c r="J110" s="131" t="str">
        <x:f>IF(I110=0,"Did not attend",IF(I110&gt;='Read Me'!$E$2/86400,"Fully attended","Partially attended"))</x:f>
        <x:v>Fully attended</x:v>
      </x:c>
      <x:c r="K110" s="131" t="str">
        <x:f>IF($D110="","No",IF(COUNTIF('Attendance Report - Option 1'!$P$11:$P$315,$D110)&gt;0,"Yes","No"))</x:f>
        <x:v>No</x:v>
      </x:c>
      <x:c r="L110" s="131" t="str">
        <x:f>IF($D110="","No",IF(COUNTIF('Attendance Report - Option 2'!$P$11:$P$412,$D110)&gt;0,"Yes","No"))</x:f>
        <x:v>Yes</x:v>
      </x:c>
    </x:row>
    <x:row r="111">
      <x:c r="A111" s="16" t="str">
        <x:f>'EMA Assurance Employee List'!A111</x:f>
        <x:v>Deveena Seelochun</x:v>
      </x:c>
      <x:c r="B111" s="16" t="str">
        <x:f>IF(C111="KE","Kenya",IF(C111="UG","Uganda",IF(C111="MU","Mauritius",IF(C111="TZ","Tanzania",IF(C111="RW","Rwanda",IF(C111="ZA","South Africa",IF(C111="ZM","Zambia","")))))))</x:f>
        <x:v>Mauritius</x:v>
      </x:c>
      <x:c r="C111" s="16" t="str">
        <x:f>'EMA Assurance Employee List'!B111</x:f>
        <x:v>MU</x:v>
      </x:c>
      <x:c r="D111" s="16" t="str">
        <x:f>'EMA Assurance Employee List'!D111</x:f>
        <x:v>deveena.seelochun@pwc.com</x:v>
      </x:c>
      <x:c r="E111" s="130" t="n">
        <x:f>IF($D111="",0,SUMIF('Attendance Report - Option 1'!$P$11:$P$315,$D111,'Attendance Report - Option 1'!$Q$11:$Q$315)/86400)</x:f>
        <x:v>0</x:v>
      </x:c>
      <x:c r="F111" s="131" t="str">
        <x:f>IF(E111=0,"Did not attend",IF(E111&gt;='Read Me'!$E$2/86400,"Fully attended","Partially attended"))</x:f>
        <x:v>Did not attend</x:v>
      </x:c>
      <x:c r="G111" s="130" t="n">
        <x:f>IF($D111="",0,SUMIF('Attendance Report - Option 2'!$P$11:$P$412,$D111,'Attendance Report - Option 2'!$Q$11:$Q$412)/86400)</x:f>
        <x:v>0.07128472222222222</x:v>
      </x:c>
      <x:c r="H111" s="131" t="str">
        <x:f>IF(G111=0,"Did not attend",IF(G111&gt;='Read Me'!$E$2/86400,"Fully attended","Partially attended"))</x:f>
        <x:v>Fully attended</x:v>
      </x:c>
      <x:c r="I111" s="130" t="n">
        <x:f>E111+G111</x:f>
        <x:v>0.07128472222222222</x:v>
      </x:c>
      <x:c r="J111" s="131" t="str">
        <x:f>IF(I111=0,"Did not attend",IF(I111&gt;='Read Me'!$E$2/86400,"Fully attended","Partially attended"))</x:f>
        <x:v>Fully attended</x:v>
      </x:c>
      <x:c r="K111" s="131" t="str">
        <x:f>IF($D111="","No",IF(COUNTIF('Attendance Report - Option 1'!$P$11:$P$315,$D111)&gt;0,"Yes","No"))</x:f>
        <x:v>No</x:v>
      </x:c>
      <x:c r="L111" s="131" t="str">
        <x:f>IF($D111="","No",IF(COUNTIF('Attendance Report - Option 2'!$P$11:$P$412,$D111)&gt;0,"Yes","No"))</x:f>
        <x:v>Yes</x:v>
      </x:c>
    </x:row>
    <x:row r="112">
      <x:c r="A112" s="16" t="str">
        <x:f>'EMA Assurance Employee List'!A112</x:f>
        <x:v>Devesh Keerpah</x:v>
      </x:c>
      <x:c r="B112" s="16" t="str">
        <x:f>IF(C112="KE","Kenya",IF(C112="UG","Uganda",IF(C112="MU","Mauritius",IF(C112="TZ","Tanzania",IF(C112="RW","Rwanda",IF(C112="ZA","South Africa",IF(C112="ZM","Zambia","")))))))</x:f>
        <x:v>Mauritius</x:v>
      </x:c>
      <x:c r="C112" s="16" t="str">
        <x:f>'EMA Assurance Employee List'!B112</x:f>
        <x:v>MU</x:v>
      </x:c>
      <x:c r="D112" s="16" t="str">
        <x:f>'EMA Assurance Employee List'!D112</x:f>
        <x:v>devesh.keerpah@pwc.com</x:v>
      </x:c>
      <x:c r="E112" s="130" t="n">
        <x:f>IF($D112="",0,SUMIF('Attendance Report - Option 1'!$P$11:$P$315,$D112,'Attendance Report - Option 1'!$Q$11:$Q$315)/86400)</x:f>
        <x:v>0</x:v>
      </x:c>
      <x:c r="F112" s="131" t="str">
        <x:f>IF(E112=0,"Did not attend",IF(E112&gt;='Read Me'!$E$2/86400,"Fully attended","Partially attended"))</x:f>
        <x:v>Did not attend</x:v>
      </x:c>
      <x:c r="G112" s="130" t="n">
        <x:f>IF($D112="",0,SUMIF('Attendance Report - Option 2'!$P$11:$P$412,$D112,'Attendance Report - Option 2'!$Q$11:$Q$412)/86400)</x:f>
        <x:v>0.08657407407407407</x:v>
      </x:c>
      <x:c r="H112" s="131" t="str">
        <x:f>IF(G112=0,"Did not attend",IF(G112&gt;='Read Me'!$E$2/86400,"Fully attended","Partially attended"))</x:f>
        <x:v>Fully attended</x:v>
      </x:c>
      <x:c r="I112" s="130" t="n">
        <x:f>E112+G112</x:f>
        <x:v>0.08657407407407407</x:v>
      </x:c>
      <x:c r="J112" s="131" t="str">
        <x:f>IF(I112=0,"Did not attend",IF(I112&gt;='Read Me'!$E$2/86400,"Fully attended","Partially attended"))</x:f>
        <x:v>Fully attended</x:v>
      </x:c>
      <x:c r="K112" s="131" t="str">
        <x:f>IF($D112="","No",IF(COUNTIF('Attendance Report - Option 1'!$P$11:$P$315,$D112)&gt;0,"Yes","No"))</x:f>
        <x:v>No</x:v>
      </x:c>
      <x:c r="L112" s="131" t="str">
        <x:f>IF($D112="","No",IF(COUNTIF('Attendance Report - Option 2'!$P$11:$P$412,$D112)&gt;0,"Yes","No"))</x:f>
        <x:v>Yes</x:v>
      </x:c>
    </x:row>
    <x:row r="113">
      <x:c r="A113" s="16" t="str">
        <x:f>'EMA Assurance Employee List'!A113</x:f>
        <x:v>Devonhope Ntoinya</x:v>
      </x:c>
      <x:c r="B113" s="16" t="str">
        <x:f>IF(C113="KE","Kenya",IF(C113="UG","Uganda",IF(C113="MU","Mauritius",IF(C113="TZ","Tanzania",IF(C113="RW","Rwanda",IF(C113="ZA","South Africa",IF(C113="ZM","Zambia","")))))))</x:f>
        <x:v>Kenya</x:v>
      </x:c>
      <x:c r="C113" s="16" t="str">
        <x:f>'EMA Assurance Employee List'!B113</x:f>
        <x:v>KE</x:v>
      </x:c>
      <x:c r="D113" s="16" t="str">
        <x:f>'EMA Assurance Employee List'!D113</x:f>
        <x:v>devonhope.ntoinya@pwc.com</x:v>
      </x:c>
      <x:c r="E113" s="130" t="n">
        <x:f>IF($D113="",0,SUMIF('Attendance Report - Option 1'!$P$11:$P$315,$D113,'Attendance Report - Option 1'!$Q$11:$Q$315)/86400)</x:f>
        <x:v>0</x:v>
      </x:c>
      <x:c r="F113" s="131" t="str">
        <x:f>IF(E113=0,"Did not attend",IF(E113&gt;='Read Me'!$E$2/86400,"Fully attended","Partially attended"))</x:f>
        <x:v>Did not attend</x:v>
      </x:c>
      <x:c r="G113" s="130" t="n">
        <x:f>IF($D113="",0,SUMIF('Attendance Report - Option 2'!$P$11:$P$412,$D113,'Attendance Report - Option 2'!$Q$11:$Q$412)/86400)</x:f>
        <x:v>0.04193287037037037</x:v>
      </x:c>
      <x:c r="H113" s="131" t="str">
        <x:f>IF(G113=0,"Did not attend",IF(G113&gt;='Read Me'!$E$2/86400,"Fully attended","Partially attended"))</x:f>
        <x:v>Partially attended</x:v>
      </x:c>
      <x:c r="I113" s="130" t="n">
        <x:f>E113+G113</x:f>
        <x:v>0.04193287037037037</x:v>
      </x:c>
      <x:c r="J113" s="131" t="str">
        <x:f>IF(I113=0,"Did not attend",IF(I113&gt;='Read Me'!$E$2/86400,"Fully attended","Partially attended"))</x:f>
        <x:v>Partially attended</x:v>
      </x:c>
      <x:c r="K113" s="131" t="str">
        <x:f>IF($D113="","No",IF(COUNTIF('Attendance Report - Option 1'!$P$11:$P$315,$D113)&gt;0,"Yes","No"))</x:f>
        <x:v>No</x:v>
      </x:c>
      <x:c r="L113" s="131" t="str">
        <x:f>IF($D113="","No",IF(COUNTIF('Attendance Report - Option 2'!$P$11:$P$412,$D113)&gt;0,"Yes","No"))</x:f>
        <x:v>Yes</x:v>
      </x:c>
    </x:row>
    <x:row r="114">
      <x:c r="A114" s="16" t="str">
        <x:f>'EMA Assurance Employee List'!A114</x:f>
        <x:v>Dhaarna Jhummun</x:v>
      </x:c>
      <x:c r="B114" s="16" t="str">
        <x:f>IF(C114="KE","Kenya",IF(C114="UG","Uganda",IF(C114="MU","Mauritius",IF(C114="TZ","Tanzania",IF(C114="RW","Rwanda",IF(C114="ZA","South Africa",IF(C114="ZM","Zambia","")))))))</x:f>
        <x:v>Mauritius</x:v>
      </x:c>
      <x:c r="C114" s="16" t="str">
        <x:f>'EMA Assurance Employee List'!B114</x:f>
        <x:v>MU</x:v>
      </x:c>
      <x:c r="D114" s="16" t="str">
        <x:f>'EMA Assurance Employee List'!D114</x:f>
        <x:v>dhaarna.jhummun@pwc.com</x:v>
      </x:c>
      <x:c r="E114" s="130" t="n">
        <x:f>IF($D114="",0,SUMIF('Attendance Report - Option 1'!$P$11:$P$315,$D114,'Attendance Report - Option 1'!$Q$11:$Q$315)/86400)</x:f>
        <x:v>0</x:v>
      </x:c>
      <x:c r="F114" s="131" t="str">
        <x:f>IF(E114=0,"Did not attend",IF(E114&gt;='Read Me'!$E$2/86400,"Fully attended","Partially attended"))</x:f>
        <x:v>Did not attend</x:v>
      </x:c>
      <x:c r="G114" s="130" t="n">
        <x:f>IF($D114="",0,SUMIF('Attendance Report - Option 2'!$P$11:$P$412,$D114,'Attendance Report - Option 2'!$Q$11:$Q$412)/86400)</x:f>
        <x:v>0.08783564814814815</x:v>
      </x:c>
      <x:c r="H114" s="131" t="str">
        <x:f>IF(G114=0,"Did not attend",IF(G114&gt;='Read Me'!$E$2/86400,"Fully attended","Partially attended"))</x:f>
        <x:v>Fully attended</x:v>
      </x:c>
      <x:c r="I114" s="130" t="n">
        <x:f>E114+G114</x:f>
        <x:v>0.08783564814814815</x:v>
      </x:c>
      <x:c r="J114" s="131" t="str">
        <x:f>IF(I114=0,"Did not attend",IF(I114&gt;='Read Me'!$E$2/86400,"Fully attended","Partially attended"))</x:f>
        <x:v>Fully attended</x:v>
      </x:c>
      <x:c r="K114" s="131" t="str">
        <x:f>IF($D114="","No",IF(COUNTIF('Attendance Report - Option 1'!$P$11:$P$315,$D114)&gt;0,"Yes","No"))</x:f>
        <x:v>No</x:v>
      </x:c>
      <x:c r="L114" s="131" t="str">
        <x:f>IF($D114="","No",IF(COUNTIF('Attendance Report - Option 2'!$P$11:$P$412,$D114)&gt;0,"Yes","No"))</x:f>
        <x:v>Yes</x:v>
      </x:c>
    </x:row>
    <x:row r="115">
      <x:c r="A115" s="16" t="str">
        <x:f>'EMA Assurance Employee List'!A115</x:f>
        <x:v>Dhanishta Snehal Issuree</x:v>
      </x:c>
      <x:c r="B115" s="16" t="str">
        <x:f>IF(C115="KE","Kenya",IF(C115="UG","Uganda",IF(C115="MU","Mauritius",IF(C115="TZ","Tanzania",IF(C115="RW","Rwanda",IF(C115="ZA","South Africa",IF(C115="ZM","Zambia","")))))))</x:f>
        <x:v>Mauritius</x:v>
      </x:c>
      <x:c r="C115" s="16" t="str">
        <x:f>'EMA Assurance Employee List'!B115</x:f>
        <x:v>MU</x:v>
      </x:c>
      <x:c r="D115" s="16" t="str">
        <x:f>'EMA Assurance Employee List'!D115</x:f>
        <x:v>dhanishta.issuree@pwc.com</x:v>
      </x:c>
      <x:c r="E115" s="130" t="n">
        <x:f>IF($D115="",0,SUMIF('Attendance Report - Option 1'!$P$11:$P$315,$D115,'Attendance Report - Option 1'!$Q$11:$Q$315)/86400)</x:f>
        <x:v>0</x:v>
      </x:c>
      <x:c r="F115" s="131" t="str">
        <x:f>IF(E115=0,"Did not attend",IF(E115&gt;='Read Me'!$E$2/86400,"Fully attended","Partially attended"))</x:f>
        <x:v>Did not attend</x:v>
      </x:c>
      <x:c r="G115" s="130" t="n">
        <x:f>IF($D115="",0,SUMIF('Attendance Report - Option 2'!$P$11:$P$412,$D115,'Attendance Report - Option 2'!$Q$11:$Q$412)/86400)</x:f>
        <x:v>0.06094907407407407</x:v>
      </x:c>
      <x:c r="H115" s="131" t="str">
        <x:f>IF(G115=0,"Did not attend",IF(G115&gt;='Read Me'!$E$2/86400,"Fully attended","Partially attended"))</x:f>
        <x:v>Partially attended</x:v>
      </x:c>
      <x:c r="I115" s="130" t="n">
        <x:f>E115+G115</x:f>
        <x:v>0.06094907407407407</x:v>
      </x:c>
      <x:c r="J115" s="131" t="str">
        <x:f>IF(I115=0,"Did not attend",IF(I115&gt;='Read Me'!$E$2/86400,"Fully attended","Partially attended"))</x:f>
        <x:v>Partially attended</x:v>
      </x:c>
      <x:c r="K115" s="131" t="str">
        <x:f>IF($D115="","No",IF(COUNTIF('Attendance Report - Option 1'!$P$11:$P$315,$D115)&gt;0,"Yes","No"))</x:f>
        <x:v>No</x:v>
      </x:c>
      <x:c r="L115" s="131" t="str">
        <x:f>IF($D115="","No",IF(COUNTIF('Attendance Report - Option 2'!$P$11:$P$412,$D115)&gt;0,"Yes","No"))</x:f>
        <x:v>Yes</x:v>
      </x:c>
    </x:row>
    <x:row r="116">
      <x:c r="A116" s="16" t="str">
        <x:f>'EMA Assurance Employee List'!A116</x:f>
        <x:v>Dhatree Langur</x:v>
      </x:c>
      <x:c r="B116" s="16" t="str">
        <x:f>IF(C116="KE","Kenya",IF(C116="UG","Uganda",IF(C116="MU","Mauritius",IF(C116="TZ","Tanzania",IF(C116="RW","Rwanda",IF(C116="ZA","South Africa",IF(C116="ZM","Zambia","")))))))</x:f>
        <x:v>Mauritius</x:v>
      </x:c>
      <x:c r="C116" s="16" t="str">
        <x:f>'EMA Assurance Employee List'!B116</x:f>
        <x:v>MU</x:v>
      </x:c>
      <x:c r="D116" s="16" t="str">
        <x:f>'EMA Assurance Employee List'!D116</x:f>
        <x:v>dhatree.langur@pwc.com</x:v>
      </x:c>
      <x:c r="E116" s="130" t="n">
        <x:f>IF($D116="",0,SUMIF('Attendance Report - Option 1'!$P$11:$P$315,$D116,'Attendance Report - Option 1'!$Q$11:$Q$315)/86400)</x:f>
        <x:v>0</x:v>
      </x:c>
      <x:c r="F116" s="131" t="str">
        <x:f>IF(E116=0,"Did not attend",IF(E116&gt;='Read Me'!$E$2/86400,"Fully attended","Partially attended"))</x:f>
        <x:v>Did not attend</x:v>
      </x:c>
      <x:c r="G116" s="130" t="n">
        <x:f>IF($D116="",0,SUMIF('Attendance Report - Option 2'!$P$11:$P$412,$D116,'Attendance Report - Option 2'!$Q$11:$Q$412)/86400)</x:f>
        <x:v>0.038356481481481484</x:v>
      </x:c>
      <x:c r="H116" s="131" t="str">
        <x:f>IF(G116=0,"Did not attend",IF(G116&gt;='Read Me'!$E$2/86400,"Fully attended","Partially attended"))</x:f>
        <x:v>Partially attended</x:v>
      </x:c>
      <x:c r="I116" s="130" t="n">
        <x:f>E116+G116</x:f>
        <x:v>0.038356481481481484</x:v>
      </x:c>
      <x:c r="J116" s="131" t="str">
        <x:f>IF(I116=0,"Did not attend",IF(I116&gt;='Read Me'!$E$2/86400,"Fully attended","Partially attended"))</x:f>
        <x:v>Partially attended</x:v>
      </x:c>
      <x:c r="K116" s="131" t="str">
        <x:f>IF($D116="","No",IF(COUNTIF('Attendance Report - Option 1'!$P$11:$P$315,$D116)&gt;0,"Yes","No"))</x:f>
        <x:v>No</x:v>
      </x:c>
      <x:c r="L116" s="131" t="str">
        <x:f>IF($D116="","No",IF(COUNTIF('Attendance Report - Option 2'!$P$11:$P$412,$D116)&gt;0,"Yes","No"))</x:f>
        <x:v>Yes</x:v>
      </x:c>
    </x:row>
    <x:row r="117">
      <x:c r="A117" s="16" t="str">
        <x:f>'EMA Assurance Employee List'!A117</x:f>
        <x:v>Dickson Mohoni</x:v>
      </x:c>
      <x:c r="B117" s="16" t="str">
        <x:f>IF(C117="KE","Kenya",IF(C117="UG","Uganda",IF(C117="MU","Mauritius",IF(C117="TZ","Tanzania",IF(C117="RW","Rwanda",IF(C117="ZA","South Africa",IF(C117="ZM","Zambia","")))))))</x:f>
        <x:v>Tanzania</x:v>
      </x:c>
      <x:c r="C117" s="16" t="str">
        <x:f>'EMA Assurance Employee List'!B117</x:f>
        <x:v>TZ</x:v>
      </x:c>
      <x:c r="D117" s="16" t="str">
        <x:f>'EMA Assurance Employee List'!D117</x:f>
        <x:v>dickson.m.mohoni@pwc.com</x:v>
      </x:c>
      <x:c r="E117" s="130" t="n">
        <x:f>IF($D117="",0,SUMIF('Attendance Report - Option 1'!$P$11:$P$315,$D117,'Attendance Report - Option 1'!$Q$11:$Q$315)/86400)</x:f>
        <x:v>0.06752314814814815</x:v>
      </x:c>
      <x:c r="F117" s="131" t="str">
        <x:f>IF(E117=0,"Did not attend",IF(E117&gt;='Read Me'!$E$2/86400,"Fully attended","Partially attended"))</x:f>
        <x:v>Fully attended</x:v>
      </x:c>
      <x:c r="G117" s="130" t="n">
        <x:f>IF($D117="",0,SUMIF('Attendance Report - Option 2'!$P$11:$P$412,$D117,'Attendance Report - Option 2'!$Q$11:$Q$412)/86400)</x:f>
        <x:v>0</x:v>
      </x:c>
      <x:c r="H117" s="131" t="str">
        <x:f>IF(G117=0,"Did not attend",IF(G117&gt;='Read Me'!$E$2/86400,"Fully attended","Partially attended"))</x:f>
        <x:v>Did not attend</x:v>
      </x:c>
      <x:c r="I117" s="130" t="n">
        <x:f>E117+G117</x:f>
        <x:v>0.06752314814814815</x:v>
      </x:c>
      <x:c r="J117" s="131" t="str">
        <x:f>IF(I117=0,"Did not attend",IF(I117&gt;='Read Me'!$E$2/86400,"Fully attended","Partially attended"))</x:f>
        <x:v>Fully attended</x:v>
      </x:c>
      <x:c r="K117" s="131" t="str">
        <x:f>IF($D117="","No",IF(COUNTIF('Attendance Report - Option 1'!$P$11:$P$315,$D117)&gt;0,"Yes","No"))</x:f>
        <x:v>Yes</x:v>
      </x:c>
      <x:c r="L117" s="131" t="str">
        <x:f>IF($D117="","No",IF(COUNTIF('Attendance Report - Option 2'!$P$11:$P$412,$D117)&gt;0,"Yes","No"))</x:f>
        <x:v>No</x:v>
      </x:c>
    </x:row>
    <x:row r="118">
      <x:c r="A118" s="16" t="str">
        <x:f>'EMA Assurance Employee List'!A118</x:f>
        <x:v>Diksha Neerbun</x:v>
      </x:c>
      <x:c r="B118" s="16" t="str">
        <x:f>IF(C118="KE","Kenya",IF(C118="UG","Uganda",IF(C118="MU","Mauritius",IF(C118="TZ","Tanzania",IF(C118="RW","Rwanda",IF(C118="ZA","South Africa",IF(C118="ZM","Zambia","")))))))</x:f>
        <x:v>Mauritius</x:v>
      </x:c>
      <x:c r="C118" s="16" t="str">
        <x:f>'EMA Assurance Employee List'!B118</x:f>
        <x:v>MU</x:v>
      </x:c>
      <x:c r="D118" s="16" t="str">
        <x:f>'EMA Assurance Employee List'!D118</x:f>
        <x:v>diksha.neerbun@pwc.com</x:v>
      </x:c>
      <x:c r="E118" s="130" t="n">
        <x:f>IF($D118="",0,SUMIF('Attendance Report - Option 1'!$P$11:$P$315,$D118,'Attendance Report - Option 1'!$Q$11:$Q$315)/86400)</x:f>
        <x:v>0.08241898148148148</x:v>
      </x:c>
      <x:c r="F118" s="131" t="str">
        <x:f>IF(E118=0,"Did not attend",IF(E118&gt;='Read Me'!$E$2/86400,"Fully attended","Partially attended"))</x:f>
        <x:v>Fully attended</x:v>
      </x:c>
      <x:c r="G118" s="130" t="n">
        <x:f>IF($D118="",0,SUMIF('Attendance Report - Option 2'!$P$11:$P$412,$D118,'Attendance Report - Option 2'!$Q$11:$Q$412)/86400)</x:f>
        <x:v>0</x:v>
      </x:c>
      <x:c r="H118" s="131" t="str">
        <x:f>IF(G118=0,"Did not attend",IF(G118&gt;='Read Me'!$E$2/86400,"Fully attended","Partially attended"))</x:f>
        <x:v>Did not attend</x:v>
      </x:c>
      <x:c r="I118" s="130" t="n">
        <x:f>E118+G118</x:f>
        <x:v>0.08241898148148148</x:v>
      </x:c>
      <x:c r="J118" s="131" t="str">
        <x:f>IF(I118=0,"Did not attend",IF(I118&gt;='Read Me'!$E$2/86400,"Fully attended","Partially attended"))</x:f>
        <x:v>Fully attended</x:v>
      </x:c>
      <x:c r="K118" s="131" t="str">
        <x:f>IF($D118="","No",IF(COUNTIF('Attendance Report - Option 1'!$P$11:$P$315,$D118)&gt;0,"Yes","No"))</x:f>
        <x:v>Yes</x:v>
      </x:c>
      <x:c r="L118" s="131" t="str">
        <x:f>IF($D118="","No",IF(COUNTIF('Attendance Report - Option 2'!$P$11:$P$412,$D118)&gt;0,"Yes","No"))</x:f>
        <x:v>No</x:v>
      </x:c>
    </x:row>
    <x:row r="119">
      <x:c r="A119" s="16" t="str">
        <x:f>'EMA Assurance Employee List'!A119</x:f>
        <x:v>Dinesh Lutchmun</x:v>
      </x:c>
      <x:c r="B119" s="16" t="str">
        <x:f>IF(C119="KE","Kenya",IF(C119="UG","Uganda",IF(C119="MU","Mauritius",IF(C119="TZ","Tanzania",IF(C119="RW","Rwanda",IF(C119="ZA","South Africa",IF(C119="ZM","Zambia","")))))))</x:f>
        <x:v>Mauritius</x:v>
      </x:c>
      <x:c r="C119" s="16" t="str">
        <x:f>'EMA Assurance Employee List'!B119</x:f>
        <x:v>MU</x:v>
      </x:c>
      <x:c r="D119" s="16" t="str">
        <x:f>'EMA Assurance Employee List'!D119</x:f>
        <x:v>dinesh.lutchmun@pwc.com</x:v>
      </x:c>
      <x:c r="E119" s="130" t="n">
        <x:f>IF($D119="",0,SUMIF('Attendance Report - Option 1'!$P$11:$P$315,$D119,'Attendance Report - Option 1'!$Q$11:$Q$315)/86400)</x:f>
        <x:v>0</x:v>
      </x:c>
      <x:c r="F119" s="131" t="str">
        <x:f>IF(E119=0,"Did not attend",IF(E119&gt;='Read Me'!$E$2/86400,"Fully attended","Partially attended"))</x:f>
        <x:v>Did not attend</x:v>
      </x:c>
      <x:c r="G119" s="130" t="n">
        <x:f>IF($D119="",0,SUMIF('Attendance Report - Option 2'!$P$11:$P$412,$D119,'Attendance Report - Option 2'!$Q$11:$Q$412)/86400)</x:f>
        <x:v>0.07572916666666667</x:v>
      </x:c>
      <x:c r="H119" s="131" t="str">
        <x:f>IF(G119=0,"Did not attend",IF(G119&gt;='Read Me'!$E$2/86400,"Fully attended","Partially attended"))</x:f>
        <x:v>Fully attended</x:v>
      </x:c>
      <x:c r="I119" s="130" t="n">
        <x:f>E119+G119</x:f>
        <x:v>0.07572916666666667</x:v>
      </x:c>
      <x:c r="J119" s="131" t="str">
        <x:f>IF(I119=0,"Did not attend",IF(I119&gt;='Read Me'!$E$2/86400,"Fully attended","Partially attended"))</x:f>
        <x:v>Fully attended</x:v>
      </x:c>
      <x:c r="K119" s="131" t="str">
        <x:f>IF($D119="","No",IF(COUNTIF('Attendance Report - Option 1'!$P$11:$P$315,$D119)&gt;0,"Yes","No"))</x:f>
        <x:v>No</x:v>
      </x:c>
      <x:c r="L119" s="131" t="str">
        <x:f>IF($D119="","No",IF(COUNTIF('Attendance Report - Option 2'!$P$11:$P$412,$D119)&gt;0,"Yes","No"))</x:f>
        <x:v>Yes</x:v>
      </x:c>
    </x:row>
    <x:row r="120">
      <x:c r="A120" s="16" t="str">
        <x:f>'EMA Assurance Employee List'!A120</x:f>
        <x:v>Dolesha Gokhul</x:v>
      </x:c>
      <x:c r="B120" s="16" t="str">
        <x:f>IF(C120="KE","Kenya",IF(C120="UG","Uganda",IF(C120="MU","Mauritius",IF(C120="TZ","Tanzania",IF(C120="RW","Rwanda",IF(C120="ZA","South Africa",IF(C120="ZM","Zambia","")))))))</x:f>
        <x:v>Mauritius</x:v>
      </x:c>
      <x:c r="C120" s="16" t="str">
        <x:f>'EMA Assurance Employee List'!B120</x:f>
        <x:v>MU</x:v>
      </x:c>
      <x:c r="D120" s="16" t="str">
        <x:f>'EMA Assurance Employee List'!D120</x:f>
        <x:v>dolesha.gokhul@pwc.com</x:v>
      </x:c>
      <x:c r="E120" s="130" t="n">
        <x:f>IF($D120="",0,SUMIF('Attendance Report - Option 1'!$P$11:$P$315,$D120,'Attendance Report - Option 1'!$Q$11:$Q$315)/86400)</x:f>
        <x:v>0.0006828703703703704</x:v>
      </x:c>
      <x:c r="F120" s="131" t="str">
        <x:f>IF(E120=0,"Did not attend",IF(E120&gt;='Read Me'!$E$2/86400,"Fully attended","Partially attended"))</x:f>
        <x:v>Partially attended</x:v>
      </x:c>
      <x:c r="G120" s="130" t="n">
        <x:f>IF($D120="",0,SUMIF('Attendance Report - Option 2'!$P$11:$P$412,$D120,'Attendance Report - Option 2'!$Q$11:$Q$412)/86400)</x:f>
        <x:v>0.09104166666666667</x:v>
      </x:c>
      <x:c r="H120" s="131" t="str">
        <x:f>IF(G120=0,"Did not attend",IF(G120&gt;='Read Me'!$E$2/86400,"Fully attended","Partially attended"))</x:f>
        <x:v>Fully attended</x:v>
      </x:c>
      <x:c r="I120" s="130" t="n">
        <x:f>E120+G120</x:f>
        <x:v>0.09172453703703705</x:v>
      </x:c>
      <x:c r="J120" s="131" t="str">
        <x:f>IF(I120=0,"Did not attend",IF(I120&gt;='Read Me'!$E$2/86400,"Fully attended","Partially attended"))</x:f>
        <x:v>Fully attended</x:v>
      </x:c>
      <x:c r="K120" s="131" t="str">
        <x:f>IF($D120="","No",IF(COUNTIF('Attendance Report - Option 1'!$P$11:$P$315,$D120)&gt;0,"Yes","No"))</x:f>
        <x:v>Yes</x:v>
      </x:c>
      <x:c r="L120" s="131" t="str">
        <x:f>IF($D120="","No",IF(COUNTIF('Attendance Report - Option 2'!$P$11:$P$412,$D120)&gt;0,"Yes","No"))</x:f>
        <x:v>Yes</x:v>
      </x:c>
    </x:row>
    <x:row r="121">
      <x:c r="A121" s="16" t="str">
        <x:f>'EMA Assurance Employee List'!A121</x:f>
        <x:v>Domenic Elasu</x:v>
      </x:c>
      <x:c r="B121" s="16" t="str">
        <x:f>IF(C121="KE","Kenya",IF(C121="UG","Uganda",IF(C121="MU","Mauritius",IF(C121="TZ","Tanzania",IF(C121="RW","Rwanda",IF(C121="ZA","South Africa",IF(C121="ZM","Zambia","")))))))</x:f>
        <x:v>Uganda</x:v>
      </x:c>
      <x:c r="C121" s="16" t="str">
        <x:f>'EMA Assurance Employee List'!B121</x:f>
        <x:v>UG</x:v>
      </x:c>
      <x:c r="D121" s="16" t="str">
        <x:f>'EMA Assurance Employee List'!D121</x:f>
        <x:v>domenic.elasu@pwc.com</x:v>
      </x:c>
      <x:c r="E121" s="130" t="n">
        <x:f>IF($D121="",0,SUMIF('Attendance Report - Option 1'!$P$11:$P$315,$D121,'Attendance Report - Option 1'!$Q$11:$Q$315)/86400)</x:f>
        <x:v>0.0821412037037037</x:v>
      </x:c>
      <x:c r="F121" s="131" t="str">
        <x:f>IF(E121=0,"Did not attend",IF(E121&gt;='Read Me'!$E$2/86400,"Fully attended","Partially attended"))</x:f>
        <x:v>Fully attended</x:v>
      </x:c>
      <x:c r="G121" s="130" t="n">
        <x:f>IF($D121="",0,SUMIF('Attendance Report - Option 2'!$P$11:$P$412,$D121,'Attendance Report - Option 2'!$Q$11:$Q$412)/86400)</x:f>
        <x:v>0</x:v>
      </x:c>
      <x:c r="H121" s="131" t="str">
        <x:f>IF(G121=0,"Did not attend",IF(G121&gt;='Read Me'!$E$2/86400,"Fully attended","Partially attended"))</x:f>
        <x:v>Did not attend</x:v>
      </x:c>
      <x:c r="I121" s="130" t="n">
        <x:f>E121+G121</x:f>
        <x:v>0.0821412037037037</x:v>
      </x:c>
      <x:c r="J121" s="131" t="str">
        <x:f>IF(I121=0,"Did not attend",IF(I121&gt;='Read Me'!$E$2/86400,"Fully attended","Partially attended"))</x:f>
        <x:v>Fully attended</x:v>
      </x:c>
      <x:c r="K121" s="131" t="str">
        <x:f>IF($D121="","No",IF(COUNTIF('Attendance Report - Option 1'!$P$11:$P$315,$D121)&gt;0,"Yes","No"))</x:f>
        <x:v>Yes</x:v>
      </x:c>
      <x:c r="L121" s="131" t="str">
        <x:f>IF($D121="","No",IF(COUNTIF('Attendance Report - Option 2'!$P$11:$P$412,$D121)&gt;0,"Yes","No"))</x:f>
        <x:v>No</x:v>
      </x:c>
    </x:row>
    <x:row r="122">
      <x:c r="A122" s="16" t="str">
        <x:f>'EMA Assurance Employee List'!A122</x:f>
        <x:v>Dominic Kimeu</x:v>
      </x:c>
      <x:c r="B122" s="16" t="str">
        <x:f>IF(C122="KE","Kenya",IF(C122="UG","Uganda",IF(C122="MU","Mauritius",IF(C122="TZ","Tanzania",IF(C122="RW","Rwanda",IF(C122="ZA","South Africa",IF(C122="ZM","Zambia","")))))))</x:f>
        <x:v>Kenya</x:v>
      </x:c>
      <x:c r="C122" s="16" t="str">
        <x:f>'EMA Assurance Employee List'!B122</x:f>
        <x:v>KE</x:v>
      </x:c>
      <x:c r="D122" s="16" t="str">
        <x:f>'EMA Assurance Employee List'!D122</x:f>
        <x:v>dominic.kimeu@pwc.com</x:v>
      </x:c>
      <x:c r="E122" s="130" t="n">
        <x:f>IF($D122="",0,SUMIF('Attendance Report - Option 1'!$P$11:$P$315,$D122,'Attendance Report - Option 1'!$Q$11:$Q$315)/86400)</x:f>
        <x:v>0</x:v>
      </x:c>
      <x:c r="F122" s="131" t="str">
        <x:f>IF(E122=0,"Did not attend",IF(E122&gt;='Read Me'!$E$2/86400,"Fully attended","Partially attended"))</x:f>
        <x:v>Did not attend</x:v>
      </x:c>
      <x:c r="G122" s="130" t="n">
        <x:f>IF($D122="",0,SUMIF('Attendance Report - Option 2'!$P$11:$P$412,$D122,'Attendance Report - Option 2'!$Q$11:$Q$412)/86400)</x:f>
        <x:v>0</x:v>
      </x:c>
      <x:c r="H122" s="131" t="str">
        <x:f>IF(G122=0,"Did not attend",IF(G122&gt;='Read Me'!$E$2/86400,"Fully attended","Partially attended"))</x:f>
        <x:v>Did not attend</x:v>
      </x:c>
      <x:c r="I122" s="130" t="n">
        <x:f>E122+G122</x:f>
        <x:v>0</x:v>
      </x:c>
      <x:c r="J122" s="131" t="str">
        <x:f>IF(I122=0,"Did not attend",IF(I122&gt;='Read Me'!$E$2/86400,"Fully attended","Partially attended"))</x:f>
        <x:v>Did not attend</x:v>
      </x:c>
      <x:c r="K122" s="131" t="str">
        <x:f>IF($D122="","No",IF(COUNTIF('Attendance Report - Option 1'!$P$11:$P$315,$D122)&gt;0,"Yes","No"))</x:f>
        <x:v>No</x:v>
      </x:c>
      <x:c r="L122" s="131" t="str">
        <x:f>IF($D122="","No",IF(COUNTIF('Attendance Report - Option 2'!$P$11:$P$412,$D122)&gt;0,"Yes","No"))</x:f>
        <x:v>No</x:v>
      </x:c>
    </x:row>
    <x:row r="123">
      <x:c r="A123" s="16" t="str">
        <x:f>'EMA Assurance Employee List'!A123</x:f>
        <x:v>Dominic Ocharo</x:v>
      </x:c>
      <x:c r="B123" s="16" t="str">
        <x:f>IF(C123="KE","Kenya",IF(C123="UG","Uganda",IF(C123="MU","Mauritius",IF(C123="TZ","Tanzania",IF(C123="RW","Rwanda",IF(C123="ZA","South Africa",IF(C123="ZM","Zambia","")))))))</x:f>
        <x:v>Kenya</x:v>
      </x:c>
      <x:c r="C123" s="16" t="str">
        <x:f>'EMA Assurance Employee List'!B123</x:f>
        <x:v>KE</x:v>
      </x:c>
      <x:c r="D123" s="16" t="str">
        <x:f>'EMA Assurance Employee List'!D123</x:f>
        <x:v>dominic.ocharo@pwc.com</x:v>
      </x:c>
      <x:c r="E123" s="130" t="n">
        <x:f>IF($D123="",0,SUMIF('Attendance Report - Option 1'!$P$11:$P$315,$D123,'Attendance Report - Option 1'!$Q$11:$Q$315)/86400)</x:f>
        <x:v>0.029641203703703704</x:v>
      </x:c>
      <x:c r="F123" s="131" t="str">
        <x:f>IF(E123=0,"Did not attend",IF(E123&gt;='Read Me'!$E$2/86400,"Fully attended","Partially attended"))</x:f>
        <x:v>Partially attended</x:v>
      </x:c>
      <x:c r="G123" s="130" t="n">
        <x:f>IF($D123="",0,SUMIF('Attendance Report - Option 2'!$P$11:$P$412,$D123,'Attendance Report - Option 2'!$Q$11:$Q$412)/86400)</x:f>
        <x:v>0</x:v>
      </x:c>
      <x:c r="H123" s="131" t="str">
        <x:f>IF(G123=0,"Did not attend",IF(G123&gt;='Read Me'!$E$2/86400,"Fully attended","Partially attended"))</x:f>
        <x:v>Did not attend</x:v>
      </x:c>
      <x:c r="I123" s="130" t="n">
        <x:f>E123+G123</x:f>
        <x:v>0.029641203703703704</x:v>
      </x:c>
      <x:c r="J123" s="131" t="str">
        <x:f>IF(I123=0,"Did not attend",IF(I123&gt;='Read Me'!$E$2/86400,"Fully attended","Partially attended"))</x:f>
        <x:v>Partially attended</x:v>
      </x:c>
      <x:c r="K123" s="131" t="str">
        <x:f>IF($D123="","No",IF(COUNTIF('Attendance Report - Option 1'!$P$11:$P$315,$D123)&gt;0,"Yes","No"))</x:f>
        <x:v>Yes</x:v>
      </x:c>
      <x:c r="L123" s="131" t="str">
        <x:f>IF($D123="","No",IF(COUNTIF('Attendance Report - Option 2'!$P$11:$P$412,$D123)&gt;0,"Yes","No"))</x:f>
        <x:v>No</x:v>
      </x:c>
    </x:row>
    <x:row r="124">
      <x:c r="A124" s="16" t="str">
        <x:f>'EMA Assurance Employee List'!A124</x:f>
        <x:v>Dominicah Mbawa</x:v>
      </x:c>
      <x:c r="B124" s="16" t="str">
        <x:f>IF(C124="KE","Kenya",IF(C124="UG","Uganda",IF(C124="MU","Mauritius",IF(C124="TZ","Tanzania",IF(C124="RW","Rwanda",IF(C124="ZA","South Africa",IF(C124="ZM","Zambia","")))))))</x:f>
        <x:v>Tanzania</x:v>
      </x:c>
      <x:c r="C124" s="16" t="str">
        <x:f>'EMA Assurance Employee List'!B124</x:f>
        <x:v>TZ</x:v>
      </x:c>
      <x:c r="D124" s="16" t="str">
        <x:f>'EMA Assurance Employee List'!D124</x:f>
        <x:v>dominicah.mbawa@pwc.com</x:v>
      </x:c>
      <x:c r="E124" s="130" t="n">
        <x:f>IF($D124="",0,SUMIF('Attendance Report - Option 1'!$P$11:$P$315,$D124,'Attendance Report - Option 1'!$Q$11:$Q$315)/86400)</x:f>
        <x:v>0.08024305555555555</x:v>
      </x:c>
      <x:c r="F124" s="131" t="str">
        <x:f>IF(E124=0,"Did not attend",IF(E124&gt;='Read Me'!$E$2/86400,"Fully attended","Partially attended"))</x:f>
        <x:v>Fully attended</x:v>
      </x:c>
      <x:c r="G124" s="130" t="n">
        <x:f>IF($D124="",0,SUMIF('Attendance Report - Option 2'!$P$11:$P$412,$D124,'Attendance Report - Option 2'!$Q$11:$Q$412)/86400)</x:f>
        <x:v>0</x:v>
      </x:c>
      <x:c r="H124" s="131" t="str">
        <x:f>IF(G124=0,"Did not attend",IF(G124&gt;='Read Me'!$E$2/86400,"Fully attended","Partially attended"))</x:f>
        <x:v>Did not attend</x:v>
      </x:c>
      <x:c r="I124" s="130" t="n">
        <x:f>E124+G124</x:f>
        <x:v>0.08024305555555555</x:v>
      </x:c>
      <x:c r="J124" s="131" t="str">
        <x:f>IF(I124=0,"Did not attend",IF(I124&gt;='Read Me'!$E$2/86400,"Fully attended","Partially attended"))</x:f>
        <x:v>Fully attended</x:v>
      </x:c>
      <x:c r="K124" s="131" t="str">
        <x:f>IF($D124="","No",IF(COUNTIF('Attendance Report - Option 1'!$P$11:$P$315,$D124)&gt;0,"Yes","No"))</x:f>
        <x:v>Yes</x:v>
      </x:c>
      <x:c r="L124" s="131" t="str">
        <x:f>IF($D124="","No",IF(COUNTIF('Attendance Report - Option 2'!$P$11:$P$412,$D124)&gt;0,"Yes","No"))</x:f>
        <x:v>No</x:v>
      </x:c>
    </x:row>
    <x:row r="125">
      <x:c r="A125" s="16" t="str">
        <x:f>'EMA Assurance Employee List'!A125</x:f>
        <x:v>Dooleshsingh Jankee</x:v>
      </x:c>
      <x:c r="B125" s="16" t="str">
        <x:f>IF(C125="KE","Kenya",IF(C125="UG","Uganda",IF(C125="MU","Mauritius",IF(C125="TZ","Tanzania",IF(C125="RW","Rwanda",IF(C125="ZA","South Africa",IF(C125="ZM","Zambia","")))))))</x:f>
        <x:v>Mauritius</x:v>
      </x:c>
      <x:c r="C125" s="16" t="str">
        <x:f>'EMA Assurance Employee List'!B125</x:f>
        <x:v>MU</x:v>
      </x:c>
      <x:c r="D125" s="16" t="str">
        <x:f>'EMA Assurance Employee List'!D125</x:f>
        <x:v>dooleshsingh.jankee@pwc.com</x:v>
      </x:c>
      <x:c r="E125" s="130" t="n">
        <x:f>IF($D125="",0,SUMIF('Attendance Report - Option 1'!$P$11:$P$315,$D125,'Attendance Report - Option 1'!$Q$11:$Q$315)/86400)</x:f>
        <x:v>0</x:v>
      </x:c>
      <x:c r="F125" s="131" t="str">
        <x:f>IF(E125=0,"Did not attend",IF(E125&gt;='Read Me'!$E$2/86400,"Fully attended","Partially attended"))</x:f>
        <x:v>Did not attend</x:v>
      </x:c>
      <x:c r="G125" s="130" t="n">
        <x:f>IF($D125="",0,SUMIF('Attendance Report - Option 2'!$P$11:$P$412,$D125,'Attendance Report - Option 2'!$Q$11:$Q$412)/86400)</x:f>
        <x:v>0.07365740740740741</x:v>
      </x:c>
      <x:c r="H125" s="131" t="str">
        <x:f>IF(G125=0,"Did not attend",IF(G125&gt;='Read Me'!$E$2/86400,"Fully attended","Partially attended"))</x:f>
        <x:v>Fully attended</x:v>
      </x:c>
      <x:c r="I125" s="130" t="n">
        <x:f>E125+G125</x:f>
        <x:v>0.07365740740740741</x:v>
      </x:c>
      <x:c r="J125" s="131" t="str">
        <x:f>IF(I125=0,"Did not attend",IF(I125&gt;='Read Me'!$E$2/86400,"Fully attended","Partially attended"))</x:f>
        <x:v>Fully attended</x:v>
      </x:c>
      <x:c r="K125" s="131" t="str">
        <x:f>IF($D125="","No",IF(COUNTIF('Attendance Report - Option 1'!$P$11:$P$315,$D125)&gt;0,"Yes","No"))</x:f>
        <x:v>No</x:v>
      </x:c>
      <x:c r="L125" s="131" t="str">
        <x:f>IF($D125="","No",IF(COUNTIF('Attendance Report - Option 2'!$P$11:$P$412,$D125)&gt;0,"Yes","No"))</x:f>
        <x:v>Yes</x:v>
      </x:c>
    </x:row>
    <x:row r="126">
      <x:c r="A126" s="16" t="str">
        <x:f>'EMA Assurance Employee List'!A126</x:f>
        <x:v>Dowson Kalemba</x:v>
      </x:c>
      <x:c r="B126" s="16" t="str">
        <x:f>IF(C126="KE","Kenya",IF(C126="UG","Uganda",IF(C126="MU","Mauritius",IF(C126="TZ","Tanzania",IF(C126="RW","Rwanda",IF(C126="ZA","South Africa",IF(C126="ZM","Zambia","")))))))</x:f>
        <x:v>Uganda</x:v>
      </x:c>
      <x:c r="C126" s="16" t="str">
        <x:f>'EMA Assurance Employee List'!B126</x:f>
        <x:v>UG</x:v>
      </x:c>
      <x:c r="D126" s="16" t="str">
        <x:f>'EMA Assurance Employee List'!D126</x:f>
        <x:v>dowson.kalemba@pwc.com</x:v>
      </x:c>
      <x:c r="E126" s="130" t="n">
        <x:f>IF($D126="",0,SUMIF('Attendance Report - Option 1'!$P$11:$P$315,$D126,'Attendance Report - Option 1'!$Q$11:$Q$315)/86400)</x:f>
        <x:v>0.08366898148148148</x:v>
      </x:c>
      <x:c r="F126" s="131" t="str">
        <x:f>IF(E126=0,"Did not attend",IF(E126&gt;='Read Me'!$E$2/86400,"Fully attended","Partially attended"))</x:f>
        <x:v>Fully attended</x:v>
      </x:c>
      <x:c r="G126" s="130" t="n">
        <x:f>IF($D126="",0,SUMIF('Attendance Report - Option 2'!$P$11:$P$412,$D126,'Attendance Report - Option 2'!$Q$11:$Q$412)/86400)</x:f>
        <x:v>0</x:v>
      </x:c>
      <x:c r="H126" s="131" t="str">
        <x:f>IF(G126=0,"Did not attend",IF(G126&gt;='Read Me'!$E$2/86400,"Fully attended","Partially attended"))</x:f>
        <x:v>Did not attend</x:v>
      </x:c>
      <x:c r="I126" s="130" t="n">
        <x:f>E126+G126</x:f>
        <x:v>0.08366898148148148</x:v>
      </x:c>
      <x:c r="J126" s="131" t="str">
        <x:f>IF(I126=0,"Did not attend",IF(I126&gt;='Read Me'!$E$2/86400,"Fully attended","Partially attended"))</x:f>
        <x:v>Fully attended</x:v>
      </x:c>
      <x:c r="K126" s="131" t="str">
        <x:f>IF($D126="","No",IF(COUNTIF('Attendance Report - Option 1'!$P$11:$P$315,$D126)&gt;0,"Yes","No"))</x:f>
        <x:v>Yes</x:v>
      </x:c>
      <x:c r="L126" s="131" t="str">
        <x:f>IF($D126="","No",IF(COUNTIF('Attendance Report - Option 2'!$P$11:$P$412,$D126)&gt;0,"Yes","No"))</x:f>
        <x:v>No</x:v>
      </x:c>
    </x:row>
    <x:row r="127">
      <x:c r="A127" s="16" t="str">
        <x:f>'EMA Assurance Employee List'!A127</x:f>
        <x:v>Dries Tuyishime</x:v>
      </x:c>
      <x:c r="B127" s="16" t="str">
        <x:f>IF(C127="KE","Kenya",IF(C127="UG","Uganda",IF(C127="MU","Mauritius",IF(C127="TZ","Tanzania",IF(C127="RW","Rwanda",IF(C127="ZA","South Africa",IF(C127="ZM","Zambia","")))))))</x:f>
        <x:v>Rwanda</x:v>
      </x:c>
      <x:c r="C127" s="16" t="str">
        <x:f>'EMA Assurance Employee List'!B127</x:f>
        <x:v>RW</x:v>
      </x:c>
      <x:c r="D127" s="16" t="str">
        <x:f>'EMA Assurance Employee List'!D127</x:f>
        <x:v>dries.tuyishime@pwc.com</x:v>
      </x:c>
      <x:c r="E127" s="130" t="n">
        <x:f>IF($D127="",0,SUMIF('Attendance Report - Option 1'!$P$11:$P$315,$D127,'Attendance Report - Option 1'!$Q$11:$Q$315)/86400)</x:f>
        <x:v>0</x:v>
      </x:c>
      <x:c r="F127" s="131" t="str">
        <x:f>IF(E127=0,"Did not attend",IF(E127&gt;='Read Me'!$E$2/86400,"Fully attended","Partially attended"))</x:f>
        <x:v>Did not attend</x:v>
      </x:c>
      <x:c r="G127" s="130" t="n">
        <x:f>IF($D127="",0,SUMIF('Attendance Report - Option 2'!$P$11:$P$412,$D127,'Attendance Report - Option 2'!$Q$11:$Q$412)/86400)</x:f>
        <x:v>0.07711805555555555</x:v>
      </x:c>
      <x:c r="H127" s="131" t="str">
        <x:f>IF(G127=0,"Did not attend",IF(G127&gt;='Read Me'!$E$2/86400,"Fully attended","Partially attended"))</x:f>
        <x:v>Fully attended</x:v>
      </x:c>
      <x:c r="I127" s="130" t="n">
        <x:f>E127+G127</x:f>
        <x:v>0.07711805555555555</x:v>
      </x:c>
      <x:c r="J127" s="131" t="str">
        <x:f>IF(I127=0,"Did not attend",IF(I127&gt;='Read Me'!$E$2/86400,"Fully attended","Partially attended"))</x:f>
        <x:v>Fully attended</x:v>
      </x:c>
      <x:c r="K127" s="131" t="str">
        <x:f>IF($D127="","No",IF(COUNTIF('Attendance Report - Option 1'!$P$11:$P$315,$D127)&gt;0,"Yes","No"))</x:f>
        <x:v>No</x:v>
      </x:c>
      <x:c r="L127" s="131" t="str">
        <x:f>IF($D127="","No",IF(COUNTIF('Attendance Report - Option 2'!$P$11:$P$412,$D127)&gt;0,"Yes","No"))</x:f>
        <x:v>Yes</x:v>
      </x:c>
    </x:row>
    <x:row r="128">
      <x:c r="A128" s="16" t="str">
        <x:f>'EMA Assurance Employee List'!A128</x:f>
        <x:v>Drishtee Gopee</x:v>
      </x:c>
      <x:c r="B128" s="16" t="str">
        <x:f>IF(C128="KE","Kenya",IF(C128="UG","Uganda",IF(C128="MU","Mauritius",IF(C128="TZ","Tanzania",IF(C128="RW","Rwanda",IF(C128="ZA","South Africa",IF(C128="ZM","Zambia","")))))))</x:f>
        <x:v>Mauritius</x:v>
      </x:c>
      <x:c r="C128" s="16" t="str">
        <x:f>'EMA Assurance Employee List'!B128</x:f>
        <x:v>MU</x:v>
      </x:c>
      <x:c r="D128" s="16" t="str">
        <x:f>'EMA Assurance Employee List'!D128</x:f>
        <x:v>drishtee.gopee@pwc.com</x:v>
      </x:c>
      <x:c r="E128" s="130" t="n">
        <x:f>IF($D128="",0,SUMIF('Attendance Report - Option 1'!$P$11:$P$315,$D128,'Attendance Report - Option 1'!$Q$11:$Q$315)/86400)</x:f>
        <x:v>0.03523148148148148</x:v>
      </x:c>
      <x:c r="F128" s="131" t="str">
        <x:f>IF(E128=0,"Did not attend",IF(E128&gt;='Read Me'!$E$2/86400,"Fully attended","Partially attended"))</x:f>
        <x:v>Partially attended</x:v>
      </x:c>
      <x:c r="G128" s="130" t="n">
        <x:f>IF($D128="",0,SUMIF('Attendance Report - Option 2'!$P$11:$P$412,$D128,'Attendance Report - Option 2'!$Q$11:$Q$412)/86400)</x:f>
        <x:v>0.06784722222222223</x:v>
      </x:c>
      <x:c r="H128" s="131" t="str">
        <x:f>IF(G128=0,"Did not attend",IF(G128&gt;='Read Me'!$E$2/86400,"Fully attended","Partially attended"))</x:f>
        <x:v>Fully attended</x:v>
      </x:c>
      <x:c r="I128" s="130" t="n">
        <x:f>E128+G128</x:f>
        <x:v>0.1030787037037037</x:v>
      </x:c>
      <x:c r="J128" s="131" t="str">
        <x:f>IF(I128=0,"Did not attend",IF(I128&gt;='Read Me'!$E$2/86400,"Fully attended","Partially attended"))</x:f>
        <x:v>Fully attended</x:v>
      </x:c>
      <x:c r="K128" s="131" t="str">
        <x:f>IF($D128="","No",IF(COUNTIF('Attendance Report - Option 1'!$P$11:$P$315,$D128)&gt;0,"Yes","No"))</x:f>
        <x:v>Yes</x:v>
      </x:c>
      <x:c r="L128" s="131" t="str">
        <x:f>IF($D128="","No",IF(COUNTIF('Attendance Report - Option 2'!$P$11:$P$412,$D128)&gt;0,"Yes","No"))</x:f>
        <x:v>Yes</x:v>
      </x:c>
    </x:row>
    <x:row r="129">
      <x:c r="A129" s="16" t="str">
        <x:f>'EMA Assurance Employee List'!A129</x:f>
        <x:v>Duncan Miguna</x:v>
      </x:c>
      <x:c r="B129" s="16" t="str">
        <x:f>IF(C129="KE","Kenya",IF(C129="UG","Uganda",IF(C129="MU","Mauritius",IF(C129="TZ","Tanzania",IF(C129="RW","Rwanda",IF(C129="ZA","South Africa",IF(C129="ZM","Zambia","")))))))</x:f>
        <x:v>Kenya</x:v>
      </x:c>
      <x:c r="C129" s="16" t="str">
        <x:f>'EMA Assurance Employee List'!B129</x:f>
        <x:v>KE</x:v>
      </x:c>
      <x:c r="D129" s="16" t="str">
        <x:f>'EMA Assurance Employee List'!D129</x:f>
        <x:v>duncan.miguna@pwc.com</x:v>
      </x:c>
      <x:c r="E129" s="130" t="n">
        <x:f>IF($D129="",0,SUMIF('Attendance Report - Option 1'!$P$11:$P$315,$D129,'Attendance Report - Option 1'!$Q$11:$Q$315)/86400)</x:f>
        <x:v>0</x:v>
      </x:c>
      <x:c r="F129" s="131" t="str">
        <x:f>IF(E129=0,"Did not attend",IF(E129&gt;='Read Me'!$E$2/86400,"Fully attended","Partially attended"))</x:f>
        <x:v>Did not attend</x:v>
      </x:c>
      <x:c r="G129" s="130" t="n">
        <x:f>IF($D129="",0,SUMIF('Attendance Report - Option 2'!$P$11:$P$412,$D129,'Attendance Report - Option 2'!$Q$11:$Q$412)/86400)</x:f>
        <x:v>0.0821875</x:v>
      </x:c>
      <x:c r="H129" s="131" t="str">
        <x:f>IF(G129=0,"Did not attend",IF(G129&gt;='Read Me'!$E$2/86400,"Fully attended","Partially attended"))</x:f>
        <x:v>Fully attended</x:v>
      </x:c>
      <x:c r="I129" s="130" t="n">
        <x:f>E129+G129</x:f>
        <x:v>0.0821875</x:v>
      </x:c>
      <x:c r="J129" s="131" t="str">
        <x:f>IF(I129=0,"Did not attend",IF(I129&gt;='Read Me'!$E$2/86400,"Fully attended","Partially attended"))</x:f>
        <x:v>Fully attended</x:v>
      </x:c>
      <x:c r="K129" s="131" t="str">
        <x:f>IF($D129="","No",IF(COUNTIF('Attendance Report - Option 1'!$P$11:$P$315,$D129)&gt;0,"Yes","No"))</x:f>
        <x:v>No</x:v>
      </x:c>
      <x:c r="L129" s="131" t="str">
        <x:f>IF($D129="","No",IF(COUNTIF('Attendance Report - Option 2'!$P$11:$P$412,$D129)&gt;0,"Yes","No"))</x:f>
        <x:v>Yes</x:v>
      </x:c>
    </x:row>
    <x:row r="130">
      <x:c r="A130" s="16" t="str">
        <x:f>'EMA Assurance Employee List'!A130</x:f>
        <x:v>Ebenezer Mujungu</x:v>
      </x:c>
      <x:c r="B130" s="16" t="str">
        <x:f>IF(C130="KE","Kenya",IF(C130="UG","Uganda",IF(C130="MU","Mauritius",IF(C130="TZ","Tanzania",IF(C130="RW","Rwanda",IF(C130="ZA","South Africa",IF(C130="ZM","Zambia","")))))))</x:f>
        <x:v>Tanzania</x:v>
      </x:c>
      <x:c r="C130" s="16" t="str">
        <x:f>'EMA Assurance Employee List'!B130</x:f>
        <x:v>TZ</x:v>
      </x:c>
      <x:c r="D130" s="16" t="str">
        <x:f>'EMA Assurance Employee List'!D130</x:f>
        <x:v>ebenezer.mujungu@pwc.com</x:v>
      </x:c>
      <x:c r="E130" s="130" t="n">
        <x:f>IF($D130="",0,SUMIF('Attendance Report - Option 1'!$P$11:$P$315,$D130,'Attendance Report - Option 1'!$Q$11:$Q$315)/86400)</x:f>
        <x:v>0.0669212962962963</x:v>
      </x:c>
      <x:c r="F130" s="131" t="str">
        <x:f>IF(E130=0,"Did not attend",IF(E130&gt;='Read Me'!$E$2/86400,"Fully attended","Partially attended"))</x:f>
        <x:v>Fully attended</x:v>
      </x:c>
      <x:c r="G130" s="130" t="n">
        <x:f>IF($D130="",0,SUMIF('Attendance Report - Option 2'!$P$11:$P$412,$D130,'Attendance Report - Option 2'!$Q$11:$Q$412)/86400)</x:f>
        <x:v>0</x:v>
      </x:c>
      <x:c r="H130" s="131" t="str">
        <x:f>IF(G130=0,"Did not attend",IF(G130&gt;='Read Me'!$E$2/86400,"Fully attended","Partially attended"))</x:f>
        <x:v>Did not attend</x:v>
      </x:c>
      <x:c r="I130" s="130" t="n">
        <x:f>E130+G130</x:f>
        <x:v>0.0669212962962963</x:v>
      </x:c>
      <x:c r="J130" s="131" t="str">
        <x:f>IF(I130=0,"Did not attend",IF(I130&gt;='Read Me'!$E$2/86400,"Fully attended","Partially attended"))</x:f>
        <x:v>Fully attended</x:v>
      </x:c>
      <x:c r="K130" s="131" t="str">
        <x:f>IF($D130="","No",IF(COUNTIF('Attendance Report - Option 1'!$P$11:$P$315,$D130)&gt;0,"Yes","No"))</x:f>
        <x:v>Yes</x:v>
      </x:c>
      <x:c r="L130" s="131" t="str">
        <x:f>IF($D130="","No",IF(COUNTIF('Attendance Report - Option 2'!$P$11:$P$412,$D130)&gt;0,"Yes","No"))</x:f>
        <x:v>No</x:v>
      </x:c>
    </x:row>
    <x:row r="131">
      <x:c r="A131" s="16" t="str">
        <x:f>'EMA Assurance Employee List'!A131</x:f>
        <x:v>Edwin Musire</x:v>
      </x:c>
      <x:c r="B131" s="16" t="str">
        <x:f>IF(C131="KE","Kenya",IF(C131="UG","Uganda",IF(C131="MU","Mauritius",IF(C131="TZ","Tanzania",IF(C131="RW","Rwanda",IF(C131="ZA","South Africa",IF(C131="ZM","Zambia","")))))))</x:f>
        <x:v>Kenya</x:v>
      </x:c>
      <x:c r="C131" s="16" t="str">
        <x:f>'EMA Assurance Employee List'!B131</x:f>
        <x:v>KE</x:v>
      </x:c>
      <x:c r="D131" s="16" t="str">
        <x:f>'EMA Assurance Employee List'!D131</x:f>
        <x:v>edwin.musire@pwc.com</x:v>
      </x:c>
      <x:c r="E131" s="130" t="n">
        <x:f>IF($D131="",0,SUMIF('Attendance Report - Option 1'!$P$11:$P$315,$D131,'Attendance Report - Option 1'!$Q$11:$Q$315)/86400)</x:f>
        <x:v>0.07929398148148148</x:v>
      </x:c>
      <x:c r="F131" s="131" t="str">
        <x:f>IF(E131=0,"Did not attend",IF(E131&gt;='Read Me'!$E$2/86400,"Fully attended","Partially attended"))</x:f>
        <x:v>Fully attended</x:v>
      </x:c>
      <x:c r="G131" s="130" t="n">
        <x:f>IF($D131="",0,SUMIF('Attendance Report - Option 2'!$P$11:$P$412,$D131,'Attendance Report - Option 2'!$Q$11:$Q$412)/86400)</x:f>
        <x:v>0.07070601851851852</x:v>
      </x:c>
      <x:c r="H131" s="131" t="str">
        <x:f>IF(G131=0,"Did not attend",IF(G131&gt;='Read Me'!$E$2/86400,"Fully attended","Partially attended"))</x:f>
        <x:v>Fully attended</x:v>
      </x:c>
      <x:c r="I131" s="130" t="n">
        <x:f>E131+G131</x:f>
        <x:v>0.15</x:v>
      </x:c>
      <x:c r="J131" s="131" t="str">
        <x:f>IF(I131=0,"Did not attend",IF(I131&gt;='Read Me'!$E$2/86400,"Fully attended","Partially attended"))</x:f>
        <x:v>Fully attended</x:v>
      </x:c>
      <x:c r="K131" s="131" t="str">
        <x:f>IF($D131="","No",IF(COUNTIF('Attendance Report - Option 1'!$P$11:$P$315,$D131)&gt;0,"Yes","No"))</x:f>
        <x:v>Yes</x:v>
      </x:c>
      <x:c r="L131" s="131" t="str">
        <x:f>IF($D131="","No",IF(COUNTIF('Attendance Report - Option 2'!$P$11:$P$412,$D131)&gt;0,"Yes","No"))</x:f>
        <x:v>Yes</x:v>
      </x:c>
    </x:row>
    <x:row r="132">
      <x:c r="A132" s="16" t="str">
        <x:f>'EMA Assurance Employee List'!A132</x:f>
        <x:v>Edwin Odhiambo</x:v>
      </x:c>
      <x:c r="B132" s="16" t="str">
        <x:f>IF(C132="KE","Kenya",IF(C132="UG","Uganda",IF(C132="MU","Mauritius",IF(C132="TZ","Tanzania",IF(C132="RW","Rwanda",IF(C132="ZA","South Africa",IF(C132="ZM","Zambia","")))))))</x:f>
        <x:v>Kenya</x:v>
      </x:c>
      <x:c r="C132" s="16" t="str">
        <x:f>'EMA Assurance Employee List'!B132</x:f>
        <x:v>KE</x:v>
      </x:c>
      <x:c r="D132" s="16" t="str">
        <x:f>'EMA Assurance Employee List'!D132</x:f>
        <x:v>edwin.odhiambo@pwc.com</x:v>
      </x:c>
      <x:c r="E132" s="130" t="n">
        <x:f>IF($D132="",0,SUMIF('Attendance Report - Option 1'!$P$11:$P$315,$D132,'Attendance Report - Option 1'!$Q$11:$Q$315)/86400)</x:f>
        <x:v>0</x:v>
      </x:c>
      <x:c r="F132" s="131" t="str">
        <x:f>IF(E132=0,"Did not attend",IF(E132&gt;='Read Me'!$E$2/86400,"Fully attended","Partially attended"))</x:f>
        <x:v>Did not attend</x:v>
      </x:c>
      <x:c r="G132" s="130" t="n">
        <x:f>IF($D132="",0,SUMIF('Attendance Report - Option 2'!$P$11:$P$412,$D132,'Attendance Report - Option 2'!$Q$11:$Q$412)/86400)</x:f>
        <x:v>0.026111111111111113</x:v>
      </x:c>
      <x:c r="H132" s="131" t="str">
        <x:f>IF(G132=0,"Did not attend",IF(G132&gt;='Read Me'!$E$2/86400,"Fully attended","Partially attended"))</x:f>
        <x:v>Partially attended</x:v>
      </x:c>
      <x:c r="I132" s="130" t="n">
        <x:f>E132+G132</x:f>
        <x:v>0.026111111111111113</x:v>
      </x:c>
      <x:c r="J132" s="131" t="str">
        <x:f>IF(I132=0,"Did not attend",IF(I132&gt;='Read Me'!$E$2/86400,"Fully attended","Partially attended"))</x:f>
        <x:v>Partially attended</x:v>
      </x:c>
      <x:c r="K132" s="131" t="str">
        <x:f>IF($D132="","No",IF(COUNTIF('Attendance Report - Option 1'!$P$11:$P$315,$D132)&gt;0,"Yes","No"))</x:f>
        <x:v>No</x:v>
      </x:c>
      <x:c r="L132" s="131" t="str">
        <x:f>IF($D132="","No",IF(COUNTIF('Attendance Report - Option 2'!$P$11:$P$412,$D132)&gt;0,"Yes","No"))</x:f>
        <x:v>Yes</x:v>
      </x:c>
    </x:row>
    <x:row r="133">
      <x:c r="A133" s="16" t="str">
        <x:f>'EMA Assurance Employee List'!A133</x:f>
        <x:v>Elibariki Salema</x:v>
      </x:c>
      <x:c r="B133" s="16" t="str">
        <x:f>IF(C133="KE","Kenya",IF(C133="UG","Uganda",IF(C133="MU","Mauritius",IF(C133="TZ","Tanzania",IF(C133="RW","Rwanda",IF(C133="ZA","South Africa",IF(C133="ZM","Zambia","")))))))</x:f>
        <x:v>Tanzania</x:v>
      </x:c>
      <x:c r="C133" s="16" t="str">
        <x:f>'EMA Assurance Employee List'!B133</x:f>
        <x:v>TZ</x:v>
      </x:c>
      <x:c r="D133" s="16" t="str">
        <x:f>'EMA Assurance Employee List'!D133</x:f>
        <x:v>elibariki.s.salema@pwc.com</x:v>
      </x:c>
      <x:c r="E133" s="130" t="n">
        <x:f>IF($D133="",0,SUMIF('Attendance Report - Option 1'!$P$11:$P$315,$D133,'Attendance Report - Option 1'!$Q$11:$Q$315)/86400)</x:f>
        <x:v>0</x:v>
      </x:c>
      <x:c r="F133" s="131" t="str">
        <x:f>IF(E133=0,"Did not attend",IF(E133&gt;='Read Me'!$E$2/86400,"Fully attended","Partially attended"))</x:f>
        <x:v>Did not attend</x:v>
      </x:c>
      <x:c r="G133" s="130" t="n">
        <x:f>IF($D133="",0,SUMIF('Attendance Report - Option 2'!$P$11:$P$412,$D133,'Attendance Report - Option 2'!$Q$11:$Q$412)/86400)</x:f>
        <x:v>0</x:v>
      </x:c>
      <x:c r="H133" s="131" t="str">
        <x:f>IF(G133=0,"Did not attend",IF(G133&gt;='Read Me'!$E$2/86400,"Fully attended","Partially attended"))</x:f>
        <x:v>Did not attend</x:v>
      </x:c>
      <x:c r="I133" s="130" t="n">
        <x:f>E133+G133</x:f>
        <x:v>0</x:v>
      </x:c>
      <x:c r="J133" s="131" t="str">
        <x:f>IF(I133=0,"Did not attend",IF(I133&gt;='Read Me'!$E$2/86400,"Fully attended","Partially attended"))</x:f>
        <x:v>Did not attend</x:v>
      </x:c>
      <x:c r="K133" s="131" t="str">
        <x:f>IF($D133="","No",IF(COUNTIF('Attendance Report - Option 1'!$P$11:$P$315,$D133)&gt;0,"Yes","No"))</x:f>
        <x:v>No</x:v>
      </x:c>
      <x:c r="L133" s="131" t="str">
        <x:f>IF($D133="","No",IF(COUNTIF('Attendance Report - Option 2'!$P$11:$P$412,$D133)&gt;0,"Yes","No"))</x:f>
        <x:v>No</x:v>
      </x:c>
    </x:row>
    <x:row r="134">
      <x:c r="A134" s="16" t="str">
        <x:f>'EMA Assurance Employee List'!A134</x:f>
        <x:v>Elisha Kilonzo</x:v>
      </x:c>
      <x:c r="B134" s="16" t="str">
        <x:f>IF(C134="KE","Kenya",IF(C134="UG","Uganda",IF(C134="MU","Mauritius",IF(C134="TZ","Tanzania",IF(C134="RW","Rwanda",IF(C134="ZA","South Africa",IF(C134="ZM","Zambia","")))))))</x:f>
        <x:v>Kenya</x:v>
      </x:c>
      <x:c r="C134" s="16" t="str">
        <x:f>'EMA Assurance Employee List'!B134</x:f>
        <x:v>KE</x:v>
      </x:c>
      <x:c r="D134" s="16" t="str">
        <x:f>'EMA Assurance Employee List'!D134</x:f>
        <x:v>elisha.kilonzo@pwc.com</x:v>
      </x:c>
      <x:c r="E134" s="130" t="n">
        <x:f>IF($D134="",0,SUMIF('Attendance Report - Option 1'!$P$11:$P$315,$D134,'Attendance Report - Option 1'!$Q$11:$Q$315)/86400)</x:f>
        <x:v>0</x:v>
      </x:c>
      <x:c r="F134" s="131" t="str">
        <x:f>IF(E134=0,"Did not attend",IF(E134&gt;='Read Me'!$E$2/86400,"Fully attended","Partially attended"))</x:f>
        <x:v>Did not attend</x:v>
      </x:c>
      <x:c r="G134" s="130" t="n">
        <x:f>IF($D134="",0,SUMIF('Attendance Report - Option 2'!$P$11:$P$412,$D134,'Attendance Report - Option 2'!$Q$11:$Q$412)/86400)</x:f>
        <x:v>0.07645833333333334</x:v>
      </x:c>
      <x:c r="H134" s="131" t="str">
        <x:f>IF(G134=0,"Did not attend",IF(G134&gt;='Read Me'!$E$2/86400,"Fully attended","Partially attended"))</x:f>
        <x:v>Fully attended</x:v>
      </x:c>
      <x:c r="I134" s="130" t="n">
        <x:f>E134+G134</x:f>
        <x:v>0.07645833333333334</x:v>
      </x:c>
      <x:c r="J134" s="131" t="str">
        <x:f>IF(I134=0,"Did not attend",IF(I134&gt;='Read Me'!$E$2/86400,"Fully attended","Partially attended"))</x:f>
        <x:v>Fully attended</x:v>
      </x:c>
      <x:c r="K134" s="131" t="str">
        <x:f>IF($D134="","No",IF(COUNTIF('Attendance Report - Option 1'!$P$11:$P$315,$D134)&gt;0,"Yes","No"))</x:f>
        <x:v>No</x:v>
      </x:c>
      <x:c r="L134" s="131" t="str">
        <x:f>IF($D134="","No",IF(COUNTIF('Attendance Report - Option 2'!$P$11:$P$412,$D134)&gt;0,"Yes","No"))</x:f>
        <x:v>Yes</x:v>
      </x:c>
    </x:row>
    <x:row r="135">
      <x:c r="A135" s="16" t="str">
        <x:f>'EMA Assurance Employee List'!A135</x:f>
        <x:v>Elizabeth Kway</x:v>
      </x:c>
      <x:c r="B135" s="16" t="str">
        <x:f>IF(C135="KE","Kenya",IF(C135="UG","Uganda",IF(C135="MU","Mauritius",IF(C135="TZ","Tanzania",IF(C135="RW","Rwanda",IF(C135="ZA","South Africa",IF(C135="ZM","Zambia","")))))))</x:f>
        <x:v>Tanzania</x:v>
      </x:c>
      <x:c r="C135" s="16" t="str">
        <x:f>'EMA Assurance Employee List'!B135</x:f>
        <x:v>TZ</x:v>
      </x:c>
      <x:c r="D135" s="16" t="str">
        <x:f>'EMA Assurance Employee List'!D135</x:f>
        <x:v>elizabeth.kway@pwc.com</x:v>
      </x:c>
      <x:c r="E135" s="130" t="n">
        <x:f>IF($D135="",0,SUMIF('Attendance Report - Option 1'!$P$11:$P$315,$D135,'Attendance Report - Option 1'!$Q$11:$Q$315)/86400)</x:f>
        <x:v>0</x:v>
      </x:c>
      <x:c r="F135" s="131" t="str">
        <x:f>IF(E135=0,"Did not attend",IF(E135&gt;='Read Me'!$E$2/86400,"Fully attended","Partially attended"))</x:f>
        <x:v>Did not attend</x:v>
      </x:c>
      <x:c r="G135" s="130" t="n">
        <x:f>IF($D135="",0,SUMIF('Attendance Report - Option 2'!$P$11:$P$412,$D135,'Attendance Report - Option 2'!$Q$11:$Q$412)/86400)</x:f>
        <x:v>0.08510416666666666</x:v>
      </x:c>
      <x:c r="H135" s="131" t="str">
        <x:f>IF(G135=0,"Did not attend",IF(G135&gt;='Read Me'!$E$2/86400,"Fully attended","Partially attended"))</x:f>
        <x:v>Fully attended</x:v>
      </x:c>
      <x:c r="I135" s="130" t="n">
        <x:f>E135+G135</x:f>
        <x:v>0.08510416666666666</x:v>
      </x:c>
      <x:c r="J135" s="131" t="str">
        <x:f>IF(I135=0,"Did not attend",IF(I135&gt;='Read Me'!$E$2/86400,"Fully attended","Partially attended"))</x:f>
        <x:v>Fully attended</x:v>
      </x:c>
      <x:c r="K135" s="131" t="str">
        <x:f>IF($D135="","No",IF(COUNTIF('Attendance Report - Option 1'!$P$11:$P$315,$D135)&gt;0,"Yes","No"))</x:f>
        <x:v>No</x:v>
      </x:c>
      <x:c r="L135" s="131" t="str">
        <x:f>IF($D135="","No",IF(COUNTIF('Attendance Report - Option 2'!$P$11:$P$412,$D135)&gt;0,"Yes","No"))</x:f>
        <x:v>Yes</x:v>
      </x:c>
    </x:row>
    <x:row r="136">
      <x:c r="A136" s="16" t="str">
        <x:f>'EMA Assurance Employee List'!A136</x:f>
        <x:v>Elizabeth Waudo</x:v>
      </x:c>
      <x:c r="B136" s="16" t="str">
        <x:f>IF(C136="KE","Kenya",IF(C136="UG","Uganda",IF(C136="MU","Mauritius",IF(C136="TZ","Tanzania",IF(C136="RW","Rwanda",IF(C136="ZA","South Africa",IF(C136="ZM","Zambia","")))))))</x:f>
        <x:v>Kenya</x:v>
      </x:c>
      <x:c r="C136" s="16" t="str">
        <x:f>'EMA Assurance Employee List'!B136</x:f>
        <x:v>KE</x:v>
      </x:c>
      <x:c r="D136" s="16" t="str">
        <x:f>'EMA Assurance Employee List'!D136</x:f>
        <x:v>elizabeth.waudo@pwc.com</x:v>
      </x:c>
      <x:c r="E136" s="130" t="n">
        <x:f>IF($D136="",0,SUMIF('Attendance Report - Option 1'!$P$11:$P$315,$D136,'Attendance Report - Option 1'!$Q$11:$Q$315)/86400)</x:f>
        <x:v>0.07798611111111112</x:v>
      </x:c>
      <x:c r="F136" s="131" t="str">
        <x:f>IF(E136=0,"Did not attend",IF(E136&gt;='Read Me'!$E$2/86400,"Fully attended","Partially attended"))</x:f>
        <x:v>Fully attended</x:v>
      </x:c>
      <x:c r="G136" s="130" t="n">
        <x:f>IF($D136="",0,SUMIF('Attendance Report - Option 2'!$P$11:$P$412,$D136,'Attendance Report - Option 2'!$Q$11:$Q$412)/86400)</x:f>
        <x:v>0</x:v>
      </x:c>
      <x:c r="H136" s="131" t="str">
        <x:f>IF(G136=0,"Did not attend",IF(G136&gt;='Read Me'!$E$2/86400,"Fully attended","Partially attended"))</x:f>
        <x:v>Did not attend</x:v>
      </x:c>
      <x:c r="I136" s="130" t="n">
        <x:f>E136+G136</x:f>
        <x:v>0.07798611111111112</x:v>
      </x:c>
      <x:c r="J136" s="131" t="str">
        <x:f>IF(I136=0,"Did not attend",IF(I136&gt;='Read Me'!$E$2/86400,"Fully attended","Partially attended"))</x:f>
        <x:v>Fully attended</x:v>
      </x:c>
      <x:c r="K136" s="131" t="str">
        <x:f>IF($D136="","No",IF(COUNTIF('Attendance Report - Option 1'!$P$11:$P$315,$D136)&gt;0,"Yes","No"))</x:f>
        <x:v>Yes</x:v>
      </x:c>
      <x:c r="L136" s="131" t="str">
        <x:f>IF($D136="","No",IF(COUNTIF('Attendance Report - Option 2'!$P$11:$P$412,$D136)&gt;0,"Yes","No"))</x:f>
        <x:v>No</x:v>
      </x:c>
    </x:row>
    <x:row r="137">
      <x:c r="A137" s="16" t="str">
        <x:f>'EMA Assurance Employee List'!A137</x:f>
        <x:v>Elsie Ishimwe</x:v>
      </x:c>
      <x:c r="B137" s="16" t="str">
        <x:f>IF(C137="KE","Kenya",IF(C137="UG","Uganda",IF(C137="MU","Mauritius",IF(C137="TZ","Tanzania",IF(C137="RW","Rwanda",IF(C137="ZA","South Africa",IF(C137="ZM","Zambia","")))))))</x:f>
        <x:v>Rwanda</x:v>
      </x:c>
      <x:c r="C137" s="16" t="str">
        <x:f>'EMA Assurance Employee List'!B137</x:f>
        <x:v>RW</x:v>
      </x:c>
      <x:c r="D137" s="16" t="str">
        <x:f>'EMA Assurance Employee List'!D137</x:f>
        <x:v>elsie.ishimwe@pwc.com</x:v>
      </x:c>
      <x:c r="E137" s="130" t="n">
        <x:f>IF($D137="",0,SUMIF('Attendance Report - Option 1'!$P$11:$P$315,$D137,'Attendance Report - Option 1'!$Q$11:$Q$315)/86400)</x:f>
        <x:v>0</x:v>
      </x:c>
      <x:c r="F137" s="131" t="str">
        <x:f>IF(E137=0,"Did not attend",IF(E137&gt;='Read Me'!$E$2/86400,"Fully attended","Partially attended"))</x:f>
        <x:v>Did not attend</x:v>
      </x:c>
      <x:c r="G137" s="130" t="n">
        <x:f>IF($D137="",0,SUMIF('Attendance Report - Option 2'!$P$11:$P$412,$D137,'Attendance Report - Option 2'!$Q$11:$Q$412)/86400)</x:f>
        <x:v>0</x:v>
      </x:c>
      <x:c r="H137" s="131" t="str">
        <x:f>IF(G137=0,"Did not attend",IF(G137&gt;='Read Me'!$E$2/86400,"Fully attended","Partially attended"))</x:f>
        <x:v>Did not attend</x:v>
      </x:c>
      <x:c r="I137" s="130" t="n">
        <x:f>E137+G137</x:f>
        <x:v>0</x:v>
      </x:c>
      <x:c r="J137" s="131" t="str">
        <x:f>IF(I137=0,"Did not attend",IF(I137&gt;='Read Me'!$E$2/86400,"Fully attended","Partially attended"))</x:f>
        <x:v>Did not attend</x:v>
      </x:c>
      <x:c r="K137" s="131" t="str">
        <x:f>IF($D137="","No",IF(COUNTIF('Attendance Report - Option 1'!$P$11:$P$315,$D137)&gt;0,"Yes","No"))</x:f>
        <x:v>No</x:v>
      </x:c>
      <x:c r="L137" s="131" t="str">
        <x:f>IF($D137="","No",IF(COUNTIF('Attendance Report - Option 2'!$P$11:$P$412,$D137)&gt;0,"Yes","No"))</x:f>
        <x:v>No</x:v>
      </x:c>
    </x:row>
    <x:row r="138">
      <x:c r="A138" s="16" t="str">
        <x:f>'EMA Assurance Employee List'!A138</x:f>
        <x:v>Elvan VYTHILINGUM</x:v>
      </x:c>
      <x:c r="B138" s="16" t="str">
        <x:f>IF(C138="KE","Kenya",IF(C138="UG","Uganda",IF(C138="MU","Mauritius",IF(C138="TZ","Tanzania",IF(C138="RW","Rwanda",IF(C138="ZA","South Africa",IF(C138="ZM","Zambia","")))))))</x:f>
        <x:v>Mauritius</x:v>
      </x:c>
      <x:c r="C138" s="16" t="str">
        <x:f>'EMA Assurance Employee List'!B138</x:f>
        <x:v>MU</x:v>
      </x:c>
      <x:c r="D138" s="16" t="str">
        <x:f>'EMA Assurance Employee List'!D138</x:f>
        <x:v>elvan.vythilingum@pwc.com</x:v>
      </x:c>
      <x:c r="E138" s="130" t="n">
        <x:f>IF($D138="",0,SUMIF('Attendance Report - Option 1'!$P$11:$P$315,$D138,'Attendance Report - Option 1'!$Q$11:$Q$315)/86400)</x:f>
        <x:v>0.0865162037037037</x:v>
      </x:c>
      <x:c r="F138" s="131" t="str">
        <x:f>IF(E138=0,"Did not attend",IF(E138&gt;='Read Me'!$E$2/86400,"Fully attended","Partially attended"))</x:f>
        <x:v>Fully attended</x:v>
      </x:c>
      <x:c r="G138" s="130" t="n">
        <x:f>IF($D138="",0,SUMIF('Attendance Report - Option 2'!$P$11:$P$412,$D138,'Attendance Report - Option 2'!$Q$11:$Q$412)/86400)</x:f>
        <x:v>0</x:v>
      </x:c>
      <x:c r="H138" s="131" t="str">
        <x:f>IF(G138=0,"Did not attend",IF(G138&gt;='Read Me'!$E$2/86400,"Fully attended","Partially attended"))</x:f>
        <x:v>Did not attend</x:v>
      </x:c>
      <x:c r="I138" s="130" t="n">
        <x:f>E138+G138</x:f>
        <x:v>0.0865162037037037</x:v>
      </x:c>
      <x:c r="J138" s="131" t="str">
        <x:f>IF(I138=0,"Did not attend",IF(I138&gt;='Read Me'!$E$2/86400,"Fully attended","Partially attended"))</x:f>
        <x:v>Fully attended</x:v>
      </x:c>
      <x:c r="K138" s="131" t="str">
        <x:f>IF($D138="","No",IF(COUNTIF('Attendance Report - Option 1'!$P$11:$P$315,$D138)&gt;0,"Yes","No"))</x:f>
        <x:v>Yes</x:v>
      </x:c>
      <x:c r="L138" s="131" t="str">
        <x:f>IF($D138="","No",IF(COUNTIF('Attendance Report - Option 2'!$P$11:$P$412,$D138)&gt;0,"Yes","No"))</x:f>
        <x:v>No</x:v>
      </x:c>
    </x:row>
    <x:row r="139">
      <x:c r="A139" s="16" t="str">
        <x:f>'EMA Assurance Employee List'!A139</x:f>
        <x:v>Elvis Thusiike</x:v>
      </x:c>
      <x:c r="B139" s="16" t="str">
        <x:f>IF(C139="KE","Kenya",IF(C139="UG","Uganda",IF(C139="MU","Mauritius",IF(C139="TZ","Tanzania",IF(C139="RW","Rwanda",IF(C139="ZA","South Africa",IF(C139="ZM","Zambia","")))))))</x:f>
        <x:v>Uganda</x:v>
      </x:c>
      <x:c r="C139" s="16" t="str">
        <x:f>'EMA Assurance Employee List'!B139</x:f>
        <x:v>UG</x:v>
      </x:c>
      <x:c r="D139" s="16" t="str">
        <x:f>'EMA Assurance Employee List'!D139</x:f>
        <x:v>elvis.thusiike@pwc.com</x:v>
      </x:c>
      <x:c r="E139" s="130" t="n">
        <x:f>IF($D139="",0,SUMIF('Attendance Report - Option 1'!$P$11:$P$315,$D139,'Attendance Report - Option 1'!$Q$11:$Q$315)/86400)</x:f>
        <x:v>0.08157407407407408</x:v>
      </x:c>
      <x:c r="F139" s="131" t="str">
        <x:f>IF(E139=0,"Did not attend",IF(E139&gt;='Read Me'!$E$2/86400,"Fully attended","Partially attended"))</x:f>
        <x:v>Fully attended</x:v>
      </x:c>
      <x:c r="G139" s="130" t="n">
        <x:f>IF($D139="",0,SUMIF('Attendance Report - Option 2'!$P$11:$P$412,$D139,'Attendance Report - Option 2'!$Q$11:$Q$412)/86400)</x:f>
        <x:v>0</x:v>
      </x:c>
      <x:c r="H139" s="131" t="str">
        <x:f>IF(G139=0,"Did not attend",IF(G139&gt;='Read Me'!$E$2/86400,"Fully attended","Partially attended"))</x:f>
        <x:v>Did not attend</x:v>
      </x:c>
      <x:c r="I139" s="130" t="n">
        <x:f>E139+G139</x:f>
        <x:v>0.08157407407407408</x:v>
      </x:c>
      <x:c r="J139" s="131" t="str">
        <x:f>IF(I139=0,"Did not attend",IF(I139&gt;='Read Me'!$E$2/86400,"Fully attended","Partially attended"))</x:f>
        <x:v>Fully attended</x:v>
      </x:c>
      <x:c r="K139" s="131" t="str">
        <x:f>IF($D139="","No",IF(COUNTIF('Attendance Report - Option 1'!$P$11:$P$315,$D139)&gt;0,"Yes","No"))</x:f>
        <x:v>Yes</x:v>
      </x:c>
      <x:c r="L139" s="131" t="str">
        <x:f>IF($D139="","No",IF(COUNTIF('Attendance Report - Option 2'!$P$11:$P$412,$D139)&gt;0,"Yes","No"))</x:f>
        <x:v>No</x:v>
      </x:c>
    </x:row>
    <x:row r="140">
      <x:c r="A140" s="16" t="str">
        <x:f>'EMA Assurance Employee List'!A141</x:f>
        <x:v>Emily Cheong Nam Kwong</x:v>
      </x:c>
      <x:c r="B140" s="16" t="str">
        <x:f>IF(C140="KE","Kenya",IF(C140="UG","Uganda",IF(C140="MU","Mauritius",IF(C140="TZ","Tanzania",IF(C140="RW","Rwanda",IF(C140="ZA","South Africa",IF(C140="ZM","Zambia","")))))))</x:f>
        <x:v>Mauritius</x:v>
      </x:c>
      <x:c r="C140" s="16" t="str">
        <x:f>'EMA Assurance Employee List'!B141</x:f>
        <x:v>MU</x:v>
      </x:c>
      <x:c r="D140" s="16" t="str">
        <x:f>'EMA Assurance Employee List'!D141</x:f>
        <x:v>emily.cheong.nam.kwong@pwc.com</x:v>
      </x:c>
      <x:c r="E140" s="130" t="n">
        <x:f>IF($D140="",0,SUMIF('Attendance Report - Option 1'!$P$11:$P$315,$D140,'Attendance Report - Option 1'!$Q$11:$Q$315)/86400)</x:f>
        <x:v>0</x:v>
      </x:c>
      <x:c r="F140" s="131" t="str">
        <x:f>IF(E140=0,"Did not attend",IF(E140&gt;='Read Me'!$E$2/86400,"Fully attended","Partially attended"))</x:f>
        <x:v>Did not attend</x:v>
      </x:c>
      <x:c r="G140" s="130" t="n">
        <x:f>IF($D140="",0,SUMIF('Attendance Report - Option 2'!$P$11:$P$412,$D140,'Attendance Report - Option 2'!$Q$11:$Q$412)/86400)</x:f>
        <x:v>0.08233796296296296</x:v>
      </x:c>
      <x:c r="H140" s="131" t="str">
        <x:f>IF(G140=0,"Did not attend",IF(G140&gt;='Read Me'!$E$2/86400,"Fully attended","Partially attended"))</x:f>
        <x:v>Fully attended</x:v>
      </x:c>
      <x:c r="I140" s="130" t="n">
        <x:f>E140+G140</x:f>
        <x:v>0.08233796296296296</x:v>
      </x:c>
      <x:c r="J140" s="131" t="str">
        <x:f>IF(I140=0,"Did not attend",IF(I140&gt;='Read Me'!$E$2/86400,"Fully attended","Partially attended"))</x:f>
        <x:v>Fully attended</x:v>
      </x:c>
      <x:c r="K140" s="131" t="str">
        <x:f>IF($D140="","No",IF(COUNTIF('Attendance Report - Option 1'!$P$11:$P$315,$D140)&gt;0,"Yes","No"))</x:f>
        <x:v>No</x:v>
      </x:c>
      <x:c r="L140" s="131" t="str">
        <x:f>IF($D140="","No",IF(COUNTIF('Attendance Report - Option 2'!$P$11:$P$412,$D140)&gt;0,"Yes","No"))</x:f>
        <x:v>Yes</x:v>
      </x:c>
    </x:row>
    <x:row r="141">
      <x:c r="A141" s="16" t="str">
        <x:f>'EMA Assurance Employee List'!A142</x:f>
        <x:v>Emily Lan Hing Po</x:v>
      </x:c>
      <x:c r="B141" s="16" t="str">
        <x:f>IF(C141="KE","Kenya",IF(C141="UG","Uganda",IF(C141="MU","Mauritius",IF(C141="TZ","Tanzania",IF(C141="RW","Rwanda",IF(C141="ZA","South Africa",IF(C141="ZM","Zambia","")))))))</x:f>
        <x:v>Mauritius</x:v>
      </x:c>
      <x:c r="C141" s="16" t="str">
        <x:f>'EMA Assurance Employee List'!B142</x:f>
        <x:v>MU</x:v>
      </x:c>
      <x:c r="D141" s="16" t="str">
        <x:f>'EMA Assurance Employee List'!D142</x:f>
        <x:v>emily.lan.hing.po@pwc.com</x:v>
      </x:c>
      <x:c r="E141" s="130" t="n">
        <x:f>IF($D141="",0,SUMIF('Attendance Report - Option 1'!$P$11:$P$315,$D141,'Attendance Report - Option 1'!$Q$11:$Q$315)/86400)</x:f>
        <x:v>0</x:v>
      </x:c>
      <x:c r="F141" s="131" t="str">
        <x:f>IF(E141=0,"Did not attend",IF(E141&gt;='Read Me'!$E$2/86400,"Fully attended","Partially attended"))</x:f>
        <x:v>Did not attend</x:v>
      </x:c>
      <x:c r="G141" s="130" t="n">
        <x:f>IF($D141="",0,SUMIF('Attendance Report - Option 2'!$P$11:$P$412,$D141,'Attendance Report - Option 2'!$Q$11:$Q$412)/86400)</x:f>
        <x:v>0.08811342592592593</x:v>
      </x:c>
      <x:c r="H141" s="131" t="str">
        <x:f>IF(G141=0,"Did not attend",IF(G141&gt;='Read Me'!$E$2/86400,"Fully attended","Partially attended"))</x:f>
        <x:v>Fully attended</x:v>
      </x:c>
      <x:c r="I141" s="130" t="n">
        <x:f>E141+G141</x:f>
        <x:v>0.08811342592592593</x:v>
      </x:c>
      <x:c r="J141" s="131" t="str">
        <x:f>IF(I141=0,"Did not attend",IF(I141&gt;='Read Me'!$E$2/86400,"Fully attended","Partially attended"))</x:f>
        <x:v>Fully attended</x:v>
      </x:c>
      <x:c r="K141" s="131" t="str">
        <x:f>IF($D141="","No",IF(COUNTIF('Attendance Report - Option 1'!$P$11:$P$315,$D141)&gt;0,"Yes","No"))</x:f>
        <x:v>No</x:v>
      </x:c>
      <x:c r="L141" s="131" t="str">
        <x:f>IF($D141="","No",IF(COUNTIF('Attendance Report - Option 2'!$P$11:$P$412,$D141)&gt;0,"Yes","No"))</x:f>
        <x:v>Yes</x:v>
      </x:c>
    </x:row>
    <x:row r="142">
      <x:c r="A142" s="16" t="str">
        <x:f>'EMA Assurance Employee List'!A143</x:f>
        <x:v>Emmanuel Kamizhi</x:v>
      </x:c>
      <x:c r="B142" s="16" t="str">
        <x:f>IF(C142="KE","Kenya",IF(C142="UG","Uganda",IF(C142="MU","Mauritius",IF(C142="TZ","Tanzania",IF(C142="RW","Rwanda",IF(C142="ZA","South Africa",IF(C142="ZM","Zambia","")))))))</x:f>
        <x:v>Zambia</x:v>
      </x:c>
      <x:c r="C142" s="16" t="str">
        <x:f>'EMA Assurance Employee List'!B143</x:f>
        <x:v>ZM</x:v>
      </x:c>
      <x:c r="D142" s="16" t="str">
        <x:f>'EMA Assurance Employee List'!D143</x:f>
        <x:v>emmanuel.kamizhi@pwc.com</x:v>
      </x:c>
      <x:c r="E142" s="130" t="n">
        <x:f>IF($D142="",0,SUMIF('Attendance Report - Option 1'!$P$11:$P$315,$D142,'Attendance Report - Option 1'!$Q$11:$Q$315)/86400)</x:f>
        <x:v>0.0899537037037037</x:v>
      </x:c>
      <x:c r="F142" s="131" t="str">
        <x:f>IF(E142=0,"Did not attend",IF(E142&gt;='Read Me'!$E$2/86400,"Fully attended","Partially attended"))</x:f>
        <x:v>Fully attended</x:v>
      </x:c>
      <x:c r="G142" s="130" t="n">
        <x:f>IF($D142="",0,SUMIF('Attendance Report - Option 2'!$P$11:$P$412,$D142,'Attendance Report - Option 2'!$Q$11:$Q$412)/86400)</x:f>
        <x:v>0</x:v>
      </x:c>
      <x:c r="H142" s="131" t="str">
        <x:f>IF(G142=0,"Did not attend",IF(G142&gt;='Read Me'!$E$2/86400,"Fully attended","Partially attended"))</x:f>
        <x:v>Did not attend</x:v>
      </x:c>
      <x:c r="I142" s="130" t="n">
        <x:f>E142+G142</x:f>
        <x:v>0.0899537037037037</x:v>
      </x:c>
      <x:c r="J142" s="131" t="str">
        <x:f>IF(I142=0,"Did not attend",IF(I142&gt;='Read Me'!$E$2/86400,"Fully attended","Partially attended"))</x:f>
        <x:v>Fully attended</x:v>
      </x:c>
      <x:c r="K142" s="131" t="str">
        <x:f>IF($D142="","No",IF(COUNTIF('Attendance Report - Option 1'!$P$11:$P$315,$D142)&gt;0,"Yes","No"))</x:f>
        <x:v>Yes</x:v>
      </x:c>
      <x:c r="L142" s="131" t="str">
        <x:f>IF($D142="","No",IF(COUNTIF('Attendance Report - Option 2'!$P$11:$P$412,$D142)&gt;0,"Yes","No"))</x:f>
        <x:v>No</x:v>
      </x:c>
    </x:row>
    <x:row r="143">
      <x:c r="A143" s="16" t="str">
        <x:f>'EMA Assurance Employee List'!A144</x:f>
        <x:v>Emmanuel Ngemi</x:v>
      </x:c>
      <x:c r="B143" s="16" t="str">
        <x:f>IF(C143="KE","Kenya",IF(C143="UG","Uganda",IF(C143="MU","Mauritius",IF(C143="TZ","Tanzania",IF(C143="RW","Rwanda",IF(C143="ZA","South Africa",IF(C143="ZM","Zambia","")))))))</x:f>
        <x:v>Kenya</x:v>
      </x:c>
      <x:c r="C143" s="16" t="str">
        <x:f>'EMA Assurance Employee List'!B144</x:f>
        <x:v>KE</x:v>
      </x:c>
      <x:c r="D143" s="16" t="str">
        <x:f>'EMA Assurance Employee List'!D144</x:f>
        <x:v>emmanuel.ngemi@pwc.com</x:v>
      </x:c>
      <x:c r="E143" s="130" t="n">
        <x:f>IF($D143="",0,SUMIF('Attendance Report - Option 1'!$P$11:$P$315,$D143,'Attendance Report - Option 1'!$Q$11:$Q$315)/86400)</x:f>
        <x:v>0.0752199074074074</x:v>
      </x:c>
      <x:c r="F143" s="131" t="str">
        <x:f>IF(E143=0,"Did not attend",IF(E143&gt;='Read Me'!$E$2/86400,"Fully attended","Partially attended"))</x:f>
        <x:v>Fully attended</x:v>
      </x:c>
      <x:c r="G143" s="130" t="n">
        <x:f>IF($D143="",0,SUMIF('Attendance Report - Option 2'!$P$11:$P$412,$D143,'Attendance Report - Option 2'!$Q$11:$Q$412)/86400)</x:f>
        <x:v>0</x:v>
      </x:c>
      <x:c r="H143" s="131" t="str">
        <x:f>IF(G143=0,"Did not attend",IF(G143&gt;='Read Me'!$E$2/86400,"Fully attended","Partially attended"))</x:f>
        <x:v>Did not attend</x:v>
      </x:c>
      <x:c r="I143" s="130" t="n">
        <x:f>E143+G143</x:f>
        <x:v>0.0752199074074074</x:v>
      </x:c>
      <x:c r="J143" s="131" t="str">
        <x:f>IF(I143=0,"Did not attend",IF(I143&gt;='Read Me'!$E$2/86400,"Fully attended","Partially attended"))</x:f>
        <x:v>Fully attended</x:v>
      </x:c>
      <x:c r="K143" s="131" t="str">
        <x:f>IF($D143="","No",IF(COUNTIF('Attendance Report - Option 1'!$P$11:$P$315,$D143)&gt;0,"Yes","No"))</x:f>
        <x:v>Yes</x:v>
      </x:c>
      <x:c r="L143" s="131" t="str">
        <x:f>IF($D143="","No",IF(COUNTIF('Attendance Report - Option 2'!$P$11:$P$412,$D143)&gt;0,"Yes","No"))</x:f>
        <x:v>No</x:v>
      </x:c>
    </x:row>
    <x:row r="144">
      <x:c r="A144" s="16" t="str">
        <x:f>'EMA Assurance Employee List'!A145</x:f>
        <x:v>Erick Gikaria</x:v>
      </x:c>
      <x:c r="B144" s="16" t="str">
        <x:f>IF(C144="KE","Kenya",IF(C144="UG","Uganda",IF(C144="MU","Mauritius",IF(C144="TZ","Tanzania",IF(C144="RW","Rwanda",IF(C144="ZA","South Africa",IF(C144="ZM","Zambia","")))))))</x:f>
        <x:v>Zambia</x:v>
      </x:c>
      <x:c r="C144" s="16" t="str">
        <x:f>'EMA Assurance Employee List'!B145</x:f>
        <x:v>ZM</x:v>
      </x:c>
      <x:c r="D144" s="16" t="str">
        <x:f>'EMA Assurance Employee List'!D145</x:f>
        <x:v>erick.g.gikaria@pwc.com</x:v>
      </x:c>
      <x:c r="E144" s="130" t="n">
        <x:f>IF($D144="",0,SUMIF('Attendance Report - Option 1'!$P$11:$P$315,$D144,'Attendance Report - Option 1'!$Q$11:$Q$315)/86400)</x:f>
        <x:v>0.059097222222222225</x:v>
      </x:c>
      <x:c r="F144" s="131" t="str">
        <x:f>IF(E144=0,"Did not attend",IF(E144&gt;='Read Me'!$E$2/86400,"Fully attended","Partially attended"))</x:f>
        <x:v>Partially attended</x:v>
      </x:c>
      <x:c r="G144" s="130" t="n">
        <x:f>IF($D144="",0,SUMIF('Attendance Report - Option 2'!$P$11:$P$412,$D144,'Attendance Report - Option 2'!$Q$11:$Q$412)/86400)</x:f>
        <x:v>0</x:v>
      </x:c>
      <x:c r="H144" s="131" t="str">
        <x:f>IF(G144=0,"Did not attend",IF(G144&gt;='Read Me'!$E$2/86400,"Fully attended","Partially attended"))</x:f>
        <x:v>Did not attend</x:v>
      </x:c>
      <x:c r="I144" s="130" t="n">
        <x:f>E144+G144</x:f>
        <x:v>0.059097222222222225</x:v>
      </x:c>
      <x:c r="J144" s="131" t="str">
        <x:f>IF(I144=0,"Did not attend",IF(I144&gt;='Read Me'!$E$2/86400,"Fully attended","Partially attended"))</x:f>
        <x:v>Partially attended</x:v>
      </x:c>
      <x:c r="K144" s="131" t="str">
        <x:f>IF($D144="","No",IF(COUNTIF('Attendance Report - Option 1'!$P$11:$P$315,$D144)&gt;0,"Yes","No"))</x:f>
        <x:v>Yes</x:v>
      </x:c>
      <x:c r="L144" s="131" t="str">
        <x:f>IF($D144="","No",IF(COUNTIF('Attendance Report - Option 2'!$P$11:$P$412,$D144)&gt;0,"Yes","No"))</x:f>
        <x:v>No</x:v>
      </x:c>
    </x:row>
    <x:row r="145">
      <x:c r="A145" s="16" t="str">
        <x:f>'EMA Assurance Employee List'!A146</x:f>
        <x:v>Erick Mona</x:v>
      </x:c>
      <x:c r="B145" s="16" t="str">
        <x:f>IF(C145="KE","Kenya",IF(C145="UG","Uganda",IF(C145="MU","Mauritius",IF(C145="TZ","Tanzania",IF(C145="RW","Rwanda",IF(C145="ZA","South Africa",IF(C145="ZM","Zambia","")))))))</x:f>
        <x:v>Tanzania</x:v>
      </x:c>
      <x:c r="C145" s="16" t="str">
        <x:f>'EMA Assurance Employee List'!B146</x:f>
        <x:v>TZ</x:v>
      </x:c>
      <x:c r="D145" s="16" t="str">
        <x:f>'EMA Assurance Employee List'!D146</x:f>
        <x:v>erick.mona@pwc.com</x:v>
      </x:c>
      <x:c r="E145" s="130" t="n">
        <x:f>IF($D145="",0,SUMIF('Attendance Report - Option 1'!$P$11:$P$315,$D145,'Attendance Report - Option 1'!$Q$11:$Q$315)/86400)</x:f>
        <x:v>0.07413194444444444</x:v>
      </x:c>
      <x:c r="F145" s="131" t="str">
        <x:f>IF(E145=0,"Did not attend",IF(E145&gt;='Read Me'!$E$2/86400,"Fully attended","Partially attended"))</x:f>
        <x:v>Fully attended</x:v>
      </x:c>
      <x:c r="G145" s="130" t="n">
        <x:f>IF($D145="",0,SUMIF('Attendance Report - Option 2'!$P$11:$P$412,$D145,'Attendance Report - Option 2'!$Q$11:$Q$412)/86400)</x:f>
        <x:v>0</x:v>
      </x:c>
      <x:c r="H145" s="131" t="str">
        <x:f>IF(G145=0,"Did not attend",IF(G145&gt;='Read Me'!$E$2/86400,"Fully attended","Partially attended"))</x:f>
        <x:v>Did not attend</x:v>
      </x:c>
      <x:c r="I145" s="130" t="n">
        <x:f>E145+G145</x:f>
        <x:v>0.07413194444444444</x:v>
      </x:c>
      <x:c r="J145" s="131" t="str">
        <x:f>IF(I145=0,"Did not attend",IF(I145&gt;='Read Me'!$E$2/86400,"Fully attended","Partially attended"))</x:f>
        <x:v>Fully attended</x:v>
      </x:c>
      <x:c r="K145" s="131" t="str">
        <x:f>IF($D145="","No",IF(COUNTIF('Attendance Report - Option 1'!$P$11:$P$315,$D145)&gt;0,"Yes","No"))</x:f>
        <x:v>Yes</x:v>
      </x:c>
      <x:c r="L145" s="131" t="str">
        <x:f>IF($D145="","No",IF(COUNTIF('Attendance Report - Option 2'!$P$11:$P$412,$D145)&gt;0,"Yes","No"))</x:f>
        <x:v>No</x:v>
      </x:c>
    </x:row>
    <x:row r="146">
      <x:c r="A146" s="16" t="str">
        <x:f>'EMA Assurance Employee List'!A147</x:f>
        <x:v>Eseri Anita Khabuya</x:v>
      </x:c>
      <x:c r="B146" s="16" t="str">
        <x:f>IF(C146="KE","Kenya",IF(C146="UG","Uganda",IF(C146="MU","Mauritius",IF(C146="TZ","Tanzania",IF(C146="RW","Rwanda",IF(C146="ZA","South Africa",IF(C146="ZM","Zambia","")))))))</x:f>
        <x:v>Uganda</x:v>
      </x:c>
      <x:c r="C146" s="16" t="str">
        <x:f>'EMA Assurance Employee List'!B147</x:f>
        <x:v>UG</x:v>
      </x:c>
      <x:c r="D146" s="16" t="str">
        <x:f>'EMA Assurance Employee List'!D147</x:f>
        <x:v>eseri.khabuya@pwc.com</x:v>
      </x:c>
      <x:c r="E146" s="130" t="n">
        <x:f>IF($D146="",0,SUMIF('Attendance Report - Option 1'!$P$11:$P$315,$D146,'Attendance Report - Option 1'!$Q$11:$Q$315)/86400)</x:f>
        <x:v>0.0006944444444444445</x:v>
      </x:c>
      <x:c r="F146" s="131" t="str">
        <x:f>IF(E146=0,"Did not attend",IF(E146&gt;='Read Me'!$E$2/86400,"Fully attended","Partially attended"))</x:f>
        <x:v>Partially attended</x:v>
      </x:c>
      <x:c r="G146" s="130" t="n">
        <x:f>IF($D146="",0,SUMIF('Attendance Report - Option 2'!$P$11:$P$412,$D146,'Attendance Report - Option 2'!$Q$11:$Q$412)/86400)</x:f>
        <x:v>0.09385416666666667</x:v>
      </x:c>
      <x:c r="H146" s="131" t="str">
        <x:f>IF(G146=0,"Did not attend",IF(G146&gt;='Read Me'!$E$2/86400,"Fully attended","Partially attended"))</x:f>
        <x:v>Fully attended</x:v>
      </x:c>
      <x:c r="I146" s="130" t="n">
        <x:f>E146+G146</x:f>
        <x:v>0.09454861111111111</x:v>
      </x:c>
      <x:c r="J146" s="131" t="str">
        <x:f>IF(I146=0,"Did not attend",IF(I146&gt;='Read Me'!$E$2/86400,"Fully attended","Partially attended"))</x:f>
        <x:v>Fully attended</x:v>
      </x:c>
      <x:c r="K146" s="131" t="str">
        <x:f>IF($D146="","No",IF(COUNTIF('Attendance Report - Option 1'!$P$11:$P$315,$D146)&gt;0,"Yes","No"))</x:f>
        <x:v>Yes</x:v>
      </x:c>
      <x:c r="L146" s="131" t="str">
        <x:f>IF($D146="","No",IF(COUNTIF('Attendance Report - Option 2'!$P$11:$P$412,$D146)&gt;0,"Yes","No"))</x:f>
        <x:v>Yes</x:v>
      </x:c>
    </x:row>
    <x:row r="147">
      <x:c r="A147" s="16" t="str">
        <x:f>'EMA Assurance Employee List'!A148</x:f>
        <x:v>Esha Ramsamy</x:v>
      </x:c>
      <x:c r="B147" s="16" t="str">
        <x:f>IF(C147="KE","Kenya",IF(C147="UG","Uganda",IF(C147="MU","Mauritius",IF(C147="TZ","Tanzania",IF(C147="RW","Rwanda",IF(C147="ZA","South Africa",IF(C147="ZM","Zambia","")))))))</x:f>
        <x:v>Mauritius</x:v>
      </x:c>
      <x:c r="C147" s="16" t="str">
        <x:f>'EMA Assurance Employee List'!B148</x:f>
        <x:v>MU</x:v>
      </x:c>
      <x:c r="D147" s="16" t="str">
        <x:f>'EMA Assurance Employee List'!D148</x:f>
        <x:v>esha.ramsamy@pwc.com</x:v>
      </x:c>
      <x:c r="E147" s="130" t="n">
        <x:f>IF($D147="",0,SUMIF('Attendance Report - Option 1'!$P$11:$P$315,$D147,'Attendance Report - Option 1'!$Q$11:$Q$315)/86400)</x:f>
        <x:v>0</x:v>
      </x:c>
      <x:c r="F147" s="131" t="str">
        <x:f>IF(E147=0,"Did not attend",IF(E147&gt;='Read Me'!$E$2/86400,"Fully attended","Partially attended"))</x:f>
        <x:v>Did not attend</x:v>
      </x:c>
      <x:c r="G147" s="130" t="n">
        <x:f>IF($D147="",0,SUMIF('Attendance Report - Option 2'!$P$11:$P$412,$D147,'Attendance Report - Option 2'!$Q$11:$Q$412)/86400)</x:f>
        <x:v>0.085625</x:v>
      </x:c>
      <x:c r="H147" s="131" t="str">
        <x:f>IF(G147=0,"Did not attend",IF(G147&gt;='Read Me'!$E$2/86400,"Fully attended","Partially attended"))</x:f>
        <x:v>Fully attended</x:v>
      </x:c>
      <x:c r="I147" s="130" t="n">
        <x:f>E147+G147</x:f>
        <x:v>0.085625</x:v>
      </x:c>
      <x:c r="J147" s="131" t="str">
        <x:f>IF(I147=0,"Did not attend",IF(I147&gt;='Read Me'!$E$2/86400,"Fully attended","Partially attended"))</x:f>
        <x:v>Fully attended</x:v>
      </x:c>
      <x:c r="K147" s="131" t="str">
        <x:f>IF($D147="","No",IF(COUNTIF('Attendance Report - Option 1'!$P$11:$P$315,$D147)&gt;0,"Yes","No"))</x:f>
        <x:v>No</x:v>
      </x:c>
      <x:c r="L147" s="131" t="str">
        <x:f>IF($D147="","No",IF(COUNTIF('Attendance Report - Option 2'!$P$11:$P$412,$D147)&gt;0,"Yes","No"))</x:f>
        <x:v>Yes</x:v>
      </x:c>
    </x:row>
    <x:row r="148">
      <x:c r="A148" s="16" t="str">
        <x:f>'EMA Assurance Employee List'!A149</x:f>
        <x:v>Esmeralda Kavishe</x:v>
      </x:c>
      <x:c r="B148" s="16" t="str">
        <x:f>IF(C148="KE","Kenya",IF(C148="UG","Uganda",IF(C148="MU","Mauritius",IF(C148="TZ","Tanzania",IF(C148="RW","Rwanda",IF(C148="ZA","South Africa",IF(C148="ZM","Zambia","")))))))</x:f>
        <x:v>Tanzania</x:v>
      </x:c>
      <x:c r="C148" s="16" t="str">
        <x:f>'EMA Assurance Employee List'!B149</x:f>
        <x:v>TZ</x:v>
      </x:c>
      <x:c r="D148" s="16" t="str">
        <x:f>'EMA Assurance Employee List'!D149</x:f>
        <x:v>esmeralda.kavishe@pwc.com</x:v>
      </x:c>
      <x:c r="E148" s="130" t="n">
        <x:f>IF($D148="",0,SUMIF('Attendance Report - Option 1'!$P$11:$P$315,$D148,'Attendance Report - Option 1'!$Q$11:$Q$315)/86400)</x:f>
        <x:v>0.0868287037037037</x:v>
      </x:c>
      <x:c r="F148" s="131" t="str">
        <x:f>IF(E148=0,"Did not attend",IF(E148&gt;='Read Me'!$E$2/86400,"Fully attended","Partially attended"))</x:f>
        <x:v>Fully attended</x:v>
      </x:c>
      <x:c r="G148" s="130" t="n">
        <x:f>IF($D148="",0,SUMIF('Attendance Report - Option 2'!$P$11:$P$412,$D148,'Attendance Report - Option 2'!$Q$11:$Q$412)/86400)</x:f>
        <x:v>0.04111111111111111</x:v>
      </x:c>
      <x:c r="H148" s="131" t="str">
        <x:f>IF(G148=0,"Did not attend",IF(G148&gt;='Read Me'!$E$2/86400,"Fully attended","Partially attended"))</x:f>
        <x:v>Partially attended</x:v>
      </x:c>
      <x:c r="I148" s="130" t="n">
        <x:f>E148+G148</x:f>
        <x:v>0.1279398148148148</x:v>
      </x:c>
      <x:c r="J148" s="131" t="str">
        <x:f>IF(I148=0,"Did not attend",IF(I148&gt;='Read Me'!$E$2/86400,"Fully attended","Partially attended"))</x:f>
        <x:v>Fully attended</x:v>
      </x:c>
      <x:c r="K148" s="131" t="str">
        <x:f>IF($D148="","No",IF(COUNTIF('Attendance Report - Option 1'!$P$11:$P$315,$D148)&gt;0,"Yes","No"))</x:f>
        <x:v>Yes</x:v>
      </x:c>
      <x:c r="L148" s="131" t="str">
        <x:f>IF($D148="","No",IF(COUNTIF('Attendance Report - Option 2'!$P$11:$P$412,$D148)&gt;0,"Yes","No"))</x:f>
        <x:v>Yes</x:v>
      </x:c>
    </x:row>
    <x:row r="149">
      <x:c r="A149" s="16" t="str">
        <x:f>'EMA Assurance Employee List'!A150</x:f>
        <x:v>Esther Kimeu</x:v>
      </x:c>
      <x:c r="B149" s="16" t="str">
        <x:f>IF(C149="KE","Kenya",IF(C149="UG","Uganda",IF(C149="MU","Mauritius",IF(C149="TZ","Tanzania",IF(C149="RW","Rwanda",IF(C149="ZA","South Africa",IF(C149="ZM","Zambia","")))))))</x:f>
        <x:v>Kenya</x:v>
      </x:c>
      <x:c r="C149" s="16" t="str">
        <x:f>'EMA Assurance Employee List'!B150</x:f>
        <x:v>KE</x:v>
      </x:c>
      <x:c r="D149" s="16" t="str">
        <x:f>'EMA Assurance Employee List'!D150</x:f>
        <x:v>esther.kimeu@pwc.com</x:v>
      </x:c>
      <x:c r="E149" s="130" t="n">
        <x:f>IF($D149="",0,SUMIF('Attendance Report - Option 1'!$P$11:$P$315,$D149,'Attendance Report - Option 1'!$Q$11:$Q$315)/86400)</x:f>
        <x:v>0</x:v>
      </x:c>
      <x:c r="F149" s="131" t="str">
        <x:f>IF(E149=0,"Did not attend",IF(E149&gt;='Read Me'!$E$2/86400,"Fully attended","Partially attended"))</x:f>
        <x:v>Did not attend</x:v>
      </x:c>
      <x:c r="G149" s="130" t="n">
        <x:f>IF($D149="",0,SUMIF('Attendance Report - Option 2'!$P$11:$P$412,$D149,'Attendance Report - Option 2'!$Q$11:$Q$412)/86400)</x:f>
        <x:v>0</x:v>
      </x:c>
      <x:c r="H149" s="131" t="str">
        <x:f>IF(G149=0,"Did not attend",IF(G149&gt;='Read Me'!$E$2/86400,"Fully attended","Partially attended"))</x:f>
        <x:v>Did not attend</x:v>
      </x:c>
      <x:c r="I149" s="130" t="n">
        <x:f>E149+G149</x:f>
        <x:v>0</x:v>
      </x:c>
      <x:c r="J149" s="131" t="str">
        <x:f>IF(I149=0,"Did not attend",IF(I149&gt;='Read Me'!$E$2/86400,"Fully attended","Partially attended"))</x:f>
        <x:v>Did not attend</x:v>
      </x:c>
      <x:c r="K149" s="131" t="str">
        <x:f>IF($D149="","No",IF(COUNTIF('Attendance Report - Option 1'!$P$11:$P$315,$D149)&gt;0,"Yes","No"))</x:f>
        <x:v>No</x:v>
      </x:c>
      <x:c r="L149" s="131" t="str">
        <x:f>IF($D149="","No",IF(COUNTIF('Attendance Report - Option 2'!$P$11:$P$412,$D149)&gt;0,"Yes","No"))</x:f>
        <x:v>No</x:v>
      </x:c>
    </x:row>
    <x:row r="150">
      <x:c r="A150" s="16" t="str">
        <x:f>'EMA Assurance Employee List'!A151</x:f>
        <x:v>Esther Swai</x:v>
      </x:c>
      <x:c r="B150" s="16" t="str">
        <x:f>IF(C150="KE","Kenya",IF(C150="UG","Uganda",IF(C150="MU","Mauritius",IF(C150="TZ","Tanzania",IF(C150="RW","Rwanda",IF(C150="ZA","South Africa",IF(C150="ZM","Zambia","")))))))</x:f>
        <x:v>Tanzania</x:v>
      </x:c>
      <x:c r="C150" s="16" t="str">
        <x:f>'EMA Assurance Employee List'!B151</x:f>
        <x:v>TZ</x:v>
      </x:c>
      <x:c r="D150" s="16" t="str">
        <x:f>'EMA Assurance Employee List'!D151</x:f>
        <x:v>esther.swai@pwc.com</x:v>
      </x:c>
      <x:c r="E150" s="130" t="n">
        <x:f>IF($D150="",0,SUMIF('Attendance Report - Option 1'!$P$11:$P$315,$D150,'Attendance Report - Option 1'!$Q$11:$Q$315)/86400)</x:f>
        <x:v>0</x:v>
      </x:c>
      <x:c r="F150" s="131" t="str">
        <x:f>IF(E150=0,"Did not attend",IF(E150&gt;='Read Me'!$E$2/86400,"Fully attended","Partially attended"))</x:f>
        <x:v>Did not attend</x:v>
      </x:c>
      <x:c r="G150" s="130" t="n">
        <x:f>IF($D150="",0,SUMIF('Attendance Report - Option 2'!$P$11:$P$412,$D150,'Attendance Report - Option 2'!$Q$11:$Q$412)/86400)</x:f>
        <x:v>0.08797453703703703</x:v>
      </x:c>
      <x:c r="H150" s="131" t="str">
        <x:f>IF(G150=0,"Did not attend",IF(G150&gt;='Read Me'!$E$2/86400,"Fully attended","Partially attended"))</x:f>
        <x:v>Fully attended</x:v>
      </x:c>
      <x:c r="I150" s="130" t="n">
        <x:f>E150+G150</x:f>
        <x:v>0.08797453703703703</x:v>
      </x:c>
      <x:c r="J150" s="131" t="str">
        <x:f>IF(I150=0,"Did not attend",IF(I150&gt;='Read Me'!$E$2/86400,"Fully attended","Partially attended"))</x:f>
        <x:v>Fully attended</x:v>
      </x:c>
      <x:c r="K150" s="131" t="str">
        <x:f>IF($D150="","No",IF(COUNTIF('Attendance Report - Option 1'!$P$11:$P$315,$D150)&gt;0,"Yes","No"))</x:f>
        <x:v>No</x:v>
      </x:c>
      <x:c r="L150" s="131" t="str">
        <x:f>IF($D150="","No",IF(COUNTIF('Attendance Report - Option 2'!$P$11:$P$412,$D150)&gt;0,"Yes","No"))</x:f>
        <x:v>Yes</x:v>
      </x:c>
    </x:row>
    <x:row r="151">
      <x:c r="A151" s="16" t="str">
        <x:f>'EMA Assurance Employee List'!A152</x:f>
        <x:v>Esther Wilson</x:v>
      </x:c>
      <x:c r="B151" s="16" t="str">
        <x:f>IF(C151="KE","Kenya",IF(C151="UG","Uganda",IF(C151="MU","Mauritius",IF(C151="TZ","Tanzania",IF(C151="RW","Rwanda",IF(C151="ZA","South Africa",IF(C151="ZM","Zambia","")))))))</x:f>
        <x:v>Kenya</x:v>
      </x:c>
      <x:c r="C151" s="16" t="str">
        <x:f>'EMA Assurance Employee List'!B152</x:f>
        <x:v>KE</x:v>
      </x:c>
      <x:c r="D151" s="16" t="str">
        <x:f>'EMA Assurance Employee List'!D152</x:f>
        <x:v>esther.wilson@pwc.com</x:v>
      </x:c>
      <x:c r="E151" s="130" t="n">
        <x:f>IF($D151="",0,SUMIF('Attendance Report - Option 1'!$P$11:$P$315,$D151,'Attendance Report - Option 1'!$Q$11:$Q$315)/86400)</x:f>
        <x:v>0</x:v>
      </x:c>
      <x:c r="F151" s="131" t="str">
        <x:f>IF(E151=0,"Did not attend",IF(E151&gt;='Read Me'!$E$2/86400,"Fully attended","Partially attended"))</x:f>
        <x:v>Did not attend</x:v>
      </x:c>
      <x:c r="G151" s="130" t="n">
        <x:f>IF($D151="",0,SUMIF('Attendance Report - Option 2'!$P$11:$P$412,$D151,'Attendance Report - Option 2'!$Q$11:$Q$412)/86400)</x:f>
        <x:v>0.07288194444444444</x:v>
      </x:c>
      <x:c r="H151" s="131" t="str">
        <x:f>IF(G151=0,"Did not attend",IF(G151&gt;='Read Me'!$E$2/86400,"Fully attended","Partially attended"))</x:f>
        <x:v>Fully attended</x:v>
      </x:c>
      <x:c r="I151" s="130" t="n">
        <x:f>E151+G151</x:f>
        <x:v>0.07288194444444444</x:v>
      </x:c>
      <x:c r="J151" s="131" t="str">
        <x:f>IF(I151=0,"Did not attend",IF(I151&gt;='Read Me'!$E$2/86400,"Fully attended","Partially attended"))</x:f>
        <x:v>Fully attended</x:v>
      </x:c>
      <x:c r="K151" s="131" t="str">
        <x:f>IF($D151="","No",IF(COUNTIF('Attendance Report - Option 1'!$P$11:$P$315,$D151)&gt;0,"Yes","No"))</x:f>
        <x:v>No</x:v>
      </x:c>
      <x:c r="L151" s="131" t="str">
        <x:f>IF($D151="","No",IF(COUNTIF('Attendance Report - Option 2'!$P$11:$P$412,$D151)&gt;0,"Yes","No"))</x:f>
        <x:v>Yes</x:v>
      </x:c>
    </x:row>
    <x:row r="152">
      <x:c r="A152" s="16" t="str">
        <x:f>'EMA Assurance Employee List'!A153</x:f>
        <x:v>Ezra Kemboi</x:v>
      </x:c>
      <x:c r="B152" s="16" t="str">
        <x:f>IF(C152="KE","Kenya",IF(C152="UG","Uganda",IF(C152="MU","Mauritius",IF(C152="TZ","Tanzania",IF(C152="RW","Rwanda",IF(C152="ZA","South Africa",IF(C152="ZM","Zambia","")))))))</x:f>
        <x:v>Kenya</x:v>
      </x:c>
      <x:c r="C152" s="16" t="str">
        <x:f>'EMA Assurance Employee List'!B153</x:f>
        <x:v>KE</x:v>
      </x:c>
      <x:c r="D152" s="16" t="str">
        <x:f>'EMA Assurance Employee List'!D153</x:f>
        <x:v>ezra.kemboi@pwc.com</x:v>
      </x:c>
      <x:c r="E152" s="130" t="n">
        <x:f>IF($D152="",0,SUMIF('Attendance Report - Option 1'!$P$11:$P$315,$D152,'Attendance Report - Option 1'!$Q$11:$Q$315)/86400)</x:f>
        <x:v>0.023136574074074073</x:v>
      </x:c>
      <x:c r="F152" s="131" t="str">
        <x:f>IF(E152=0,"Did not attend",IF(E152&gt;='Read Me'!$E$2/86400,"Fully attended","Partially attended"))</x:f>
        <x:v>Partially attended</x:v>
      </x:c>
      <x:c r="G152" s="130" t="n">
        <x:f>IF($D152="",0,SUMIF('Attendance Report - Option 2'!$P$11:$P$412,$D152,'Attendance Report - Option 2'!$Q$11:$Q$412)/86400)</x:f>
        <x:v>0.12258101851851852</x:v>
      </x:c>
      <x:c r="H152" s="131" t="str">
        <x:f>IF(G152=0,"Did not attend",IF(G152&gt;='Read Me'!$E$2/86400,"Fully attended","Partially attended"))</x:f>
        <x:v>Fully attended</x:v>
      </x:c>
      <x:c r="I152" s="130" t="n">
        <x:f>E152+G152</x:f>
        <x:v>0.1457175925925926</x:v>
      </x:c>
      <x:c r="J152" s="131" t="str">
        <x:f>IF(I152=0,"Did not attend",IF(I152&gt;='Read Me'!$E$2/86400,"Fully attended","Partially attended"))</x:f>
        <x:v>Fully attended</x:v>
      </x:c>
      <x:c r="K152" s="131" t="str">
        <x:f>IF($D152="","No",IF(COUNTIF('Attendance Report - Option 1'!$P$11:$P$315,$D152)&gt;0,"Yes","No"))</x:f>
        <x:v>Yes</x:v>
      </x:c>
      <x:c r="L152" s="131" t="str">
        <x:f>IF($D152="","No",IF(COUNTIF('Attendance Report - Option 2'!$P$11:$P$412,$D152)&gt;0,"Yes","No"))</x:f>
        <x:v>Yes</x:v>
      </x:c>
    </x:row>
    <x:row r="153">
      <x:c r="A153" s="16" t="str">
        <x:f>'EMA Assurance Employee List'!A154</x:f>
        <x:v>Ezra Maruti</x:v>
      </x:c>
      <x:c r="B153" s="16" t="str">
        <x:f>IF(C153="KE","Kenya",IF(C153="UG","Uganda",IF(C153="MU","Mauritius",IF(C153="TZ","Tanzania",IF(C153="RW","Rwanda",IF(C153="ZA","South Africa",IF(C153="ZM","Zambia","")))))))</x:f>
        <x:v>Kenya</x:v>
      </x:c>
      <x:c r="C153" s="16" t="str">
        <x:f>'EMA Assurance Employee List'!B154</x:f>
        <x:v>KE</x:v>
      </x:c>
      <x:c r="D153" s="16" t="str">
        <x:f>'EMA Assurance Employee List'!D154</x:f>
        <x:v>ezra.maruti@pwc.com</x:v>
      </x:c>
      <x:c r="E153" s="130" t="n">
        <x:f>IF($D153="",0,SUMIF('Attendance Report - Option 1'!$P$11:$P$315,$D153,'Attendance Report - Option 1'!$Q$11:$Q$315)/86400)</x:f>
        <x:v>0</x:v>
      </x:c>
      <x:c r="F153" s="131" t="str">
        <x:f>IF(E153=0,"Did not attend",IF(E153&gt;='Read Me'!$E$2/86400,"Fully attended","Partially attended"))</x:f>
        <x:v>Did not attend</x:v>
      </x:c>
      <x:c r="G153" s="130" t="n">
        <x:f>IF($D153="",0,SUMIF('Attendance Report - Option 2'!$P$11:$P$412,$D153,'Attendance Report - Option 2'!$Q$11:$Q$412)/86400)</x:f>
        <x:v>0.08212962962962964</x:v>
      </x:c>
      <x:c r="H153" s="131" t="str">
        <x:f>IF(G153=0,"Did not attend",IF(G153&gt;='Read Me'!$E$2/86400,"Fully attended","Partially attended"))</x:f>
        <x:v>Fully attended</x:v>
      </x:c>
      <x:c r="I153" s="130" t="n">
        <x:f>E153+G153</x:f>
        <x:v>0.08212962962962964</x:v>
      </x:c>
      <x:c r="J153" s="131" t="str">
        <x:f>IF(I153=0,"Did not attend",IF(I153&gt;='Read Me'!$E$2/86400,"Fully attended","Partially attended"))</x:f>
        <x:v>Fully attended</x:v>
      </x:c>
      <x:c r="K153" s="131" t="str">
        <x:f>IF($D153="","No",IF(COUNTIF('Attendance Report - Option 1'!$P$11:$P$315,$D153)&gt;0,"Yes","No"))</x:f>
        <x:v>No</x:v>
      </x:c>
      <x:c r="L153" s="131" t="str">
        <x:f>IF($D153="","No",IF(COUNTIF('Attendance Report - Option 2'!$P$11:$P$412,$D153)&gt;0,"Yes","No"))</x:f>
        <x:v>Yes</x:v>
      </x:c>
    </x:row>
    <x:row r="154">
      <x:c r="A154" s="16" t="str">
        <x:f>'EMA Assurance Employee List'!A155</x:f>
        <x:v>Fahim Damaree</x:v>
      </x:c>
      <x:c r="B154" s="16" t="str">
        <x:f>IF(C154="KE","Kenya",IF(C154="UG","Uganda",IF(C154="MU","Mauritius",IF(C154="TZ","Tanzania",IF(C154="RW","Rwanda",IF(C154="ZA","South Africa",IF(C154="ZM","Zambia","")))))))</x:f>
        <x:v>Mauritius</x:v>
      </x:c>
      <x:c r="C154" s="16" t="str">
        <x:f>'EMA Assurance Employee List'!B155</x:f>
        <x:v>MU</x:v>
      </x:c>
      <x:c r="D154" s="16" t="str">
        <x:f>'EMA Assurance Employee List'!D155</x:f>
        <x:v>fahim.damaree@pwc.com</x:v>
      </x:c>
      <x:c r="E154" s="130" t="n">
        <x:f>IF($D154="",0,SUMIF('Attendance Report - Option 1'!$P$11:$P$315,$D154,'Attendance Report - Option 1'!$Q$11:$Q$315)/86400)</x:f>
        <x:v>0</x:v>
      </x:c>
      <x:c r="F154" s="131" t="str">
        <x:f>IF(E154=0,"Did not attend",IF(E154&gt;='Read Me'!$E$2/86400,"Fully attended","Partially attended"))</x:f>
        <x:v>Did not attend</x:v>
      </x:c>
      <x:c r="G154" s="130" t="n">
        <x:f>IF($D154="",0,SUMIF('Attendance Report - Option 2'!$P$11:$P$412,$D154,'Attendance Report - Option 2'!$Q$11:$Q$412)/86400)</x:f>
        <x:v>0.07221064814814815</x:v>
      </x:c>
      <x:c r="H154" s="131" t="str">
        <x:f>IF(G154=0,"Did not attend",IF(G154&gt;='Read Me'!$E$2/86400,"Fully attended","Partially attended"))</x:f>
        <x:v>Fully attended</x:v>
      </x:c>
      <x:c r="I154" s="130" t="n">
        <x:f>E154+G154</x:f>
        <x:v>0.07221064814814815</x:v>
      </x:c>
      <x:c r="J154" s="131" t="str">
        <x:f>IF(I154=0,"Did not attend",IF(I154&gt;='Read Me'!$E$2/86400,"Fully attended","Partially attended"))</x:f>
        <x:v>Fully attended</x:v>
      </x:c>
      <x:c r="K154" s="131" t="str">
        <x:f>IF($D154="","No",IF(COUNTIF('Attendance Report - Option 1'!$P$11:$P$315,$D154)&gt;0,"Yes","No"))</x:f>
        <x:v>No</x:v>
      </x:c>
      <x:c r="L154" s="131" t="str">
        <x:f>IF($D154="","No",IF(COUNTIF('Attendance Report - Option 2'!$P$11:$P$412,$D154)&gt;0,"Yes","No"))</x:f>
        <x:v>Yes</x:v>
      </x:c>
    </x:row>
    <x:row r="155">
      <x:c r="A155" s="16" t="str">
        <x:f>'EMA Assurance Employee List'!A156</x:f>
        <x:v>Faith Makori</x:v>
      </x:c>
      <x:c r="B155" s="16" t="str">
        <x:f>IF(C155="KE","Kenya",IF(C155="UG","Uganda",IF(C155="MU","Mauritius",IF(C155="TZ","Tanzania",IF(C155="RW","Rwanda",IF(C155="ZA","South Africa",IF(C155="ZM","Zambia","")))))))</x:f>
        <x:v>Kenya</x:v>
      </x:c>
      <x:c r="C155" s="16" t="str">
        <x:f>'EMA Assurance Employee List'!B156</x:f>
        <x:v>KE</x:v>
      </x:c>
      <x:c r="D155" s="16" t="str">
        <x:f>'EMA Assurance Employee List'!D156</x:f>
        <x:v>faith.makori@pwc.com</x:v>
      </x:c>
      <x:c r="E155" s="130" t="n">
        <x:f>IF($D155="",0,SUMIF('Attendance Report - Option 1'!$P$11:$P$315,$D155,'Attendance Report - Option 1'!$Q$11:$Q$315)/86400)</x:f>
        <x:v>0</x:v>
      </x:c>
      <x:c r="F155" s="131" t="str">
        <x:f>IF(E155=0,"Did not attend",IF(E155&gt;='Read Me'!$E$2/86400,"Fully attended","Partially attended"))</x:f>
        <x:v>Did not attend</x:v>
      </x:c>
      <x:c r="G155" s="130" t="n">
        <x:f>IF($D155="",0,SUMIF('Attendance Report - Option 2'!$P$11:$P$412,$D155,'Attendance Report - Option 2'!$Q$11:$Q$412)/86400)</x:f>
        <x:v>0.08605324074074074</x:v>
      </x:c>
      <x:c r="H155" s="131" t="str">
        <x:f>IF(G155=0,"Did not attend",IF(G155&gt;='Read Me'!$E$2/86400,"Fully attended","Partially attended"))</x:f>
        <x:v>Fully attended</x:v>
      </x:c>
      <x:c r="I155" s="130" t="n">
        <x:f>E155+G155</x:f>
        <x:v>0.08605324074074074</x:v>
      </x:c>
      <x:c r="J155" s="131" t="str">
        <x:f>IF(I155=0,"Did not attend",IF(I155&gt;='Read Me'!$E$2/86400,"Fully attended","Partially attended"))</x:f>
        <x:v>Fully attended</x:v>
      </x:c>
      <x:c r="K155" s="131" t="str">
        <x:f>IF($D155="","No",IF(COUNTIF('Attendance Report - Option 1'!$P$11:$P$315,$D155)&gt;0,"Yes","No"))</x:f>
        <x:v>No</x:v>
      </x:c>
      <x:c r="L155" s="131" t="str">
        <x:f>IF($D155="","No",IF(COUNTIF('Attendance Report - Option 2'!$P$11:$P$412,$D155)&gt;0,"Yes","No"))</x:f>
        <x:v>Yes</x:v>
      </x:c>
    </x:row>
    <x:row r="156">
      <x:c r="A156" s="16" t="str">
        <x:f>'EMA Assurance Employee List'!A157</x:f>
        <x:v>Fardeen Dullull</x:v>
      </x:c>
      <x:c r="B156" s="16" t="str">
        <x:f>IF(C156="KE","Kenya",IF(C156="UG","Uganda",IF(C156="MU","Mauritius",IF(C156="TZ","Tanzania",IF(C156="RW","Rwanda",IF(C156="ZA","South Africa",IF(C156="ZM","Zambia","")))))))</x:f>
        <x:v>Mauritius</x:v>
      </x:c>
      <x:c r="C156" s="16" t="str">
        <x:f>'EMA Assurance Employee List'!B157</x:f>
        <x:v>MU</x:v>
      </x:c>
      <x:c r="D156" s="16" t="str">
        <x:f>'EMA Assurance Employee List'!D157</x:f>
        <x:v>fardeen.dullull@pwc.com</x:v>
      </x:c>
      <x:c r="E156" s="130" t="n">
        <x:f>IF($D156="",0,SUMIF('Attendance Report - Option 1'!$P$11:$P$315,$D156,'Attendance Report - Option 1'!$Q$11:$Q$315)/86400)</x:f>
        <x:v>0</x:v>
      </x:c>
      <x:c r="F156" s="131" t="str">
        <x:f>IF(E156=0,"Did not attend",IF(E156&gt;='Read Me'!$E$2/86400,"Fully attended","Partially attended"))</x:f>
        <x:v>Did not attend</x:v>
      </x:c>
      <x:c r="G156" s="130" t="n">
        <x:f>IF($D156="",0,SUMIF('Attendance Report - Option 2'!$P$11:$P$412,$D156,'Attendance Report - Option 2'!$Q$11:$Q$412)/86400)</x:f>
        <x:v>0.07491898148148148</x:v>
      </x:c>
      <x:c r="H156" s="131" t="str">
        <x:f>IF(G156=0,"Did not attend",IF(G156&gt;='Read Me'!$E$2/86400,"Fully attended","Partially attended"))</x:f>
        <x:v>Fully attended</x:v>
      </x:c>
      <x:c r="I156" s="130" t="n">
        <x:f>E156+G156</x:f>
        <x:v>0.07491898148148148</x:v>
      </x:c>
      <x:c r="J156" s="131" t="str">
        <x:f>IF(I156=0,"Did not attend",IF(I156&gt;='Read Me'!$E$2/86400,"Fully attended","Partially attended"))</x:f>
        <x:v>Fully attended</x:v>
      </x:c>
      <x:c r="K156" s="131" t="str">
        <x:f>IF($D156="","No",IF(COUNTIF('Attendance Report - Option 1'!$P$11:$P$315,$D156)&gt;0,"Yes","No"))</x:f>
        <x:v>No</x:v>
      </x:c>
      <x:c r="L156" s="131" t="str">
        <x:f>IF($D156="","No",IF(COUNTIF('Attendance Report - Option 2'!$P$11:$P$412,$D156)&gt;0,"Yes","No"))</x:f>
        <x:v>Yes</x:v>
      </x:c>
    </x:row>
    <x:row r="157">
      <x:c r="A157" s="16" t="str">
        <x:f>'EMA Assurance Employee List'!A158</x:f>
        <x:v>Farhaan Salamuth</x:v>
      </x:c>
      <x:c r="B157" s="16" t="str">
        <x:f>IF(C157="KE","Kenya",IF(C157="UG","Uganda",IF(C157="MU","Mauritius",IF(C157="TZ","Tanzania",IF(C157="RW","Rwanda",IF(C157="ZA","South Africa",IF(C157="ZM","Zambia","")))))))</x:f>
        <x:v>Mauritius</x:v>
      </x:c>
      <x:c r="C157" s="16" t="str">
        <x:f>'EMA Assurance Employee List'!B158</x:f>
        <x:v>MU</x:v>
      </x:c>
      <x:c r="D157" s="16" t="str">
        <x:f>'EMA Assurance Employee List'!D158</x:f>
        <x:v>farhaan.salamuth@pwc.com</x:v>
      </x:c>
      <x:c r="E157" s="130" t="n">
        <x:f>IF($D157="",0,SUMIF('Attendance Report - Option 1'!$P$11:$P$315,$D157,'Attendance Report - Option 1'!$Q$11:$Q$315)/86400)</x:f>
        <x:v>0</x:v>
      </x:c>
      <x:c r="F157" s="131" t="str">
        <x:f>IF(E157=0,"Did not attend",IF(E157&gt;='Read Me'!$E$2/86400,"Fully attended","Partially attended"))</x:f>
        <x:v>Did not attend</x:v>
      </x:c>
      <x:c r="G157" s="130" t="n">
        <x:f>IF($D157="",0,SUMIF('Attendance Report - Option 2'!$P$11:$P$412,$D157,'Attendance Report - Option 2'!$Q$11:$Q$412)/86400)</x:f>
        <x:v>0.061782407407407404</x:v>
      </x:c>
      <x:c r="H157" s="131" t="str">
        <x:f>IF(G157=0,"Did not attend",IF(G157&gt;='Read Me'!$E$2/86400,"Fully attended","Partially attended"))</x:f>
        <x:v>Partially attended</x:v>
      </x:c>
      <x:c r="I157" s="130" t="n">
        <x:f>E157+G157</x:f>
        <x:v>0.061782407407407404</x:v>
      </x:c>
      <x:c r="J157" s="131" t="str">
        <x:f>IF(I157=0,"Did not attend",IF(I157&gt;='Read Me'!$E$2/86400,"Fully attended","Partially attended"))</x:f>
        <x:v>Partially attended</x:v>
      </x:c>
      <x:c r="K157" s="131" t="str">
        <x:f>IF($D157="","No",IF(COUNTIF('Attendance Report - Option 1'!$P$11:$P$315,$D157)&gt;0,"Yes","No"))</x:f>
        <x:v>No</x:v>
      </x:c>
      <x:c r="L157" s="131" t="str">
        <x:f>IF($D157="","No",IF(COUNTIF('Attendance Report - Option 2'!$P$11:$P$412,$D157)&gt;0,"Yes","No"))</x:f>
        <x:v>Yes</x:v>
      </x:c>
    </x:row>
    <x:row r="158">
      <x:c r="A158" s="16" t="str">
        <x:f>'EMA Assurance Employee List'!A159</x:f>
        <x:v>Farouk Kasadha</x:v>
      </x:c>
      <x:c r="B158" s="16" t="str">
        <x:f>IF(C158="KE","Kenya",IF(C158="UG","Uganda",IF(C158="MU","Mauritius",IF(C158="TZ","Tanzania",IF(C158="RW","Rwanda",IF(C158="ZA","South Africa",IF(C158="ZM","Zambia","")))))))</x:f>
        <x:v>Uganda</x:v>
      </x:c>
      <x:c r="C158" s="16" t="str">
        <x:f>'EMA Assurance Employee List'!B159</x:f>
        <x:v>UG</x:v>
      </x:c>
      <x:c r="D158" s="16" t="str">
        <x:f>'EMA Assurance Employee List'!D159</x:f>
        <x:v>farouk.kasadha@pwc.com</x:v>
      </x:c>
      <x:c r="E158" s="130" t="n">
        <x:f>IF($D158="",0,SUMIF('Attendance Report - Option 1'!$P$11:$P$315,$D158,'Attendance Report - Option 1'!$Q$11:$Q$315)/86400)</x:f>
        <x:v>0.019664351851851853</x:v>
      </x:c>
      <x:c r="F158" s="131" t="str">
        <x:f>IF(E158=0,"Did not attend",IF(E158&gt;='Read Me'!$E$2/86400,"Fully attended","Partially attended"))</x:f>
        <x:v>Partially attended</x:v>
      </x:c>
      <x:c r="G158" s="130" t="n">
        <x:f>IF($D158="",0,SUMIF('Attendance Report - Option 2'!$P$11:$P$412,$D158,'Attendance Report - Option 2'!$Q$11:$Q$412)/86400)</x:f>
        <x:v>0.06498842592592592</x:v>
      </x:c>
      <x:c r="H158" s="131" t="str">
        <x:f>IF(G158=0,"Did not attend",IF(G158&gt;='Read Me'!$E$2/86400,"Fully attended","Partially attended"))</x:f>
        <x:v>Fully attended</x:v>
      </x:c>
      <x:c r="I158" s="130" t="n">
        <x:f>E158+G158</x:f>
        <x:v>0.08465277777777777</x:v>
      </x:c>
      <x:c r="J158" s="131" t="str">
        <x:f>IF(I158=0,"Did not attend",IF(I158&gt;='Read Me'!$E$2/86400,"Fully attended","Partially attended"))</x:f>
        <x:v>Fully attended</x:v>
      </x:c>
      <x:c r="K158" s="131" t="str">
        <x:f>IF($D158="","No",IF(COUNTIF('Attendance Report - Option 1'!$P$11:$P$315,$D158)&gt;0,"Yes","No"))</x:f>
        <x:v>Yes</x:v>
      </x:c>
      <x:c r="L158" s="131" t="str">
        <x:f>IF($D158="","No",IF(COUNTIF('Attendance Report - Option 2'!$P$11:$P$412,$D158)&gt;0,"Yes","No"))</x:f>
        <x:v>Yes</x:v>
      </x:c>
    </x:row>
    <x:row r="159">
      <x:c r="A159" s="16" t="str">
        <x:f>'EMA Assurance Employee List'!A160</x:f>
        <x:v>Fayson Munkombwe</x:v>
      </x:c>
      <x:c r="B159" s="16" t="str">
        <x:f>IF(C159="KE","Kenya",IF(C159="UG","Uganda",IF(C159="MU","Mauritius",IF(C159="TZ","Tanzania",IF(C159="RW","Rwanda",IF(C159="ZA","South Africa",IF(C159="ZM","Zambia","")))))))</x:f>
        <x:v>Zambia</x:v>
      </x:c>
      <x:c r="C159" s="16" t="str">
        <x:f>'EMA Assurance Employee List'!B160</x:f>
        <x:v>ZM</x:v>
      </x:c>
      <x:c r="D159" s="16" t="str">
        <x:f>'EMA Assurance Employee List'!D160</x:f>
        <x:v>fayson.x.munkombwe@pwc.com</x:v>
      </x:c>
      <x:c r="E159" s="130" t="n">
        <x:f>IF($D159="",0,SUMIF('Attendance Report - Option 1'!$P$11:$P$315,$D159,'Attendance Report - Option 1'!$Q$11:$Q$315)/86400)</x:f>
        <x:v>0.08083333333333333</x:v>
      </x:c>
      <x:c r="F159" s="131" t="str">
        <x:f>IF(E159=0,"Did not attend",IF(E159&gt;='Read Me'!$E$2/86400,"Fully attended","Partially attended"))</x:f>
        <x:v>Fully attended</x:v>
      </x:c>
      <x:c r="G159" s="130" t="n">
        <x:f>IF($D159="",0,SUMIF('Attendance Report - Option 2'!$P$11:$P$412,$D159,'Attendance Report - Option 2'!$Q$11:$Q$412)/86400)</x:f>
        <x:v>0</x:v>
      </x:c>
      <x:c r="H159" s="131" t="str">
        <x:f>IF(G159=0,"Did not attend",IF(G159&gt;='Read Me'!$E$2/86400,"Fully attended","Partially attended"))</x:f>
        <x:v>Did not attend</x:v>
      </x:c>
      <x:c r="I159" s="130" t="n">
        <x:f>E159+G159</x:f>
        <x:v>0.08083333333333333</x:v>
      </x:c>
      <x:c r="J159" s="131" t="str">
        <x:f>IF(I159=0,"Did not attend",IF(I159&gt;='Read Me'!$E$2/86400,"Fully attended","Partially attended"))</x:f>
        <x:v>Fully attended</x:v>
      </x:c>
      <x:c r="K159" s="131" t="str">
        <x:f>IF($D159="","No",IF(COUNTIF('Attendance Report - Option 1'!$P$11:$P$315,$D159)&gt;0,"Yes","No"))</x:f>
        <x:v>Yes</x:v>
      </x:c>
      <x:c r="L159" s="131" t="str">
        <x:f>IF($D159="","No",IF(COUNTIF('Attendance Report - Option 2'!$P$11:$P$412,$D159)&gt;0,"Yes","No"))</x:f>
        <x:v>No</x:v>
      </x:c>
    </x:row>
    <x:row r="160">
      <x:c r="A160" s="16" t="str">
        <x:f>'EMA Assurance Employee List'!A161</x:f>
        <x:v>Flavia Kaluba</x:v>
      </x:c>
      <x:c r="B160" s="16" t="str">
        <x:f>IF(C160="KE","Kenya",IF(C160="UG","Uganda",IF(C160="MU","Mauritius",IF(C160="TZ","Tanzania",IF(C160="RW","Rwanda",IF(C160="ZA","South Africa",IF(C160="ZM","Zambia","")))))))</x:f>
        <x:v>Zambia</x:v>
      </x:c>
      <x:c r="C160" s="16" t="str">
        <x:f>'EMA Assurance Employee List'!B161</x:f>
        <x:v>ZM</x:v>
      </x:c>
      <x:c r="D160" s="16" t="str">
        <x:f>'EMA Assurance Employee List'!D161</x:f>
        <x:v>flavia.kaluba@pwc.com</x:v>
      </x:c>
      <x:c r="E160" s="130" t="n">
        <x:f>IF($D160="",0,SUMIF('Attendance Report - Option 1'!$P$11:$P$315,$D160,'Attendance Report - Option 1'!$Q$11:$Q$315)/86400)</x:f>
        <x:v>0</x:v>
      </x:c>
      <x:c r="F160" s="131" t="str">
        <x:f>IF(E160=0,"Did not attend",IF(E160&gt;='Read Me'!$E$2/86400,"Fully attended","Partially attended"))</x:f>
        <x:v>Did not attend</x:v>
      </x:c>
      <x:c r="G160" s="130" t="n">
        <x:f>IF($D160="",0,SUMIF('Attendance Report - Option 2'!$P$11:$P$412,$D160,'Attendance Report - Option 2'!$Q$11:$Q$412)/86400)</x:f>
        <x:v>0.08524305555555556</x:v>
      </x:c>
      <x:c r="H160" s="131" t="str">
        <x:f>IF(G160=0,"Did not attend",IF(G160&gt;='Read Me'!$E$2/86400,"Fully attended","Partially attended"))</x:f>
        <x:v>Fully attended</x:v>
      </x:c>
      <x:c r="I160" s="130" t="n">
        <x:f>E160+G160</x:f>
        <x:v>0.08524305555555556</x:v>
      </x:c>
      <x:c r="J160" s="131" t="str">
        <x:f>IF(I160=0,"Did not attend",IF(I160&gt;='Read Me'!$E$2/86400,"Fully attended","Partially attended"))</x:f>
        <x:v>Fully attended</x:v>
      </x:c>
      <x:c r="K160" s="131" t="str">
        <x:f>IF($D160="","No",IF(COUNTIF('Attendance Report - Option 1'!$P$11:$P$315,$D160)&gt;0,"Yes","No"))</x:f>
        <x:v>No</x:v>
      </x:c>
      <x:c r="L160" s="131" t="str">
        <x:f>IF($D160="","No",IF(COUNTIF('Attendance Report - Option 2'!$P$11:$P$412,$D160)&gt;0,"Yes","No"))</x:f>
        <x:v>Yes</x:v>
      </x:c>
    </x:row>
    <x:row r="161">
      <x:c r="A161" s="16" t="str">
        <x:f>'EMA Assurance Employee List'!A162</x:f>
        <x:v>Florencia Kituku</x:v>
      </x:c>
      <x:c r="B161" s="16" t="str">
        <x:f>IF(C161="KE","Kenya",IF(C161="UG","Uganda",IF(C161="MU","Mauritius",IF(C161="TZ","Tanzania",IF(C161="RW","Rwanda",IF(C161="ZA","South Africa",IF(C161="ZM","Zambia","")))))))</x:f>
        <x:v>Tanzania</x:v>
      </x:c>
      <x:c r="C161" s="16" t="str">
        <x:f>'EMA Assurance Employee List'!B162</x:f>
        <x:v>TZ</x:v>
      </x:c>
      <x:c r="D161" s="16" t="str">
        <x:f>'EMA Assurance Employee List'!D162</x:f>
        <x:v>florencia.kituku@pwc.com</x:v>
      </x:c>
      <x:c r="E161" s="130" t="n">
        <x:f>IF($D161="",0,SUMIF('Attendance Report - Option 1'!$P$11:$P$315,$D161,'Attendance Report - Option 1'!$Q$11:$Q$315)/86400)</x:f>
        <x:v>0.07921296296296296</x:v>
      </x:c>
      <x:c r="F161" s="131" t="str">
        <x:f>IF(E161=0,"Did not attend",IF(E161&gt;='Read Me'!$E$2/86400,"Fully attended","Partially attended"))</x:f>
        <x:v>Fully attended</x:v>
      </x:c>
      <x:c r="G161" s="130" t="n">
        <x:f>IF($D161="",0,SUMIF('Attendance Report - Option 2'!$P$11:$P$412,$D161,'Attendance Report - Option 2'!$Q$11:$Q$412)/86400)</x:f>
        <x:v>0</x:v>
      </x:c>
      <x:c r="H161" s="131" t="str">
        <x:f>IF(G161=0,"Did not attend",IF(G161&gt;='Read Me'!$E$2/86400,"Fully attended","Partially attended"))</x:f>
        <x:v>Did not attend</x:v>
      </x:c>
      <x:c r="I161" s="130" t="n">
        <x:f>E161+G161</x:f>
        <x:v>0.07921296296296296</x:v>
      </x:c>
      <x:c r="J161" s="131" t="str">
        <x:f>IF(I161=0,"Did not attend",IF(I161&gt;='Read Me'!$E$2/86400,"Fully attended","Partially attended"))</x:f>
        <x:v>Fully attended</x:v>
      </x:c>
      <x:c r="K161" s="131" t="str">
        <x:f>IF($D161="","No",IF(COUNTIF('Attendance Report - Option 1'!$P$11:$P$315,$D161)&gt;0,"Yes","No"))</x:f>
        <x:v>Yes</x:v>
      </x:c>
      <x:c r="L161" s="131" t="str">
        <x:f>IF($D161="","No",IF(COUNTIF('Attendance Report - Option 2'!$P$11:$P$412,$D161)&gt;0,"Yes","No"))</x:f>
        <x:v>No</x:v>
      </x:c>
    </x:row>
    <x:row r="162">
      <x:c r="A162" s="16" t="str">
        <x:f>'EMA Assurance Employee List'!A163</x:f>
        <x:v>Fraciah Maina</x:v>
      </x:c>
      <x:c r="B162" s="16" t="str">
        <x:f>IF(C162="KE","Kenya",IF(C162="UG","Uganda",IF(C162="MU","Mauritius",IF(C162="TZ","Tanzania",IF(C162="RW","Rwanda",IF(C162="ZA","South Africa",IF(C162="ZM","Zambia","")))))))</x:f>
        <x:v>Kenya</x:v>
      </x:c>
      <x:c r="C162" s="16" t="str">
        <x:f>'EMA Assurance Employee List'!B163</x:f>
        <x:v>KE</x:v>
      </x:c>
      <x:c r="D162" s="16" t="str">
        <x:f>'EMA Assurance Employee List'!D163</x:f>
        <x:v>fraciah.maina@pwc.com</x:v>
      </x:c>
      <x:c r="E162" s="130" t="n">
        <x:f>IF($D162="",0,SUMIF('Attendance Report - Option 1'!$P$11:$P$315,$D162,'Attendance Report - Option 1'!$Q$11:$Q$315)/86400)</x:f>
        <x:v>0.08206018518518518</x:v>
      </x:c>
      <x:c r="F162" s="131" t="str">
        <x:f>IF(E162=0,"Did not attend",IF(E162&gt;='Read Me'!$E$2/86400,"Fully attended","Partially attended"))</x:f>
        <x:v>Fully attended</x:v>
      </x:c>
      <x:c r="G162" s="130" t="n">
        <x:f>IF($D162="",0,SUMIF('Attendance Report - Option 2'!$P$11:$P$412,$D162,'Attendance Report - Option 2'!$Q$11:$Q$412)/86400)</x:f>
        <x:v>0</x:v>
      </x:c>
      <x:c r="H162" s="131" t="str">
        <x:f>IF(G162=0,"Did not attend",IF(G162&gt;='Read Me'!$E$2/86400,"Fully attended","Partially attended"))</x:f>
        <x:v>Did not attend</x:v>
      </x:c>
      <x:c r="I162" s="130" t="n">
        <x:f>E162+G162</x:f>
        <x:v>0.08206018518518518</x:v>
      </x:c>
      <x:c r="J162" s="131" t="str">
        <x:f>IF(I162=0,"Did not attend",IF(I162&gt;='Read Me'!$E$2/86400,"Fully attended","Partially attended"))</x:f>
        <x:v>Fully attended</x:v>
      </x:c>
      <x:c r="K162" s="131" t="str">
        <x:f>IF($D162="","No",IF(COUNTIF('Attendance Report - Option 1'!$P$11:$P$315,$D162)&gt;0,"Yes","No"))</x:f>
        <x:v>Yes</x:v>
      </x:c>
      <x:c r="L162" s="131" t="str">
        <x:f>IF($D162="","No",IF(COUNTIF('Attendance Report - Option 2'!$P$11:$P$412,$D162)&gt;0,"Yes","No"))</x:f>
        <x:v>No</x:v>
      </x:c>
    </x:row>
    <x:row r="163">
      <x:c r="A163" s="16" t="str">
        <x:f>'EMA Assurance Employee List'!A164</x:f>
        <x:v>Francis Muriu</x:v>
      </x:c>
      <x:c r="B163" s="16" t="str">
        <x:f>IF(C163="KE","Kenya",IF(C163="UG","Uganda",IF(C163="MU","Mauritius",IF(C163="TZ","Tanzania",IF(C163="RW","Rwanda",IF(C163="ZA","South Africa",IF(C163="ZM","Zambia","")))))))</x:f>
        <x:v>Kenya</x:v>
      </x:c>
      <x:c r="C163" s="16" t="str">
        <x:f>'EMA Assurance Employee List'!B164</x:f>
        <x:v>KE</x:v>
      </x:c>
      <x:c r="D163" s="16" t="str">
        <x:f>'EMA Assurance Employee List'!D164</x:f>
        <x:v>francis.muriu@pwc.com</x:v>
      </x:c>
      <x:c r="E163" s="130" t="n">
        <x:f>IF($D163="",0,SUMIF('Attendance Report - Option 1'!$P$11:$P$315,$D163,'Attendance Report - Option 1'!$Q$11:$Q$315)/86400)</x:f>
        <x:v>0</x:v>
      </x:c>
      <x:c r="F163" s="131" t="str">
        <x:f>IF(E163=0,"Did not attend",IF(E163&gt;='Read Me'!$E$2/86400,"Fully attended","Partially attended"))</x:f>
        <x:v>Did not attend</x:v>
      </x:c>
      <x:c r="G163" s="130" t="n">
        <x:f>IF($D163="",0,SUMIF('Attendance Report - Option 2'!$P$11:$P$412,$D163,'Attendance Report - Option 2'!$Q$11:$Q$412)/86400)</x:f>
        <x:v>0.08766203703703704</x:v>
      </x:c>
      <x:c r="H163" s="131" t="str">
        <x:f>IF(G163=0,"Did not attend",IF(G163&gt;='Read Me'!$E$2/86400,"Fully attended","Partially attended"))</x:f>
        <x:v>Fully attended</x:v>
      </x:c>
      <x:c r="I163" s="130" t="n">
        <x:f>E163+G163</x:f>
        <x:v>0.08766203703703704</x:v>
      </x:c>
      <x:c r="J163" s="131" t="str">
        <x:f>IF(I163=0,"Did not attend",IF(I163&gt;='Read Me'!$E$2/86400,"Fully attended","Partially attended"))</x:f>
        <x:v>Fully attended</x:v>
      </x:c>
      <x:c r="K163" s="131" t="str">
        <x:f>IF($D163="","No",IF(COUNTIF('Attendance Report - Option 1'!$P$11:$P$315,$D163)&gt;0,"Yes","No"))</x:f>
        <x:v>No</x:v>
      </x:c>
      <x:c r="L163" s="131" t="str">
        <x:f>IF($D163="","No",IF(COUNTIF('Attendance Report - Option 2'!$P$11:$P$412,$D163)&gt;0,"Yes","No"))</x:f>
        <x:v>Yes</x:v>
      </x:c>
    </x:row>
    <x:row r="164">
      <x:c r="A164" s="16" t="str">
        <x:f>'EMA Assurance Employee List'!A165</x:f>
        <x:v>Francis Nzau</x:v>
      </x:c>
      <x:c r="B164" s="16" t="str">
        <x:f>IF(C164="KE","Kenya",IF(C164="UG","Uganda",IF(C164="MU","Mauritius",IF(C164="TZ","Tanzania",IF(C164="RW","Rwanda",IF(C164="ZA","South Africa",IF(C164="ZM","Zambia","")))))))</x:f>
        <x:v>Tanzania</x:v>
      </x:c>
      <x:c r="C164" s="16" t="str">
        <x:f>'EMA Assurance Employee List'!B165</x:f>
        <x:v>TZ</x:v>
      </x:c>
      <x:c r="D164" s="16" t="str">
        <x:f>'EMA Assurance Employee List'!D165</x:f>
        <x:v>francis.k.nzau@pwc.com</x:v>
      </x:c>
      <x:c r="E164" s="130" t="n">
        <x:f>IF($D164="",0,SUMIF('Attendance Report - Option 1'!$P$11:$P$315,$D164,'Attendance Report - Option 1'!$Q$11:$Q$315)/86400)</x:f>
        <x:v>0</x:v>
      </x:c>
      <x:c r="F164" s="131" t="str">
        <x:f>IF(E164=0,"Did not attend",IF(E164&gt;='Read Me'!$E$2/86400,"Fully attended","Partially attended"))</x:f>
        <x:v>Did not attend</x:v>
      </x:c>
      <x:c r="G164" s="130" t="n">
        <x:f>IF($D164="",0,SUMIF('Attendance Report - Option 2'!$P$11:$P$412,$D164,'Attendance Report - Option 2'!$Q$11:$Q$412)/86400)</x:f>
        <x:v>0.08866898148148149</x:v>
      </x:c>
      <x:c r="H164" s="131" t="str">
        <x:f>IF(G164=0,"Did not attend",IF(G164&gt;='Read Me'!$E$2/86400,"Fully attended","Partially attended"))</x:f>
        <x:v>Fully attended</x:v>
      </x:c>
      <x:c r="I164" s="130" t="n">
        <x:f>E164+G164</x:f>
        <x:v>0.08866898148148149</x:v>
      </x:c>
      <x:c r="J164" s="131" t="str">
        <x:f>IF(I164=0,"Did not attend",IF(I164&gt;='Read Me'!$E$2/86400,"Fully attended","Partially attended"))</x:f>
        <x:v>Fully attended</x:v>
      </x:c>
      <x:c r="K164" s="131" t="str">
        <x:f>IF($D164="","No",IF(COUNTIF('Attendance Report - Option 1'!$P$11:$P$315,$D164)&gt;0,"Yes","No"))</x:f>
        <x:v>No</x:v>
      </x:c>
      <x:c r="L164" s="131" t="str">
        <x:f>IF($D164="","No",IF(COUNTIF('Attendance Report - Option 2'!$P$11:$P$412,$D164)&gt;0,"Yes","No"))</x:f>
        <x:v>Yes</x:v>
      </x:c>
    </x:row>
    <x:row r="165">
      <x:c r="A165" s="16" t="str">
        <x:f>'EMA Assurance Employee List'!A166</x:f>
        <x:v>Freda Kithinji</x:v>
      </x:c>
      <x:c r="B165" s="16" t="str">
        <x:f>IF(C165="KE","Kenya",IF(C165="UG","Uganda",IF(C165="MU","Mauritius",IF(C165="TZ","Tanzania",IF(C165="RW","Rwanda",IF(C165="ZA","South Africa",IF(C165="ZM","Zambia","")))))))</x:f>
        <x:v>Kenya</x:v>
      </x:c>
      <x:c r="C165" s="16" t="str">
        <x:f>'EMA Assurance Employee List'!B166</x:f>
        <x:v>KE</x:v>
      </x:c>
      <x:c r="D165" s="16" t="str">
        <x:f>'EMA Assurance Employee List'!D166</x:f>
        <x:v>freda.k.kithinji@pwc.com</x:v>
      </x:c>
      <x:c r="E165" s="130" t="n">
        <x:f>IF($D165="",0,SUMIF('Attendance Report - Option 1'!$P$11:$P$315,$D165,'Attendance Report - Option 1'!$Q$11:$Q$315)/86400)</x:f>
        <x:v>0.07988425925925927</x:v>
      </x:c>
      <x:c r="F165" s="131" t="str">
        <x:f>IF(E165=0,"Did not attend",IF(E165&gt;='Read Me'!$E$2/86400,"Fully attended","Partially attended"))</x:f>
        <x:v>Fully attended</x:v>
      </x:c>
      <x:c r="G165" s="130" t="n">
        <x:f>IF($D165="",0,SUMIF('Attendance Report - Option 2'!$P$11:$P$412,$D165,'Attendance Report - Option 2'!$Q$11:$Q$412)/86400)</x:f>
        <x:v>0</x:v>
      </x:c>
      <x:c r="H165" s="131" t="str">
        <x:f>IF(G165=0,"Did not attend",IF(G165&gt;='Read Me'!$E$2/86400,"Fully attended","Partially attended"))</x:f>
        <x:v>Did not attend</x:v>
      </x:c>
      <x:c r="I165" s="130" t="n">
        <x:f>E165+G165</x:f>
        <x:v>0.07988425925925927</x:v>
      </x:c>
      <x:c r="J165" s="131" t="str">
        <x:f>IF(I165=0,"Did not attend",IF(I165&gt;='Read Me'!$E$2/86400,"Fully attended","Partially attended"))</x:f>
        <x:v>Fully attended</x:v>
      </x:c>
      <x:c r="K165" s="131" t="str">
        <x:f>IF($D165="","No",IF(COUNTIF('Attendance Report - Option 1'!$P$11:$P$315,$D165)&gt;0,"Yes","No"))</x:f>
        <x:v>Yes</x:v>
      </x:c>
      <x:c r="L165" s="131" t="str">
        <x:f>IF($D165="","No",IF(COUNTIF('Attendance Report - Option 2'!$P$11:$P$412,$D165)&gt;0,"Yes","No"))</x:f>
        <x:v>No</x:v>
      </x:c>
    </x:row>
    <x:row r="166">
      <x:c r="A166" s="16" t="str">
        <x:f>'EMA Assurance Employee List'!A167</x:f>
        <x:v>Fredrick Ogolla</x:v>
      </x:c>
      <x:c r="B166" s="16" t="str">
        <x:f>IF(C166="KE","Kenya",IF(C166="UG","Uganda",IF(C166="MU","Mauritius",IF(C166="TZ","Tanzania",IF(C166="RW","Rwanda",IF(C166="ZA","South Africa",IF(C166="ZM","Zambia","")))))))</x:f>
        <x:v>Kenya</x:v>
      </x:c>
      <x:c r="C166" s="16" t="str">
        <x:f>'EMA Assurance Employee List'!B167</x:f>
        <x:v>KE</x:v>
      </x:c>
      <x:c r="D166" s="16" t="str">
        <x:f>'EMA Assurance Employee List'!D167</x:f>
        <x:v>fredrick.k.ogolla@pwc.com</x:v>
      </x:c>
      <x:c r="E166" s="130" t="n">
        <x:f>IF($D166="",0,SUMIF('Attendance Report - Option 1'!$P$11:$P$315,$D166,'Attendance Report - Option 1'!$Q$11:$Q$315)/86400)</x:f>
        <x:v>0.08335648148148148</x:v>
      </x:c>
      <x:c r="F166" s="131" t="str">
        <x:f>IF(E166=0,"Did not attend",IF(E166&gt;='Read Me'!$E$2/86400,"Fully attended","Partially attended"))</x:f>
        <x:v>Fully attended</x:v>
      </x:c>
      <x:c r="G166" s="130" t="n">
        <x:f>IF($D166="",0,SUMIF('Attendance Report - Option 2'!$P$11:$P$412,$D166,'Attendance Report - Option 2'!$Q$11:$Q$412)/86400)</x:f>
        <x:v>0</x:v>
      </x:c>
      <x:c r="H166" s="131" t="str">
        <x:f>IF(G166=0,"Did not attend",IF(G166&gt;='Read Me'!$E$2/86400,"Fully attended","Partially attended"))</x:f>
        <x:v>Did not attend</x:v>
      </x:c>
      <x:c r="I166" s="130" t="n">
        <x:f>E166+G166</x:f>
        <x:v>0.08335648148148148</x:v>
      </x:c>
      <x:c r="J166" s="131" t="str">
        <x:f>IF(I166=0,"Did not attend",IF(I166&gt;='Read Me'!$E$2/86400,"Fully attended","Partially attended"))</x:f>
        <x:v>Fully attended</x:v>
      </x:c>
      <x:c r="K166" s="131" t="str">
        <x:f>IF($D166="","No",IF(COUNTIF('Attendance Report - Option 1'!$P$11:$P$315,$D166)&gt;0,"Yes","No"))</x:f>
        <x:v>Yes</x:v>
      </x:c>
      <x:c r="L166" s="131" t="str">
        <x:f>IF($D166="","No",IF(COUNTIF('Attendance Report - Option 2'!$P$11:$P$412,$D166)&gt;0,"Yes","No"))</x:f>
        <x:v>No</x:v>
      </x:c>
    </x:row>
    <x:row r="167">
      <x:c r="A167" s="16" t="str">
        <x:f>'EMA Assurance Employee List'!A168</x:f>
        <x:v>Frida Umuhire</x:v>
      </x:c>
      <x:c r="B167" s="16" t="str">
        <x:f>IF(C167="KE","Kenya",IF(C167="UG","Uganda",IF(C167="MU","Mauritius",IF(C167="TZ","Tanzania",IF(C167="RW","Rwanda",IF(C167="ZA","South Africa",IF(C167="ZM","Zambia","")))))))</x:f>
        <x:v>Rwanda</x:v>
      </x:c>
      <x:c r="C167" s="16" t="str">
        <x:f>'EMA Assurance Employee List'!B168</x:f>
        <x:v>RW</x:v>
      </x:c>
      <x:c r="D167" s="16" t="str">
        <x:f>'EMA Assurance Employee List'!D168</x:f>
        <x:v>frida.umuhire@pwc.com</x:v>
      </x:c>
      <x:c r="E167" s="130" t="n">
        <x:f>IF($D167="",0,SUMIF('Attendance Report - Option 1'!$P$11:$P$315,$D167,'Attendance Report - Option 1'!$Q$11:$Q$315)/86400)</x:f>
        <x:v>0.08630787037037037</x:v>
      </x:c>
      <x:c r="F167" s="131" t="str">
        <x:f>IF(E167=0,"Did not attend",IF(E167&gt;='Read Me'!$E$2/86400,"Fully attended","Partially attended"))</x:f>
        <x:v>Fully attended</x:v>
      </x:c>
      <x:c r="G167" s="130" t="n">
        <x:f>IF($D167="",0,SUMIF('Attendance Report - Option 2'!$P$11:$P$412,$D167,'Attendance Report - Option 2'!$Q$11:$Q$412)/86400)</x:f>
        <x:v>0</x:v>
      </x:c>
      <x:c r="H167" s="131" t="str">
        <x:f>IF(G167=0,"Did not attend",IF(G167&gt;='Read Me'!$E$2/86400,"Fully attended","Partially attended"))</x:f>
        <x:v>Did not attend</x:v>
      </x:c>
      <x:c r="I167" s="130" t="n">
        <x:f>E167+G167</x:f>
        <x:v>0.08630787037037037</x:v>
      </x:c>
      <x:c r="J167" s="131" t="str">
        <x:f>IF(I167=0,"Did not attend",IF(I167&gt;='Read Me'!$E$2/86400,"Fully attended","Partially attended"))</x:f>
        <x:v>Fully attended</x:v>
      </x:c>
      <x:c r="K167" s="131" t="str">
        <x:f>IF($D167="","No",IF(COUNTIF('Attendance Report - Option 1'!$P$11:$P$315,$D167)&gt;0,"Yes","No"))</x:f>
        <x:v>Yes</x:v>
      </x:c>
      <x:c r="L167" s="131" t="str">
        <x:f>IF($D167="","No",IF(COUNTIF('Attendance Report - Option 2'!$P$11:$P$412,$D167)&gt;0,"Yes","No"))</x:f>
        <x:v>No</x:v>
      </x:c>
    </x:row>
    <x:row r="168">
      <x:c r="A168" s="16" t="str">
        <x:f>'EMA Assurance Employee List'!A169</x:f>
        <x:v>Gabrielle Faydherbe</x:v>
      </x:c>
      <x:c r="B168" s="16" t="str">
        <x:f>IF(C168="KE","Kenya",IF(C168="UG","Uganda",IF(C168="MU","Mauritius",IF(C168="TZ","Tanzania",IF(C168="RW","Rwanda",IF(C168="ZA","South Africa",IF(C168="ZM","Zambia","")))))))</x:f>
        <x:v>Mauritius</x:v>
      </x:c>
      <x:c r="C168" s="16" t="str">
        <x:f>'EMA Assurance Employee List'!B169</x:f>
        <x:v>MU</x:v>
      </x:c>
      <x:c r="D168" s="16" t="str">
        <x:f>'EMA Assurance Employee List'!D169</x:f>
        <x:v>gabrielle.faydherbe@pwc.com</x:v>
      </x:c>
      <x:c r="E168" s="130" t="n">
        <x:f>IF($D168="",0,SUMIF('Attendance Report - Option 1'!$P$11:$P$315,$D168,'Attendance Report - Option 1'!$Q$11:$Q$315)/86400)</x:f>
        <x:v>0</x:v>
      </x:c>
      <x:c r="F168" s="131" t="str">
        <x:f>IF(E168=0,"Did not attend",IF(E168&gt;='Read Me'!$E$2/86400,"Fully attended","Partially attended"))</x:f>
        <x:v>Did not attend</x:v>
      </x:c>
      <x:c r="G168" s="130" t="n">
        <x:f>IF($D168="",0,SUMIF('Attendance Report - Option 2'!$P$11:$P$412,$D168,'Attendance Report - Option 2'!$Q$11:$Q$412)/86400)</x:f>
        <x:v>0</x:v>
      </x:c>
      <x:c r="H168" s="131" t="str">
        <x:f>IF(G168=0,"Did not attend",IF(G168&gt;='Read Me'!$E$2/86400,"Fully attended","Partially attended"))</x:f>
        <x:v>Did not attend</x:v>
      </x:c>
      <x:c r="I168" s="130" t="n">
        <x:f>E168+G168</x:f>
        <x:v>0</x:v>
      </x:c>
      <x:c r="J168" s="131" t="str">
        <x:f>IF(I168=0,"Did not attend",IF(I168&gt;='Read Me'!$E$2/86400,"Fully attended","Partially attended"))</x:f>
        <x:v>Did not attend</x:v>
      </x:c>
      <x:c r="K168" s="131" t="str">
        <x:f>IF($D168="","No",IF(COUNTIF('Attendance Report - Option 1'!$P$11:$P$315,$D168)&gt;0,"Yes","No"))</x:f>
        <x:v>No</x:v>
      </x:c>
      <x:c r="L168" s="131" t="str">
        <x:f>IF($D168="","No",IF(COUNTIF('Attendance Report - Option 2'!$P$11:$P$412,$D168)&gt;0,"Yes","No"))</x:f>
        <x:v>No</x:v>
      </x:c>
    </x:row>
    <x:row r="169">
      <x:c r="A169" s="16" t="str">
        <x:f>'EMA Assurance Employee List'!A170</x:f>
        <x:v>Gaurav Seeam</x:v>
      </x:c>
      <x:c r="B169" s="16" t="str">
        <x:f>IF(C169="KE","Kenya",IF(C169="UG","Uganda",IF(C169="MU","Mauritius",IF(C169="TZ","Tanzania",IF(C169="RW","Rwanda",IF(C169="ZA","South Africa",IF(C169="ZM","Zambia","")))))))</x:f>
        <x:v>Mauritius</x:v>
      </x:c>
      <x:c r="C169" s="16" t="str">
        <x:f>'EMA Assurance Employee List'!B170</x:f>
        <x:v>MU</x:v>
      </x:c>
      <x:c r="D169" s="16" t="str">
        <x:f>'EMA Assurance Employee List'!D170</x:f>
        <x:v>gaurav.seeam@pwc.com</x:v>
      </x:c>
      <x:c r="E169" s="130" t="n">
        <x:f>IF($D169="",0,SUMIF('Attendance Report - Option 1'!$P$11:$P$315,$D169,'Attendance Report - Option 1'!$Q$11:$Q$315)/86400)</x:f>
        <x:v>0</x:v>
      </x:c>
      <x:c r="F169" s="131" t="str">
        <x:f>IF(E169=0,"Did not attend",IF(E169&gt;='Read Me'!$E$2/86400,"Fully attended","Partially attended"))</x:f>
        <x:v>Did not attend</x:v>
      </x:c>
      <x:c r="G169" s="130" t="n">
        <x:f>IF($D169="",0,SUMIF('Attendance Report - Option 2'!$P$11:$P$412,$D169,'Attendance Report - Option 2'!$Q$11:$Q$412)/86400)</x:f>
        <x:v>0.0884837962962963</x:v>
      </x:c>
      <x:c r="H169" s="131" t="str">
        <x:f>IF(G169=0,"Did not attend",IF(G169&gt;='Read Me'!$E$2/86400,"Fully attended","Partially attended"))</x:f>
        <x:v>Fully attended</x:v>
      </x:c>
      <x:c r="I169" s="130" t="n">
        <x:f>E169+G169</x:f>
        <x:v>0.0884837962962963</x:v>
      </x:c>
      <x:c r="J169" s="131" t="str">
        <x:f>IF(I169=0,"Did not attend",IF(I169&gt;='Read Me'!$E$2/86400,"Fully attended","Partially attended"))</x:f>
        <x:v>Fully attended</x:v>
      </x:c>
      <x:c r="K169" s="131" t="str">
        <x:f>IF($D169="","No",IF(COUNTIF('Attendance Report - Option 1'!$P$11:$P$315,$D169)&gt;0,"Yes","No"))</x:f>
        <x:v>No</x:v>
      </x:c>
      <x:c r="L169" s="131" t="str">
        <x:f>IF($D169="","No",IF(COUNTIF('Attendance Report - Option 2'!$P$11:$P$412,$D169)&gt;0,"Yes","No"))</x:f>
        <x:v>Yes</x:v>
      </x:c>
    </x:row>
    <x:row r="170">
      <x:c r="A170" s="16" t="str">
        <x:f>'EMA Assurance Employee List'!A171</x:f>
        <x:v>Gavin Allagapen</x:v>
      </x:c>
      <x:c r="B170" s="16" t="str">
        <x:f>IF(C170="KE","Kenya",IF(C170="UG","Uganda",IF(C170="MU","Mauritius",IF(C170="TZ","Tanzania",IF(C170="RW","Rwanda",IF(C170="ZA","South Africa",IF(C170="ZM","Zambia","")))))))</x:f>
        <x:v>Mauritius</x:v>
      </x:c>
      <x:c r="C170" s="16" t="str">
        <x:f>'EMA Assurance Employee List'!B171</x:f>
        <x:v>MU</x:v>
      </x:c>
      <x:c r="D170" s="16" t="str">
        <x:f>'EMA Assurance Employee List'!D171</x:f>
        <x:v>gavin.allagapen@pwc.com</x:v>
      </x:c>
      <x:c r="E170" s="130" t="n">
        <x:f>IF($D170="",0,SUMIF('Attendance Report - Option 1'!$P$11:$P$315,$D170,'Attendance Report - Option 1'!$Q$11:$Q$315)/86400)</x:f>
        <x:v>0</x:v>
      </x:c>
      <x:c r="F170" s="131" t="str">
        <x:f>IF(E170=0,"Did not attend",IF(E170&gt;='Read Me'!$E$2/86400,"Fully attended","Partially attended"))</x:f>
        <x:v>Did not attend</x:v>
      </x:c>
      <x:c r="G170" s="130" t="n">
        <x:f>IF($D170="",0,SUMIF('Attendance Report - Option 2'!$P$11:$P$412,$D170,'Attendance Report - Option 2'!$Q$11:$Q$412)/86400)</x:f>
        <x:v>0.08981481481481482</x:v>
      </x:c>
      <x:c r="H170" s="131" t="str">
        <x:f>IF(G170=0,"Did not attend",IF(G170&gt;='Read Me'!$E$2/86400,"Fully attended","Partially attended"))</x:f>
        <x:v>Fully attended</x:v>
      </x:c>
      <x:c r="I170" s="130" t="n">
        <x:f>E170+G170</x:f>
        <x:v>0.08981481481481482</x:v>
      </x:c>
      <x:c r="J170" s="131" t="str">
        <x:f>IF(I170=0,"Did not attend",IF(I170&gt;='Read Me'!$E$2/86400,"Fully attended","Partially attended"))</x:f>
        <x:v>Fully attended</x:v>
      </x:c>
      <x:c r="K170" s="131" t="str">
        <x:f>IF($D170="","No",IF(COUNTIF('Attendance Report - Option 1'!$P$11:$P$315,$D170)&gt;0,"Yes","No"))</x:f>
        <x:v>No</x:v>
      </x:c>
      <x:c r="L170" s="131" t="str">
        <x:f>IF($D170="","No",IF(COUNTIF('Attendance Report - Option 2'!$P$11:$P$412,$D170)&gt;0,"Yes","No"))</x:f>
        <x:v>Yes</x:v>
      </x:c>
    </x:row>
    <x:row r="171">
      <x:c r="A171" s="16" t="str">
        <x:f>'EMA Assurance Employee List'!A172</x:f>
        <x:v>George Mukupa</x:v>
      </x:c>
      <x:c r="B171" s="16" t="str">
        <x:f>IF(C171="KE","Kenya",IF(C171="UG","Uganda",IF(C171="MU","Mauritius",IF(C171="TZ","Tanzania",IF(C171="RW","Rwanda",IF(C171="ZA","South Africa",IF(C171="ZM","Zambia","")))))))</x:f>
        <x:v>Zambia</x:v>
      </x:c>
      <x:c r="C171" s="16" t="str">
        <x:f>'EMA Assurance Employee List'!B172</x:f>
        <x:v>ZM</x:v>
      </x:c>
      <x:c r="D171" s="16" t="str">
        <x:f>'EMA Assurance Employee List'!D172</x:f>
        <x:v>george.mukupa@pwc.com</x:v>
      </x:c>
      <x:c r="E171" s="130" t="n">
        <x:f>IF($D171="",0,SUMIF('Attendance Report - Option 1'!$P$11:$P$315,$D171,'Attendance Report - Option 1'!$Q$11:$Q$315)/86400)</x:f>
        <x:v>0</x:v>
      </x:c>
      <x:c r="F171" s="131" t="str">
        <x:f>IF(E171=0,"Did not attend",IF(E171&gt;='Read Me'!$E$2/86400,"Fully attended","Partially attended"))</x:f>
        <x:v>Did not attend</x:v>
      </x:c>
      <x:c r="G171" s="130" t="n">
        <x:f>IF($D171="",0,SUMIF('Attendance Report - Option 2'!$P$11:$P$412,$D171,'Attendance Report - Option 2'!$Q$11:$Q$412)/86400)</x:f>
        <x:v>0.08444444444444445</x:v>
      </x:c>
      <x:c r="H171" s="131" t="str">
        <x:f>IF(G171=0,"Did not attend",IF(G171&gt;='Read Me'!$E$2/86400,"Fully attended","Partially attended"))</x:f>
        <x:v>Fully attended</x:v>
      </x:c>
      <x:c r="I171" s="130" t="n">
        <x:f>E171+G171</x:f>
        <x:v>0.08444444444444445</x:v>
      </x:c>
      <x:c r="J171" s="131" t="str">
        <x:f>IF(I171=0,"Did not attend",IF(I171&gt;='Read Me'!$E$2/86400,"Fully attended","Partially attended"))</x:f>
        <x:v>Fully attended</x:v>
      </x:c>
      <x:c r="K171" s="131" t="str">
        <x:f>IF($D171="","No",IF(COUNTIF('Attendance Report - Option 1'!$P$11:$P$315,$D171)&gt;0,"Yes","No"))</x:f>
        <x:v>No</x:v>
      </x:c>
      <x:c r="L171" s="131" t="str">
        <x:f>IF($D171="","No",IF(COUNTIF('Attendance Report - Option 2'!$P$11:$P$412,$D171)&gt;0,"Yes","No"))</x:f>
        <x:v>Yes</x:v>
      </x:c>
    </x:row>
    <x:row r="172">
      <x:c r="A172" s="16" t="str">
        <x:f>'EMA Assurance Employee List'!A173</x:f>
        <x:v>Georgina Mkuchu</x:v>
      </x:c>
      <x:c r="B172" s="16" t="str">
        <x:f>IF(C172="KE","Kenya",IF(C172="UG","Uganda",IF(C172="MU","Mauritius",IF(C172="TZ","Tanzania",IF(C172="RW","Rwanda",IF(C172="ZA","South Africa",IF(C172="ZM","Zambia","")))))))</x:f>
        <x:v>Tanzania</x:v>
      </x:c>
      <x:c r="C172" s="16" t="str">
        <x:f>'EMA Assurance Employee List'!B173</x:f>
        <x:v>TZ</x:v>
      </x:c>
      <x:c r="D172" s="16" t="str">
        <x:f>'EMA Assurance Employee List'!D173</x:f>
        <x:v>georgina.mkuchu@pwc.com</x:v>
      </x:c>
      <x:c r="E172" s="130" t="n">
        <x:f>IF($D172="",0,SUMIF('Attendance Report - Option 1'!$P$11:$P$315,$D172,'Attendance Report - Option 1'!$Q$11:$Q$315)/86400)</x:f>
        <x:v>0.08716435185185185</x:v>
      </x:c>
      <x:c r="F172" s="131" t="str">
        <x:f>IF(E172=0,"Did not attend",IF(E172&gt;='Read Me'!$E$2/86400,"Fully attended","Partially attended"))</x:f>
        <x:v>Fully attended</x:v>
      </x:c>
      <x:c r="G172" s="130" t="n">
        <x:f>IF($D172="",0,SUMIF('Attendance Report - Option 2'!$P$11:$P$412,$D172,'Attendance Report - Option 2'!$Q$11:$Q$412)/86400)</x:f>
        <x:v>0.05282407407407407</x:v>
      </x:c>
      <x:c r="H172" s="131" t="str">
        <x:f>IF(G172=0,"Did not attend",IF(G172&gt;='Read Me'!$E$2/86400,"Fully attended","Partially attended"))</x:f>
        <x:v>Partially attended</x:v>
      </x:c>
      <x:c r="I172" s="130" t="n">
        <x:f>E172+G172</x:f>
        <x:v>0.13998842592592592</x:v>
      </x:c>
      <x:c r="J172" s="131" t="str">
        <x:f>IF(I172=0,"Did not attend",IF(I172&gt;='Read Me'!$E$2/86400,"Fully attended","Partially attended"))</x:f>
        <x:v>Fully attended</x:v>
      </x:c>
      <x:c r="K172" s="131" t="str">
        <x:f>IF($D172="","No",IF(COUNTIF('Attendance Report - Option 1'!$P$11:$P$315,$D172)&gt;0,"Yes","No"))</x:f>
        <x:v>Yes</x:v>
      </x:c>
      <x:c r="L172" s="131" t="str">
        <x:f>IF($D172="","No",IF(COUNTIF('Attendance Report - Option 2'!$P$11:$P$412,$D172)&gt;0,"Yes","No"))</x:f>
        <x:v>Yes</x:v>
      </x:c>
    </x:row>
    <x:row r="173">
      <x:c r="A173" s="16" t="str">
        <x:f>'EMA Assurance Employee List'!A174</x:f>
        <x:v>Gerald Aheebwa</x:v>
      </x:c>
      <x:c r="B173" s="16" t="str">
        <x:f>IF(C173="KE","Kenya",IF(C173="UG","Uganda",IF(C173="MU","Mauritius",IF(C173="TZ","Tanzania",IF(C173="RW","Rwanda",IF(C173="ZA","South Africa",IF(C173="ZM","Zambia","")))))))</x:f>
        <x:v>Uganda</x:v>
      </x:c>
      <x:c r="C173" s="16" t="str">
        <x:f>'EMA Assurance Employee List'!B174</x:f>
        <x:v>UG</x:v>
      </x:c>
      <x:c r="D173" s="16" t="str">
        <x:f>'EMA Assurance Employee List'!D174</x:f>
        <x:v>gerald.aheebwa@pwc.com</x:v>
      </x:c>
      <x:c r="E173" s="130" t="n">
        <x:f>IF($D173="",0,SUMIF('Attendance Report - Option 1'!$P$11:$P$315,$D173,'Attendance Report - Option 1'!$Q$11:$Q$315)/86400)</x:f>
        <x:v>0</x:v>
      </x:c>
      <x:c r="F173" s="131" t="str">
        <x:f>IF(E173=0,"Did not attend",IF(E173&gt;='Read Me'!$E$2/86400,"Fully attended","Partially attended"))</x:f>
        <x:v>Did not attend</x:v>
      </x:c>
      <x:c r="G173" s="130" t="n">
        <x:f>IF($D173="",0,SUMIF('Attendance Report - Option 2'!$P$11:$P$412,$D173,'Attendance Report - Option 2'!$Q$11:$Q$412)/86400)</x:f>
        <x:v>0.08543981481481482</x:v>
      </x:c>
      <x:c r="H173" s="131" t="str">
        <x:f>IF(G173=0,"Did not attend",IF(G173&gt;='Read Me'!$E$2/86400,"Fully attended","Partially attended"))</x:f>
        <x:v>Fully attended</x:v>
      </x:c>
      <x:c r="I173" s="130" t="n">
        <x:f>E173+G173</x:f>
        <x:v>0.08543981481481482</x:v>
      </x:c>
      <x:c r="J173" s="131" t="str">
        <x:f>IF(I173=0,"Did not attend",IF(I173&gt;='Read Me'!$E$2/86400,"Fully attended","Partially attended"))</x:f>
        <x:v>Fully attended</x:v>
      </x:c>
      <x:c r="K173" s="131" t="str">
        <x:f>IF($D173="","No",IF(COUNTIF('Attendance Report - Option 1'!$P$11:$P$315,$D173)&gt;0,"Yes","No"))</x:f>
        <x:v>No</x:v>
      </x:c>
      <x:c r="L173" s="131" t="str">
        <x:f>IF($D173="","No",IF(COUNTIF('Attendance Report - Option 2'!$P$11:$P$412,$D173)&gt;0,"Yes","No"))</x:f>
        <x:v>Yes</x:v>
      </x:c>
    </x:row>
    <x:row r="174">
      <x:c r="A174" s="16" t="str">
        <x:f>'EMA Assurance Employee List'!A175</x:f>
        <x:v>Gillian Elwor</x:v>
      </x:c>
      <x:c r="B174" s="16" t="str">
        <x:f>IF(C174="KE","Kenya",IF(C174="UG","Uganda",IF(C174="MU","Mauritius",IF(C174="TZ","Tanzania",IF(C174="RW","Rwanda",IF(C174="ZA","South Africa",IF(C174="ZM","Zambia","")))))))</x:f>
        <x:v>Uganda</x:v>
      </x:c>
      <x:c r="C174" s="16" t="str">
        <x:f>'EMA Assurance Employee List'!B175</x:f>
        <x:v>UG</x:v>
      </x:c>
      <x:c r="D174" s="16" t="str">
        <x:f>'EMA Assurance Employee List'!D175</x:f>
        <x:v>gillian.elwor@pwc.com</x:v>
      </x:c>
      <x:c r="E174" s="130" t="n">
        <x:f>IF($D174="",0,SUMIF('Attendance Report - Option 1'!$P$11:$P$315,$D174,'Attendance Report - Option 1'!$Q$11:$Q$315)/86400)</x:f>
        <x:v>0</x:v>
      </x:c>
      <x:c r="F174" s="131" t="str">
        <x:f>IF(E174=0,"Did not attend",IF(E174&gt;='Read Me'!$E$2/86400,"Fully attended","Partially attended"))</x:f>
        <x:v>Did not attend</x:v>
      </x:c>
      <x:c r="G174" s="130" t="n">
        <x:f>IF($D174="",0,SUMIF('Attendance Report - Option 2'!$P$11:$P$412,$D174,'Attendance Report - Option 2'!$Q$11:$Q$412)/86400)</x:f>
        <x:v>0.08497685185185185</x:v>
      </x:c>
      <x:c r="H174" s="131" t="str">
        <x:f>IF(G174=0,"Did not attend",IF(G174&gt;='Read Me'!$E$2/86400,"Fully attended","Partially attended"))</x:f>
        <x:v>Fully attended</x:v>
      </x:c>
      <x:c r="I174" s="130" t="n">
        <x:f>E174+G174</x:f>
        <x:v>0.08497685185185185</x:v>
      </x:c>
      <x:c r="J174" s="131" t="str">
        <x:f>IF(I174=0,"Did not attend",IF(I174&gt;='Read Me'!$E$2/86400,"Fully attended","Partially attended"))</x:f>
        <x:v>Fully attended</x:v>
      </x:c>
      <x:c r="K174" s="131" t="str">
        <x:f>IF($D174="","No",IF(COUNTIF('Attendance Report - Option 1'!$P$11:$P$315,$D174)&gt;0,"Yes","No"))</x:f>
        <x:v>No</x:v>
      </x:c>
      <x:c r="L174" s="131" t="str">
        <x:f>IF($D174="","No",IF(COUNTIF('Attendance Report - Option 2'!$P$11:$P$412,$D174)&gt;0,"Yes","No"))</x:f>
        <x:v>Yes</x:v>
      </x:c>
    </x:row>
    <x:row r="175">
      <x:c r="A175" s="16" t="str">
        <x:f>'EMA Assurance Employee List'!A176</x:f>
        <x:v>Girish Balchurn</x:v>
      </x:c>
      <x:c r="B175" s="16" t="str">
        <x:f>IF(C175="KE","Kenya",IF(C175="UG","Uganda",IF(C175="MU","Mauritius",IF(C175="TZ","Tanzania",IF(C175="RW","Rwanda",IF(C175="ZA","South Africa",IF(C175="ZM","Zambia","")))))))</x:f>
        <x:v>Mauritius</x:v>
      </x:c>
      <x:c r="C175" s="16" t="str">
        <x:f>'EMA Assurance Employee List'!B176</x:f>
        <x:v>MU</x:v>
      </x:c>
      <x:c r="D175" s="16" t="str">
        <x:f>'EMA Assurance Employee List'!D176</x:f>
        <x:v>girish.balchurn@pwc.com</x:v>
      </x:c>
      <x:c r="E175" s="130" t="n">
        <x:f>IF($D175="",0,SUMIF('Attendance Report - Option 1'!$P$11:$P$315,$D175,'Attendance Report - Option 1'!$Q$11:$Q$315)/86400)</x:f>
        <x:v>0.050555555555555555</x:v>
      </x:c>
      <x:c r="F175" s="131" t="str">
        <x:f>IF(E175=0,"Did not attend",IF(E175&gt;='Read Me'!$E$2/86400,"Fully attended","Partially attended"))</x:f>
        <x:v>Partially attended</x:v>
      </x:c>
      <x:c r="G175" s="130" t="n">
        <x:f>IF($D175="",0,SUMIF('Attendance Report - Option 2'!$P$11:$P$412,$D175,'Attendance Report - Option 2'!$Q$11:$Q$412)/86400)</x:f>
        <x:v>0.07759259259259259</x:v>
      </x:c>
      <x:c r="H175" s="131" t="str">
        <x:f>IF(G175=0,"Did not attend",IF(G175&gt;='Read Me'!$E$2/86400,"Fully attended","Partially attended"))</x:f>
        <x:v>Fully attended</x:v>
      </x:c>
      <x:c r="I175" s="130" t="n">
        <x:f>E175+G175</x:f>
        <x:v>0.12814814814814815</x:v>
      </x:c>
      <x:c r="J175" s="131" t="str">
        <x:f>IF(I175=0,"Did not attend",IF(I175&gt;='Read Me'!$E$2/86400,"Fully attended","Partially attended"))</x:f>
        <x:v>Fully attended</x:v>
      </x:c>
      <x:c r="K175" s="131" t="str">
        <x:f>IF($D175="","No",IF(COUNTIF('Attendance Report - Option 1'!$P$11:$P$315,$D175)&gt;0,"Yes","No"))</x:f>
        <x:v>Yes</x:v>
      </x:c>
      <x:c r="L175" s="131" t="str">
        <x:f>IF($D175="","No",IF(COUNTIF('Attendance Report - Option 2'!$P$11:$P$412,$D175)&gt;0,"Yes","No"))</x:f>
        <x:v>Yes</x:v>
      </x:c>
    </x:row>
    <x:row r="176">
      <x:c r="A176" s="16" t="str">
        <x:f>'EMA Assurance Employee List'!A177</x:f>
        <x:v>Gisele Ngoga</x:v>
      </x:c>
      <x:c r="B176" s="16" t="str">
        <x:f>IF(C176="KE","Kenya",IF(C176="UG","Uganda",IF(C176="MU","Mauritius",IF(C176="TZ","Tanzania",IF(C176="RW","Rwanda",IF(C176="ZA","South Africa",IF(C176="ZM","Zambia","")))))))</x:f>
        <x:v>Rwanda</x:v>
      </x:c>
      <x:c r="C176" s="16" t="str">
        <x:f>'EMA Assurance Employee List'!B177</x:f>
        <x:v>RW</x:v>
      </x:c>
      <x:c r="D176" s="16" t="str">
        <x:f>'EMA Assurance Employee List'!D177</x:f>
        <x:v>gisele.ngoga@pwc.com</x:v>
      </x:c>
      <x:c r="E176" s="130" t="n">
        <x:f>IF($D176="",0,SUMIF('Attendance Report - Option 1'!$P$11:$P$315,$D176,'Attendance Report - Option 1'!$Q$11:$Q$315)/86400)</x:f>
        <x:v>0.08609953703703704</x:v>
      </x:c>
      <x:c r="F176" s="131" t="str">
        <x:f>IF(E176=0,"Did not attend",IF(E176&gt;='Read Me'!$E$2/86400,"Fully attended","Partially attended"))</x:f>
        <x:v>Fully attended</x:v>
      </x:c>
      <x:c r="G176" s="130" t="n">
        <x:f>IF($D176="",0,SUMIF('Attendance Report - Option 2'!$P$11:$P$412,$D176,'Attendance Report - Option 2'!$Q$11:$Q$412)/86400)</x:f>
        <x:v>0</x:v>
      </x:c>
      <x:c r="H176" s="131" t="str">
        <x:f>IF(G176=0,"Did not attend",IF(G176&gt;='Read Me'!$E$2/86400,"Fully attended","Partially attended"))</x:f>
        <x:v>Did not attend</x:v>
      </x:c>
      <x:c r="I176" s="130" t="n">
        <x:f>E176+G176</x:f>
        <x:v>0.08609953703703704</x:v>
      </x:c>
      <x:c r="J176" s="131" t="str">
        <x:f>IF(I176=0,"Did not attend",IF(I176&gt;='Read Me'!$E$2/86400,"Fully attended","Partially attended"))</x:f>
        <x:v>Fully attended</x:v>
      </x:c>
      <x:c r="K176" s="131" t="str">
        <x:f>IF($D176="","No",IF(COUNTIF('Attendance Report - Option 1'!$P$11:$P$315,$D176)&gt;0,"Yes","No"))</x:f>
        <x:v>Yes</x:v>
      </x:c>
      <x:c r="L176" s="131" t="str">
        <x:f>IF($D176="","No",IF(COUNTIF('Attendance Report - Option 2'!$P$11:$P$412,$D176)&gt;0,"Yes","No"))</x:f>
        <x:v>No</x:v>
      </x:c>
    </x:row>
    <x:row r="177">
      <x:c r="A177" s="16" t="str">
        <x:f>'EMA Assurance Employee List'!A178</x:f>
        <x:v>Godbless Kafimbi</x:v>
      </x:c>
      <x:c r="B177" s="16" t="str">
        <x:f>IF(C177="KE","Kenya",IF(C177="UG","Uganda",IF(C177="MU","Mauritius",IF(C177="TZ","Tanzania",IF(C177="RW","Rwanda",IF(C177="ZA","South Africa",IF(C177="ZM","Zambia","")))))))</x:f>
        <x:v>Tanzania</x:v>
      </x:c>
      <x:c r="C177" s="16" t="str">
        <x:f>'EMA Assurance Employee List'!B178</x:f>
        <x:v>TZ</x:v>
      </x:c>
      <x:c r="D177" s="16" t="str">
        <x:f>'EMA Assurance Employee List'!D178</x:f>
        <x:v>godbless.kafimbi@pwc.com</x:v>
      </x:c>
      <x:c r="E177" s="130" t="n">
        <x:f>IF($D177="",0,SUMIF('Attendance Report - Option 1'!$P$11:$P$315,$D177,'Attendance Report - Option 1'!$Q$11:$Q$315)/86400)</x:f>
        <x:v>0</x:v>
      </x:c>
      <x:c r="F177" s="131" t="str">
        <x:f>IF(E177=0,"Did not attend",IF(E177&gt;='Read Me'!$E$2/86400,"Fully attended","Partially attended"))</x:f>
        <x:v>Did not attend</x:v>
      </x:c>
      <x:c r="G177" s="130" t="n">
        <x:f>IF($D177="",0,SUMIF('Attendance Report - Option 2'!$P$11:$P$412,$D177,'Attendance Report - Option 2'!$Q$11:$Q$412)/86400)</x:f>
        <x:v>0.06081018518518518</x:v>
      </x:c>
      <x:c r="H177" s="131" t="str">
        <x:f>IF(G177=0,"Did not attend",IF(G177&gt;='Read Me'!$E$2/86400,"Fully attended","Partially attended"))</x:f>
        <x:v>Partially attended</x:v>
      </x:c>
      <x:c r="I177" s="130" t="n">
        <x:f>E177+G177</x:f>
        <x:v>0.06081018518518518</x:v>
      </x:c>
      <x:c r="J177" s="131" t="str">
        <x:f>IF(I177=0,"Did not attend",IF(I177&gt;='Read Me'!$E$2/86400,"Fully attended","Partially attended"))</x:f>
        <x:v>Partially attended</x:v>
      </x:c>
      <x:c r="K177" s="131" t="str">
        <x:f>IF($D177="","No",IF(COUNTIF('Attendance Report - Option 1'!$P$11:$P$315,$D177)&gt;0,"Yes","No"))</x:f>
        <x:v>No</x:v>
      </x:c>
      <x:c r="L177" s="131" t="str">
        <x:f>IF($D177="","No",IF(COUNTIF('Attendance Report - Option 2'!$P$11:$P$412,$D177)&gt;0,"Yes","No"))</x:f>
        <x:v>Yes</x:v>
      </x:c>
    </x:row>
    <x:row r="178">
      <x:c r="A178" s="16" t="str">
        <x:f>'EMA Assurance Employee List'!A179</x:f>
        <x:v>Godfrey Kizza</x:v>
      </x:c>
      <x:c r="B178" s="16" t="str">
        <x:f>IF(C178="KE","Kenya",IF(C178="UG","Uganda",IF(C178="MU","Mauritius",IF(C178="TZ","Tanzania",IF(C178="RW","Rwanda",IF(C178="ZA","South Africa",IF(C178="ZM","Zambia","")))))))</x:f>
        <x:v>Uganda</x:v>
      </x:c>
      <x:c r="C178" s="16" t="str">
        <x:f>'EMA Assurance Employee List'!B179</x:f>
        <x:v>UG</x:v>
      </x:c>
      <x:c r="D178" s="16" t="str">
        <x:f>'EMA Assurance Employee List'!D179</x:f>
        <x:v>godfrey.kizza@pwc.com</x:v>
      </x:c>
      <x:c r="E178" s="130" t="n">
        <x:f>IF($D178="",0,SUMIF('Attendance Report - Option 1'!$P$11:$P$315,$D178,'Attendance Report - Option 1'!$Q$11:$Q$315)/86400)</x:f>
        <x:v>0.061168981481481484</x:v>
      </x:c>
      <x:c r="F178" s="131" t="str">
        <x:f>IF(E178=0,"Did not attend",IF(E178&gt;='Read Me'!$E$2/86400,"Fully attended","Partially attended"))</x:f>
        <x:v>Partially attended</x:v>
      </x:c>
      <x:c r="G178" s="130" t="n">
        <x:f>IF($D178="",0,SUMIF('Attendance Report - Option 2'!$P$11:$P$412,$D178,'Attendance Report - Option 2'!$Q$11:$Q$412)/86400)</x:f>
        <x:v>0.08092592592592593</x:v>
      </x:c>
      <x:c r="H178" s="131" t="str">
        <x:f>IF(G178=0,"Did not attend",IF(G178&gt;='Read Me'!$E$2/86400,"Fully attended","Partially attended"))</x:f>
        <x:v>Fully attended</x:v>
      </x:c>
      <x:c r="I178" s="130" t="n">
        <x:f>E178+G178</x:f>
        <x:v>0.1420949074074074</x:v>
      </x:c>
      <x:c r="J178" s="131" t="str">
        <x:f>IF(I178=0,"Did not attend",IF(I178&gt;='Read Me'!$E$2/86400,"Fully attended","Partially attended"))</x:f>
        <x:v>Fully attended</x:v>
      </x:c>
      <x:c r="K178" s="131" t="str">
        <x:f>IF($D178="","No",IF(COUNTIF('Attendance Report - Option 1'!$P$11:$P$315,$D178)&gt;0,"Yes","No"))</x:f>
        <x:v>Yes</x:v>
      </x:c>
      <x:c r="L178" s="131" t="str">
        <x:f>IF($D178="","No",IF(COUNTIF('Attendance Report - Option 2'!$P$11:$P$412,$D178)&gt;0,"Yes","No"))</x:f>
        <x:v>Yes</x:v>
      </x:c>
    </x:row>
    <x:row r="179">
      <x:c r="A179" s="16" t="str">
        <x:f>'EMA Assurance Employee List'!A180</x:f>
        <x:v>Golder Kamuzora</x:v>
      </x:c>
      <x:c r="B179" s="16" t="str">
        <x:f>IF(C179="KE","Kenya",IF(C179="UG","Uganda",IF(C179="MU","Mauritius",IF(C179="TZ","Tanzania",IF(C179="RW","Rwanda",IF(C179="ZA","South Africa",IF(C179="ZM","Zambia","")))))))</x:f>
        <x:v>Tanzania</x:v>
      </x:c>
      <x:c r="C179" s="16" t="str">
        <x:f>'EMA Assurance Employee List'!B180</x:f>
        <x:v>TZ</x:v>
      </x:c>
      <x:c r="D179" s="16" t="str">
        <x:f>'EMA Assurance Employee List'!D180</x:f>
        <x:v>golder.k.kamuzora@pwc.com</x:v>
      </x:c>
      <x:c r="E179" s="130" t="n">
        <x:f>IF($D179="",0,SUMIF('Attendance Report - Option 1'!$P$11:$P$315,$D179,'Attendance Report - Option 1'!$Q$11:$Q$315)/86400)</x:f>
        <x:v>0.07686342592592593</x:v>
      </x:c>
      <x:c r="F179" s="131" t="str">
        <x:f>IF(E179=0,"Did not attend",IF(E179&gt;='Read Me'!$E$2/86400,"Fully attended","Partially attended"))</x:f>
        <x:v>Fully attended</x:v>
      </x:c>
      <x:c r="G179" s="130" t="n">
        <x:f>IF($D179="",0,SUMIF('Attendance Report - Option 2'!$P$11:$P$412,$D179,'Attendance Report - Option 2'!$Q$11:$Q$412)/86400)</x:f>
        <x:v>0</x:v>
      </x:c>
      <x:c r="H179" s="131" t="str">
        <x:f>IF(G179=0,"Did not attend",IF(G179&gt;='Read Me'!$E$2/86400,"Fully attended","Partially attended"))</x:f>
        <x:v>Did not attend</x:v>
      </x:c>
      <x:c r="I179" s="130" t="n">
        <x:f>E179+G179</x:f>
        <x:v>0.07686342592592593</x:v>
      </x:c>
      <x:c r="J179" s="131" t="str">
        <x:f>IF(I179=0,"Did not attend",IF(I179&gt;='Read Me'!$E$2/86400,"Fully attended","Partially attended"))</x:f>
        <x:v>Fully attended</x:v>
      </x:c>
      <x:c r="K179" s="131" t="str">
        <x:f>IF($D179="","No",IF(COUNTIF('Attendance Report - Option 1'!$P$11:$P$315,$D179)&gt;0,"Yes","No"))</x:f>
        <x:v>Yes</x:v>
      </x:c>
      <x:c r="L179" s="131" t="str">
        <x:f>IF($D179="","No",IF(COUNTIF('Attendance Report - Option 2'!$P$11:$P$412,$D179)&gt;0,"Yes","No"))</x:f>
        <x:v>No</x:v>
      </x:c>
    </x:row>
    <x:row r="180">
      <x:c r="A180" s="16" t="str">
        <x:f>'EMA Assurance Employee List'!A181</x:f>
        <x:v>Grace Kinyanjui</x:v>
      </x:c>
      <x:c r="B180" s="16" t="str">
        <x:f>IF(C180="KE","Kenya",IF(C180="UG","Uganda",IF(C180="MU","Mauritius",IF(C180="TZ","Tanzania",IF(C180="RW","Rwanda",IF(C180="ZA","South Africa",IF(C180="ZM","Zambia","")))))))</x:f>
        <x:v>Kenya</x:v>
      </x:c>
      <x:c r="C180" s="16" t="str">
        <x:f>'EMA Assurance Employee List'!B181</x:f>
        <x:v>KE</x:v>
      </x:c>
      <x:c r="D180" s="16" t="str">
        <x:f>'EMA Assurance Employee List'!D181</x:f>
        <x:v>grace.kinyanjui@pwc.com</x:v>
      </x:c>
      <x:c r="E180" s="130" t="n">
        <x:f>IF($D180="",0,SUMIF('Attendance Report - Option 1'!$P$11:$P$315,$D180,'Attendance Report - Option 1'!$Q$11:$Q$315)/86400)</x:f>
        <x:v>0.08094907407407408</x:v>
      </x:c>
      <x:c r="F180" s="131" t="str">
        <x:f>IF(E180=0,"Did not attend",IF(E180&gt;='Read Me'!$E$2/86400,"Fully attended","Partially attended"))</x:f>
        <x:v>Fully attended</x:v>
      </x:c>
      <x:c r="G180" s="130" t="n">
        <x:f>IF($D180="",0,SUMIF('Attendance Report - Option 2'!$P$11:$P$412,$D180,'Attendance Report - Option 2'!$Q$11:$Q$412)/86400)</x:f>
        <x:v>0</x:v>
      </x:c>
      <x:c r="H180" s="131" t="str">
        <x:f>IF(G180=0,"Did not attend",IF(G180&gt;='Read Me'!$E$2/86400,"Fully attended","Partially attended"))</x:f>
        <x:v>Did not attend</x:v>
      </x:c>
      <x:c r="I180" s="130" t="n">
        <x:f>E180+G180</x:f>
        <x:v>0.08094907407407408</x:v>
      </x:c>
      <x:c r="J180" s="131" t="str">
        <x:f>IF(I180=0,"Did not attend",IF(I180&gt;='Read Me'!$E$2/86400,"Fully attended","Partially attended"))</x:f>
        <x:v>Fully attended</x:v>
      </x:c>
      <x:c r="K180" s="131" t="str">
        <x:f>IF($D180="","No",IF(COUNTIF('Attendance Report - Option 1'!$P$11:$P$315,$D180)&gt;0,"Yes","No"))</x:f>
        <x:v>Yes</x:v>
      </x:c>
      <x:c r="L180" s="131" t="str">
        <x:f>IF($D180="","No",IF(COUNTIF('Attendance Report - Option 2'!$P$11:$P$412,$D180)&gt;0,"Yes","No"))</x:f>
        <x:v>No</x:v>
      </x:c>
    </x:row>
    <x:row r="181">
      <x:c r="A181" s="16" t="str">
        <x:f>'EMA Assurance Employee List'!A182</x:f>
        <x:v>Grace Nalwanga</x:v>
      </x:c>
      <x:c r="B181" s="16" t="str">
        <x:f>IF(C181="KE","Kenya",IF(C181="UG","Uganda",IF(C181="MU","Mauritius",IF(C181="TZ","Tanzania",IF(C181="RW","Rwanda",IF(C181="ZA","South Africa",IF(C181="ZM","Zambia","")))))))</x:f>
        <x:v>Uganda</x:v>
      </x:c>
      <x:c r="C181" s="16" t="str">
        <x:f>'EMA Assurance Employee List'!B182</x:f>
        <x:v>UG</x:v>
      </x:c>
      <x:c r="D181" s="16" t="str">
        <x:f>'EMA Assurance Employee List'!D182</x:f>
        <x:v>grace.nalwanga@pwc.com</x:v>
      </x:c>
      <x:c r="E181" s="130" t="n">
        <x:f>IF($D181="",0,SUMIF('Attendance Report - Option 1'!$P$11:$P$315,$D181,'Attendance Report - Option 1'!$Q$11:$Q$315)/86400)</x:f>
        <x:v>0</x:v>
      </x:c>
      <x:c r="F181" s="131" t="str">
        <x:f>IF(E181=0,"Did not attend",IF(E181&gt;='Read Me'!$E$2/86400,"Fully attended","Partially attended"))</x:f>
        <x:v>Did not attend</x:v>
      </x:c>
      <x:c r="G181" s="130" t="n">
        <x:f>IF($D181="",0,SUMIF('Attendance Report - Option 2'!$P$11:$P$412,$D181,'Attendance Report - Option 2'!$Q$11:$Q$412)/86400)</x:f>
        <x:v>0.07423611111111111</x:v>
      </x:c>
      <x:c r="H181" s="131" t="str">
        <x:f>IF(G181=0,"Did not attend",IF(G181&gt;='Read Me'!$E$2/86400,"Fully attended","Partially attended"))</x:f>
        <x:v>Fully attended</x:v>
      </x:c>
      <x:c r="I181" s="130" t="n">
        <x:f>E181+G181</x:f>
        <x:v>0.07423611111111111</x:v>
      </x:c>
      <x:c r="J181" s="131" t="str">
        <x:f>IF(I181=0,"Did not attend",IF(I181&gt;='Read Me'!$E$2/86400,"Fully attended","Partially attended"))</x:f>
        <x:v>Fully attended</x:v>
      </x:c>
      <x:c r="K181" s="131" t="str">
        <x:f>IF($D181="","No",IF(COUNTIF('Attendance Report - Option 1'!$P$11:$P$315,$D181)&gt;0,"Yes","No"))</x:f>
        <x:v>No</x:v>
      </x:c>
      <x:c r="L181" s="131" t="str">
        <x:f>IF($D181="","No",IF(COUNTIF('Attendance Report - Option 2'!$P$11:$P$412,$D181)&gt;0,"Yes","No"))</x:f>
        <x:v>Yes</x:v>
      </x:c>
    </x:row>
    <x:row r="182">
      <x:c r="A182" s="16" t="str">
        <x:f>'EMA Assurance Employee List'!A183</x:f>
        <x:v>Grace Namatovu</x:v>
      </x:c>
      <x:c r="B182" s="16" t="str">
        <x:f>IF(C182="KE","Kenya",IF(C182="UG","Uganda",IF(C182="MU","Mauritius",IF(C182="TZ","Tanzania",IF(C182="RW","Rwanda",IF(C182="ZA","South Africa",IF(C182="ZM","Zambia","")))))))</x:f>
        <x:v>Uganda</x:v>
      </x:c>
      <x:c r="C182" s="16" t="str">
        <x:f>'EMA Assurance Employee List'!B183</x:f>
        <x:v>UG</x:v>
      </x:c>
      <x:c r="D182" s="16" t="str">
        <x:f>'EMA Assurance Employee List'!D183</x:f>
        <x:v>grace.namatovu@pwc.com</x:v>
      </x:c>
      <x:c r="E182" s="130" t="n">
        <x:f>IF($D182="",0,SUMIF('Attendance Report - Option 1'!$P$11:$P$315,$D182,'Attendance Report - Option 1'!$Q$11:$Q$315)/86400)</x:f>
        <x:v>0</x:v>
      </x:c>
      <x:c r="F182" s="131" t="str">
        <x:f>IF(E182=0,"Did not attend",IF(E182&gt;='Read Me'!$E$2/86400,"Fully attended","Partially attended"))</x:f>
        <x:v>Did not attend</x:v>
      </x:c>
      <x:c r="G182" s="130" t="n">
        <x:f>IF($D182="",0,SUMIF('Attendance Report - Option 2'!$P$11:$P$412,$D182,'Attendance Report - Option 2'!$Q$11:$Q$412)/86400)</x:f>
        <x:v>0.03607638888888889</x:v>
      </x:c>
      <x:c r="H182" s="131" t="str">
        <x:f>IF(G182=0,"Did not attend",IF(G182&gt;='Read Me'!$E$2/86400,"Fully attended","Partially attended"))</x:f>
        <x:v>Partially attended</x:v>
      </x:c>
      <x:c r="I182" s="130" t="n">
        <x:f>E182+G182</x:f>
        <x:v>0.03607638888888889</x:v>
      </x:c>
      <x:c r="J182" s="131" t="str">
        <x:f>IF(I182=0,"Did not attend",IF(I182&gt;='Read Me'!$E$2/86400,"Fully attended","Partially attended"))</x:f>
        <x:v>Partially attended</x:v>
      </x:c>
      <x:c r="K182" s="131" t="str">
        <x:f>IF($D182="","No",IF(COUNTIF('Attendance Report - Option 1'!$P$11:$P$315,$D182)&gt;0,"Yes","No"))</x:f>
        <x:v>No</x:v>
      </x:c>
      <x:c r="L182" s="131" t="str">
        <x:f>IF($D182="","No",IF(COUNTIF('Attendance Report - Option 2'!$P$11:$P$412,$D182)&gt;0,"Yes","No"))</x:f>
        <x:v>Yes</x:v>
      </x:c>
    </x:row>
    <x:row r="183">
      <x:c r="A183" s="16" t="str">
        <x:f>'EMA Assurance Employee List'!A184</x:f>
        <x:v>Grace Ndhlovu</x:v>
      </x:c>
      <x:c r="B183" s="16" t="str">
        <x:f>IF(C183="KE","Kenya",IF(C183="UG","Uganda",IF(C183="MU","Mauritius",IF(C183="TZ","Tanzania",IF(C183="RW","Rwanda",IF(C183="ZA","South Africa",IF(C183="ZM","Zambia","")))))))</x:f>
        <x:v>Zambia</x:v>
      </x:c>
      <x:c r="C183" s="16" t="str">
        <x:f>'EMA Assurance Employee List'!B184</x:f>
        <x:v>ZM</x:v>
      </x:c>
      <x:c r="D183" s="16" t="str">
        <x:f>'EMA Assurance Employee List'!D184</x:f>
        <x:v>grace.n.ndhlovu@pwc.com</x:v>
      </x:c>
      <x:c r="E183" s="130" t="n">
        <x:f>IF($D183="",0,SUMIF('Attendance Report - Option 1'!$P$11:$P$315,$D183,'Attendance Report - Option 1'!$Q$11:$Q$315)/86400)</x:f>
        <x:v>0.07377314814814814</x:v>
      </x:c>
      <x:c r="F183" s="131" t="str">
        <x:f>IF(E183=0,"Did not attend",IF(E183&gt;='Read Me'!$E$2/86400,"Fully attended","Partially attended"))</x:f>
        <x:v>Fully attended</x:v>
      </x:c>
      <x:c r="G183" s="130" t="n">
        <x:f>IF($D183="",0,SUMIF('Attendance Report - Option 2'!$P$11:$P$412,$D183,'Attendance Report - Option 2'!$Q$11:$Q$412)/86400)</x:f>
        <x:v>0</x:v>
      </x:c>
      <x:c r="H183" s="131" t="str">
        <x:f>IF(G183=0,"Did not attend",IF(G183&gt;='Read Me'!$E$2/86400,"Fully attended","Partially attended"))</x:f>
        <x:v>Did not attend</x:v>
      </x:c>
      <x:c r="I183" s="130" t="n">
        <x:f>E183+G183</x:f>
        <x:v>0.07377314814814814</x:v>
      </x:c>
      <x:c r="J183" s="131" t="str">
        <x:f>IF(I183=0,"Did not attend",IF(I183&gt;='Read Me'!$E$2/86400,"Fully attended","Partially attended"))</x:f>
        <x:v>Fully attended</x:v>
      </x:c>
      <x:c r="K183" s="131" t="str">
        <x:f>IF($D183="","No",IF(COUNTIF('Attendance Report - Option 1'!$P$11:$P$315,$D183)&gt;0,"Yes","No"))</x:f>
        <x:v>Yes</x:v>
      </x:c>
      <x:c r="L183" s="131" t="str">
        <x:f>IF($D183="","No",IF(COUNTIF('Attendance Report - Option 2'!$P$11:$P$412,$D183)&gt;0,"Yes","No"))</x:f>
        <x:v>No</x:v>
      </x:c>
    </x:row>
    <x:row r="184">
      <x:c r="A184" s="16" t="str">
        <x:f>'EMA Assurance Employee List'!A185</x:f>
        <x:v>Gregory Lallman</x:v>
      </x:c>
      <x:c r="B184" s="16" t="str">
        <x:f>IF(C184="KE","Kenya",IF(C184="UG","Uganda",IF(C184="MU","Mauritius",IF(C184="TZ","Tanzania",IF(C184="RW","Rwanda",IF(C184="ZA","South Africa",IF(C184="ZM","Zambia","")))))))</x:f>
        <x:v>Mauritius</x:v>
      </x:c>
      <x:c r="C184" s="16" t="str">
        <x:f>'EMA Assurance Employee List'!B185</x:f>
        <x:v>MU</x:v>
      </x:c>
      <x:c r="D184" s="16" t="str">
        <x:f>'EMA Assurance Employee List'!D185</x:f>
        <x:v>gregory.lallman@pwc.com</x:v>
      </x:c>
      <x:c r="E184" s="130" t="n">
        <x:f>IF($D184="",0,SUMIF('Attendance Report - Option 1'!$P$11:$P$315,$D184,'Attendance Report - Option 1'!$Q$11:$Q$315)/86400)</x:f>
        <x:v>0</x:v>
      </x:c>
      <x:c r="F184" s="131" t="str">
        <x:f>IF(E184=0,"Did not attend",IF(E184&gt;='Read Me'!$E$2/86400,"Fully attended","Partially attended"))</x:f>
        <x:v>Did not attend</x:v>
      </x:c>
      <x:c r="G184" s="130" t="n">
        <x:f>IF($D184="",0,SUMIF('Attendance Report - Option 2'!$P$11:$P$412,$D184,'Attendance Report - Option 2'!$Q$11:$Q$412)/86400)</x:f>
        <x:v>0.06600694444444444</x:v>
      </x:c>
      <x:c r="H184" s="131" t="str">
        <x:f>IF(G184=0,"Did not attend",IF(G184&gt;='Read Me'!$E$2/86400,"Fully attended","Partially attended"))</x:f>
        <x:v>Fully attended</x:v>
      </x:c>
      <x:c r="I184" s="130" t="n">
        <x:f>E184+G184</x:f>
        <x:v>0.06600694444444444</x:v>
      </x:c>
      <x:c r="J184" s="131" t="str">
        <x:f>IF(I184=0,"Did not attend",IF(I184&gt;='Read Me'!$E$2/86400,"Fully attended","Partially attended"))</x:f>
        <x:v>Fully attended</x:v>
      </x:c>
      <x:c r="K184" s="131" t="str">
        <x:f>IF($D184="","No",IF(COUNTIF('Attendance Report - Option 1'!$P$11:$P$315,$D184)&gt;0,"Yes","No"))</x:f>
        <x:v>No</x:v>
      </x:c>
      <x:c r="L184" s="131" t="str">
        <x:f>IF($D184="","No",IF(COUNTIF('Attendance Report - Option 2'!$P$11:$P$412,$D184)&gt;0,"Yes","No"))</x:f>
        <x:v>Yes</x:v>
      </x:c>
    </x:row>
    <x:row r="185">
      <x:c r="A185" s="16" t="str">
        <x:f>'EMA Assurance Employee List'!A186</x:f>
        <x:v>Griffin Erasmus</x:v>
      </x:c>
      <x:c r="B185" s="16" t="str">
        <x:f>IF(C185="KE","Kenya",IF(C185="UG","Uganda",IF(C185="MU","Mauritius",IF(C185="TZ","Tanzania",IF(C185="RW","Rwanda",IF(C185="ZA","South Africa",IF(C185="ZM","Zambia","")))))))</x:f>
        <x:v>Tanzania</x:v>
      </x:c>
      <x:c r="C185" s="16" t="str">
        <x:f>'EMA Assurance Employee List'!B186</x:f>
        <x:v>TZ</x:v>
      </x:c>
      <x:c r="D185" s="16" t="str">
        <x:f>'EMA Assurance Employee List'!D186</x:f>
        <x:v>griffin.erasmus@pwc.com</x:v>
      </x:c>
      <x:c r="E185" s="130" t="n">
        <x:f>IF($D185="",0,SUMIF('Attendance Report - Option 1'!$P$11:$P$315,$D185,'Attendance Report - Option 1'!$Q$11:$Q$315)/86400)</x:f>
        <x:v>0.11747685185185185</x:v>
      </x:c>
      <x:c r="F185" s="131" t="str">
        <x:f>IF(E185=0,"Did not attend",IF(E185&gt;='Read Me'!$E$2/86400,"Fully attended","Partially attended"))</x:f>
        <x:v>Fully attended</x:v>
      </x:c>
      <x:c r="G185" s="130" t="n">
        <x:f>IF($D185="",0,SUMIF('Attendance Report - Option 2'!$P$11:$P$412,$D185,'Attendance Report - Option 2'!$Q$11:$Q$412)/86400)</x:f>
        <x:v>0</x:v>
      </x:c>
      <x:c r="H185" s="131" t="str">
        <x:f>IF(G185=0,"Did not attend",IF(G185&gt;='Read Me'!$E$2/86400,"Fully attended","Partially attended"))</x:f>
        <x:v>Did not attend</x:v>
      </x:c>
      <x:c r="I185" s="130" t="n">
        <x:f>E185+G185</x:f>
        <x:v>0.11747685185185185</x:v>
      </x:c>
      <x:c r="J185" s="131" t="str">
        <x:f>IF(I185=0,"Did not attend",IF(I185&gt;='Read Me'!$E$2/86400,"Fully attended","Partially attended"))</x:f>
        <x:v>Fully attended</x:v>
      </x:c>
      <x:c r="K185" s="131" t="str">
        <x:f>IF($D185="","No",IF(COUNTIF('Attendance Report - Option 1'!$P$11:$P$315,$D185)&gt;0,"Yes","No"))</x:f>
        <x:v>Yes</x:v>
      </x:c>
      <x:c r="L185" s="131" t="str">
        <x:f>IF($D185="","No",IF(COUNTIF('Attendance Report - Option 2'!$P$11:$P$412,$D185)&gt;0,"Yes","No"))</x:f>
        <x:v>No</x:v>
      </x:c>
    </x:row>
    <x:row r="186">
      <x:c r="A186" s="16" t="str">
        <x:f>'EMA Assurance Employee List'!A187</x:f>
        <x:v>Hadija Chivugo</x:v>
      </x:c>
      <x:c r="B186" s="16" t="str">
        <x:f>IF(C186="KE","Kenya",IF(C186="UG","Uganda",IF(C186="MU","Mauritius",IF(C186="TZ","Tanzania",IF(C186="RW","Rwanda",IF(C186="ZA","South Africa",IF(C186="ZM","Zambia","")))))))</x:f>
        <x:v>Tanzania</x:v>
      </x:c>
      <x:c r="C186" s="16" t="str">
        <x:f>'EMA Assurance Employee List'!B187</x:f>
        <x:v>TZ</x:v>
      </x:c>
      <x:c r="D186" s="16" t="str">
        <x:f>'EMA Assurance Employee List'!D187</x:f>
        <x:v>hadija.chivugo@pwc.com</x:v>
      </x:c>
      <x:c r="E186" s="130" t="n">
        <x:f>IF($D186="",0,SUMIF('Attendance Report - Option 1'!$P$11:$P$315,$D186,'Attendance Report - Option 1'!$Q$11:$Q$315)/86400)</x:f>
        <x:v>0</x:v>
      </x:c>
      <x:c r="F186" s="131" t="str">
        <x:f>IF(E186=0,"Did not attend",IF(E186&gt;='Read Me'!$E$2/86400,"Fully attended","Partially attended"))</x:f>
        <x:v>Did not attend</x:v>
      </x:c>
      <x:c r="G186" s="130" t="n">
        <x:f>IF($D186="",0,SUMIF('Attendance Report - Option 2'!$P$11:$P$412,$D186,'Attendance Report - Option 2'!$Q$11:$Q$412)/86400)</x:f>
        <x:v>0.07149305555555556</x:v>
      </x:c>
      <x:c r="H186" s="131" t="str">
        <x:f>IF(G186=0,"Did not attend",IF(G186&gt;='Read Me'!$E$2/86400,"Fully attended","Partially attended"))</x:f>
        <x:v>Fully attended</x:v>
      </x:c>
      <x:c r="I186" s="130" t="n">
        <x:f>E186+G186</x:f>
        <x:v>0.07149305555555556</x:v>
      </x:c>
      <x:c r="J186" s="131" t="str">
        <x:f>IF(I186=0,"Did not attend",IF(I186&gt;='Read Me'!$E$2/86400,"Fully attended","Partially attended"))</x:f>
        <x:v>Fully attended</x:v>
      </x:c>
      <x:c r="K186" s="131" t="str">
        <x:f>IF($D186="","No",IF(COUNTIF('Attendance Report - Option 1'!$P$11:$P$315,$D186)&gt;0,"Yes","No"))</x:f>
        <x:v>No</x:v>
      </x:c>
      <x:c r="L186" s="131" t="str">
        <x:f>IF($D186="","No",IF(COUNTIF('Attendance Report - Option 2'!$P$11:$P$412,$D186)&gt;0,"Yes","No"))</x:f>
        <x:v>Yes</x:v>
      </x:c>
    </x:row>
    <x:row r="187">
      <x:c r="A187" s="16" t="str">
        <x:f>'EMA Assurance Employee List'!A188</x:f>
        <x:v>Hannes Jansen Van Rensburg</x:v>
      </x:c>
      <x:c r="B187" s="16" t="str">
        <x:f>IF(C187="KE","Kenya",IF(C187="UG","Uganda",IF(C187="MU","Mauritius",IF(C187="TZ","Tanzania",IF(C187="RW","Rwanda",IF(C187="ZA","South Africa",IF(C187="ZM","Zambia","")))))))</x:f>
        <x:v>Mauritius</x:v>
      </x:c>
      <x:c r="C187" s="16" t="str">
        <x:f>'EMA Assurance Employee List'!B188</x:f>
        <x:v>MU</x:v>
      </x:c>
      <x:c r="D187" s="16" t="str">
        <x:f>'EMA Assurance Employee List'!D188</x:f>
        <x:v>hannes.jvrensburg@pwc.com</x:v>
      </x:c>
      <x:c r="E187" s="130" t="n">
        <x:f>IF($D187="",0,SUMIF('Attendance Report - Option 1'!$P$11:$P$315,$D187,'Attendance Report - Option 1'!$Q$11:$Q$315)/86400)</x:f>
        <x:v>0</x:v>
      </x:c>
      <x:c r="F187" s="131" t="str">
        <x:f>IF(E187=0,"Did not attend",IF(E187&gt;='Read Me'!$E$2/86400,"Fully attended","Partially attended"))</x:f>
        <x:v>Did not attend</x:v>
      </x:c>
      <x:c r="G187" s="130" t="n">
        <x:f>IF($D187="",0,SUMIF('Attendance Report - Option 2'!$P$11:$P$412,$D187,'Attendance Report - Option 2'!$Q$11:$Q$412)/86400)</x:f>
        <x:v>0.08887731481481481</x:v>
      </x:c>
      <x:c r="H187" s="131" t="str">
        <x:f>IF(G187=0,"Did not attend",IF(G187&gt;='Read Me'!$E$2/86400,"Fully attended","Partially attended"))</x:f>
        <x:v>Fully attended</x:v>
      </x:c>
      <x:c r="I187" s="130" t="n">
        <x:f>E187+G187</x:f>
        <x:v>0.08887731481481481</x:v>
      </x:c>
      <x:c r="J187" s="131" t="str">
        <x:f>IF(I187=0,"Did not attend",IF(I187&gt;='Read Me'!$E$2/86400,"Fully attended","Partially attended"))</x:f>
        <x:v>Fully attended</x:v>
      </x:c>
      <x:c r="K187" s="131" t="str">
        <x:f>IF($D187="","No",IF(COUNTIF('Attendance Report - Option 1'!$P$11:$P$315,$D187)&gt;0,"Yes","No"))</x:f>
        <x:v>No</x:v>
      </x:c>
      <x:c r="L187" s="131" t="str">
        <x:f>IF($D187="","No",IF(COUNTIF('Attendance Report - Option 2'!$P$11:$P$412,$D187)&gt;0,"Yes","No"))</x:f>
        <x:v>Yes</x:v>
      </x:c>
    </x:row>
    <x:row r="188">
      <x:c r="A188" s="16" t="str">
        <x:f>'EMA Assurance Employee List'!A189</x:f>
        <x:v>Hassan Soormally</x:v>
      </x:c>
      <x:c r="B188" s="16" t="str">
        <x:f>IF(C188="KE","Kenya",IF(C188="UG","Uganda",IF(C188="MU","Mauritius",IF(C188="TZ","Tanzania",IF(C188="RW","Rwanda",IF(C188="ZA","South Africa",IF(C188="ZM","Zambia","")))))))</x:f>
        <x:v>Mauritius</x:v>
      </x:c>
      <x:c r="C188" s="16" t="str">
        <x:f>'EMA Assurance Employee List'!B189</x:f>
        <x:v>MU</x:v>
      </x:c>
      <x:c r="D188" s="16" t="str">
        <x:f>'EMA Assurance Employee List'!D189</x:f>
        <x:v>hassan.soormally@pwc.com</x:v>
      </x:c>
      <x:c r="E188" s="130" t="n">
        <x:f>IF($D188="",0,SUMIF('Attendance Report - Option 1'!$P$11:$P$315,$D188,'Attendance Report - Option 1'!$Q$11:$Q$315)/86400)</x:f>
        <x:v>0.07966435185185185</x:v>
      </x:c>
      <x:c r="F188" s="131" t="str">
        <x:f>IF(E188=0,"Did not attend",IF(E188&gt;='Read Me'!$E$2/86400,"Fully attended","Partially attended"))</x:f>
        <x:v>Fully attended</x:v>
      </x:c>
      <x:c r="G188" s="130" t="n">
        <x:f>IF($D188="",0,SUMIF('Attendance Report - Option 2'!$P$11:$P$412,$D188,'Attendance Report - Option 2'!$Q$11:$Q$412)/86400)</x:f>
        <x:v>0</x:v>
      </x:c>
      <x:c r="H188" s="131" t="str">
        <x:f>IF(G188=0,"Did not attend",IF(G188&gt;='Read Me'!$E$2/86400,"Fully attended","Partially attended"))</x:f>
        <x:v>Did not attend</x:v>
      </x:c>
      <x:c r="I188" s="130" t="n">
        <x:f>E188+G188</x:f>
        <x:v>0.07966435185185185</x:v>
      </x:c>
      <x:c r="J188" s="131" t="str">
        <x:f>IF(I188=0,"Did not attend",IF(I188&gt;='Read Me'!$E$2/86400,"Fully attended","Partially attended"))</x:f>
        <x:v>Fully attended</x:v>
      </x:c>
      <x:c r="K188" s="131" t="str">
        <x:f>IF($D188="","No",IF(COUNTIF('Attendance Report - Option 1'!$P$11:$P$315,$D188)&gt;0,"Yes","No"))</x:f>
        <x:v>Yes</x:v>
      </x:c>
      <x:c r="L188" s="131" t="str">
        <x:f>IF($D188="","No",IF(COUNTIF('Attendance Report - Option 2'!$P$11:$P$412,$D188)&gt;0,"Yes","No"))</x:f>
        <x:v>No</x:v>
      </x:c>
    </x:row>
    <x:row r="189">
      <x:c r="A189" s="16" t="str">
        <x:f>'EMA Assurance Employee List'!A190</x:f>
        <x:v>Hemisha Bhookhul</x:v>
      </x:c>
      <x:c r="B189" s="16" t="str">
        <x:f>IF(C189="KE","Kenya",IF(C189="UG","Uganda",IF(C189="MU","Mauritius",IF(C189="TZ","Tanzania",IF(C189="RW","Rwanda",IF(C189="ZA","South Africa",IF(C189="ZM","Zambia","")))))))</x:f>
        <x:v>Mauritius</x:v>
      </x:c>
      <x:c r="C189" s="16" t="str">
        <x:f>'EMA Assurance Employee List'!B190</x:f>
        <x:v>MU</x:v>
      </x:c>
      <x:c r="D189" s="16" t="str">
        <x:f>'EMA Assurance Employee List'!D190</x:f>
        <x:v>hemisha.bhookhul@pwc.com</x:v>
      </x:c>
      <x:c r="E189" s="130" t="n">
        <x:f>IF($D189="",0,SUMIF('Attendance Report - Option 1'!$P$11:$P$315,$D189,'Attendance Report - Option 1'!$Q$11:$Q$315)/86400)</x:f>
        <x:v>0</x:v>
      </x:c>
      <x:c r="F189" s="131" t="str">
        <x:f>IF(E189=0,"Did not attend",IF(E189&gt;='Read Me'!$E$2/86400,"Fully attended","Partially attended"))</x:f>
        <x:v>Did not attend</x:v>
      </x:c>
      <x:c r="G189" s="130" t="n">
        <x:f>IF($D189="",0,SUMIF('Attendance Report - Option 2'!$P$11:$P$412,$D189,'Attendance Report - Option 2'!$Q$11:$Q$412)/86400)</x:f>
        <x:v>0.06935185185185185</x:v>
      </x:c>
      <x:c r="H189" s="131" t="str">
        <x:f>IF(G189=0,"Did not attend",IF(G189&gt;='Read Me'!$E$2/86400,"Fully attended","Partially attended"))</x:f>
        <x:v>Fully attended</x:v>
      </x:c>
      <x:c r="I189" s="130" t="n">
        <x:f>E189+G189</x:f>
        <x:v>0.06935185185185185</x:v>
      </x:c>
      <x:c r="J189" s="131" t="str">
        <x:f>IF(I189=0,"Did not attend",IF(I189&gt;='Read Me'!$E$2/86400,"Fully attended","Partially attended"))</x:f>
        <x:v>Fully attended</x:v>
      </x:c>
      <x:c r="K189" s="131" t="str">
        <x:f>IF($D189="","No",IF(COUNTIF('Attendance Report - Option 1'!$P$11:$P$315,$D189)&gt;0,"Yes","No"))</x:f>
        <x:v>No</x:v>
      </x:c>
      <x:c r="L189" s="131" t="str">
        <x:f>IF($D189="","No",IF(COUNTIF('Attendance Report - Option 2'!$P$11:$P$412,$D189)&gt;0,"Yes","No"))</x:f>
        <x:v>Yes</x:v>
      </x:c>
    </x:row>
    <x:row r="190">
      <x:c r="A190" s="16" t="str">
        <x:f>'EMA Assurance Employee List'!A191</x:f>
        <x:v>Hillary Osoro</x:v>
      </x:c>
      <x:c r="B190" s="16" t="str">
        <x:f>IF(C190="KE","Kenya",IF(C190="UG","Uganda",IF(C190="MU","Mauritius",IF(C190="TZ","Tanzania",IF(C190="RW","Rwanda",IF(C190="ZA","South Africa",IF(C190="ZM","Zambia","")))))))</x:f>
        <x:v>Kenya</x:v>
      </x:c>
      <x:c r="C190" s="16" t="str">
        <x:f>'EMA Assurance Employee List'!B191</x:f>
        <x:v>KE</x:v>
      </x:c>
      <x:c r="D190" s="16" t="str">
        <x:f>'EMA Assurance Employee List'!D191</x:f>
        <x:v>hillary.osoro@pwc.com</x:v>
      </x:c>
      <x:c r="E190" s="130" t="n">
        <x:f>IF($D190="",0,SUMIF('Attendance Report - Option 1'!$P$11:$P$315,$D190,'Attendance Report - Option 1'!$Q$11:$Q$315)/86400)</x:f>
        <x:v>0</x:v>
      </x:c>
      <x:c r="F190" s="131" t="str">
        <x:f>IF(E190=0,"Did not attend",IF(E190&gt;='Read Me'!$E$2/86400,"Fully attended","Partially attended"))</x:f>
        <x:v>Did not attend</x:v>
      </x:c>
      <x:c r="G190" s="130" t="n">
        <x:f>IF($D190="",0,SUMIF('Attendance Report - Option 2'!$P$11:$P$412,$D190,'Attendance Report - Option 2'!$Q$11:$Q$412)/86400)</x:f>
        <x:v>0.0775462962962963</x:v>
      </x:c>
      <x:c r="H190" s="131" t="str">
        <x:f>IF(G190=0,"Did not attend",IF(G190&gt;='Read Me'!$E$2/86400,"Fully attended","Partially attended"))</x:f>
        <x:v>Fully attended</x:v>
      </x:c>
      <x:c r="I190" s="130" t="n">
        <x:f>E190+G190</x:f>
        <x:v>0.0775462962962963</x:v>
      </x:c>
      <x:c r="J190" s="131" t="str">
        <x:f>IF(I190=0,"Did not attend",IF(I190&gt;='Read Me'!$E$2/86400,"Fully attended","Partially attended"))</x:f>
        <x:v>Fully attended</x:v>
      </x:c>
      <x:c r="K190" s="131" t="str">
        <x:f>IF($D190="","No",IF(COUNTIF('Attendance Report - Option 1'!$P$11:$P$315,$D190)&gt;0,"Yes","No"))</x:f>
        <x:v>No</x:v>
      </x:c>
      <x:c r="L190" s="131" t="str">
        <x:f>IF($D190="","No",IF(COUNTIF('Attendance Report - Option 2'!$P$11:$P$412,$D190)&gt;0,"Yes","No"))</x:f>
        <x:v>Yes</x:v>
      </x:c>
    </x:row>
    <x:row r="191">
      <x:c r="A191" s="16" t="str">
        <x:f>'EMA Assurance Employee List'!A192</x:f>
        <x:v>Homeshwaree Chaytoo</x:v>
      </x:c>
      <x:c r="B191" s="16" t="str">
        <x:f>IF(C191="KE","Kenya",IF(C191="UG","Uganda",IF(C191="MU","Mauritius",IF(C191="TZ","Tanzania",IF(C191="RW","Rwanda",IF(C191="ZA","South Africa",IF(C191="ZM","Zambia","")))))))</x:f>
        <x:v>Mauritius</x:v>
      </x:c>
      <x:c r="C191" s="16" t="str">
        <x:f>'EMA Assurance Employee List'!B192</x:f>
        <x:v>MU</x:v>
      </x:c>
      <x:c r="D191" s="16" t="str">
        <x:f>'EMA Assurance Employee List'!D192</x:f>
        <x:v>homeshwaree.chaytoo@pwc.com</x:v>
      </x:c>
      <x:c r="E191" s="130" t="n">
        <x:f>IF($D191="",0,SUMIF('Attendance Report - Option 1'!$P$11:$P$315,$D191,'Attendance Report - Option 1'!$Q$11:$Q$315)/86400)</x:f>
        <x:v>0</x:v>
      </x:c>
      <x:c r="F191" s="131" t="str">
        <x:f>IF(E191=0,"Did not attend",IF(E191&gt;='Read Me'!$E$2/86400,"Fully attended","Partially attended"))</x:f>
        <x:v>Did not attend</x:v>
      </x:c>
      <x:c r="G191" s="130" t="n">
        <x:f>IF($D191="",0,SUMIF('Attendance Report - Option 2'!$P$11:$P$412,$D191,'Attendance Report - Option 2'!$Q$11:$Q$412)/86400)</x:f>
        <x:v>0.06848379629629629</x:v>
      </x:c>
      <x:c r="H191" s="131" t="str">
        <x:f>IF(G191=0,"Did not attend",IF(G191&gt;='Read Me'!$E$2/86400,"Fully attended","Partially attended"))</x:f>
        <x:v>Fully attended</x:v>
      </x:c>
      <x:c r="I191" s="130" t="n">
        <x:f>E191+G191</x:f>
        <x:v>0.06848379629629629</x:v>
      </x:c>
      <x:c r="J191" s="131" t="str">
        <x:f>IF(I191=0,"Did not attend",IF(I191&gt;='Read Me'!$E$2/86400,"Fully attended","Partially attended"))</x:f>
        <x:v>Fully attended</x:v>
      </x:c>
      <x:c r="K191" s="131" t="str">
        <x:f>IF($D191="","No",IF(COUNTIF('Attendance Report - Option 1'!$P$11:$P$315,$D191)&gt;0,"Yes","No"))</x:f>
        <x:v>No</x:v>
      </x:c>
      <x:c r="L191" s="131" t="str">
        <x:f>IF($D191="","No",IF(COUNTIF('Attendance Report - Option 2'!$P$11:$P$412,$D191)&gt;0,"Yes","No"))</x:f>
        <x:v>Yes</x:v>
      </x:c>
    </x:row>
    <x:row r="192">
      <x:c r="A192" s="16" t="str">
        <x:f>'EMA Assurance Employee List'!A193</x:f>
        <x:v>Hope Msoffe</x:v>
      </x:c>
      <x:c r="B192" s="16" t="str">
        <x:f>IF(C192="KE","Kenya",IF(C192="UG","Uganda",IF(C192="MU","Mauritius",IF(C192="TZ","Tanzania",IF(C192="RW","Rwanda",IF(C192="ZA","South Africa",IF(C192="ZM","Zambia","")))))))</x:f>
        <x:v>Tanzania</x:v>
      </x:c>
      <x:c r="C192" s="16" t="str">
        <x:f>'EMA Assurance Employee List'!B193</x:f>
        <x:v>TZ</x:v>
      </x:c>
      <x:c r="D192" s="16" t="str">
        <x:f>'EMA Assurance Employee List'!D193</x:f>
        <x:v>hope.msoffe@pwc.com</x:v>
      </x:c>
      <x:c r="E192" s="130" t="n">
        <x:f>IF($D192="",0,SUMIF('Attendance Report - Option 1'!$P$11:$P$315,$D192,'Attendance Report - Option 1'!$Q$11:$Q$315)/86400)</x:f>
        <x:v>0.08072916666666667</x:v>
      </x:c>
      <x:c r="F192" s="131" t="str">
        <x:f>IF(E192=0,"Did not attend",IF(E192&gt;='Read Me'!$E$2/86400,"Fully attended","Partially attended"))</x:f>
        <x:v>Fully attended</x:v>
      </x:c>
      <x:c r="G192" s="130" t="n">
        <x:f>IF($D192="",0,SUMIF('Attendance Report - Option 2'!$P$11:$P$412,$D192,'Attendance Report - Option 2'!$Q$11:$Q$412)/86400)</x:f>
        <x:v>0.08890046296296296</x:v>
      </x:c>
      <x:c r="H192" s="131" t="str">
        <x:f>IF(G192=0,"Did not attend",IF(G192&gt;='Read Me'!$E$2/86400,"Fully attended","Partially attended"))</x:f>
        <x:v>Fully attended</x:v>
      </x:c>
      <x:c r="I192" s="130" t="n">
        <x:f>E192+G192</x:f>
        <x:v>0.16962962962962963</x:v>
      </x:c>
      <x:c r="J192" s="131" t="str">
        <x:f>IF(I192=0,"Did not attend",IF(I192&gt;='Read Me'!$E$2/86400,"Fully attended","Partially attended"))</x:f>
        <x:v>Fully attended</x:v>
      </x:c>
      <x:c r="K192" s="131" t="str">
        <x:f>IF($D192="","No",IF(COUNTIF('Attendance Report - Option 1'!$P$11:$P$315,$D192)&gt;0,"Yes","No"))</x:f>
        <x:v>Yes</x:v>
      </x:c>
      <x:c r="L192" s="131" t="str">
        <x:f>IF($D192="","No",IF(COUNTIF('Attendance Report - Option 2'!$P$11:$P$412,$D192)&gt;0,"Yes","No"))</x:f>
        <x:v>Yes</x:v>
      </x:c>
    </x:row>
    <x:row r="193">
      <x:c r="A193" s="16" t="str">
        <x:f>'EMA Assurance Employee List'!A194</x:f>
        <x:v>Housnah Sullimun</x:v>
      </x:c>
      <x:c r="B193" s="16" t="str">
        <x:f>IF(C193="KE","Kenya",IF(C193="UG","Uganda",IF(C193="MU","Mauritius",IF(C193="TZ","Tanzania",IF(C193="RW","Rwanda",IF(C193="ZA","South Africa",IF(C193="ZM","Zambia","")))))))</x:f>
        <x:v>Mauritius</x:v>
      </x:c>
      <x:c r="C193" s="16" t="str">
        <x:f>'EMA Assurance Employee List'!B194</x:f>
        <x:v>MU</x:v>
      </x:c>
      <x:c r="D193" s="16" t="str">
        <x:f>'EMA Assurance Employee List'!D194</x:f>
        <x:v>housnah.sullimun@pwc.com</x:v>
      </x:c>
      <x:c r="E193" s="130" t="n">
        <x:f>IF($D193="",0,SUMIF('Attendance Report - Option 1'!$P$11:$P$315,$D193,'Attendance Report - Option 1'!$Q$11:$Q$315)/86400)</x:f>
        <x:v>0</x:v>
      </x:c>
      <x:c r="F193" s="131" t="str">
        <x:f>IF(E193=0,"Did not attend",IF(E193&gt;='Read Me'!$E$2/86400,"Fully attended","Partially attended"))</x:f>
        <x:v>Did not attend</x:v>
      </x:c>
      <x:c r="G193" s="130" t="n">
        <x:f>IF($D193="",0,SUMIF('Attendance Report - Option 2'!$P$11:$P$412,$D193,'Attendance Report - Option 2'!$Q$11:$Q$412)/86400)</x:f>
        <x:v>0.0871875</x:v>
      </x:c>
      <x:c r="H193" s="131" t="str">
        <x:f>IF(G193=0,"Did not attend",IF(G193&gt;='Read Me'!$E$2/86400,"Fully attended","Partially attended"))</x:f>
        <x:v>Fully attended</x:v>
      </x:c>
      <x:c r="I193" s="130" t="n">
        <x:f>E193+G193</x:f>
        <x:v>0.0871875</x:v>
      </x:c>
      <x:c r="J193" s="131" t="str">
        <x:f>IF(I193=0,"Did not attend",IF(I193&gt;='Read Me'!$E$2/86400,"Fully attended","Partially attended"))</x:f>
        <x:v>Fully attended</x:v>
      </x:c>
      <x:c r="K193" s="131" t="str">
        <x:f>IF($D193="","No",IF(COUNTIF('Attendance Report - Option 1'!$P$11:$P$315,$D193)&gt;0,"Yes","No"))</x:f>
        <x:v>No</x:v>
      </x:c>
      <x:c r="L193" s="131" t="str">
        <x:f>IF($D193="","No",IF(COUNTIF('Attendance Report - Option 2'!$P$11:$P$412,$D193)&gt;0,"Yes","No"))</x:f>
        <x:v>Yes</x:v>
      </x:c>
    </x:row>
    <x:row r="194">
      <x:c r="A194" s="16" t="str">
        <x:f>'EMA Assurance Employee List'!A195</x:f>
        <x:v>Howary Kharbush</x:v>
      </x:c>
      <x:c r="B194" s="16" t="str">
        <x:f>IF(C194="KE","Kenya",IF(C194="UG","Uganda",IF(C194="MU","Mauritius",IF(C194="TZ","Tanzania",IF(C194="RW","Rwanda",IF(C194="ZA","South Africa",IF(C194="ZM","Zambia","")))))))</x:f>
        <x:v>Tanzania</x:v>
      </x:c>
      <x:c r="C194" s="16" t="str">
        <x:f>'EMA Assurance Employee List'!B195</x:f>
        <x:v>TZ</x:v>
      </x:c>
      <x:c r="D194" s="16" t="str">
        <x:f>'EMA Assurance Employee List'!D195</x:f>
        <x:v>howary.k.kharbush@pwc.com</x:v>
      </x:c>
      <x:c r="E194" s="130" t="n">
        <x:f>IF($D194="",0,SUMIF('Attendance Report - Option 1'!$P$11:$P$315,$D194,'Attendance Report - Option 1'!$Q$11:$Q$315)/86400)</x:f>
        <x:v>0</x:v>
      </x:c>
      <x:c r="F194" s="131" t="str">
        <x:f>IF(E194=0,"Did not attend",IF(E194&gt;='Read Me'!$E$2/86400,"Fully attended","Partially attended"))</x:f>
        <x:v>Did not attend</x:v>
      </x:c>
      <x:c r="G194" s="130" t="n">
        <x:f>IF($D194="",0,SUMIF('Attendance Report - Option 2'!$P$11:$P$412,$D194,'Attendance Report - Option 2'!$Q$11:$Q$412)/86400)</x:f>
        <x:v>0.08814814814814814</x:v>
      </x:c>
      <x:c r="H194" s="131" t="str">
        <x:f>IF(G194=0,"Did not attend",IF(G194&gt;='Read Me'!$E$2/86400,"Fully attended","Partially attended"))</x:f>
        <x:v>Fully attended</x:v>
      </x:c>
      <x:c r="I194" s="130" t="n">
        <x:f>E194+G194</x:f>
        <x:v>0.08814814814814814</x:v>
      </x:c>
      <x:c r="J194" s="131" t="str">
        <x:f>IF(I194=0,"Did not attend",IF(I194&gt;='Read Me'!$E$2/86400,"Fully attended","Partially attended"))</x:f>
        <x:v>Fully attended</x:v>
      </x:c>
      <x:c r="K194" s="131" t="str">
        <x:f>IF($D194="","No",IF(COUNTIF('Attendance Report - Option 1'!$P$11:$P$315,$D194)&gt;0,"Yes","No"))</x:f>
        <x:v>No</x:v>
      </x:c>
      <x:c r="L194" s="131" t="str">
        <x:f>IF($D194="","No",IF(COUNTIF('Attendance Report - Option 2'!$P$11:$P$412,$D194)&gt;0,"Yes","No"))</x:f>
        <x:v>Yes</x:v>
      </x:c>
    </x:row>
    <x:row r="195">
      <x:c r="A195" s="16" t="str">
        <x:f>'EMA Assurance Employee List'!A196</x:f>
        <x:v>Ian Sejinja</x:v>
      </x:c>
      <x:c r="B195" s="16" t="str">
        <x:f>IF(C195="KE","Kenya",IF(C195="UG","Uganda",IF(C195="MU","Mauritius",IF(C195="TZ","Tanzania",IF(C195="RW","Rwanda",IF(C195="ZA","South Africa",IF(C195="ZM","Zambia","")))))))</x:f>
        <x:v>Uganda</x:v>
      </x:c>
      <x:c r="C195" s="16" t="str">
        <x:f>'EMA Assurance Employee List'!B196</x:f>
        <x:v>UG</x:v>
      </x:c>
      <x:c r="D195" s="16" t="str">
        <x:f>'EMA Assurance Employee List'!D196</x:f>
        <x:v>ian.sejinja@pwc.com</x:v>
      </x:c>
      <x:c r="E195" s="130" t="n">
        <x:f>IF($D195="",0,SUMIF('Attendance Report - Option 1'!$P$11:$P$315,$D195,'Attendance Report - Option 1'!$Q$11:$Q$315)/86400)</x:f>
        <x:v>0</x:v>
      </x:c>
      <x:c r="F195" s="131" t="str">
        <x:f>IF(E195=0,"Did not attend",IF(E195&gt;='Read Me'!$E$2/86400,"Fully attended","Partially attended"))</x:f>
        <x:v>Did not attend</x:v>
      </x:c>
      <x:c r="G195" s="130" t="n">
        <x:f>IF($D195="",0,SUMIF('Attendance Report - Option 2'!$P$11:$P$412,$D195,'Attendance Report - Option 2'!$Q$11:$Q$412)/86400)</x:f>
        <x:v>0</x:v>
      </x:c>
      <x:c r="H195" s="131" t="str">
        <x:f>IF(G195=0,"Did not attend",IF(G195&gt;='Read Me'!$E$2/86400,"Fully attended","Partially attended"))</x:f>
        <x:v>Did not attend</x:v>
      </x:c>
      <x:c r="I195" s="130" t="n">
        <x:f>E195+G195</x:f>
        <x:v>0</x:v>
      </x:c>
      <x:c r="J195" s="131" t="str">
        <x:f>IF(I195=0,"Did not attend",IF(I195&gt;='Read Me'!$E$2/86400,"Fully attended","Partially attended"))</x:f>
        <x:v>Did not attend</x:v>
      </x:c>
      <x:c r="K195" s="131" t="str">
        <x:f>IF($D195="","No",IF(COUNTIF('Attendance Report - Option 1'!$P$11:$P$315,$D195)&gt;0,"Yes","No"))</x:f>
        <x:v>No</x:v>
      </x:c>
      <x:c r="L195" s="131" t="str">
        <x:f>IF($D195="","No",IF(COUNTIF('Attendance Report - Option 2'!$P$11:$P$412,$D195)&gt;0,"Yes","No"))</x:f>
        <x:v>No</x:v>
      </x:c>
    </x:row>
    <x:row r="196">
      <x:c r="A196" s="16" t="str">
        <x:f>'EMA Assurance Employee List'!A197</x:f>
        <x:v>Irene Sabuni</x:v>
      </x:c>
      <x:c r="B196" s="16" t="str">
        <x:f>IF(C196="KE","Kenya",IF(C196="UG","Uganda",IF(C196="MU","Mauritius",IF(C196="TZ","Tanzania",IF(C196="RW","Rwanda",IF(C196="ZA","South Africa",IF(C196="ZM","Zambia","")))))))</x:f>
        <x:v>Tanzania</x:v>
      </x:c>
      <x:c r="C196" s="16" t="str">
        <x:f>'EMA Assurance Employee List'!B197</x:f>
        <x:v>TZ</x:v>
      </x:c>
      <x:c r="D196" s="16" t="str">
        <x:f>'EMA Assurance Employee List'!D197</x:f>
        <x:v>irene.sabuni@pwc.com</x:v>
      </x:c>
      <x:c r="E196" s="130" t="n">
        <x:f>IF($D196="",0,SUMIF('Attendance Report - Option 1'!$P$11:$P$315,$D196,'Attendance Report - Option 1'!$Q$11:$Q$315)/86400)</x:f>
        <x:v>0.06917824074074073</x:v>
      </x:c>
      <x:c r="F196" s="131" t="str">
        <x:f>IF(E196=0,"Did not attend",IF(E196&gt;='Read Me'!$E$2/86400,"Fully attended","Partially attended"))</x:f>
        <x:v>Fully attended</x:v>
      </x:c>
      <x:c r="G196" s="130" t="n">
        <x:f>IF($D196="",0,SUMIF('Attendance Report - Option 2'!$P$11:$P$412,$D196,'Attendance Report - Option 2'!$Q$11:$Q$412)/86400)</x:f>
        <x:v>0</x:v>
      </x:c>
      <x:c r="H196" s="131" t="str">
        <x:f>IF(G196=0,"Did not attend",IF(G196&gt;='Read Me'!$E$2/86400,"Fully attended","Partially attended"))</x:f>
        <x:v>Did not attend</x:v>
      </x:c>
      <x:c r="I196" s="130" t="n">
        <x:f>E196+G196</x:f>
        <x:v>0.06917824074074073</x:v>
      </x:c>
      <x:c r="J196" s="131" t="str">
        <x:f>IF(I196=0,"Did not attend",IF(I196&gt;='Read Me'!$E$2/86400,"Fully attended","Partially attended"))</x:f>
        <x:v>Fully attended</x:v>
      </x:c>
      <x:c r="K196" s="131" t="str">
        <x:f>IF($D196="","No",IF(COUNTIF('Attendance Report - Option 1'!$P$11:$P$315,$D196)&gt;0,"Yes","No"))</x:f>
        <x:v>Yes</x:v>
      </x:c>
      <x:c r="L196" s="131" t="str">
        <x:f>IF($D196="","No",IF(COUNTIF('Attendance Report - Option 2'!$P$11:$P$412,$D196)&gt;0,"Yes","No"))</x:f>
        <x:v>No</x:v>
      </x:c>
    </x:row>
    <x:row r="197">
      <x:c r="A197" s="16" t="str">
        <x:f>'EMA Assurance Employee List'!A198</x:f>
        <x:v>Isaac Ntwali</x:v>
      </x:c>
      <x:c r="B197" s="16" t="str">
        <x:f>IF(C197="KE","Kenya",IF(C197="UG","Uganda",IF(C197="MU","Mauritius",IF(C197="TZ","Tanzania",IF(C197="RW","Rwanda",IF(C197="ZA","South Africa",IF(C197="ZM","Zambia","")))))))</x:f>
        <x:v>Rwanda</x:v>
      </x:c>
      <x:c r="C197" s="16" t="str">
        <x:f>'EMA Assurance Employee List'!B198</x:f>
        <x:v>RW</x:v>
      </x:c>
      <x:c r="D197" s="16" t="str">
        <x:f>'EMA Assurance Employee List'!D198</x:f>
        <x:v>isaac.ntwali@pwc.com</x:v>
      </x:c>
      <x:c r="E197" s="130" t="n">
        <x:f>IF($D197="",0,SUMIF('Attendance Report - Option 1'!$P$11:$P$315,$D197,'Attendance Report - Option 1'!$Q$11:$Q$315)/86400)</x:f>
        <x:v>0</x:v>
      </x:c>
      <x:c r="F197" s="131" t="str">
        <x:f>IF(E197=0,"Did not attend",IF(E197&gt;='Read Me'!$E$2/86400,"Fully attended","Partially attended"))</x:f>
        <x:v>Did not attend</x:v>
      </x:c>
      <x:c r="G197" s="130" t="n">
        <x:f>IF($D197="",0,SUMIF('Attendance Report - Option 2'!$P$11:$P$412,$D197,'Attendance Report - Option 2'!$Q$11:$Q$412)/86400)</x:f>
        <x:v>0.05466435185185185</x:v>
      </x:c>
      <x:c r="H197" s="131" t="str">
        <x:f>IF(G197=0,"Did not attend",IF(G197&gt;='Read Me'!$E$2/86400,"Fully attended","Partially attended"))</x:f>
        <x:v>Partially attended</x:v>
      </x:c>
      <x:c r="I197" s="130" t="n">
        <x:f>E197+G197</x:f>
        <x:v>0.05466435185185185</x:v>
      </x:c>
      <x:c r="J197" s="131" t="str">
        <x:f>IF(I197=0,"Did not attend",IF(I197&gt;='Read Me'!$E$2/86400,"Fully attended","Partially attended"))</x:f>
        <x:v>Partially attended</x:v>
      </x:c>
      <x:c r="K197" s="131" t="str">
        <x:f>IF($D197="","No",IF(COUNTIF('Attendance Report - Option 1'!$P$11:$P$315,$D197)&gt;0,"Yes","No"))</x:f>
        <x:v>No</x:v>
      </x:c>
      <x:c r="L197" s="131" t="str">
        <x:f>IF($D197="","No",IF(COUNTIF('Attendance Report - Option 2'!$P$11:$P$412,$D197)&gt;0,"Yes","No"))</x:f>
        <x:v>Yes</x:v>
      </x:c>
    </x:row>
    <x:row r="198">
      <x:c r="A198" s="16" t="str">
        <x:f>'EMA Assurance Employee List'!A199</x:f>
        <x:v>Isabella Mayeku</x:v>
      </x:c>
      <x:c r="B198" s="16" t="str">
        <x:f>IF(C198="KE","Kenya",IF(C198="UG","Uganda",IF(C198="MU","Mauritius",IF(C198="TZ","Tanzania",IF(C198="RW","Rwanda",IF(C198="ZA","South Africa",IF(C198="ZM","Zambia","")))))))</x:f>
        <x:v>Uganda</x:v>
      </x:c>
      <x:c r="C198" s="16" t="str">
        <x:f>'EMA Assurance Employee List'!B199</x:f>
        <x:v>UG</x:v>
      </x:c>
      <x:c r="D198" s="16" t="str">
        <x:f>'EMA Assurance Employee List'!D199</x:f>
        <x:v>isabella.mayeku@pwc.com</x:v>
      </x:c>
      <x:c r="E198" s="130" t="n">
        <x:f>IF($D198="",0,SUMIF('Attendance Report - Option 1'!$P$11:$P$315,$D198,'Attendance Report - Option 1'!$Q$11:$Q$315)/86400)</x:f>
        <x:v>0.0014814814814814814</x:v>
      </x:c>
      <x:c r="F198" s="131" t="str">
        <x:f>IF(E198=0,"Did not attend",IF(E198&gt;='Read Me'!$E$2/86400,"Fully attended","Partially attended"))</x:f>
        <x:v>Partially attended</x:v>
      </x:c>
      <x:c r="G198" s="130" t="n">
        <x:f>IF($D198="",0,SUMIF('Attendance Report - Option 2'!$P$11:$P$412,$D198,'Attendance Report - Option 2'!$Q$11:$Q$412)/86400)</x:f>
        <x:v>0.08288194444444444</x:v>
      </x:c>
      <x:c r="H198" s="131" t="str">
        <x:f>IF(G198=0,"Did not attend",IF(G198&gt;='Read Me'!$E$2/86400,"Fully attended","Partially attended"))</x:f>
        <x:v>Fully attended</x:v>
      </x:c>
      <x:c r="I198" s="130" t="n">
        <x:f>E198+G198</x:f>
        <x:v>0.08436342592592593</x:v>
      </x:c>
      <x:c r="J198" s="131" t="str">
        <x:f>IF(I198=0,"Did not attend",IF(I198&gt;='Read Me'!$E$2/86400,"Fully attended","Partially attended"))</x:f>
        <x:v>Fully attended</x:v>
      </x:c>
      <x:c r="K198" s="131" t="str">
        <x:f>IF($D198="","No",IF(COUNTIF('Attendance Report - Option 1'!$P$11:$P$315,$D198)&gt;0,"Yes","No"))</x:f>
        <x:v>Yes</x:v>
      </x:c>
      <x:c r="L198" s="131" t="str">
        <x:f>IF($D198="","No",IF(COUNTIF('Attendance Report - Option 2'!$P$11:$P$412,$D198)&gt;0,"Yes","No"))</x:f>
        <x:v>Yes</x:v>
      </x:c>
    </x:row>
    <x:row r="199">
      <x:c r="A199" s="16" t="str">
        <x:f>'EMA Assurance Employee List'!A200</x:f>
        <x:v>Issen Koothan</x:v>
      </x:c>
      <x:c r="B199" s="16" t="str">
        <x:f>IF(C199="KE","Kenya",IF(C199="UG","Uganda",IF(C199="MU","Mauritius",IF(C199="TZ","Tanzania",IF(C199="RW","Rwanda",IF(C199="ZA","South Africa",IF(C199="ZM","Zambia","")))))))</x:f>
        <x:v>Mauritius</x:v>
      </x:c>
      <x:c r="C199" s="16" t="str">
        <x:f>'EMA Assurance Employee List'!B200</x:f>
        <x:v>MU</x:v>
      </x:c>
      <x:c r="D199" s="16" t="str">
        <x:f>'EMA Assurance Employee List'!D200</x:f>
        <x:v>mordagun.koothan@pwc.com</x:v>
      </x:c>
      <x:c r="E199" s="130" t="n">
        <x:f>IF($D199="",0,SUMIF('Attendance Report - Option 1'!$P$11:$P$315,$D199,'Attendance Report - Option 1'!$Q$11:$Q$315)/86400)</x:f>
        <x:v>0.08069444444444444</x:v>
      </x:c>
      <x:c r="F199" s="131" t="str">
        <x:f>IF(E199=0,"Did not attend",IF(E199&gt;='Read Me'!$E$2/86400,"Fully attended","Partially attended"))</x:f>
        <x:v>Fully attended</x:v>
      </x:c>
      <x:c r="G199" s="130" t="n">
        <x:f>IF($D199="",0,SUMIF('Attendance Report - Option 2'!$P$11:$P$412,$D199,'Attendance Report - Option 2'!$Q$11:$Q$412)/86400)</x:f>
        <x:v>0</x:v>
      </x:c>
      <x:c r="H199" s="131" t="str">
        <x:f>IF(G199=0,"Did not attend",IF(G199&gt;='Read Me'!$E$2/86400,"Fully attended","Partially attended"))</x:f>
        <x:v>Did not attend</x:v>
      </x:c>
      <x:c r="I199" s="130" t="n">
        <x:f>E199+G199</x:f>
        <x:v>0.08069444444444444</x:v>
      </x:c>
      <x:c r="J199" s="131" t="str">
        <x:f>IF(I199=0,"Did not attend",IF(I199&gt;='Read Me'!$E$2/86400,"Fully attended","Partially attended"))</x:f>
        <x:v>Fully attended</x:v>
      </x:c>
      <x:c r="K199" s="131" t="str">
        <x:f>IF($D199="","No",IF(COUNTIF('Attendance Report - Option 1'!$P$11:$P$315,$D199)&gt;0,"Yes","No"))</x:f>
        <x:v>Yes</x:v>
      </x:c>
      <x:c r="L199" s="131" t="str">
        <x:f>IF($D199="","No",IF(COUNTIF('Attendance Report - Option 2'!$P$11:$P$412,$D199)&gt;0,"Yes","No"))</x:f>
        <x:v>No</x:v>
      </x:c>
    </x:row>
    <x:row r="200">
      <x:c r="A200" s="16" t="str">
        <x:f>'EMA Assurance Employee List'!A201</x:f>
        <x:v>Izam Joomun</x:v>
      </x:c>
      <x:c r="B200" s="16" t="str">
        <x:f>IF(C200="KE","Kenya",IF(C200="UG","Uganda",IF(C200="MU","Mauritius",IF(C200="TZ","Tanzania",IF(C200="RW","Rwanda",IF(C200="ZA","South Africa",IF(C200="ZM","Zambia","")))))))</x:f>
        <x:v>Mauritius</x:v>
      </x:c>
      <x:c r="C200" s="16" t="str">
        <x:f>'EMA Assurance Employee List'!B201</x:f>
        <x:v>MU</x:v>
      </x:c>
      <x:c r="D200" s="16" t="str">
        <x:f>'EMA Assurance Employee List'!D201</x:f>
        <x:v>izam.joomun@pwc.com</x:v>
      </x:c>
      <x:c r="E200" s="130" t="n">
        <x:f>IF($D200="",0,SUMIF('Attendance Report - Option 1'!$P$11:$P$315,$D200,'Attendance Report - Option 1'!$Q$11:$Q$315)/86400)</x:f>
        <x:v>0</x:v>
      </x:c>
      <x:c r="F200" s="131" t="str">
        <x:f>IF(E200=0,"Did not attend",IF(E200&gt;='Read Me'!$E$2/86400,"Fully attended","Partially attended"))</x:f>
        <x:v>Did not attend</x:v>
      </x:c>
      <x:c r="G200" s="130" t="n">
        <x:f>IF($D200="",0,SUMIF('Attendance Report - Option 2'!$P$11:$P$412,$D200,'Attendance Report - Option 2'!$Q$11:$Q$412)/86400)</x:f>
        <x:v>0.08872685185185185</x:v>
      </x:c>
      <x:c r="H200" s="131" t="str">
        <x:f>IF(G200=0,"Did not attend",IF(G200&gt;='Read Me'!$E$2/86400,"Fully attended","Partially attended"))</x:f>
        <x:v>Fully attended</x:v>
      </x:c>
      <x:c r="I200" s="130" t="n">
        <x:f>E200+G200</x:f>
        <x:v>0.08872685185185185</x:v>
      </x:c>
      <x:c r="J200" s="131" t="str">
        <x:f>IF(I200=0,"Did not attend",IF(I200&gt;='Read Me'!$E$2/86400,"Fully attended","Partially attended"))</x:f>
        <x:v>Fully attended</x:v>
      </x:c>
      <x:c r="K200" s="131" t="str">
        <x:f>IF($D200="","No",IF(COUNTIF('Attendance Report - Option 1'!$P$11:$P$315,$D200)&gt;0,"Yes","No"))</x:f>
        <x:v>No</x:v>
      </x:c>
      <x:c r="L200" s="131" t="str">
        <x:f>IF($D200="","No",IF(COUNTIF('Attendance Report - Option 2'!$P$11:$P$412,$D200)&gt;0,"Yes","No"))</x:f>
        <x:v>Yes</x:v>
      </x:c>
    </x:row>
    <x:row r="201">
      <x:c r="A201" s="16" t="str">
        <x:f>'EMA Assurance Employee List'!A202</x:f>
        <x:v>Jackie Nampala</x:v>
      </x:c>
      <x:c r="B201" s="16" t="str">
        <x:f>IF(C201="KE","Kenya",IF(C201="UG","Uganda",IF(C201="MU","Mauritius",IF(C201="TZ","Tanzania",IF(C201="RW","Rwanda",IF(C201="ZA","South Africa",IF(C201="ZM","Zambia","")))))))</x:f>
        <x:v>Uganda</x:v>
      </x:c>
      <x:c r="C201" s="16" t="str">
        <x:f>'EMA Assurance Employee List'!B202</x:f>
        <x:v>UG</x:v>
      </x:c>
      <x:c r="D201" s="16" t="str">
        <x:f>'EMA Assurance Employee List'!D202</x:f>
        <x:v>jackie.nampala@pwc.com</x:v>
      </x:c>
      <x:c r="E201" s="130" t="n">
        <x:f>IF($D201="",0,SUMIF('Attendance Report - Option 1'!$P$11:$P$315,$D201,'Attendance Report - Option 1'!$Q$11:$Q$315)/86400)</x:f>
        <x:v>0.08422453703703704</x:v>
      </x:c>
      <x:c r="F201" s="131" t="str">
        <x:f>IF(E201=0,"Did not attend",IF(E201&gt;='Read Me'!$E$2/86400,"Fully attended","Partially attended"))</x:f>
        <x:v>Fully attended</x:v>
      </x:c>
      <x:c r="G201" s="130" t="n">
        <x:f>IF($D201="",0,SUMIF('Attendance Report - Option 2'!$P$11:$P$412,$D201,'Attendance Report - Option 2'!$Q$11:$Q$412)/86400)</x:f>
        <x:v>0</x:v>
      </x:c>
      <x:c r="H201" s="131" t="str">
        <x:f>IF(G201=0,"Did not attend",IF(G201&gt;='Read Me'!$E$2/86400,"Fully attended","Partially attended"))</x:f>
        <x:v>Did not attend</x:v>
      </x:c>
      <x:c r="I201" s="130" t="n">
        <x:f>E201+G201</x:f>
        <x:v>0.08422453703703704</x:v>
      </x:c>
      <x:c r="J201" s="131" t="str">
        <x:f>IF(I201=0,"Did not attend",IF(I201&gt;='Read Me'!$E$2/86400,"Fully attended","Partially attended"))</x:f>
        <x:v>Fully attended</x:v>
      </x:c>
      <x:c r="K201" s="131" t="str">
        <x:f>IF($D201="","No",IF(COUNTIF('Attendance Report - Option 1'!$P$11:$P$315,$D201)&gt;0,"Yes","No"))</x:f>
        <x:v>Yes</x:v>
      </x:c>
      <x:c r="L201" s="131" t="str">
        <x:f>IF($D201="","No",IF(COUNTIF('Attendance Report - Option 2'!$P$11:$P$412,$D201)&gt;0,"Yes","No"))</x:f>
        <x:v>No</x:v>
      </x:c>
    </x:row>
    <x:row r="202">
      <x:c r="A202" s="16" t="str">
        <x:f>'EMA Assurance Employee List'!A203</x:f>
        <x:v>Jackline Mchomvu</x:v>
      </x:c>
      <x:c r="B202" s="16" t="str">
        <x:f>IF(C202="KE","Kenya",IF(C202="UG","Uganda",IF(C202="MU","Mauritius",IF(C202="TZ","Tanzania",IF(C202="RW","Rwanda",IF(C202="ZA","South Africa",IF(C202="ZM","Zambia","")))))))</x:f>
        <x:v>Tanzania</x:v>
      </x:c>
      <x:c r="C202" s="16" t="str">
        <x:f>'EMA Assurance Employee List'!B203</x:f>
        <x:v>TZ</x:v>
      </x:c>
      <x:c r="D202" s="16" t="str">
        <x:f>'EMA Assurance Employee List'!D203</x:f>
        <x:v>jackline.mchomvu@pwc.com</x:v>
      </x:c>
      <x:c r="E202" s="130" t="n">
        <x:f>IF($D202="",0,SUMIF('Attendance Report - Option 1'!$P$11:$P$315,$D202,'Attendance Report - Option 1'!$Q$11:$Q$315)/86400)</x:f>
        <x:v>0</x:v>
      </x:c>
      <x:c r="F202" s="131" t="str">
        <x:f>IF(E202=0,"Did not attend",IF(E202&gt;='Read Me'!$E$2/86400,"Fully attended","Partially attended"))</x:f>
        <x:v>Did not attend</x:v>
      </x:c>
      <x:c r="G202" s="130" t="n">
        <x:f>IF($D202="",0,SUMIF('Attendance Report - Option 2'!$P$11:$P$412,$D202,'Attendance Report - Option 2'!$Q$11:$Q$412)/86400)</x:f>
        <x:v>0.08462962962962962</x:v>
      </x:c>
      <x:c r="H202" s="131" t="str">
        <x:f>IF(G202=0,"Did not attend",IF(G202&gt;='Read Me'!$E$2/86400,"Fully attended","Partially attended"))</x:f>
        <x:v>Fully attended</x:v>
      </x:c>
      <x:c r="I202" s="130" t="n">
        <x:f>E202+G202</x:f>
        <x:v>0.08462962962962962</x:v>
      </x:c>
      <x:c r="J202" s="131" t="str">
        <x:f>IF(I202=0,"Did not attend",IF(I202&gt;='Read Me'!$E$2/86400,"Fully attended","Partially attended"))</x:f>
        <x:v>Fully attended</x:v>
      </x:c>
      <x:c r="K202" s="131" t="str">
        <x:f>IF($D202="","No",IF(COUNTIF('Attendance Report - Option 1'!$P$11:$P$315,$D202)&gt;0,"Yes","No"))</x:f>
        <x:v>No</x:v>
      </x:c>
      <x:c r="L202" s="131" t="str">
        <x:f>IF($D202="","No",IF(COUNTIF('Attendance Report - Option 2'!$P$11:$P$412,$D202)&gt;0,"Yes","No"))</x:f>
        <x:v>Yes</x:v>
      </x:c>
    </x:row>
    <x:row r="203">
      <x:c r="A203" s="16" t="str">
        <x:f>'EMA Assurance Employee List'!A204</x:f>
        <x:v>Jackson Kakae</x:v>
      </x:c>
      <x:c r="B203" s="16" t="str">
        <x:f>IF(C203="KE","Kenya",IF(C203="UG","Uganda",IF(C203="MU","Mauritius",IF(C203="TZ","Tanzania",IF(C203="RW","Rwanda",IF(C203="ZA","South Africa",IF(C203="ZM","Zambia","")))))))</x:f>
        <x:v>Kenya</x:v>
      </x:c>
      <x:c r="C203" s="16" t="str">
        <x:f>'EMA Assurance Employee List'!B204</x:f>
        <x:v>KE</x:v>
      </x:c>
      <x:c r="D203" s="16" t="str">
        <x:f>'EMA Assurance Employee List'!D204</x:f>
        <x:v>jackson.kakae@pwc.com</x:v>
      </x:c>
      <x:c r="E203" s="130" t="n">
        <x:f>IF($D203="",0,SUMIF('Attendance Report - Option 1'!$P$11:$P$315,$D203,'Attendance Report - Option 1'!$Q$11:$Q$315)/86400)</x:f>
        <x:v>0.0810300925925926</x:v>
      </x:c>
      <x:c r="F203" s="131" t="str">
        <x:f>IF(E203=0,"Did not attend",IF(E203&gt;='Read Me'!$E$2/86400,"Fully attended","Partially attended"))</x:f>
        <x:v>Fully attended</x:v>
      </x:c>
      <x:c r="G203" s="130" t="n">
        <x:f>IF($D203="",0,SUMIF('Attendance Report - Option 2'!$P$11:$P$412,$D203,'Attendance Report - Option 2'!$Q$11:$Q$412)/86400)</x:f>
        <x:v>0</x:v>
      </x:c>
      <x:c r="H203" s="131" t="str">
        <x:f>IF(G203=0,"Did not attend",IF(G203&gt;='Read Me'!$E$2/86400,"Fully attended","Partially attended"))</x:f>
        <x:v>Did not attend</x:v>
      </x:c>
      <x:c r="I203" s="130" t="n">
        <x:f>E203+G203</x:f>
        <x:v>0.0810300925925926</x:v>
      </x:c>
      <x:c r="J203" s="131" t="str">
        <x:f>IF(I203=0,"Did not attend",IF(I203&gt;='Read Me'!$E$2/86400,"Fully attended","Partially attended"))</x:f>
        <x:v>Fully attended</x:v>
      </x:c>
      <x:c r="K203" s="131" t="str">
        <x:f>IF($D203="","No",IF(COUNTIF('Attendance Report - Option 1'!$P$11:$P$315,$D203)&gt;0,"Yes","No"))</x:f>
        <x:v>Yes</x:v>
      </x:c>
      <x:c r="L203" s="131" t="str">
        <x:f>IF($D203="","No",IF(COUNTIF('Attendance Report - Option 2'!$P$11:$P$412,$D203)&gt;0,"Yes","No"))</x:f>
        <x:v>No</x:v>
      </x:c>
    </x:row>
    <x:row r="204">
      <x:c r="A204" s="16" t="str">
        <x:f>'EMA Assurance Employee List'!A205</x:f>
        <x:v>Jackson Omondi</x:v>
      </x:c>
      <x:c r="B204" s="16" t="str">
        <x:f>IF(C204="KE","Kenya",IF(C204="UG","Uganda",IF(C204="MU","Mauritius",IF(C204="TZ","Tanzania",IF(C204="RW","Rwanda",IF(C204="ZA","South Africa",IF(C204="ZM","Zambia","")))))))</x:f>
        <x:v>Kenya</x:v>
      </x:c>
      <x:c r="C204" s="16" t="str">
        <x:f>'EMA Assurance Employee List'!B205</x:f>
        <x:v>KE</x:v>
      </x:c>
      <x:c r="D204" s="16" t="str">
        <x:f>'EMA Assurance Employee List'!D205</x:f>
        <x:v>jackson.omondi@pwc.com</x:v>
      </x:c>
      <x:c r="E204" s="130" t="n">
        <x:f>IF($D204="",0,SUMIF('Attendance Report - Option 1'!$P$11:$P$315,$D204,'Attendance Report - Option 1'!$Q$11:$Q$315)/86400)</x:f>
        <x:v>0.0811111111111111</x:v>
      </x:c>
      <x:c r="F204" s="131" t="str">
        <x:f>IF(E204=0,"Did not attend",IF(E204&gt;='Read Me'!$E$2/86400,"Fully attended","Partially attended"))</x:f>
        <x:v>Fully attended</x:v>
      </x:c>
      <x:c r="G204" s="130" t="n">
        <x:f>IF($D204="",0,SUMIF('Attendance Report - Option 2'!$P$11:$P$412,$D204,'Attendance Report - Option 2'!$Q$11:$Q$412)/86400)</x:f>
        <x:v>0</x:v>
      </x:c>
      <x:c r="H204" s="131" t="str">
        <x:f>IF(G204=0,"Did not attend",IF(G204&gt;='Read Me'!$E$2/86400,"Fully attended","Partially attended"))</x:f>
        <x:v>Did not attend</x:v>
      </x:c>
      <x:c r="I204" s="130" t="n">
        <x:f>E204+G204</x:f>
        <x:v>0.0811111111111111</x:v>
      </x:c>
      <x:c r="J204" s="131" t="str">
        <x:f>IF(I204=0,"Did not attend",IF(I204&gt;='Read Me'!$E$2/86400,"Fully attended","Partially attended"))</x:f>
        <x:v>Fully attended</x:v>
      </x:c>
      <x:c r="K204" s="131" t="str">
        <x:f>IF($D204="","No",IF(COUNTIF('Attendance Report - Option 1'!$P$11:$P$315,$D204)&gt;0,"Yes","No"))</x:f>
        <x:v>Yes</x:v>
      </x:c>
      <x:c r="L204" s="131" t="str">
        <x:f>IF($D204="","No",IF(COUNTIF('Attendance Report - Option 2'!$P$11:$P$412,$D204)&gt;0,"Yes","No"))</x:f>
        <x:v>No</x:v>
      </x:c>
    </x:row>
    <x:row r="205">
      <x:c r="A205" s="16" t="str">
        <x:f>'EMA Assurance Employee List'!A206</x:f>
        <x:v>Jacqueline Kamau</x:v>
      </x:c>
      <x:c r="B205" s="16" t="str">
        <x:f>IF(C205="KE","Kenya",IF(C205="UG","Uganda",IF(C205="MU","Mauritius",IF(C205="TZ","Tanzania",IF(C205="RW","Rwanda",IF(C205="ZA","South Africa",IF(C205="ZM","Zambia","")))))))</x:f>
        <x:v>Kenya</x:v>
      </x:c>
      <x:c r="C205" s="16" t="str">
        <x:f>'EMA Assurance Employee List'!B206</x:f>
        <x:v>KE</x:v>
      </x:c>
      <x:c r="D205" s="16" t="str">
        <x:f>'EMA Assurance Employee List'!D206</x:f>
        <x:v>jacqueline.kamau@pwc.com</x:v>
      </x:c>
      <x:c r="E205" s="130" t="n">
        <x:f>IF($D205="",0,SUMIF('Attendance Report - Option 1'!$P$11:$P$315,$D205,'Attendance Report - Option 1'!$Q$11:$Q$315)/86400)</x:f>
        <x:v>0.08145833333333333</x:v>
      </x:c>
      <x:c r="F205" s="131" t="str">
        <x:f>IF(E205=0,"Did not attend",IF(E205&gt;='Read Me'!$E$2/86400,"Fully attended","Partially attended"))</x:f>
        <x:v>Fully attended</x:v>
      </x:c>
      <x:c r="G205" s="130" t="n">
        <x:f>IF($D205="",0,SUMIF('Attendance Report - Option 2'!$P$11:$P$412,$D205,'Attendance Report - Option 2'!$Q$11:$Q$412)/86400)</x:f>
        <x:v>0</x:v>
      </x:c>
      <x:c r="H205" s="131" t="str">
        <x:f>IF(G205=0,"Did not attend",IF(G205&gt;='Read Me'!$E$2/86400,"Fully attended","Partially attended"))</x:f>
        <x:v>Did not attend</x:v>
      </x:c>
      <x:c r="I205" s="130" t="n">
        <x:f>E205+G205</x:f>
        <x:v>0.08145833333333333</x:v>
      </x:c>
      <x:c r="J205" s="131" t="str">
        <x:f>IF(I205=0,"Did not attend",IF(I205&gt;='Read Me'!$E$2/86400,"Fully attended","Partially attended"))</x:f>
        <x:v>Fully attended</x:v>
      </x:c>
      <x:c r="K205" s="131" t="str">
        <x:f>IF($D205="","No",IF(COUNTIF('Attendance Report - Option 1'!$P$11:$P$315,$D205)&gt;0,"Yes","No"))</x:f>
        <x:v>Yes</x:v>
      </x:c>
      <x:c r="L205" s="131" t="str">
        <x:f>IF($D205="","No",IF(COUNTIF('Attendance Report - Option 2'!$P$11:$P$412,$D205)&gt;0,"Yes","No"))</x:f>
        <x:v>No</x:v>
      </x:c>
    </x:row>
    <x:row r="206">
      <x:c r="A206" s="16" t="str">
        <x:f>'EMA Assurance Employee List'!A207</x:f>
        <x:v>Jacqueline Makasa</x:v>
      </x:c>
      <x:c r="B206" s="16" t="str">
        <x:f>IF(C206="KE","Kenya",IF(C206="UG","Uganda",IF(C206="MU","Mauritius",IF(C206="TZ","Tanzania",IF(C206="RW","Rwanda",IF(C206="ZA","South Africa",IF(C206="ZM","Zambia","")))))))</x:f>
        <x:v>Zambia</x:v>
      </x:c>
      <x:c r="C206" s="16" t="str">
        <x:f>'EMA Assurance Employee List'!B207</x:f>
        <x:v>ZM</x:v>
      </x:c>
      <x:c r="D206" s="16" t="str">
        <x:f>'EMA Assurance Employee List'!D207</x:f>
        <x:v>jacqueline.makasa@pwc.com</x:v>
      </x:c>
      <x:c r="E206" s="130" t="n">
        <x:f>IF($D206="",0,SUMIF('Attendance Report - Option 1'!$P$11:$P$315,$D206,'Attendance Report - Option 1'!$Q$11:$Q$315)/86400)</x:f>
        <x:v>0.07180555555555555</x:v>
      </x:c>
      <x:c r="F206" s="131" t="str">
        <x:f>IF(E206=0,"Did not attend",IF(E206&gt;='Read Me'!$E$2/86400,"Fully attended","Partially attended"))</x:f>
        <x:v>Fully attended</x:v>
      </x:c>
      <x:c r="G206" s="130" t="n">
        <x:f>IF($D206="",0,SUMIF('Attendance Report - Option 2'!$P$11:$P$412,$D206,'Attendance Report - Option 2'!$Q$11:$Q$412)/86400)</x:f>
        <x:v>0</x:v>
      </x:c>
      <x:c r="H206" s="131" t="str">
        <x:f>IF(G206=0,"Did not attend",IF(G206&gt;='Read Me'!$E$2/86400,"Fully attended","Partially attended"))</x:f>
        <x:v>Did not attend</x:v>
      </x:c>
      <x:c r="I206" s="130" t="n">
        <x:f>E206+G206</x:f>
        <x:v>0.07180555555555555</x:v>
      </x:c>
      <x:c r="J206" s="131" t="str">
        <x:f>IF(I206=0,"Did not attend",IF(I206&gt;='Read Me'!$E$2/86400,"Fully attended","Partially attended"))</x:f>
        <x:v>Fully attended</x:v>
      </x:c>
      <x:c r="K206" s="131" t="str">
        <x:f>IF($D206="","No",IF(COUNTIF('Attendance Report - Option 1'!$P$11:$P$315,$D206)&gt;0,"Yes","No"))</x:f>
        <x:v>Yes</x:v>
      </x:c>
      <x:c r="L206" s="131" t="str">
        <x:f>IF($D206="","No",IF(COUNTIF('Attendance Report - Option 2'!$P$11:$P$412,$D206)&gt;0,"Yes","No"))</x:f>
        <x:v>No</x:v>
      </x:c>
    </x:row>
    <x:row r="207">
      <x:c r="A207" s="16" t="str">
        <x:f>'EMA Assurance Employee List'!A208</x:f>
        <x:v>Jacqueline Moshi</x:v>
      </x:c>
      <x:c r="B207" s="16" t="str">
        <x:f>IF(C207="KE","Kenya",IF(C207="UG","Uganda",IF(C207="MU","Mauritius",IF(C207="TZ","Tanzania",IF(C207="RW","Rwanda",IF(C207="ZA","South Africa",IF(C207="ZM","Zambia","")))))))</x:f>
        <x:v>Tanzania</x:v>
      </x:c>
      <x:c r="C207" s="16" t="str">
        <x:f>'EMA Assurance Employee List'!B208</x:f>
        <x:v>TZ</x:v>
      </x:c>
      <x:c r="D207" s="16" t="str">
        <x:f>'EMA Assurance Employee List'!D208</x:f>
        <x:v>jacqueline.m.moshi@pwc.com</x:v>
      </x:c>
      <x:c r="E207" s="130" t="n">
        <x:f>IF($D207="",0,SUMIF('Attendance Report - Option 1'!$P$11:$P$315,$D207,'Attendance Report - Option 1'!$Q$11:$Q$315)/86400)</x:f>
        <x:v>0</x:v>
      </x:c>
      <x:c r="F207" s="131" t="str">
        <x:f>IF(E207=0,"Did not attend",IF(E207&gt;='Read Me'!$E$2/86400,"Fully attended","Partially attended"))</x:f>
        <x:v>Did not attend</x:v>
      </x:c>
      <x:c r="G207" s="130" t="n">
        <x:f>IF($D207="",0,SUMIF('Attendance Report - Option 2'!$P$11:$P$412,$D207,'Attendance Report - Option 2'!$Q$11:$Q$412)/86400)</x:f>
        <x:v>0.08763888888888889</x:v>
      </x:c>
      <x:c r="H207" s="131" t="str">
        <x:f>IF(G207=0,"Did not attend",IF(G207&gt;='Read Me'!$E$2/86400,"Fully attended","Partially attended"))</x:f>
        <x:v>Fully attended</x:v>
      </x:c>
      <x:c r="I207" s="130" t="n">
        <x:f>E207+G207</x:f>
        <x:v>0.08763888888888889</x:v>
      </x:c>
      <x:c r="J207" s="131" t="str">
        <x:f>IF(I207=0,"Did not attend",IF(I207&gt;='Read Me'!$E$2/86400,"Fully attended","Partially attended"))</x:f>
        <x:v>Fully attended</x:v>
      </x:c>
      <x:c r="K207" s="131" t="str">
        <x:f>IF($D207="","No",IF(COUNTIF('Attendance Report - Option 1'!$P$11:$P$315,$D207)&gt;0,"Yes","No"))</x:f>
        <x:v>No</x:v>
      </x:c>
      <x:c r="L207" s="131" t="str">
        <x:f>IF($D207="","No",IF(COUNTIF('Attendance Report - Option 2'!$P$11:$P$412,$D207)&gt;0,"Yes","No"))</x:f>
        <x:v>Yes</x:v>
      </x:c>
    </x:row>
    <x:row r="208">
      <x:c r="A208" s="16" t="str">
        <x:f>'EMA Assurance Employee List'!A209</x:f>
        <x:v>James Kimani</x:v>
      </x:c>
      <x:c r="B208" s="16" t="str">
        <x:f>IF(C208="KE","Kenya",IF(C208="UG","Uganda",IF(C208="MU","Mauritius",IF(C208="TZ","Tanzania",IF(C208="RW","Rwanda",IF(C208="ZA","South Africa",IF(C208="ZM","Zambia","")))))))</x:f>
        <x:v>Kenya</x:v>
      </x:c>
      <x:c r="C208" s="16" t="str">
        <x:f>'EMA Assurance Employee List'!B209</x:f>
        <x:v>KE</x:v>
      </x:c>
      <x:c r="D208" s="16" t="str">
        <x:f>'EMA Assurance Employee List'!D209</x:f>
        <x:v>james.kimani@pwc.com</x:v>
      </x:c>
      <x:c r="E208" s="130" t="n">
        <x:f>IF($D208="",0,SUMIF('Attendance Report - Option 1'!$P$11:$P$315,$D208,'Attendance Report - Option 1'!$Q$11:$Q$315)/86400)</x:f>
        <x:v>0</x:v>
      </x:c>
      <x:c r="F208" s="131" t="str">
        <x:f>IF(E208=0,"Did not attend",IF(E208&gt;='Read Me'!$E$2/86400,"Fully attended","Partially attended"))</x:f>
        <x:v>Did not attend</x:v>
      </x:c>
      <x:c r="G208" s="130" t="n">
        <x:f>IF($D208="",0,SUMIF('Attendance Report - Option 2'!$P$11:$P$412,$D208,'Attendance Report - Option 2'!$Q$11:$Q$412)/86400)</x:f>
        <x:v>0.09017361111111111</x:v>
      </x:c>
      <x:c r="H208" s="131" t="str">
        <x:f>IF(G208=0,"Did not attend",IF(G208&gt;='Read Me'!$E$2/86400,"Fully attended","Partially attended"))</x:f>
        <x:v>Fully attended</x:v>
      </x:c>
      <x:c r="I208" s="130" t="n">
        <x:f>E208+G208</x:f>
        <x:v>0.09017361111111111</x:v>
      </x:c>
      <x:c r="J208" s="131" t="str">
        <x:f>IF(I208=0,"Did not attend",IF(I208&gt;='Read Me'!$E$2/86400,"Fully attended","Partially attended"))</x:f>
        <x:v>Fully attended</x:v>
      </x:c>
      <x:c r="K208" s="131" t="str">
        <x:f>IF($D208="","No",IF(COUNTIF('Attendance Report - Option 1'!$P$11:$P$315,$D208)&gt;0,"Yes","No"))</x:f>
        <x:v>No</x:v>
      </x:c>
      <x:c r="L208" s="131" t="str">
        <x:f>IF($D208="","No",IF(COUNTIF('Attendance Report - Option 2'!$P$11:$P$412,$D208)&gt;0,"Yes","No"))</x:f>
        <x:v>Yes</x:v>
      </x:c>
    </x:row>
    <x:row r="209">
      <x:c r="A209" s="16" t="str">
        <x:f>'EMA Assurance Employee List'!A210</x:f>
        <x:v>James Msele</x:v>
      </x:c>
      <x:c r="B209" s="16" t="str">
        <x:f>IF(C209="KE","Kenya",IF(C209="UG","Uganda",IF(C209="MU","Mauritius",IF(C209="TZ","Tanzania",IF(C209="RW","Rwanda",IF(C209="ZA","South Africa",IF(C209="ZM","Zambia","")))))))</x:f>
        <x:v>Tanzania</x:v>
      </x:c>
      <x:c r="C209" s="16" t="str">
        <x:f>'EMA Assurance Employee List'!B210</x:f>
        <x:v>TZ</x:v>
      </x:c>
      <x:c r="D209" s="16" t="str">
        <x:f>'EMA Assurance Employee List'!D210</x:f>
        <x:v>james.msele@pwc.com</x:v>
      </x:c>
      <x:c r="E209" s="130" t="n">
        <x:f>IF($D209="",0,SUMIF('Attendance Report - Option 1'!$P$11:$P$315,$D209,'Attendance Report - Option 1'!$Q$11:$Q$315)/86400)</x:f>
        <x:v>0</x:v>
      </x:c>
      <x:c r="F209" s="131" t="str">
        <x:f>IF(E209=0,"Did not attend",IF(E209&gt;='Read Me'!$E$2/86400,"Fully attended","Partially attended"))</x:f>
        <x:v>Did not attend</x:v>
      </x:c>
      <x:c r="G209" s="130" t="n">
        <x:f>IF($D209="",0,SUMIF('Attendance Report - Option 2'!$P$11:$P$412,$D209,'Attendance Report - Option 2'!$Q$11:$Q$412)/86400)</x:f>
        <x:v>0</x:v>
      </x:c>
      <x:c r="H209" s="131" t="str">
        <x:f>IF(G209=0,"Did not attend",IF(G209&gt;='Read Me'!$E$2/86400,"Fully attended","Partially attended"))</x:f>
        <x:v>Did not attend</x:v>
      </x:c>
      <x:c r="I209" s="130" t="n">
        <x:f>E209+G209</x:f>
        <x:v>0</x:v>
      </x:c>
      <x:c r="J209" s="131" t="str">
        <x:f>IF(I209=0,"Did not attend",IF(I209&gt;='Read Me'!$E$2/86400,"Fully attended","Partially attended"))</x:f>
        <x:v>Did not attend</x:v>
      </x:c>
      <x:c r="K209" s="131" t="str">
        <x:f>IF($D209="","No",IF(COUNTIF('Attendance Report - Option 1'!$P$11:$P$315,$D209)&gt;0,"Yes","No"))</x:f>
        <x:v>No</x:v>
      </x:c>
      <x:c r="L209" s="131" t="str">
        <x:f>IF($D209="","No",IF(COUNTIF('Attendance Report - Option 2'!$P$11:$P$412,$D209)&gt;0,"Yes","No"))</x:f>
        <x:v>No</x:v>
      </x:c>
    </x:row>
    <x:row r="210">
      <x:c r="A210" s="16" t="str">
        <x:f>'EMA Assurance Employee List'!A211</x:f>
        <x:v>James Musyoka</x:v>
      </x:c>
      <x:c r="B210" s="16" t="str">
        <x:f>IF(C210="KE","Kenya",IF(C210="UG","Uganda",IF(C210="MU","Mauritius",IF(C210="TZ","Tanzania",IF(C210="RW","Rwanda",IF(C210="ZA","South Africa",IF(C210="ZM","Zambia","")))))))</x:f>
        <x:v>Kenya</x:v>
      </x:c>
      <x:c r="C210" s="16" t="str">
        <x:f>'EMA Assurance Employee List'!B211</x:f>
        <x:v>KE</x:v>
      </x:c>
      <x:c r="D210" s="16" t="str">
        <x:f>'EMA Assurance Employee List'!D211</x:f>
        <x:v>james.musyoka@pwc.com</x:v>
      </x:c>
      <x:c r="E210" s="130" t="n">
        <x:f>IF($D210="",0,SUMIF('Attendance Report - Option 1'!$P$11:$P$315,$D210,'Attendance Report - Option 1'!$Q$11:$Q$315)/86400)</x:f>
        <x:v>0.05609953703703704</x:v>
      </x:c>
      <x:c r="F210" s="131" t="str">
        <x:f>IF(E210=0,"Did not attend",IF(E210&gt;='Read Me'!$E$2/86400,"Fully attended","Partially attended"))</x:f>
        <x:v>Partially attended</x:v>
      </x:c>
      <x:c r="G210" s="130" t="n">
        <x:f>IF($D210="",0,SUMIF('Attendance Report - Option 2'!$P$11:$P$412,$D210,'Attendance Report - Option 2'!$Q$11:$Q$412)/86400)</x:f>
        <x:v>0.007106481481481482</x:v>
      </x:c>
      <x:c r="H210" s="131" t="str">
        <x:f>IF(G210=0,"Did not attend",IF(G210&gt;='Read Me'!$E$2/86400,"Fully attended","Partially attended"))</x:f>
        <x:v>Partially attended</x:v>
      </x:c>
      <x:c r="I210" s="130" t="n">
        <x:f>E210+G210</x:f>
        <x:v>0.06320601851851852</x:v>
      </x:c>
      <x:c r="J210" s="131" t="str">
        <x:f>IF(I210=0,"Did not attend",IF(I210&gt;='Read Me'!$E$2/86400,"Fully attended","Partially attended"))</x:f>
        <x:v>Fully attended</x:v>
      </x:c>
      <x:c r="K210" s="131" t="str">
        <x:f>IF($D210="","No",IF(COUNTIF('Attendance Report - Option 1'!$P$11:$P$315,$D210)&gt;0,"Yes","No"))</x:f>
        <x:v>Yes</x:v>
      </x:c>
      <x:c r="L210" s="131" t="str">
        <x:f>IF($D210="","No",IF(COUNTIF('Attendance Report - Option 2'!$P$11:$P$412,$D210)&gt;0,"Yes","No"))</x:f>
        <x:v>Yes</x:v>
      </x:c>
    </x:row>
    <x:row r="211">
      <x:c r="A211" s="16" t="str">
        <x:f>'EMA Assurance Employee List'!A212</x:f>
        <x:v>James Mwaniki</x:v>
      </x:c>
      <x:c r="B211" s="16" t="str">
        <x:f>IF(C211="KE","Kenya",IF(C211="UG","Uganda",IF(C211="MU","Mauritius",IF(C211="TZ","Tanzania",IF(C211="RW","Rwanda",IF(C211="ZA","South Africa",IF(C211="ZM","Zambia","")))))))</x:f>
        <x:v>Kenya</x:v>
      </x:c>
      <x:c r="C211" s="16" t="str">
        <x:f>'EMA Assurance Employee List'!B212</x:f>
        <x:v>KE</x:v>
      </x:c>
      <x:c r="D211" s="16" t="str">
        <x:f>'EMA Assurance Employee List'!D212</x:f>
        <x:v>james.mwaniki@pwc.com</x:v>
      </x:c>
      <x:c r="E211" s="130" t="n">
        <x:f>IF($D211="",0,SUMIF('Attendance Report - Option 1'!$P$11:$P$315,$D211,'Attendance Report - Option 1'!$Q$11:$Q$315)/86400)</x:f>
        <x:v>0.07526620370370371</x:v>
      </x:c>
      <x:c r="F211" s="131" t="str">
        <x:f>IF(E211=0,"Did not attend",IF(E211&gt;='Read Me'!$E$2/86400,"Fully attended","Partially attended"))</x:f>
        <x:v>Fully attended</x:v>
      </x:c>
      <x:c r="G211" s="130" t="n">
        <x:f>IF($D211="",0,SUMIF('Attendance Report - Option 2'!$P$11:$P$412,$D211,'Attendance Report - Option 2'!$Q$11:$Q$412)/86400)</x:f>
        <x:v>0</x:v>
      </x:c>
      <x:c r="H211" s="131" t="str">
        <x:f>IF(G211=0,"Did not attend",IF(G211&gt;='Read Me'!$E$2/86400,"Fully attended","Partially attended"))</x:f>
        <x:v>Did not attend</x:v>
      </x:c>
      <x:c r="I211" s="130" t="n">
        <x:f>E211+G211</x:f>
        <x:v>0.07526620370370371</x:v>
      </x:c>
      <x:c r="J211" s="131" t="str">
        <x:f>IF(I211=0,"Did not attend",IF(I211&gt;='Read Me'!$E$2/86400,"Fully attended","Partially attended"))</x:f>
        <x:v>Fully attended</x:v>
      </x:c>
      <x:c r="K211" s="131" t="str">
        <x:f>IF($D211="","No",IF(COUNTIF('Attendance Report - Option 1'!$P$11:$P$315,$D211)&gt;0,"Yes","No"))</x:f>
        <x:v>Yes</x:v>
      </x:c>
      <x:c r="L211" s="131" t="str">
        <x:f>IF($D211="","No",IF(COUNTIF('Attendance Report - Option 2'!$P$11:$P$412,$D211)&gt;0,"Yes","No"))</x:f>
        <x:v>No</x:v>
      </x:c>
    </x:row>
    <x:row r="212">
      <x:c r="A212" s="16" t="str">
        <x:f>'EMA Assurance Employee List'!A213</x:f>
        <x:v>Janat Nankya</x:v>
      </x:c>
      <x:c r="B212" s="16" t="str">
        <x:f>IF(C212="KE","Kenya",IF(C212="UG","Uganda",IF(C212="MU","Mauritius",IF(C212="TZ","Tanzania",IF(C212="RW","Rwanda",IF(C212="ZA","South Africa",IF(C212="ZM","Zambia","")))))))</x:f>
        <x:v>Uganda</x:v>
      </x:c>
      <x:c r="C212" s="16" t="str">
        <x:f>'EMA Assurance Employee List'!B213</x:f>
        <x:v>UG</x:v>
      </x:c>
      <x:c r="D212" s="16" t="str">
        <x:f>'EMA Assurance Employee List'!D213</x:f>
        <x:v>janat.nankya@pwc.com</x:v>
      </x:c>
      <x:c r="E212" s="130" t="n">
        <x:f>IF($D212="",0,SUMIF('Attendance Report - Option 1'!$P$11:$P$315,$D212,'Attendance Report - Option 1'!$Q$11:$Q$315)/86400)</x:f>
        <x:v>0.0430787037037037</x:v>
      </x:c>
      <x:c r="F212" s="131" t="str">
        <x:f>IF(E212=0,"Did not attend",IF(E212&gt;='Read Me'!$E$2/86400,"Fully attended","Partially attended"))</x:f>
        <x:v>Partially attended</x:v>
      </x:c>
      <x:c r="G212" s="130" t="n">
        <x:f>IF($D212="",0,SUMIF('Attendance Report - Option 2'!$P$11:$P$412,$D212,'Attendance Report - Option 2'!$Q$11:$Q$412)/86400)</x:f>
        <x:v>0</x:v>
      </x:c>
      <x:c r="H212" s="131" t="str">
        <x:f>IF(G212=0,"Did not attend",IF(G212&gt;='Read Me'!$E$2/86400,"Fully attended","Partially attended"))</x:f>
        <x:v>Did not attend</x:v>
      </x:c>
      <x:c r="I212" s="130" t="n">
        <x:f>E212+G212</x:f>
        <x:v>0.0430787037037037</x:v>
      </x:c>
      <x:c r="J212" s="131" t="str">
        <x:f>IF(I212=0,"Did not attend",IF(I212&gt;='Read Me'!$E$2/86400,"Fully attended","Partially attended"))</x:f>
        <x:v>Partially attended</x:v>
      </x:c>
      <x:c r="K212" s="131" t="str">
        <x:f>IF($D212="","No",IF(COUNTIF('Attendance Report - Option 1'!$P$11:$P$315,$D212)&gt;0,"Yes","No"))</x:f>
        <x:v>Yes</x:v>
      </x:c>
      <x:c r="L212" s="131" t="str">
        <x:f>IF($D212="","No",IF(COUNTIF('Attendance Report - Option 2'!$P$11:$P$412,$D212)&gt;0,"Yes","No"))</x:f>
        <x:v>No</x:v>
      </x:c>
    </x:row>
    <x:row r="213">
      <x:c r="A213" s="16" t="str">
        <x:f>'EMA Assurance Employee List'!A214</x:f>
        <x:v>Janneke Timmers</x:v>
      </x:c>
      <x:c r="B213" s="16" t="str">
        <x:f>IF(C213="KE","Kenya",IF(C213="UG","Uganda",IF(C213="MU","Mauritius",IF(C213="TZ","Tanzania",IF(C213="RW","Rwanda",IF(C213="ZA","South Africa",IF(C213="ZM","Zambia","")))))))</x:f>
        <x:v>Kenya</x:v>
      </x:c>
      <x:c r="C213" s="16" t="str">
        <x:f>'EMA Assurance Employee List'!B214</x:f>
        <x:v>KE</x:v>
      </x:c>
      <x:c r="D213" s="16" t="str">
        <x:f>'EMA Assurance Employee List'!D214</x:f>
        <x:v>janneke.t.timmers@pwc.com</x:v>
      </x:c>
      <x:c r="E213" s="130" t="n">
        <x:f>IF($D213="",0,SUMIF('Attendance Report - Option 1'!$P$11:$P$315,$D213,'Attendance Report - Option 1'!$Q$11:$Q$315)/86400)</x:f>
        <x:v>0</x:v>
      </x:c>
      <x:c r="F213" s="131" t="str">
        <x:f>IF(E213=0,"Did not attend",IF(E213&gt;='Read Me'!$E$2/86400,"Fully attended","Partially attended"))</x:f>
        <x:v>Did not attend</x:v>
      </x:c>
      <x:c r="G213" s="130" t="n">
        <x:f>IF($D213="",0,SUMIF('Attendance Report - Option 2'!$P$11:$P$412,$D213,'Attendance Report - Option 2'!$Q$11:$Q$412)/86400)</x:f>
        <x:v>0</x:v>
      </x:c>
      <x:c r="H213" s="131" t="str">
        <x:f>IF(G213=0,"Did not attend",IF(G213&gt;='Read Me'!$E$2/86400,"Fully attended","Partially attended"))</x:f>
        <x:v>Did not attend</x:v>
      </x:c>
      <x:c r="I213" s="130" t="n">
        <x:f>E213+G213</x:f>
        <x:v>0</x:v>
      </x:c>
      <x:c r="J213" s="131" t="str">
        <x:f>IF(I213=0,"Did not attend",IF(I213&gt;='Read Me'!$E$2/86400,"Fully attended","Partially attended"))</x:f>
        <x:v>Did not attend</x:v>
      </x:c>
      <x:c r="K213" s="131" t="str">
        <x:f>IF($D213="","No",IF(COUNTIF('Attendance Report - Option 1'!$P$11:$P$315,$D213)&gt;0,"Yes","No"))</x:f>
        <x:v>No</x:v>
      </x:c>
      <x:c r="L213" s="131" t="str">
        <x:f>IF($D213="","No",IF(COUNTIF('Attendance Report - Option 2'!$P$11:$P$412,$D213)&gt;0,"Yes","No"))</x:f>
        <x:v>No</x:v>
      </x:c>
    </x:row>
    <x:row r="214">
      <x:c r="A214" s="16" t="str">
        <x:f>'EMA Assurance Employee List'!A215</x:f>
        <x:v>Jaya Moctaram</x:v>
      </x:c>
      <x:c r="B214" s="16" t="str">
        <x:f>IF(C214="KE","Kenya",IF(C214="UG","Uganda",IF(C214="MU","Mauritius",IF(C214="TZ","Tanzania",IF(C214="RW","Rwanda",IF(C214="ZA","South Africa",IF(C214="ZM","Zambia","")))))))</x:f>
        <x:v>Mauritius</x:v>
      </x:c>
      <x:c r="C214" s="16" t="str">
        <x:f>'EMA Assurance Employee List'!B215</x:f>
        <x:v>MU</x:v>
      </x:c>
      <x:c r="D214" s="16" t="str">
        <x:f>'EMA Assurance Employee List'!D215</x:f>
        <x:v>jaya.moctaram@pwc.com</x:v>
      </x:c>
      <x:c r="E214" s="130" t="n">
        <x:f>IF($D214="",0,SUMIF('Attendance Report - Option 1'!$P$11:$P$315,$D214,'Attendance Report - Option 1'!$Q$11:$Q$315)/86400)</x:f>
        <x:v>0</x:v>
      </x:c>
      <x:c r="F214" s="131" t="str">
        <x:f>IF(E214=0,"Did not attend",IF(E214&gt;='Read Me'!$E$2/86400,"Fully attended","Partially attended"))</x:f>
        <x:v>Did not attend</x:v>
      </x:c>
      <x:c r="G214" s="130" t="n">
        <x:f>IF($D214="",0,SUMIF('Attendance Report - Option 2'!$P$11:$P$412,$D214,'Attendance Report - Option 2'!$Q$11:$Q$412)/86400)</x:f>
        <x:v>0.08284722222222222</x:v>
      </x:c>
      <x:c r="H214" s="131" t="str">
        <x:f>IF(G214=0,"Did not attend",IF(G214&gt;='Read Me'!$E$2/86400,"Fully attended","Partially attended"))</x:f>
        <x:v>Fully attended</x:v>
      </x:c>
      <x:c r="I214" s="130" t="n">
        <x:f>E214+G214</x:f>
        <x:v>0.08284722222222222</x:v>
      </x:c>
      <x:c r="J214" s="131" t="str">
        <x:f>IF(I214=0,"Did not attend",IF(I214&gt;='Read Me'!$E$2/86400,"Fully attended","Partially attended"))</x:f>
        <x:v>Fully attended</x:v>
      </x:c>
      <x:c r="K214" s="131" t="str">
        <x:f>IF($D214="","No",IF(COUNTIF('Attendance Report - Option 1'!$P$11:$P$315,$D214)&gt;0,"Yes","No"))</x:f>
        <x:v>No</x:v>
      </x:c>
      <x:c r="L214" s="131" t="str">
        <x:f>IF($D214="","No",IF(COUNTIF('Attendance Report - Option 2'!$P$11:$P$412,$D214)&gt;0,"Yes","No"))</x:f>
        <x:v>Yes</x:v>
      </x:c>
    </x:row>
    <x:row r="215">
      <x:c r="A215" s="16" t="str">
        <x:f>'EMA Assurance Employee List'!A216</x:f>
        <x:v>Jeannie Daka</x:v>
      </x:c>
      <x:c r="B215" s="16" t="str">
        <x:f>IF(C215="KE","Kenya",IF(C215="UG","Uganda",IF(C215="MU","Mauritius",IF(C215="TZ","Tanzania",IF(C215="RW","Rwanda",IF(C215="ZA","South Africa",IF(C215="ZM","Zambia","")))))))</x:f>
        <x:v>Zambia</x:v>
      </x:c>
      <x:c r="C215" s="16" t="str">
        <x:f>'EMA Assurance Employee List'!B216</x:f>
        <x:v>ZM</x:v>
      </x:c>
      <x:c r="D215" s="16" t="str">
        <x:f>'EMA Assurance Employee List'!D216</x:f>
        <x:v>jeannie.daka@pwc.com</x:v>
      </x:c>
      <x:c r="E215" s="130" t="n">
        <x:f>IF($D215="",0,SUMIF('Attendance Report - Option 1'!$P$11:$P$315,$D215,'Attendance Report - Option 1'!$Q$11:$Q$315)/86400)</x:f>
        <x:v>0.08199074074074074</x:v>
      </x:c>
      <x:c r="F215" s="131" t="str">
        <x:f>IF(E215=0,"Did not attend",IF(E215&gt;='Read Me'!$E$2/86400,"Fully attended","Partially attended"))</x:f>
        <x:v>Fully attended</x:v>
      </x:c>
      <x:c r="G215" s="130" t="n">
        <x:f>IF($D215="",0,SUMIF('Attendance Report - Option 2'!$P$11:$P$412,$D215,'Attendance Report - Option 2'!$Q$11:$Q$412)/86400)</x:f>
        <x:v>0</x:v>
      </x:c>
      <x:c r="H215" s="131" t="str">
        <x:f>IF(G215=0,"Did not attend",IF(G215&gt;='Read Me'!$E$2/86400,"Fully attended","Partially attended"))</x:f>
        <x:v>Did not attend</x:v>
      </x:c>
      <x:c r="I215" s="130" t="n">
        <x:f>E215+G215</x:f>
        <x:v>0.08199074074074074</x:v>
      </x:c>
      <x:c r="J215" s="131" t="str">
        <x:f>IF(I215=0,"Did not attend",IF(I215&gt;='Read Me'!$E$2/86400,"Fully attended","Partially attended"))</x:f>
        <x:v>Fully attended</x:v>
      </x:c>
      <x:c r="K215" s="131" t="str">
        <x:f>IF($D215="","No",IF(COUNTIF('Attendance Report - Option 1'!$P$11:$P$315,$D215)&gt;0,"Yes","No"))</x:f>
        <x:v>Yes</x:v>
      </x:c>
      <x:c r="L215" s="131" t="str">
        <x:f>IF($D215="","No",IF(COUNTIF('Attendance Report - Option 2'!$P$11:$P$412,$D215)&gt;0,"Yes","No"))</x:f>
        <x:v>No</x:v>
      </x:c>
    </x:row>
    <x:row r="216">
      <x:c r="A216" s="16" t="str">
        <x:f>'EMA Assurance Employee List'!A217</x:f>
        <x:v>Jeffrey Koo</x:v>
      </x:c>
      <x:c r="B216" s="16" t="str">
        <x:f>IF(C216="KE","Kenya",IF(C216="UG","Uganda",IF(C216="MU","Mauritius",IF(C216="TZ","Tanzania",IF(C216="RW","Rwanda",IF(C216="ZA","South Africa",IF(C216="ZM","Zambia","")))))))</x:f>
        <x:v>Mauritius</x:v>
      </x:c>
      <x:c r="C216" s="16" t="str">
        <x:f>'EMA Assurance Employee List'!B217</x:f>
        <x:v>MU</x:v>
      </x:c>
      <x:c r="D216" s="16" t="str">
        <x:f>'EMA Assurance Employee List'!D217</x:f>
        <x:v>jeffrey.koo@pwc.com</x:v>
      </x:c>
      <x:c r="E216" s="130" t="n">
        <x:f>IF($D216="",0,SUMIF('Attendance Report - Option 1'!$P$11:$P$315,$D216,'Attendance Report - Option 1'!$Q$11:$Q$315)/86400)</x:f>
        <x:v>0.05918981481481481</x:v>
      </x:c>
      <x:c r="F216" s="131" t="str">
        <x:f>IF(E216=0,"Did not attend",IF(E216&gt;='Read Me'!$E$2/86400,"Fully attended","Partially attended"))</x:f>
        <x:v>Partially attended</x:v>
      </x:c>
      <x:c r="G216" s="130" t="n">
        <x:f>IF($D216="",0,SUMIF('Attendance Report - Option 2'!$P$11:$P$412,$D216,'Attendance Report - Option 2'!$Q$11:$Q$412)/86400)</x:f>
        <x:v>0</x:v>
      </x:c>
      <x:c r="H216" s="131" t="str">
        <x:f>IF(G216=0,"Did not attend",IF(G216&gt;='Read Me'!$E$2/86400,"Fully attended","Partially attended"))</x:f>
        <x:v>Did not attend</x:v>
      </x:c>
      <x:c r="I216" s="130" t="n">
        <x:f>E216+G216</x:f>
        <x:v>0.05918981481481481</x:v>
      </x:c>
      <x:c r="J216" s="131" t="str">
        <x:f>IF(I216=0,"Did not attend",IF(I216&gt;='Read Me'!$E$2/86400,"Fully attended","Partially attended"))</x:f>
        <x:v>Partially attended</x:v>
      </x:c>
      <x:c r="K216" s="131" t="str">
        <x:f>IF($D216="","No",IF(COUNTIF('Attendance Report - Option 1'!$P$11:$P$315,$D216)&gt;0,"Yes","No"))</x:f>
        <x:v>Yes</x:v>
      </x:c>
      <x:c r="L216" s="131" t="str">
        <x:f>IF($D216="","No",IF(COUNTIF('Attendance Report - Option 2'!$P$11:$P$412,$D216)&gt;0,"Yes","No"))</x:f>
        <x:v>No</x:v>
      </x:c>
    </x:row>
    <x:row r="217">
      <x:c r="A217" s="16" t="str">
        <x:f>'EMA Assurance Employee List'!A218</x:f>
        <x:v>Jeremiah Musembi</x:v>
      </x:c>
      <x:c r="B217" s="16" t="str">
        <x:f>IF(C217="KE","Kenya",IF(C217="UG","Uganda",IF(C217="MU","Mauritius",IF(C217="TZ","Tanzania",IF(C217="RW","Rwanda",IF(C217="ZA","South Africa",IF(C217="ZM","Zambia","")))))))</x:f>
        <x:v>Kenya</x:v>
      </x:c>
      <x:c r="C217" s="16" t="str">
        <x:f>'EMA Assurance Employee List'!B218</x:f>
        <x:v>KE</x:v>
      </x:c>
      <x:c r="D217" s="16" t="str">
        <x:f>'EMA Assurance Employee List'!D218</x:f>
        <x:v>jeremiah.musembi@pwc.com</x:v>
      </x:c>
      <x:c r="E217" s="130" t="n">
        <x:f>IF($D217="",0,SUMIF('Attendance Report - Option 1'!$P$11:$P$315,$D217,'Attendance Report - Option 1'!$Q$11:$Q$315)/86400)</x:f>
        <x:v>0.023078703703703702</x:v>
      </x:c>
      <x:c r="F217" s="131" t="str">
        <x:f>IF(E217=0,"Did not attend",IF(E217&gt;='Read Me'!$E$2/86400,"Fully attended","Partially attended"))</x:f>
        <x:v>Partially attended</x:v>
      </x:c>
      <x:c r="G217" s="130" t="n">
        <x:f>IF($D217="",0,SUMIF('Attendance Report - Option 2'!$P$11:$P$412,$D217,'Attendance Report - Option 2'!$Q$11:$Q$412)/86400)</x:f>
        <x:v>0</x:v>
      </x:c>
      <x:c r="H217" s="131" t="str">
        <x:f>IF(G217=0,"Did not attend",IF(G217&gt;='Read Me'!$E$2/86400,"Fully attended","Partially attended"))</x:f>
        <x:v>Did not attend</x:v>
      </x:c>
      <x:c r="I217" s="130" t="n">
        <x:f>E217+G217</x:f>
        <x:v>0.023078703703703702</x:v>
      </x:c>
      <x:c r="J217" s="131" t="str">
        <x:f>IF(I217=0,"Did not attend",IF(I217&gt;='Read Me'!$E$2/86400,"Fully attended","Partially attended"))</x:f>
        <x:v>Partially attended</x:v>
      </x:c>
      <x:c r="K217" s="131" t="str">
        <x:f>IF($D217="","No",IF(COUNTIF('Attendance Report - Option 1'!$P$11:$P$315,$D217)&gt;0,"Yes","No"))</x:f>
        <x:v>Yes</x:v>
      </x:c>
      <x:c r="L217" s="131" t="str">
        <x:f>IF($D217="","No",IF(COUNTIF('Attendance Report - Option 2'!$P$11:$P$412,$D217)&gt;0,"Yes","No"))</x:f>
        <x:v>No</x:v>
      </x:c>
    </x:row>
    <x:row r="218">
      <x:c r="A218" s="16" t="str">
        <x:f>'EMA Assurance Employee List'!A219</x:f>
        <x:v>Jeremiah Ruita</x:v>
      </x:c>
      <x:c r="B218" s="16" t="str">
        <x:f>IF(C218="KE","Kenya",IF(C218="UG","Uganda",IF(C218="MU","Mauritius",IF(C218="TZ","Tanzania",IF(C218="RW","Rwanda",IF(C218="ZA","South Africa",IF(C218="ZM","Zambia","")))))))</x:f>
        <x:v>Kenya</x:v>
      </x:c>
      <x:c r="C218" s="16" t="str">
        <x:f>'EMA Assurance Employee List'!B219</x:f>
        <x:v>KE</x:v>
      </x:c>
      <x:c r="D218" s="16" t="str">
        <x:f>'EMA Assurance Employee List'!D219</x:f>
        <x:v>jeremiah.ruita@pwc.com</x:v>
      </x:c>
      <x:c r="E218" s="130" t="n">
        <x:f>IF($D218="",0,SUMIF('Attendance Report - Option 1'!$P$11:$P$315,$D218,'Attendance Report - Option 1'!$Q$11:$Q$315)/86400)</x:f>
        <x:v>0</x:v>
      </x:c>
      <x:c r="F218" s="131" t="str">
        <x:f>IF(E218=0,"Did not attend",IF(E218&gt;='Read Me'!$E$2/86400,"Fully attended","Partially attended"))</x:f>
        <x:v>Did not attend</x:v>
      </x:c>
      <x:c r="G218" s="130" t="n">
        <x:f>IF($D218="",0,SUMIF('Attendance Report - Option 2'!$P$11:$P$412,$D218,'Attendance Report - Option 2'!$Q$11:$Q$412)/86400)</x:f>
        <x:v>0.08289351851851852</x:v>
      </x:c>
      <x:c r="H218" s="131" t="str">
        <x:f>IF(G218=0,"Did not attend",IF(G218&gt;='Read Me'!$E$2/86400,"Fully attended","Partially attended"))</x:f>
        <x:v>Fully attended</x:v>
      </x:c>
      <x:c r="I218" s="130" t="n">
        <x:f>E218+G218</x:f>
        <x:v>0.08289351851851852</x:v>
      </x:c>
      <x:c r="J218" s="131" t="str">
        <x:f>IF(I218=0,"Did not attend",IF(I218&gt;='Read Me'!$E$2/86400,"Fully attended","Partially attended"))</x:f>
        <x:v>Fully attended</x:v>
      </x:c>
      <x:c r="K218" s="131" t="str">
        <x:f>IF($D218="","No",IF(COUNTIF('Attendance Report - Option 1'!$P$11:$P$315,$D218)&gt;0,"Yes","No"))</x:f>
        <x:v>No</x:v>
      </x:c>
      <x:c r="L218" s="131" t="str">
        <x:f>IF($D218="","No",IF(COUNTIF('Attendance Report - Option 2'!$P$11:$P$412,$D218)&gt;0,"Yes","No"))</x:f>
        <x:v>Yes</x:v>
      </x:c>
    </x:row>
    <x:row r="219">
      <x:c r="A219" s="16" t="str">
        <x:f>'EMA Assurance Employee List'!A220</x:f>
        <x:v>Jessina Galchoolah</x:v>
      </x:c>
      <x:c r="B219" s="16" t="str">
        <x:f>IF(C219="KE","Kenya",IF(C219="UG","Uganda",IF(C219="MU","Mauritius",IF(C219="TZ","Tanzania",IF(C219="RW","Rwanda",IF(C219="ZA","South Africa",IF(C219="ZM","Zambia","")))))))</x:f>
        <x:v>Mauritius</x:v>
      </x:c>
      <x:c r="C219" s="16" t="str">
        <x:f>'EMA Assurance Employee List'!B220</x:f>
        <x:v>MU</x:v>
      </x:c>
      <x:c r="D219" s="16" t="str">
        <x:f>'EMA Assurance Employee List'!D220</x:f>
        <x:v>jessina.galchoolah@pwc.com</x:v>
      </x:c>
      <x:c r="E219" s="130" t="n">
        <x:f>IF($D219="",0,SUMIF('Attendance Report - Option 1'!$P$11:$P$315,$D219,'Attendance Report - Option 1'!$Q$11:$Q$315)/86400)</x:f>
        <x:v>0</x:v>
      </x:c>
      <x:c r="F219" s="131" t="str">
        <x:f>IF(E219=0,"Did not attend",IF(E219&gt;='Read Me'!$E$2/86400,"Fully attended","Partially attended"))</x:f>
        <x:v>Did not attend</x:v>
      </x:c>
      <x:c r="G219" s="130" t="n">
        <x:f>IF($D219="",0,SUMIF('Attendance Report - Option 2'!$P$11:$P$412,$D219,'Attendance Report - Option 2'!$Q$11:$Q$412)/86400)</x:f>
        <x:v>0</x:v>
      </x:c>
      <x:c r="H219" s="131" t="str">
        <x:f>IF(G219=0,"Did not attend",IF(G219&gt;='Read Me'!$E$2/86400,"Fully attended","Partially attended"))</x:f>
        <x:v>Did not attend</x:v>
      </x:c>
      <x:c r="I219" s="130" t="n">
        <x:f>E219+G219</x:f>
        <x:v>0</x:v>
      </x:c>
      <x:c r="J219" s="131" t="str">
        <x:f>IF(I219=0,"Did not attend",IF(I219&gt;='Read Me'!$E$2/86400,"Fully attended","Partially attended"))</x:f>
        <x:v>Did not attend</x:v>
      </x:c>
      <x:c r="K219" s="131" t="str">
        <x:f>IF($D219="","No",IF(COUNTIF('Attendance Report - Option 1'!$P$11:$P$315,$D219)&gt;0,"Yes","No"))</x:f>
        <x:v>No</x:v>
      </x:c>
      <x:c r="L219" s="131" t="str">
        <x:f>IF($D219="","No",IF(COUNTIF('Attendance Report - Option 2'!$P$11:$P$412,$D219)&gt;0,"Yes","No"))</x:f>
        <x:v>No</x:v>
      </x:c>
    </x:row>
    <x:row r="220">
      <x:c r="A220" s="16" t="str">
        <x:f>'EMA Assurance Employee List'!A221</x:f>
        <x:v>Joan Letasi</x:v>
      </x:c>
      <x:c r="B220" s="16" t="str">
        <x:f>IF(C220="KE","Kenya",IF(C220="UG","Uganda",IF(C220="MU","Mauritius",IF(C220="TZ","Tanzania",IF(C220="RW","Rwanda",IF(C220="ZA","South Africa",IF(C220="ZM","Zambia","")))))))</x:f>
        <x:v>Uganda</x:v>
      </x:c>
      <x:c r="C220" s="16" t="str">
        <x:f>'EMA Assurance Employee List'!B221</x:f>
        <x:v>UG</x:v>
      </x:c>
      <x:c r="D220" s="16" t="str">
        <x:f>'EMA Assurance Employee List'!D221</x:f>
        <x:v>joan.letasi@pwc.com</x:v>
      </x:c>
      <x:c r="E220" s="130" t="n">
        <x:f>IF($D220="",0,SUMIF('Attendance Report - Option 1'!$P$11:$P$315,$D220,'Attendance Report - Option 1'!$Q$11:$Q$315)/86400)</x:f>
        <x:v>0</x:v>
      </x:c>
      <x:c r="F220" s="131" t="str">
        <x:f>IF(E220=0,"Did not attend",IF(E220&gt;='Read Me'!$E$2/86400,"Fully attended","Partially attended"))</x:f>
        <x:v>Did not attend</x:v>
      </x:c>
      <x:c r="G220" s="130" t="n">
        <x:f>IF($D220="",0,SUMIF('Attendance Report - Option 2'!$P$11:$P$412,$D220,'Attendance Report - Option 2'!$Q$11:$Q$412)/86400)</x:f>
        <x:v>0</x:v>
      </x:c>
      <x:c r="H220" s="131" t="str">
        <x:f>IF(G220=0,"Did not attend",IF(G220&gt;='Read Me'!$E$2/86400,"Fully attended","Partially attended"))</x:f>
        <x:v>Did not attend</x:v>
      </x:c>
      <x:c r="I220" s="130" t="n">
        <x:f>E220+G220</x:f>
        <x:v>0</x:v>
      </x:c>
      <x:c r="J220" s="131" t="str">
        <x:f>IF(I220=0,"Did not attend",IF(I220&gt;='Read Me'!$E$2/86400,"Fully attended","Partially attended"))</x:f>
        <x:v>Did not attend</x:v>
      </x:c>
      <x:c r="K220" s="131" t="str">
        <x:f>IF($D220="","No",IF(COUNTIF('Attendance Report - Option 1'!$P$11:$P$315,$D220)&gt;0,"Yes","No"))</x:f>
        <x:v>No</x:v>
      </x:c>
      <x:c r="L220" s="131" t="str">
        <x:f>IF($D220="","No",IF(COUNTIF('Attendance Report - Option 2'!$P$11:$P$412,$D220)&gt;0,"Yes","No"))</x:f>
        <x:v>No</x:v>
      </x:c>
    </x:row>
    <x:row r="221">
      <x:c r="A221" s="16" t="str">
        <x:f>'EMA Assurance Employee List'!A222</x:f>
        <x:v>Joan Maina</x:v>
      </x:c>
      <x:c r="B221" s="16" t="str">
        <x:f>IF(C221="KE","Kenya",IF(C221="UG","Uganda",IF(C221="MU","Mauritius",IF(C221="TZ","Tanzania",IF(C221="RW","Rwanda",IF(C221="ZA","South Africa",IF(C221="ZM","Zambia","")))))))</x:f>
        <x:v>Kenya</x:v>
      </x:c>
      <x:c r="C221" s="16" t="str">
        <x:f>'EMA Assurance Employee List'!B222</x:f>
        <x:v>KE</x:v>
      </x:c>
      <x:c r="D221" s="16" t="str">
        <x:f>'EMA Assurance Employee List'!D222</x:f>
        <x:v>joan.maina@pwc.com</x:v>
      </x:c>
      <x:c r="E221" s="130" t="n">
        <x:f>IF($D221="",0,SUMIF('Attendance Report - Option 1'!$P$11:$P$315,$D221,'Attendance Report - Option 1'!$Q$11:$Q$315)/86400)</x:f>
        <x:v>0.05170138888888889</x:v>
      </x:c>
      <x:c r="F221" s="131" t="str">
        <x:f>IF(E221=0,"Did not attend",IF(E221&gt;='Read Me'!$E$2/86400,"Fully attended","Partially attended"))</x:f>
        <x:v>Partially attended</x:v>
      </x:c>
      <x:c r="G221" s="130" t="n">
        <x:f>IF($D221="",0,SUMIF('Attendance Report - Option 2'!$P$11:$P$412,$D221,'Attendance Report - Option 2'!$Q$11:$Q$412)/86400)</x:f>
        <x:v>0</x:v>
      </x:c>
      <x:c r="H221" s="131" t="str">
        <x:f>IF(G221=0,"Did not attend",IF(G221&gt;='Read Me'!$E$2/86400,"Fully attended","Partially attended"))</x:f>
        <x:v>Did not attend</x:v>
      </x:c>
      <x:c r="I221" s="130" t="n">
        <x:f>E221+G221</x:f>
        <x:v>0.05170138888888889</x:v>
      </x:c>
      <x:c r="J221" s="131" t="str">
        <x:f>IF(I221=0,"Did not attend",IF(I221&gt;='Read Me'!$E$2/86400,"Fully attended","Partially attended"))</x:f>
        <x:v>Partially attended</x:v>
      </x:c>
      <x:c r="K221" s="131" t="str">
        <x:f>IF($D221="","No",IF(COUNTIF('Attendance Report - Option 1'!$P$11:$P$315,$D221)&gt;0,"Yes","No"))</x:f>
        <x:v>Yes</x:v>
      </x:c>
      <x:c r="L221" s="131" t="str">
        <x:f>IF($D221="","No",IF(COUNTIF('Attendance Report - Option 2'!$P$11:$P$412,$D221)&gt;0,"Yes","No"))</x:f>
        <x:v>No</x:v>
      </x:c>
    </x:row>
    <x:row r="222">
      <x:c r="A222" s="16" t="str">
        <x:f>'EMA Assurance Employee List'!A223</x:f>
        <x:v>Job Ngunu</x:v>
      </x:c>
      <x:c r="B222" s="16" t="str">
        <x:f>IF(C222="KE","Kenya",IF(C222="UG","Uganda",IF(C222="MU","Mauritius",IF(C222="TZ","Tanzania",IF(C222="RW","Rwanda",IF(C222="ZA","South Africa",IF(C222="ZM","Zambia","")))))))</x:f>
        <x:v>Kenya</x:v>
      </x:c>
      <x:c r="C222" s="16" t="str">
        <x:f>'EMA Assurance Employee List'!B223</x:f>
        <x:v>KE</x:v>
      </x:c>
      <x:c r="D222" s="16" t="str">
        <x:f>'EMA Assurance Employee List'!D223</x:f>
        <x:v>job.ngunu@pwc.com</x:v>
      </x:c>
      <x:c r="E222" s="130" t="n">
        <x:f>IF($D222="",0,SUMIF('Attendance Report - Option 1'!$P$11:$P$315,$D222,'Attendance Report - Option 1'!$Q$11:$Q$315)/86400)</x:f>
        <x:v>0.08074074074074074</x:v>
      </x:c>
      <x:c r="F222" s="131" t="str">
        <x:f>IF(E222=0,"Did not attend",IF(E222&gt;='Read Me'!$E$2/86400,"Fully attended","Partially attended"))</x:f>
        <x:v>Fully attended</x:v>
      </x:c>
      <x:c r="G222" s="130" t="n">
        <x:f>IF($D222="",0,SUMIF('Attendance Report - Option 2'!$P$11:$P$412,$D222,'Attendance Report - Option 2'!$Q$11:$Q$412)/86400)</x:f>
        <x:v>0</x:v>
      </x:c>
      <x:c r="H222" s="131" t="str">
        <x:f>IF(G222=0,"Did not attend",IF(G222&gt;='Read Me'!$E$2/86400,"Fully attended","Partially attended"))</x:f>
        <x:v>Did not attend</x:v>
      </x:c>
      <x:c r="I222" s="130" t="n">
        <x:f>E222+G222</x:f>
        <x:v>0.08074074074074074</x:v>
      </x:c>
      <x:c r="J222" s="131" t="str">
        <x:f>IF(I222=0,"Did not attend",IF(I222&gt;='Read Me'!$E$2/86400,"Fully attended","Partially attended"))</x:f>
        <x:v>Fully attended</x:v>
      </x:c>
      <x:c r="K222" s="131" t="str">
        <x:f>IF($D222="","No",IF(COUNTIF('Attendance Report - Option 1'!$P$11:$P$315,$D222)&gt;0,"Yes","No"))</x:f>
        <x:v>Yes</x:v>
      </x:c>
      <x:c r="L222" s="131" t="str">
        <x:f>IF($D222="","No",IF(COUNTIF('Attendance Report - Option 2'!$P$11:$P$412,$D222)&gt;0,"Yes","No"))</x:f>
        <x:v>No</x:v>
      </x:c>
    </x:row>
    <x:row r="223">
      <x:c r="A223" s="16" t="str">
        <x:f>'EMA Assurance Employee List'!A224</x:f>
        <x:v>Jocelyn Batanyita</x:v>
      </x:c>
      <x:c r="B223" s="16" t="str">
        <x:f>IF(C223="KE","Kenya",IF(C223="UG","Uganda",IF(C223="MU","Mauritius",IF(C223="TZ","Tanzania",IF(C223="RW","Rwanda",IF(C223="ZA","South Africa",IF(C223="ZM","Zambia","")))))))</x:f>
        <x:v>Tanzania</x:v>
      </x:c>
      <x:c r="C223" s="16" t="str">
        <x:f>'EMA Assurance Employee List'!B224</x:f>
        <x:v>TZ</x:v>
      </x:c>
      <x:c r="D223" s="16" t="str">
        <x:f>'EMA Assurance Employee List'!D224</x:f>
        <x:v>jocelyn.batanyita@pwc.com</x:v>
      </x:c>
      <x:c r="E223" s="130" t="n">
        <x:f>IF($D223="",0,SUMIF('Attendance Report - Option 1'!$P$11:$P$315,$D223,'Attendance Report - Option 1'!$Q$11:$Q$315)/86400)</x:f>
        <x:v>0</x:v>
      </x:c>
      <x:c r="F223" s="131" t="str">
        <x:f>IF(E223=0,"Did not attend",IF(E223&gt;='Read Me'!$E$2/86400,"Fully attended","Partially attended"))</x:f>
        <x:v>Did not attend</x:v>
      </x:c>
      <x:c r="G223" s="130" t="n">
        <x:f>IF($D223="",0,SUMIF('Attendance Report - Option 2'!$P$11:$P$412,$D223,'Attendance Report - Option 2'!$Q$11:$Q$412)/86400)</x:f>
        <x:v>0.08831018518518519</x:v>
      </x:c>
      <x:c r="H223" s="131" t="str">
        <x:f>IF(G223=0,"Did not attend",IF(G223&gt;='Read Me'!$E$2/86400,"Fully attended","Partially attended"))</x:f>
        <x:v>Fully attended</x:v>
      </x:c>
      <x:c r="I223" s="130" t="n">
        <x:f>E223+G223</x:f>
        <x:v>0.08831018518518519</x:v>
      </x:c>
      <x:c r="J223" s="131" t="str">
        <x:f>IF(I223=0,"Did not attend",IF(I223&gt;='Read Me'!$E$2/86400,"Fully attended","Partially attended"))</x:f>
        <x:v>Fully attended</x:v>
      </x:c>
      <x:c r="K223" s="131" t="str">
        <x:f>IF($D223="","No",IF(COUNTIF('Attendance Report - Option 1'!$P$11:$P$315,$D223)&gt;0,"Yes","No"))</x:f>
        <x:v>No</x:v>
      </x:c>
      <x:c r="L223" s="131" t="str">
        <x:f>IF($D223="","No",IF(COUNTIF('Attendance Report - Option 2'!$P$11:$P$412,$D223)&gt;0,"Yes","No"))</x:f>
        <x:v>Yes</x:v>
      </x:c>
    </x:row>
    <x:row r="224">
      <x:c r="A224" s="16" t="str">
        <x:f>'EMA Assurance Employee List'!A225</x:f>
        <x:v>Joe Manyalla</x:v>
      </x:c>
      <x:c r="B224" s="16" t="str">
        <x:f>IF(C224="KE","Kenya",IF(C224="UG","Uganda",IF(C224="MU","Mauritius",IF(C224="TZ","Tanzania",IF(C224="RW","Rwanda",IF(C224="ZA","South Africa",IF(C224="ZM","Zambia","")))))))</x:f>
        <x:v>Tanzania</x:v>
      </x:c>
      <x:c r="C224" s="16" t="str">
        <x:f>'EMA Assurance Employee List'!B225</x:f>
        <x:v>TZ</x:v>
      </x:c>
      <x:c r="D224" s="16" t="str">
        <x:f>'EMA Assurance Employee List'!D225</x:f>
        <x:v>joe.manyalla@pwc.com</x:v>
      </x:c>
      <x:c r="E224" s="130" t="n">
        <x:f>IF($D224="",0,SUMIF('Attendance Report - Option 1'!$P$11:$P$315,$D224,'Attendance Report - Option 1'!$Q$11:$Q$315)/86400)</x:f>
        <x:v>0.08288194444444444</x:v>
      </x:c>
      <x:c r="F224" s="131" t="str">
        <x:f>IF(E224=0,"Did not attend",IF(E224&gt;='Read Me'!$E$2/86400,"Fully attended","Partially attended"))</x:f>
        <x:v>Fully attended</x:v>
      </x:c>
      <x:c r="G224" s="130" t="n">
        <x:f>IF($D224="",0,SUMIF('Attendance Report - Option 2'!$P$11:$P$412,$D224,'Attendance Report - Option 2'!$Q$11:$Q$412)/86400)</x:f>
        <x:v>0</x:v>
      </x:c>
      <x:c r="H224" s="131" t="str">
        <x:f>IF(G224=0,"Did not attend",IF(G224&gt;='Read Me'!$E$2/86400,"Fully attended","Partially attended"))</x:f>
        <x:v>Did not attend</x:v>
      </x:c>
      <x:c r="I224" s="130" t="n">
        <x:f>E224+G224</x:f>
        <x:v>0.08288194444444444</x:v>
      </x:c>
      <x:c r="J224" s="131" t="str">
        <x:f>IF(I224=0,"Did not attend",IF(I224&gt;='Read Me'!$E$2/86400,"Fully attended","Partially attended"))</x:f>
        <x:v>Fully attended</x:v>
      </x:c>
      <x:c r="K224" s="131" t="str">
        <x:f>IF($D224="","No",IF(COUNTIF('Attendance Report - Option 1'!$P$11:$P$315,$D224)&gt;0,"Yes","No"))</x:f>
        <x:v>Yes</x:v>
      </x:c>
      <x:c r="L224" s="131" t="str">
        <x:f>IF($D224="","No",IF(COUNTIF('Attendance Report - Option 2'!$P$11:$P$412,$D224)&gt;0,"Yes","No"))</x:f>
        <x:v>No</x:v>
      </x:c>
    </x:row>
    <x:row r="225">
      <x:c r="A225" s="16" t="str">
        <x:f>'EMA Assurance Employee List'!A226</x:f>
        <x:v>Johanne How</x:v>
      </x:c>
      <x:c r="B225" s="16" t="str">
        <x:f>IF(C225="KE","Kenya",IF(C225="UG","Uganda",IF(C225="MU","Mauritius",IF(C225="TZ","Tanzania",IF(C225="RW","Rwanda",IF(C225="ZA","South Africa",IF(C225="ZM","Zambia","")))))))</x:f>
        <x:v>Mauritius</x:v>
      </x:c>
      <x:c r="C225" s="16" t="str">
        <x:f>'EMA Assurance Employee List'!B226</x:f>
        <x:v>MU</x:v>
      </x:c>
      <x:c r="D225" s="16" t="str">
        <x:f>'EMA Assurance Employee List'!D226</x:f>
        <x:v>how.johanne@pwc.com</x:v>
      </x:c>
      <x:c r="E225" s="130" t="n">
        <x:f>IF($D225="",0,SUMIF('Attendance Report - Option 1'!$P$11:$P$315,$D225,'Attendance Report - Option 1'!$Q$11:$Q$315)/86400)</x:f>
        <x:v>0</x:v>
      </x:c>
      <x:c r="F225" s="131" t="str">
        <x:f>IF(E225=0,"Did not attend",IF(E225&gt;='Read Me'!$E$2/86400,"Fully attended","Partially attended"))</x:f>
        <x:v>Did not attend</x:v>
      </x:c>
      <x:c r="G225" s="130" t="n">
        <x:f>IF($D225="",0,SUMIF('Attendance Report - Option 2'!$P$11:$P$412,$D225,'Attendance Report - Option 2'!$Q$11:$Q$412)/86400)</x:f>
        <x:v>0.08334490740740741</x:v>
      </x:c>
      <x:c r="H225" s="131" t="str">
        <x:f>IF(G225=0,"Did not attend",IF(G225&gt;='Read Me'!$E$2/86400,"Fully attended","Partially attended"))</x:f>
        <x:v>Fully attended</x:v>
      </x:c>
      <x:c r="I225" s="130" t="n">
        <x:f>E225+G225</x:f>
        <x:v>0.08334490740740741</x:v>
      </x:c>
      <x:c r="J225" s="131" t="str">
        <x:f>IF(I225=0,"Did not attend",IF(I225&gt;='Read Me'!$E$2/86400,"Fully attended","Partially attended"))</x:f>
        <x:v>Fully attended</x:v>
      </x:c>
      <x:c r="K225" s="131" t="str">
        <x:f>IF($D225="","No",IF(COUNTIF('Attendance Report - Option 1'!$P$11:$P$315,$D225)&gt;0,"Yes","No"))</x:f>
        <x:v>No</x:v>
      </x:c>
      <x:c r="L225" s="131" t="str">
        <x:f>IF($D225="","No",IF(COUNTIF('Attendance Report - Option 2'!$P$11:$P$412,$D225)&gt;0,"Yes","No"))</x:f>
        <x:v>Yes</x:v>
      </x:c>
    </x:row>
    <x:row r="226">
      <x:c r="A226" s="16" t="str">
        <x:f>'EMA Assurance Employee List'!A227</x:f>
        <x:v>John Lukwesa</x:v>
      </x:c>
      <x:c r="B226" s="16" t="str">
        <x:f>IF(C226="KE","Kenya",IF(C226="UG","Uganda",IF(C226="MU","Mauritius",IF(C226="TZ","Tanzania",IF(C226="RW","Rwanda",IF(C226="ZA","South Africa",IF(C226="ZM","Zambia","")))))))</x:f>
        <x:v>Zambia</x:v>
      </x:c>
      <x:c r="C226" s="16" t="str">
        <x:f>'EMA Assurance Employee List'!B227</x:f>
        <x:v>ZM</x:v>
      </x:c>
      <x:c r="D226" s="16" t="str">
        <x:f>'EMA Assurance Employee List'!D227</x:f>
        <x:v>john.lukwesa@pwc.com</x:v>
      </x:c>
      <x:c r="E226" s="130" t="n">
        <x:f>IF($D226="",0,SUMIF('Attendance Report - Option 1'!$P$11:$P$315,$D226,'Attendance Report - Option 1'!$Q$11:$Q$315)/86400)</x:f>
        <x:v>0.07450231481481481</x:v>
      </x:c>
      <x:c r="F226" s="131" t="str">
        <x:f>IF(E226=0,"Did not attend",IF(E226&gt;='Read Me'!$E$2/86400,"Fully attended","Partially attended"))</x:f>
        <x:v>Fully attended</x:v>
      </x:c>
      <x:c r="G226" s="130" t="n">
        <x:f>IF($D226="",0,SUMIF('Attendance Report - Option 2'!$P$11:$P$412,$D226,'Attendance Report - Option 2'!$Q$11:$Q$412)/86400)</x:f>
        <x:v>0</x:v>
      </x:c>
      <x:c r="H226" s="131" t="str">
        <x:f>IF(G226=0,"Did not attend",IF(G226&gt;='Read Me'!$E$2/86400,"Fully attended","Partially attended"))</x:f>
        <x:v>Did not attend</x:v>
      </x:c>
      <x:c r="I226" s="130" t="n">
        <x:f>E226+G226</x:f>
        <x:v>0.07450231481481481</x:v>
      </x:c>
      <x:c r="J226" s="131" t="str">
        <x:f>IF(I226=0,"Did not attend",IF(I226&gt;='Read Me'!$E$2/86400,"Fully attended","Partially attended"))</x:f>
        <x:v>Fully attended</x:v>
      </x:c>
      <x:c r="K226" s="131" t="str">
        <x:f>IF($D226="","No",IF(COUNTIF('Attendance Report - Option 1'!$P$11:$P$315,$D226)&gt;0,"Yes","No"))</x:f>
        <x:v>Yes</x:v>
      </x:c>
      <x:c r="L226" s="131" t="str">
        <x:f>IF($D226="","No",IF(COUNTIF('Attendance Report - Option 2'!$P$11:$P$412,$D226)&gt;0,"Yes","No"))</x:f>
        <x:v>No</x:v>
      </x:c>
    </x:row>
    <x:row r="227">
      <x:c r="A227" s="16" t="str">
        <x:f>'EMA Assurance Employee List'!A228</x:f>
        <x:v>Joseph Kagiri</x:v>
      </x:c>
      <x:c r="B227" s="16" t="str">
        <x:f>IF(C227="KE","Kenya",IF(C227="UG","Uganda",IF(C227="MU","Mauritius",IF(C227="TZ","Tanzania",IF(C227="RW","Rwanda",IF(C227="ZA","South Africa",IF(C227="ZM","Zambia","")))))))</x:f>
        <x:v>Kenya</x:v>
      </x:c>
      <x:c r="C227" s="16" t="str">
        <x:f>'EMA Assurance Employee List'!B228</x:f>
        <x:v>KE</x:v>
      </x:c>
      <x:c r="D227" s="16" t="str">
        <x:f>'EMA Assurance Employee List'!D228</x:f>
        <x:v>joseph.kagiri@pwc.com</x:v>
      </x:c>
      <x:c r="E227" s="130" t="n">
        <x:f>IF($D227="",0,SUMIF('Attendance Report - Option 1'!$P$11:$P$315,$D227,'Attendance Report - Option 1'!$Q$11:$Q$315)/86400)</x:f>
        <x:v>0</x:v>
      </x:c>
      <x:c r="F227" s="131" t="str">
        <x:f>IF(E227=0,"Did not attend",IF(E227&gt;='Read Me'!$E$2/86400,"Fully attended","Partially attended"))</x:f>
        <x:v>Did not attend</x:v>
      </x:c>
      <x:c r="G227" s="130" t="n">
        <x:f>IF($D227="",0,SUMIF('Attendance Report - Option 2'!$P$11:$P$412,$D227,'Attendance Report - Option 2'!$Q$11:$Q$412)/86400)</x:f>
        <x:v>0.0880787037037037</x:v>
      </x:c>
      <x:c r="H227" s="131" t="str">
        <x:f>IF(G227=0,"Did not attend",IF(G227&gt;='Read Me'!$E$2/86400,"Fully attended","Partially attended"))</x:f>
        <x:v>Fully attended</x:v>
      </x:c>
      <x:c r="I227" s="130" t="n">
        <x:f>E227+G227</x:f>
        <x:v>0.0880787037037037</x:v>
      </x:c>
      <x:c r="J227" s="131" t="str">
        <x:f>IF(I227=0,"Did not attend",IF(I227&gt;='Read Me'!$E$2/86400,"Fully attended","Partially attended"))</x:f>
        <x:v>Fully attended</x:v>
      </x:c>
      <x:c r="K227" s="131" t="str">
        <x:f>IF($D227="","No",IF(COUNTIF('Attendance Report - Option 1'!$P$11:$P$315,$D227)&gt;0,"Yes","No"))</x:f>
        <x:v>No</x:v>
      </x:c>
      <x:c r="L227" s="131" t="str">
        <x:f>IF($D227="","No",IF(COUNTIF('Attendance Report - Option 2'!$P$11:$P$412,$D227)&gt;0,"Yes","No"))</x:f>
        <x:v>Yes</x:v>
      </x:c>
    </x:row>
    <x:row r="228">
      <x:c r="A228" s="16" t="str">
        <x:f>'EMA Assurance Employee List'!A229</x:f>
        <x:v>Joseph Ndegwa</x:v>
      </x:c>
      <x:c r="B228" s="16" t="str">
        <x:f>IF(C228="KE","Kenya",IF(C228="UG","Uganda",IF(C228="MU","Mauritius",IF(C228="TZ","Tanzania",IF(C228="RW","Rwanda",IF(C228="ZA","South Africa",IF(C228="ZM","Zambia","")))))))</x:f>
        <x:v>Kenya</x:v>
      </x:c>
      <x:c r="C228" s="16" t="str">
        <x:f>'EMA Assurance Employee List'!B229</x:f>
        <x:v>KE</x:v>
      </x:c>
      <x:c r="D228" s="16" t="str">
        <x:f>'EMA Assurance Employee List'!D229</x:f>
        <x:v>joseph.ndegwa@pwc.com</x:v>
      </x:c>
      <x:c r="E228" s="130" t="n">
        <x:f>IF($D228="",0,SUMIF('Attendance Report - Option 1'!$P$11:$P$315,$D228,'Attendance Report - Option 1'!$Q$11:$Q$315)/86400)</x:f>
        <x:v>0.08027777777777778</x:v>
      </x:c>
      <x:c r="F228" s="131" t="str">
        <x:f>IF(E228=0,"Did not attend",IF(E228&gt;='Read Me'!$E$2/86400,"Fully attended","Partially attended"))</x:f>
        <x:v>Fully attended</x:v>
      </x:c>
      <x:c r="G228" s="130" t="n">
        <x:f>IF($D228="",0,SUMIF('Attendance Report - Option 2'!$P$11:$P$412,$D228,'Attendance Report - Option 2'!$Q$11:$Q$412)/86400)</x:f>
        <x:v>0</x:v>
      </x:c>
      <x:c r="H228" s="131" t="str">
        <x:f>IF(G228=0,"Did not attend",IF(G228&gt;='Read Me'!$E$2/86400,"Fully attended","Partially attended"))</x:f>
        <x:v>Did not attend</x:v>
      </x:c>
      <x:c r="I228" s="130" t="n">
        <x:f>E228+G228</x:f>
        <x:v>0.08027777777777778</x:v>
      </x:c>
      <x:c r="J228" s="131" t="str">
        <x:f>IF(I228=0,"Did not attend",IF(I228&gt;='Read Me'!$E$2/86400,"Fully attended","Partially attended"))</x:f>
        <x:v>Fully attended</x:v>
      </x:c>
      <x:c r="K228" s="131" t="str">
        <x:f>IF($D228="","No",IF(COUNTIF('Attendance Report - Option 1'!$P$11:$P$315,$D228)&gt;0,"Yes","No"))</x:f>
        <x:v>Yes</x:v>
      </x:c>
      <x:c r="L228" s="131" t="str">
        <x:f>IF($D228="","No",IF(COUNTIF('Attendance Report - Option 2'!$P$11:$P$412,$D228)&gt;0,"Yes","No"))</x:f>
        <x:v>No</x:v>
      </x:c>
    </x:row>
    <x:row r="229">
      <x:c r="A229" s="16" t="str">
        <x:f>'EMA Assurance Employee List'!A230</x:f>
        <x:v>Joshua Maloba</x:v>
      </x:c>
      <x:c r="B229" s="16" t="str">
        <x:f>IF(C229="KE","Kenya",IF(C229="UG","Uganda",IF(C229="MU","Mauritius",IF(C229="TZ","Tanzania",IF(C229="RW","Rwanda",IF(C229="ZA","South Africa",IF(C229="ZM","Zambia","")))))))</x:f>
        <x:v>Kenya</x:v>
      </x:c>
      <x:c r="C229" s="16" t="str">
        <x:f>'EMA Assurance Employee List'!B230</x:f>
        <x:v>KE</x:v>
      </x:c>
      <x:c r="D229" s="16" t="str">
        <x:f>'EMA Assurance Employee List'!D230</x:f>
        <x:v>joshua.maloba@pwc.com</x:v>
      </x:c>
      <x:c r="E229" s="130" t="n">
        <x:f>IF($D229="",0,SUMIF('Attendance Report - Option 1'!$P$11:$P$315,$D229,'Attendance Report - Option 1'!$Q$11:$Q$315)/86400)</x:f>
        <x:v>0.015231481481481481</x:v>
      </x:c>
      <x:c r="F229" s="131" t="str">
        <x:f>IF(E229=0,"Did not attend",IF(E229&gt;='Read Me'!$E$2/86400,"Fully attended","Partially attended"))</x:f>
        <x:v>Partially attended</x:v>
      </x:c>
      <x:c r="G229" s="130" t="n">
        <x:f>IF($D229="",0,SUMIF('Attendance Report - Option 2'!$P$11:$P$412,$D229,'Attendance Report - Option 2'!$Q$11:$Q$412)/86400)</x:f>
        <x:v>0</x:v>
      </x:c>
      <x:c r="H229" s="131" t="str">
        <x:f>IF(G229=0,"Did not attend",IF(G229&gt;='Read Me'!$E$2/86400,"Fully attended","Partially attended"))</x:f>
        <x:v>Did not attend</x:v>
      </x:c>
      <x:c r="I229" s="130" t="n">
        <x:f>E229+G229</x:f>
        <x:v>0.015231481481481481</x:v>
      </x:c>
      <x:c r="J229" s="131" t="str">
        <x:f>IF(I229=0,"Did not attend",IF(I229&gt;='Read Me'!$E$2/86400,"Fully attended","Partially attended"))</x:f>
        <x:v>Partially attended</x:v>
      </x:c>
      <x:c r="K229" s="131" t="str">
        <x:f>IF($D229="","No",IF(COUNTIF('Attendance Report - Option 1'!$P$11:$P$315,$D229)&gt;0,"Yes","No"))</x:f>
        <x:v>Yes</x:v>
      </x:c>
      <x:c r="L229" s="131" t="str">
        <x:f>IF($D229="","No",IF(COUNTIF('Attendance Report - Option 2'!$P$11:$P$412,$D229)&gt;0,"Yes","No"))</x:f>
        <x:v>No</x:v>
      </x:c>
    </x:row>
    <x:row r="230">
      <x:c r="A230" s="16" t="str">
        <x:f>'EMA Assurance Employee List'!A231</x:f>
        <x:v>Joshua Massawe</x:v>
      </x:c>
      <x:c r="B230" s="16" t="str">
        <x:f>IF(C230="KE","Kenya",IF(C230="UG","Uganda",IF(C230="MU","Mauritius",IF(C230="TZ","Tanzania",IF(C230="RW","Rwanda",IF(C230="ZA","South Africa",IF(C230="ZM","Zambia","")))))))</x:f>
        <x:v>Tanzania</x:v>
      </x:c>
      <x:c r="C230" s="16" t="str">
        <x:f>'EMA Assurance Employee List'!B231</x:f>
        <x:v>TZ</x:v>
      </x:c>
      <x:c r="D230" s="16" t="str">
        <x:f>'EMA Assurance Employee List'!D231</x:f>
        <x:v>joshua.massawe@pwc.com</x:v>
      </x:c>
      <x:c r="E230" s="130" t="n">
        <x:f>IF($D230="",0,SUMIF('Attendance Report - Option 1'!$P$11:$P$315,$D230,'Attendance Report - Option 1'!$Q$11:$Q$315)/86400)</x:f>
        <x:v>0.059363425925925924</x:v>
      </x:c>
      <x:c r="F230" s="131" t="str">
        <x:f>IF(E230=0,"Did not attend",IF(E230&gt;='Read Me'!$E$2/86400,"Fully attended","Partially attended"))</x:f>
        <x:v>Partially attended</x:v>
      </x:c>
      <x:c r="G230" s="130" t="n">
        <x:f>IF($D230="",0,SUMIF('Attendance Report - Option 2'!$P$11:$P$412,$D230,'Attendance Report - Option 2'!$Q$11:$Q$412)/86400)</x:f>
        <x:v>0</x:v>
      </x:c>
      <x:c r="H230" s="131" t="str">
        <x:f>IF(G230=0,"Did not attend",IF(G230&gt;='Read Me'!$E$2/86400,"Fully attended","Partially attended"))</x:f>
        <x:v>Did not attend</x:v>
      </x:c>
      <x:c r="I230" s="130" t="n">
        <x:f>E230+G230</x:f>
        <x:v>0.059363425925925924</x:v>
      </x:c>
      <x:c r="J230" s="131" t="str">
        <x:f>IF(I230=0,"Did not attend",IF(I230&gt;='Read Me'!$E$2/86400,"Fully attended","Partially attended"))</x:f>
        <x:v>Partially attended</x:v>
      </x:c>
      <x:c r="K230" s="131" t="str">
        <x:f>IF($D230="","No",IF(COUNTIF('Attendance Report - Option 1'!$P$11:$P$315,$D230)&gt;0,"Yes","No"))</x:f>
        <x:v>Yes</x:v>
      </x:c>
      <x:c r="L230" s="131" t="str">
        <x:f>IF($D230="","No",IF(COUNTIF('Attendance Report - Option 2'!$P$11:$P$412,$D230)&gt;0,"Yes","No"))</x:f>
        <x:v>No</x:v>
      </x:c>
    </x:row>
    <x:row r="231">
      <x:c r="A231" s="16" t="str">
        <x:f>'EMA Assurance Employee List'!A232</x:f>
        <x:v>Julia Odhiambo</x:v>
      </x:c>
      <x:c r="B231" s="16" t="str">
        <x:f>IF(C231="KE","Kenya",IF(C231="UG","Uganda",IF(C231="MU","Mauritius",IF(C231="TZ","Tanzania",IF(C231="RW","Rwanda",IF(C231="ZA","South Africa",IF(C231="ZM","Zambia","")))))))</x:f>
        <x:v>Kenya</x:v>
      </x:c>
      <x:c r="C231" s="16" t="str">
        <x:f>'EMA Assurance Employee List'!B232</x:f>
        <x:v>KE</x:v>
      </x:c>
      <x:c r="D231" s="16" t="str">
        <x:f>'EMA Assurance Employee List'!D232</x:f>
        <x:v>julia.odhiambo@pwc.com</x:v>
      </x:c>
      <x:c r="E231" s="130" t="n">
        <x:f>IF($D231="",0,SUMIF('Attendance Report - Option 1'!$P$11:$P$315,$D231,'Attendance Report - Option 1'!$Q$11:$Q$315)/86400)</x:f>
        <x:v>0</x:v>
      </x:c>
      <x:c r="F231" s="131" t="str">
        <x:f>IF(E231=0,"Did not attend",IF(E231&gt;='Read Me'!$E$2/86400,"Fully attended","Partially attended"))</x:f>
        <x:v>Did not attend</x:v>
      </x:c>
      <x:c r="G231" s="130" t="n">
        <x:f>IF($D231="",0,SUMIF('Attendance Report - Option 2'!$P$11:$P$412,$D231,'Attendance Report - Option 2'!$Q$11:$Q$412)/86400)</x:f>
        <x:v>0.10699074074074075</x:v>
      </x:c>
      <x:c r="H231" s="131" t="str">
        <x:f>IF(G231=0,"Did not attend",IF(G231&gt;='Read Me'!$E$2/86400,"Fully attended","Partially attended"))</x:f>
        <x:v>Fully attended</x:v>
      </x:c>
      <x:c r="I231" s="130" t="n">
        <x:f>E231+G231</x:f>
        <x:v>0.10699074074074075</x:v>
      </x:c>
      <x:c r="J231" s="131" t="str">
        <x:f>IF(I231=0,"Did not attend",IF(I231&gt;='Read Me'!$E$2/86400,"Fully attended","Partially attended"))</x:f>
        <x:v>Fully attended</x:v>
      </x:c>
      <x:c r="K231" s="131" t="str">
        <x:f>IF($D231="","No",IF(COUNTIF('Attendance Report - Option 1'!$P$11:$P$315,$D231)&gt;0,"Yes","No"))</x:f>
        <x:v>No</x:v>
      </x:c>
      <x:c r="L231" s="131" t="str">
        <x:f>IF($D231="","No",IF(COUNTIF('Attendance Report - Option 2'!$P$11:$P$412,$D231)&gt;0,"Yes","No"))</x:f>
        <x:v>Yes</x:v>
      </x:c>
    </x:row>
    <x:row r="232">
      <x:c r="A232" s="16" t="str">
        <x:f>'EMA Assurance Employee List'!A233</x:f>
        <x:v>Junaid Alighan</x:v>
      </x:c>
      <x:c r="B232" s="16" t="str">
        <x:f>IF(C232="KE","Kenya",IF(C232="UG","Uganda",IF(C232="MU","Mauritius",IF(C232="TZ","Tanzania",IF(C232="RW","Rwanda",IF(C232="ZA","South Africa",IF(C232="ZM","Zambia","")))))))</x:f>
        <x:v>Mauritius</x:v>
      </x:c>
      <x:c r="C232" s="16" t="str">
        <x:f>'EMA Assurance Employee List'!B233</x:f>
        <x:v>MU</x:v>
      </x:c>
      <x:c r="D232" s="16" t="str">
        <x:f>'EMA Assurance Employee List'!D233</x:f>
        <x:v>junaid.alighan@pwc.com</x:v>
      </x:c>
      <x:c r="E232" s="130" t="n">
        <x:f>IF($D232="",0,SUMIF('Attendance Report - Option 1'!$P$11:$P$315,$D232,'Attendance Report - Option 1'!$Q$11:$Q$315)/86400)</x:f>
        <x:v>0</x:v>
      </x:c>
      <x:c r="F232" s="131" t="str">
        <x:f>IF(E232=0,"Did not attend",IF(E232&gt;='Read Me'!$E$2/86400,"Fully attended","Partially attended"))</x:f>
        <x:v>Did not attend</x:v>
      </x:c>
      <x:c r="G232" s="130" t="n">
        <x:f>IF($D232="",0,SUMIF('Attendance Report - Option 2'!$P$11:$P$412,$D232,'Attendance Report - Option 2'!$Q$11:$Q$412)/86400)</x:f>
        <x:v>0.060752314814814815</x:v>
      </x:c>
      <x:c r="H232" s="131" t="str">
        <x:f>IF(G232=0,"Did not attend",IF(G232&gt;='Read Me'!$E$2/86400,"Fully attended","Partially attended"))</x:f>
        <x:v>Partially attended</x:v>
      </x:c>
      <x:c r="I232" s="130" t="n">
        <x:f>E232+G232</x:f>
        <x:v>0.060752314814814815</x:v>
      </x:c>
      <x:c r="J232" s="131" t="str">
        <x:f>IF(I232=0,"Did not attend",IF(I232&gt;='Read Me'!$E$2/86400,"Fully attended","Partially attended"))</x:f>
        <x:v>Partially attended</x:v>
      </x:c>
      <x:c r="K232" s="131" t="str">
        <x:f>IF($D232="","No",IF(COUNTIF('Attendance Report - Option 1'!$P$11:$P$315,$D232)&gt;0,"Yes","No"))</x:f>
        <x:v>No</x:v>
      </x:c>
      <x:c r="L232" s="131" t="str">
        <x:f>IF($D232="","No",IF(COUNTIF('Attendance Report - Option 2'!$P$11:$P$412,$D232)&gt;0,"Yes","No"))</x:f>
        <x:v>Yes</x:v>
      </x:c>
    </x:row>
    <x:row r="233">
      <x:c r="A233" s="16" t="str">
        <x:f>'EMA Assurance Employee List'!A234</x:f>
        <x:v>Kalkidan Aklilu Admassu</x:v>
      </x:c>
      <x:c r="B233" s="16" t="str">
        <x:f>IF(C233="KE","Kenya",IF(C233="UG","Uganda",IF(C233="MU","Mauritius",IF(C233="TZ","Tanzania",IF(C233="RW","Rwanda",IF(C233="ZA","South Africa",IF(C233="ZM","Zambia","")))))))</x:f>
        <x:v>Mauritius</x:v>
      </x:c>
      <x:c r="C233" s="16" t="str">
        <x:f>'EMA Assurance Employee List'!B234</x:f>
        <x:v>MU</x:v>
      </x:c>
      <x:c r="D233" s="16" t="str">
        <x:f>'EMA Assurance Employee List'!D234</x:f>
        <x:v>kalkidan.admassu@pwc.com</x:v>
      </x:c>
      <x:c r="E233" s="130" t="n">
        <x:f>IF($D233="",0,SUMIF('Attendance Report - Option 1'!$P$11:$P$315,$D233,'Attendance Report - Option 1'!$Q$11:$Q$315)/86400)</x:f>
        <x:v>0</x:v>
      </x:c>
      <x:c r="F233" s="131" t="str">
        <x:f>IF(E233=0,"Did not attend",IF(E233&gt;='Read Me'!$E$2/86400,"Fully attended","Partially attended"))</x:f>
        <x:v>Did not attend</x:v>
      </x:c>
      <x:c r="G233" s="130" t="n">
        <x:f>IF($D233="",0,SUMIF('Attendance Report - Option 2'!$P$11:$P$412,$D233,'Attendance Report - Option 2'!$Q$11:$Q$412)/86400)</x:f>
        <x:v>0.08905092592592592</x:v>
      </x:c>
      <x:c r="H233" s="131" t="str">
        <x:f>IF(G233=0,"Did not attend",IF(G233&gt;='Read Me'!$E$2/86400,"Fully attended","Partially attended"))</x:f>
        <x:v>Fully attended</x:v>
      </x:c>
      <x:c r="I233" s="130" t="n">
        <x:f>E233+G233</x:f>
        <x:v>0.08905092592592592</x:v>
      </x:c>
      <x:c r="J233" s="131" t="str">
        <x:f>IF(I233=0,"Did not attend",IF(I233&gt;='Read Me'!$E$2/86400,"Fully attended","Partially attended"))</x:f>
        <x:v>Fully attended</x:v>
      </x:c>
      <x:c r="K233" s="131" t="str">
        <x:f>IF($D233="","No",IF(COUNTIF('Attendance Report - Option 1'!$P$11:$P$315,$D233)&gt;0,"Yes","No"))</x:f>
        <x:v>No</x:v>
      </x:c>
      <x:c r="L233" s="131" t="str">
        <x:f>IF($D233="","No",IF(COUNTIF('Attendance Report - Option 2'!$P$11:$P$412,$D233)&gt;0,"Yes","No"))</x:f>
        <x:v>Yes</x:v>
      </x:c>
    </x:row>
    <x:row r="234">
      <x:c r="A234" s="16" t="str">
        <x:f>'EMA Assurance Employee List'!A235</x:f>
        <x:v>Kang'e Saiti</x:v>
      </x:c>
      <x:c r="B234" s="16" t="str">
        <x:f>IF(C234="KE","Kenya",IF(C234="UG","Uganda",IF(C234="MU","Mauritius",IF(C234="TZ","Tanzania",IF(C234="RW","Rwanda",IF(C234="ZA","South Africa",IF(C234="ZM","Zambia","")))))))</x:f>
        <x:v>Kenya</x:v>
      </x:c>
      <x:c r="C234" s="16" t="str">
        <x:f>'EMA Assurance Employee List'!B235</x:f>
        <x:v>KE</x:v>
      </x:c>
      <x:c r="D234" s="16" t="str">
        <x:f>'EMA Assurance Employee List'!D235</x:f>
        <x:v>kange.saiti@pwc.com</x:v>
      </x:c>
      <x:c r="E234" s="130" t="n">
        <x:f>IF($D234="",0,SUMIF('Attendance Report - Option 1'!$P$11:$P$315,$D234,'Attendance Report - Option 1'!$Q$11:$Q$315)/86400)</x:f>
        <x:v>0</x:v>
      </x:c>
      <x:c r="F234" s="131" t="str">
        <x:f>IF(E234=0,"Did not attend",IF(E234&gt;='Read Me'!$E$2/86400,"Fully attended","Partially attended"))</x:f>
        <x:v>Did not attend</x:v>
      </x:c>
      <x:c r="G234" s="130" t="n">
        <x:f>IF($D234="",0,SUMIF('Attendance Report - Option 2'!$P$11:$P$412,$D234,'Attendance Report - Option 2'!$Q$11:$Q$412)/86400)</x:f>
        <x:v>0</x:v>
      </x:c>
      <x:c r="H234" s="131" t="str">
        <x:f>IF(G234=0,"Did not attend",IF(G234&gt;='Read Me'!$E$2/86400,"Fully attended","Partially attended"))</x:f>
        <x:v>Did not attend</x:v>
      </x:c>
      <x:c r="I234" s="130" t="n">
        <x:f>E234+G234</x:f>
        <x:v>0</x:v>
      </x:c>
      <x:c r="J234" s="131" t="str">
        <x:f>IF(I234=0,"Did not attend",IF(I234&gt;='Read Me'!$E$2/86400,"Fully attended","Partially attended"))</x:f>
        <x:v>Did not attend</x:v>
      </x:c>
      <x:c r="K234" s="131" t="str">
        <x:f>IF($D234="","No",IF(COUNTIF('Attendance Report - Option 1'!$P$11:$P$315,$D234)&gt;0,"Yes","No"))</x:f>
        <x:v>No</x:v>
      </x:c>
      <x:c r="L234" s="131" t="str">
        <x:f>IF($D234="","No",IF(COUNTIF('Attendance Report - Option 2'!$P$11:$P$412,$D234)&gt;0,"Yes","No"))</x:f>
        <x:v>No</x:v>
      </x:c>
    </x:row>
    <x:row r="235">
      <x:c r="A235" s="16" t="str">
        <x:f>'EMA Assurance Employee List'!A236</x:f>
        <x:v>Karen Gitonga</x:v>
      </x:c>
      <x:c r="B235" s="16" t="str">
        <x:f>IF(C235="KE","Kenya",IF(C235="UG","Uganda",IF(C235="MU","Mauritius",IF(C235="TZ","Tanzania",IF(C235="RW","Rwanda",IF(C235="ZA","South Africa",IF(C235="ZM","Zambia","")))))))</x:f>
        <x:v>Kenya</x:v>
      </x:c>
      <x:c r="C235" s="16" t="str">
        <x:f>'EMA Assurance Employee List'!B236</x:f>
        <x:v>KE</x:v>
      </x:c>
      <x:c r="D235" s="16" t="str">
        <x:f>'EMA Assurance Employee List'!D236</x:f>
        <x:v>karen.gitonga@pwc.com</x:v>
      </x:c>
      <x:c r="E235" s="130" t="n">
        <x:f>IF($D235="",0,SUMIF('Attendance Report - Option 1'!$P$11:$P$315,$D235,'Attendance Report - Option 1'!$Q$11:$Q$315)/86400)</x:f>
        <x:v>0</x:v>
      </x:c>
      <x:c r="F235" s="131" t="str">
        <x:f>IF(E235=0,"Did not attend",IF(E235&gt;='Read Me'!$E$2/86400,"Fully attended","Partially attended"))</x:f>
        <x:v>Did not attend</x:v>
      </x:c>
      <x:c r="G235" s="130" t="n">
        <x:f>IF($D235="",0,SUMIF('Attendance Report - Option 2'!$P$11:$P$412,$D235,'Attendance Report - Option 2'!$Q$11:$Q$412)/86400)</x:f>
        <x:v>0</x:v>
      </x:c>
      <x:c r="H235" s="131" t="str">
        <x:f>IF(G235=0,"Did not attend",IF(G235&gt;='Read Me'!$E$2/86400,"Fully attended","Partially attended"))</x:f>
        <x:v>Did not attend</x:v>
      </x:c>
      <x:c r="I235" s="130" t="n">
        <x:f>E235+G235</x:f>
        <x:v>0</x:v>
      </x:c>
      <x:c r="J235" s="131" t="str">
        <x:f>IF(I235=0,"Did not attend",IF(I235&gt;='Read Me'!$E$2/86400,"Fully attended","Partially attended"))</x:f>
        <x:v>Did not attend</x:v>
      </x:c>
      <x:c r="K235" s="131" t="str">
        <x:f>IF($D235="","No",IF(COUNTIF('Attendance Report - Option 1'!$P$11:$P$315,$D235)&gt;0,"Yes","No"))</x:f>
        <x:v>No</x:v>
      </x:c>
      <x:c r="L235" s="131" t="str">
        <x:f>IF($D235="","No",IF(COUNTIF('Attendance Report - Option 2'!$P$11:$P$412,$D235)&gt;0,"Yes","No"))</x:f>
        <x:v>No</x:v>
      </x:c>
    </x:row>
    <x:row r="236">
      <x:c r="A236" s="16" t="str">
        <x:f>'EMA Assurance Employee List'!A237</x:f>
        <x:v>Kelvin Atieno</x:v>
      </x:c>
      <x:c r="B236" s="16" t="str">
        <x:f>IF(C236="KE","Kenya",IF(C236="UG","Uganda",IF(C236="MU","Mauritius",IF(C236="TZ","Tanzania",IF(C236="RW","Rwanda",IF(C236="ZA","South Africa",IF(C236="ZM","Zambia","")))))))</x:f>
        <x:v>Kenya</x:v>
      </x:c>
      <x:c r="C236" s="16" t="str">
        <x:f>'EMA Assurance Employee List'!B237</x:f>
        <x:v>KE</x:v>
      </x:c>
      <x:c r="D236" s="16" t="str">
        <x:f>'EMA Assurance Employee List'!D237</x:f>
        <x:v>kelvin.atieno@pwc.com</x:v>
      </x:c>
      <x:c r="E236" s="130" t="n">
        <x:f>IF($D236="",0,SUMIF('Attendance Report - Option 1'!$P$11:$P$315,$D236,'Attendance Report - Option 1'!$Q$11:$Q$315)/86400)</x:f>
        <x:v>0</x:v>
      </x:c>
      <x:c r="F236" s="131" t="str">
        <x:f>IF(E236=0,"Did not attend",IF(E236&gt;='Read Me'!$E$2/86400,"Fully attended","Partially attended"))</x:f>
        <x:v>Did not attend</x:v>
      </x:c>
      <x:c r="G236" s="130" t="n">
        <x:f>IF($D236="",0,SUMIF('Attendance Report - Option 2'!$P$11:$P$412,$D236,'Attendance Report - Option 2'!$Q$11:$Q$412)/86400)</x:f>
        <x:v>0.027210648148148147</x:v>
      </x:c>
      <x:c r="H236" s="131" t="str">
        <x:f>IF(G236=0,"Did not attend",IF(G236&gt;='Read Me'!$E$2/86400,"Fully attended","Partially attended"))</x:f>
        <x:v>Partially attended</x:v>
      </x:c>
      <x:c r="I236" s="130" t="n">
        <x:f>E236+G236</x:f>
        <x:v>0.027210648148148147</x:v>
      </x:c>
      <x:c r="J236" s="131" t="str">
        <x:f>IF(I236=0,"Did not attend",IF(I236&gt;='Read Me'!$E$2/86400,"Fully attended","Partially attended"))</x:f>
        <x:v>Partially attended</x:v>
      </x:c>
      <x:c r="K236" s="131" t="str">
        <x:f>IF($D236="","No",IF(COUNTIF('Attendance Report - Option 1'!$P$11:$P$315,$D236)&gt;0,"Yes","No"))</x:f>
        <x:v>No</x:v>
      </x:c>
      <x:c r="L236" s="131" t="str">
        <x:f>IF($D236="","No",IF(COUNTIF('Attendance Report - Option 2'!$P$11:$P$412,$D236)&gt;0,"Yes","No"))</x:f>
        <x:v>Yes</x:v>
      </x:c>
    </x:row>
    <x:row r="237">
      <x:c r="A237" s="16" t="str">
        <x:f>'EMA Assurance Employee List'!A238</x:f>
        <x:v>Kelvin Kailikia</x:v>
      </x:c>
      <x:c r="B237" s="16" t="str">
        <x:f>IF(C237="KE","Kenya",IF(C237="UG","Uganda",IF(C237="MU","Mauritius",IF(C237="TZ","Tanzania",IF(C237="RW","Rwanda",IF(C237="ZA","South Africa",IF(C237="ZM","Zambia","")))))))</x:f>
        <x:v>Kenya</x:v>
      </x:c>
      <x:c r="C237" s="16" t="str">
        <x:f>'EMA Assurance Employee List'!B238</x:f>
        <x:v>KE</x:v>
      </x:c>
      <x:c r="D237" s="16" t="str">
        <x:f>'EMA Assurance Employee List'!D238</x:f>
        <x:v>kelvin.kailikia@pwc.com</x:v>
      </x:c>
      <x:c r="E237" s="130" t="n">
        <x:f>IF($D237="",0,SUMIF('Attendance Report - Option 1'!$P$11:$P$315,$D237,'Attendance Report - Option 1'!$Q$11:$Q$315)/86400)</x:f>
        <x:v>0.059444444444444446</x:v>
      </x:c>
      <x:c r="F237" s="131" t="str">
        <x:f>IF(E237=0,"Did not attend",IF(E237&gt;='Read Me'!$E$2/86400,"Fully attended","Partially attended"))</x:f>
        <x:v>Partially attended</x:v>
      </x:c>
      <x:c r="G237" s="130" t="n">
        <x:f>IF($D237="",0,SUMIF('Attendance Report - Option 2'!$P$11:$P$412,$D237,'Attendance Report - Option 2'!$Q$11:$Q$412)/86400)</x:f>
        <x:v>0.027094907407407408</x:v>
      </x:c>
      <x:c r="H237" s="131" t="str">
        <x:f>IF(G237=0,"Did not attend",IF(G237&gt;='Read Me'!$E$2/86400,"Fully attended","Partially attended"))</x:f>
        <x:v>Partially attended</x:v>
      </x:c>
      <x:c r="I237" s="130" t="n">
        <x:f>E237+G237</x:f>
        <x:v>0.08653935185185185</x:v>
      </x:c>
      <x:c r="J237" s="131" t="str">
        <x:f>IF(I237=0,"Did not attend",IF(I237&gt;='Read Me'!$E$2/86400,"Fully attended","Partially attended"))</x:f>
        <x:v>Fully attended</x:v>
      </x:c>
      <x:c r="K237" s="131" t="str">
        <x:f>IF($D237="","No",IF(COUNTIF('Attendance Report - Option 1'!$P$11:$P$315,$D237)&gt;0,"Yes","No"))</x:f>
        <x:v>Yes</x:v>
      </x:c>
      <x:c r="L237" s="131" t="str">
        <x:f>IF($D237="","No",IF(COUNTIF('Attendance Report - Option 2'!$P$11:$P$412,$D237)&gt;0,"Yes","No"))</x:f>
        <x:v>Yes</x:v>
      </x:c>
    </x:row>
    <x:row r="238">
      <x:c r="A238" s="16" t="str">
        <x:f>'EMA Assurance Employee List'!A239</x:f>
        <x:v>Kelvin Koima</x:v>
      </x:c>
      <x:c r="B238" s="16" t="str">
        <x:f>IF(C238="KE","Kenya",IF(C238="UG","Uganda",IF(C238="MU","Mauritius",IF(C238="TZ","Tanzania",IF(C238="RW","Rwanda",IF(C238="ZA","South Africa",IF(C238="ZM","Zambia","")))))))</x:f>
        <x:v>Kenya</x:v>
      </x:c>
      <x:c r="C238" s="16" t="str">
        <x:f>'EMA Assurance Employee List'!B239</x:f>
        <x:v>KE</x:v>
      </x:c>
      <x:c r="D238" s="16" t="str">
        <x:f>'EMA Assurance Employee List'!D239</x:f>
        <x:v>kelvin.koima@pwc.com</x:v>
      </x:c>
      <x:c r="E238" s="130" t="n">
        <x:f>IF($D238="",0,SUMIF('Attendance Report - Option 1'!$P$11:$P$315,$D238,'Attendance Report - Option 1'!$Q$11:$Q$315)/86400)</x:f>
        <x:v>0</x:v>
      </x:c>
      <x:c r="F238" s="131" t="str">
        <x:f>IF(E238=0,"Did not attend",IF(E238&gt;='Read Me'!$E$2/86400,"Fully attended","Partially attended"))</x:f>
        <x:v>Did not attend</x:v>
      </x:c>
      <x:c r="G238" s="130" t="n">
        <x:f>IF($D238="",0,SUMIF('Attendance Report - Option 2'!$P$11:$P$412,$D238,'Attendance Report - Option 2'!$Q$11:$Q$412)/86400)</x:f>
        <x:v>0</x:v>
      </x:c>
      <x:c r="H238" s="131" t="str">
        <x:f>IF(G238=0,"Did not attend",IF(G238&gt;='Read Me'!$E$2/86400,"Fully attended","Partially attended"))</x:f>
        <x:v>Did not attend</x:v>
      </x:c>
      <x:c r="I238" s="130" t="n">
        <x:f>E238+G238</x:f>
        <x:v>0</x:v>
      </x:c>
      <x:c r="J238" s="131" t="str">
        <x:f>IF(I238=0,"Did not attend",IF(I238&gt;='Read Me'!$E$2/86400,"Fully attended","Partially attended"))</x:f>
        <x:v>Did not attend</x:v>
      </x:c>
      <x:c r="K238" s="131" t="str">
        <x:f>IF($D238="","No",IF(COUNTIF('Attendance Report - Option 1'!$P$11:$P$315,$D238)&gt;0,"Yes","No"))</x:f>
        <x:v>No</x:v>
      </x:c>
      <x:c r="L238" s="131" t="str">
        <x:f>IF($D238="","No",IF(COUNTIF('Attendance Report - Option 2'!$P$11:$P$412,$D238)&gt;0,"Yes","No"))</x:f>
        <x:v>No</x:v>
      </x:c>
    </x:row>
    <x:row r="239">
      <x:c r="A239" s="16" t="str">
        <x:f>'EMA Assurance Employee List'!A240</x:f>
        <x:v>Kelvin Mukaria</x:v>
      </x:c>
      <x:c r="B239" s="16" t="str">
        <x:f>IF(C239="KE","Kenya",IF(C239="UG","Uganda",IF(C239="MU","Mauritius",IF(C239="TZ","Tanzania",IF(C239="RW","Rwanda",IF(C239="ZA","South Africa",IF(C239="ZM","Zambia","")))))))</x:f>
        <x:v>Kenya</x:v>
      </x:c>
      <x:c r="C239" s="16" t="str">
        <x:f>'EMA Assurance Employee List'!B240</x:f>
        <x:v>KE</x:v>
      </x:c>
      <x:c r="D239" s="16" t="str">
        <x:f>'EMA Assurance Employee List'!D240</x:f>
        <x:v>kelvin.mukaria@pwc.com</x:v>
      </x:c>
      <x:c r="E239" s="130" t="n">
        <x:f>IF($D239="",0,SUMIF('Attendance Report - Option 1'!$P$11:$P$315,$D239,'Attendance Report - Option 1'!$Q$11:$Q$315)/86400)</x:f>
        <x:v>0.01287037037037037</x:v>
      </x:c>
      <x:c r="F239" s="131" t="str">
        <x:f>IF(E239=0,"Did not attend",IF(E239&gt;='Read Me'!$E$2/86400,"Fully attended","Partially attended"))</x:f>
        <x:v>Partially attended</x:v>
      </x:c>
      <x:c r="G239" s="130" t="n">
        <x:f>IF($D239="",0,SUMIF('Attendance Report - Option 2'!$P$11:$P$412,$D239,'Attendance Report - Option 2'!$Q$11:$Q$412)/86400)</x:f>
        <x:v>0.05516203703703704</x:v>
      </x:c>
      <x:c r="H239" s="131" t="str">
        <x:f>IF(G239=0,"Did not attend",IF(G239&gt;='Read Me'!$E$2/86400,"Fully attended","Partially attended"))</x:f>
        <x:v>Partially attended</x:v>
      </x:c>
      <x:c r="I239" s="130" t="n">
        <x:f>E239+G239</x:f>
        <x:v>0.0680324074074074</x:v>
      </x:c>
      <x:c r="J239" s="131" t="str">
        <x:f>IF(I239=0,"Did not attend",IF(I239&gt;='Read Me'!$E$2/86400,"Fully attended","Partially attended"))</x:f>
        <x:v>Fully attended</x:v>
      </x:c>
      <x:c r="K239" s="131" t="str">
        <x:f>IF($D239="","No",IF(COUNTIF('Attendance Report - Option 1'!$P$11:$P$315,$D239)&gt;0,"Yes","No"))</x:f>
        <x:v>Yes</x:v>
      </x:c>
      <x:c r="L239" s="131" t="str">
        <x:f>IF($D239="","No",IF(COUNTIF('Attendance Report - Option 2'!$P$11:$P$412,$D239)&gt;0,"Yes","No"))</x:f>
        <x:v>Yes</x:v>
      </x:c>
    </x:row>
    <x:row r="240">
      <x:c r="A240" s="16" t="str">
        <x:f>'EMA Assurance Employee List'!A241</x:f>
        <x:v>Kelvin Wainaina</x:v>
      </x:c>
      <x:c r="B240" s="16" t="str">
        <x:f>IF(C240="KE","Kenya",IF(C240="UG","Uganda",IF(C240="MU","Mauritius",IF(C240="TZ","Tanzania",IF(C240="RW","Rwanda",IF(C240="ZA","South Africa",IF(C240="ZM","Zambia","")))))))</x:f>
        <x:v>Kenya</x:v>
      </x:c>
      <x:c r="C240" s="16" t="str">
        <x:f>'EMA Assurance Employee List'!B241</x:f>
        <x:v>KE</x:v>
      </x:c>
      <x:c r="D240" s="16" t="str">
        <x:f>'EMA Assurance Employee List'!D241</x:f>
        <x:v>kelvin.wainaina@pwc.com</x:v>
      </x:c>
      <x:c r="E240" s="130" t="n">
        <x:f>IF($D240="",0,SUMIF('Attendance Report - Option 1'!$P$11:$P$315,$D240,'Attendance Report - Option 1'!$Q$11:$Q$315)/86400)</x:f>
        <x:v>0</x:v>
      </x:c>
      <x:c r="F240" s="131" t="str">
        <x:f>IF(E240=0,"Did not attend",IF(E240&gt;='Read Me'!$E$2/86400,"Fully attended","Partially attended"))</x:f>
        <x:v>Did not attend</x:v>
      </x:c>
      <x:c r="G240" s="130" t="n">
        <x:f>IF($D240="",0,SUMIF('Attendance Report - Option 2'!$P$11:$P$412,$D240,'Attendance Report - Option 2'!$Q$11:$Q$412)/86400)</x:f>
        <x:v>0.06655092592592593</x:v>
      </x:c>
      <x:c r="H240" s="131" t="str">
        <x:f>IF(G240=0,"Did not attend",IF(G240&gt;='Read Me'!$E$2/86400,"Fully attended","Partially attended"))</x:f>
        <x:v>Fully attended</x:v>
      </x:c>
      <x:c r="I240" s="130" t="n">
        <x:f>E240+G240</x:f>
        <x:v>0.06655092592592593</x:v>
      </x:c>
      <x:c r="J240" s="131" t="str">
        <x:f>IF(I240=0,"Did not attend",IF(I240&gt;='Read Me'!$E$2/86400,"Fully attended","Partially attended"))</x:f>
        <x:v>Fully attended</x:v>
      </x:c>
      <x:c r="K240" s="131" t="str">
        <x:f>IF($D240="","No",IF(COUNTIF('Attendance Report - Option 1'!$P$11:$P$315,$D240)&gt;0,"Yes","No"))</x:f>
        <x:v>No</x:v>
      </x:c>
      <x:c r="L240" s="131" t="str">
        <x:f>IF($D240="","No",IF(COUNTIF('Attendance Report - Option 2'!$P$11:$P$412,$D240)&gt;0,"Yes","No"))</x:f>
        <x:v>Yes</x:v>
      </x:c>
    </x:row>
    <x:row r="241">
      <x:c r="A241" s="16" t="str">
        <x:f>'EMA Assurance Employee List'!A242</x:f>
        <x:v>Kerry Watiri</x:v>
      </x:c>
      <x:c r="B241" s="16" t="str">
        <x:f>IF(C241="KE","Kenya",IF(C241="UG","Uganda",IF(C241="MU","Mauritius",IF(C241="TZ","Tanzania",IF(C241="RW","Rwanda",IF(C241="ZA","South Africa",IF(C241="ZM","Zambia","")))))))</x:f>
        <x:v>Kenya</x:v>
      </x:c>
      <x:c r="C241" s="16" t="str">
        <x:f>'EMA Assurance Employee List'!B242</x:f>
        <x:v>KE</x:v>
      </x:c>
      <x:c r="D241" s="16" t="str">
        <x:f>'EMA Assurance Employee List'!D242</x:f>
        <x:v>kerry.watiri@pwc.com</x:v>
      </x:c>
      <x:c r="E241" s="130" t="n">
        <x:f>IF($D241="",0,SUMIF('Attendance Report - Option 1'!$P$11:$P$315,$D241,'Attendance Report - Option 1'!$Q$11:$Q$315)/86400)</x:f>
        <x:v>0.06394675925925926</x:v>
      </x:c>
      <x:c r="F241" s="131" t="str">
        <x:f>IF(E241=0,"Did not attend",IF(E241&gt;='Read Me'!$E$2/86400,"Fully attended","Partially attended"))</x:f>
        <x:v>Fully attended</x:v>
      </x:c>
      <x:c r="G241" s="130" t="n">
        <x:f>IF($D241="",0,SUMIF('Attendance Report - Option 2'!$P$11:$P$412,$D241,'Attendance Report - Option 2'!$Q$11:$Q$412)/86400)</x:f>
        <x:v>0.09570601851851852</x:v>
      </x:c>
      <x:c r="H241" s="131" t="str">
        <x:f>IF(G241=0,"Did not attend",IF(G241&gt;='Read Me'!$E$2/86400,"Fully attended","Partially attended"))</x:f>
        <x:v>Fully attended</x:v>
      </x:c>
      <x:c r="I241" s="130" t="n">
        <x:f>E241+G241</x:f>
        <x:v>0.15965277777777778</x:v>
      </x:c>
      <x:c r="J241" s="131" t="str">
        <x:f>IF(I241=0,"Did not attend",IF(I241&gt;='Read Me'!$E$2/86400,"Fully attended","Partially attended"))</x:f>
        <x:v>Fully attended</x:v>
      </x:c>
      <x:c r="K241" s="131" t="str">
        <x:f>IF($D241="","No",IF(COUNTIF('Attendance Report - Option 1'!$P$11:$P$315,$D241)&gt;0,"Yes","No"))</x:f>
        <x:v>Yes</x:v>
      </x:c>
      <x:c r="L241" s="131" t="str">
        <x:f>IF($D241="","No",IF(COUNTIF('Attendance Report - Option 2'!$P$11:$P$412,$D241)&gt;0,"Yes","No"))</x:f>
        <x:v>Yes</x:v>
      </x:c>
    </x:row>
    <x:row r="242">
      <x:c r="A242" s="16" t="str">
        <x:f>'EMA Assurance Employee List'!A243</x:f>
        <x:v>Keshika Kasary</x:v>
      </x:c>
      <x:c r="B242" s="16" t="str">
        <x:f>IF(C242="KE","Kenya",IF(C242="UG","Uganda",IF(C242="MU","Mauritius",IF(C242="TZ","Tanzania",IF(C242="RW","Rwanda",IF(C242="ZA","South Africa",IF(C242="ZM","Zambia","")))))))</x:f>
        <x:v>Mauritius</x:v>
      </x:c>
      <x:c r="C242" s="16" t="str">
        <x:f>'EMA Assurance Employee List'!B243</x:f>
        <x:v>MU</x:v>
      </x:c>
      <x:c r="D242" s="16" t="str">
        <x:f>'EMA Assurance Employee List'!D243</x:f>
        <x:v>keshika.k.kasary@pwc.com</x:v>
      </x:c>
      <x:c r="E242" s="130" t="n">
        <x:f>IF($D242="",0,SUMIF('Attendance Report - Option 1'!$P$11:$P$315,$D242,'Attendance Report - Option 1'!$Q$11:$Q$315)/86400)</x:f>
        <x:v>0</x:v>
      </x:c>
      <x:c r="F242" s="131" t="str">
        <x:f>IF(E242=0,"Did not attend",IF(E242&gt;='Read Me'!$E$2/86400,"Fully attended","Partially attended"))</x:f>
        <x:v>Did not attend</x:v>
      </x:c>
      <x:c r="G242" s="130" t="n">
        <x:f>IF($D242="",0,SUMIF('Attendance Report - Option 2'!$P$11:$P$412,$D242,'Attendance Report - Option 2'!$Q$11:$Q$412)/86400)</x:f>
        <x:v>0.04296296296296296</x:v>
      </x:c>
      <x:c r="H242" s="131" t="str">
        <x:f>IF(G242=0,"Did not attend",IF(G242&gt;='Read Me'!$E$2/86400,"Fully attended","Partially attended"))</x:f>
        <x:v>Partially attended</x:v>
      </x:c>
      <x:c r="I242" s="130" t="n">
        <x:f>E242+G242</x:f>
        <x:v>0.04296296296296296</x:v>
      </x:c>
      <x:c r="J242" s="131" t="str">
        <x:f>IF(I242=0,"Did not attend",IF(I242&gt;='Read Me'!$E$2/86400,"Fully attended","Partially attended"))</x:f>
        <x:v>Partially attended</x:v>
      </x:c>
      <x:c r="K242" s="131" t="str">
        <x:f>IF($D242="","No",IF(COUNTIF('Attendance Report - Option 1'!$P$11:$P$315,$D242)&gt;0,"Yes","No"))</x:f>
        <x:v>No</x:v>
      </x:c>
      <x:c r="L242" s="131" t="str">
        <x:f>IF($D242="","No",IF(COUNTIF('Attendance Report - Option 2'!$P$11:$P$412,$D242)&gt;0,"Yes","No"))</x:f>
        <x:v>Yes</x:v>
      </x:c>
    </x:row>
    <x:row r="243">
      <x:c r="A243" s="16" t="str">
        <x:f>'EMA Assurance Employee List'!A244</x:f>
        <x:v>Keshini Doobah</x:v>
      </x:c>
      <x:c r="B243" s="16" t="str">
        <x:f>IF(C243="KE","Kenya",IF(C243="UG","Uganda",IF(C243="MU","Mauritius",IF(C243="TZ","Tanzania",IF(C243="RW","Rwanda",IF(C243="ZA","South Africa",IF(C243="ZM","Zambia","")))))))</x:f>
        <x:v>Mauritius</x:v>
      </x:c>
      <x:c r="C243" s="16" t="str">
        <x:f>'EMA Assurance Employee List'!B244</x:f>
        <x:v>MU</x:v>
      </x:c>
      <x:c r="D243" s="16" t="str">
        <x:f>'EMA Assurance Employee List'!D244</x:f>
        <x:v>keshini.doobah@pwc.com</x:v>
      </x:c>
      <x:c r="E243" s="130" t="n">
        <x:f>IF($D243="",0,SUMIF('Attendance Report - Option 1'!$P$11:$P$315,$D243,'Attendance Report - Option 1'!$Q$11:$Q$315)/86400)</x:f>
        <x:v>0</x:v>
      </x:c>
      <x:c r="F243" s="131" t="str">
        <x:f>IF(E243=0,"Did not attend",IF(E243&gt;='Read Me'!$E$2/86400,"Fully attended","Partially attended"))</x:f>
        <x:v>Did not attend</x:v>
      </x:c>
      <x:c r="G243" s="130" t="n">
        <x:f>IF($D243="",0,SUMIF('Attendance Report - Option 2'!$P$11:$P$412,$D243,'Attendance Report - Option 2'!$Q$11:$Q$412)/86400)</x:f>
        <x:v>0.07623842592592593</x:v>
      </x:c>
      <x:c r="H243" s="131" t="str">
        <x:f>IF(G243=0,"Did not attend",IF(G243&gt;='Read Me'!$E$2/86400,"Fully attended","Partially attended"))</x:f>
        <x:v>Fully attended</x:v>
      </x:c>
      <x:c r="I243" s="130" t="n">
        <x:f>E243+G243</x:f>
        <x:v>0.07623842592592593</x:v>
      </x:c>
      <x:c r="J243" s="131" t="str">
        <x:f>IF(I243=0,"Did not attend",IF(I243&gt;='Read Me'!$E$2/86400,"Fully attended","Partially attended"))</x:f>
        <x:v>Fully attended</x:v>
      </x:c>
      <x:c r="K243" s="131" t="str">
        <x:f>IF($D243="","No",IF(COUNTIF('Attendance Report - Option 1'!$P$11:$P$315,$D243)&gt;0,"Yes","No"))</x:f>
        <x:v>No</x:v>
      </x:c>
      <x:c r="L243" s="131" t="str">
        <x:f>IF($D243="","No",IF(COUNTIF('Attendance Report - Option 2'!$P$11:$P$412,$D243)&gt;0,"Yes","No"))</x:f>
        <x:v>Yes</x:v>
      </x:c>
    </x:row>
    <x:row r="244">
      <x:c r="A244" s="16" t="str">
        <x:f>'EMA Assurance Employee List'!A245</x:f>
        <x:v>Keshini Sahadew</x:v>
      </x:c>
      <x:c r="B244" s="16" t="str">
        <x:f>IF(C244="KE","Kenya",IF(C244="UG","Uganda",IF(C244="MU","Mauritius",IF(C244="TZ","Tanzania",IF(C244="RW","Rwanda",IF(C244="ZA","South Africa",IF(C244="ZM","Zambia","")))))))</x:f>
        <x:v>Mauritius</x:v>
      </x:c>
      <x:c r="C244" s="16" t="str">
        <x:f>'EMA Assurance Employee List'!B245</x:f>
        <x:v>MU</x:v>
      </x:c>
      <x:c r="D244" s="16" t="str">
        <x:f>'EMA Assurance Employee List'!D245</x:f>
        <x:v>keshini.sahadew@pwc.com</x:v>
      </x:c>
      <x:c r="E244" s="130" t="n">
        <x:f>IF($D244="",0,SUMIF('Attendance Report - Option 1'!$P$11:$P$315,$D244,'Attendance Report - Option 1'!$Q$11:$Q$315)/86400)</x:f>
        <x:v>0.00032407407407407406</x:v>
      </x:c>
      <x:c r="F244" s="131" t="str">
        <x:f>IF(E244=0,"Did not attend",IF(E244&gt;='Read Me'!$E$2/86400,"Fully attended","Partially attended"))</x:f>
        <x:v>Partially attended</x:v>
      </x:c>
      <x:c r="G244" s="130" t="n">
        <x:f>IF($D244="",0,SUMIF('Attendance Report - Option 2'!$P$11:$P$412,$D244,'Attendance Report - Option 2'!$Q$11:$Q$412)/86400)</x:f>
        <x:v>0.08998842592592593</x:v>
      </x:c>
      <x:c r="H244" s="131" t="str">
        <x:f>IF(G244=0,"Did not attend",IF(G244&gt;='Read Me'!$E$2/86400,"Fully attended","Partially attended"))</x:f>
        <x:v>Fully attended</x:v>
      </x:c>
      <x:c r="I244" s="130" t="n">
        <x:f>E244+G244</x:f>
        <x:v>0.0903125</x:v>
      </x:c>
      <x:c r="J244" s="131" t="str">
        <x:f>IF(I244=0,"Did not attend",IF(I244&gt;='Read Me'!$E$2/86400,"Fully attended","Partially attended"))</x:f>
        <x:v>Fully attended</x:v>
      </x:c>
      <x:c r="K244" s="131" t="str">
        <x:f>IF($D244="","No",IF(COUNTIF('Attendance Report - Option 1'!$P$11:$P$315,$D244)&gt;0,"Yes","No"))</x:f>
        <x:v>Yes</x:v>
      </x:c>
      <x:c r="L244" s="131" t="str">
        <x:f>IF($D244="","No",IF(COUNTIF('Attendance Report - Option 2'!$P$11:$P$412,$D244)&gt;0,"Yes","No"))</x:f>
        <x:v>Yes</x:v>
      </x:c>
    </x:row>
    <x:row r="245">
      <x:c r="A245" s="16" t="str">
        <x:f>'EMA Assurance Employee List'!A246</x:f>
        <x:v>Kioko Nzuki</x:v>
      </x:c>
      <x:c r="B245" s="16" t="str">
        <x:f>IF(C245="KE","Kenya",IF(C245="UG","Uganda",IF(C245="MU","Mauritius",IF(C245="TZ","Tanzania",IF(C245="RW","Rwanda",IF(C245="ZA","South Africa",IF(C245="ZM","Zambia","")))))))</x:f>
        <x:v>Kenya</x:v>
      </x:c>
      <x:c r="C245" s="16" t="str">
        <x:f>'EMA Assurance Employee List'!B246</x:f>
        <x:v>KE</x:v>
      </x:c>
      <x:c r="D245" s="16" t="str">
        <x:f>'EMA Assurance Employee List'!D246</x:f>
        <x:v>kioko.nzuki@pwc.com</x:v>
      </x:c>
      <x:c r="E245" s="130" t="n">
        <x:f>IF($D245="",0,SUMIF('Attendance Report - Option 1'!$P$11:$P$315,$D245,'Attendance Report - Option 1'!$Q$11:$Q$315)/86400)</x:f>
        <x:v>0</x:v>
      </x:c>
      <x:c r="F245" s="131" t="str">
        <x:f>IF(E245=0,"Did not attend",IF(E245&gt;='Read Me'!$E$2/86400,"Fully attended","Partially attended"))</x:f>
        <x:v>Did not attend</x:v>
      </x:c>
      <x:c r="G245" s="130" t="n">
        <x:f>IF($D245="",0,SUMIF('Attendance Report - Option 2'!$P$11:$P$412,$D245,'Attendance Report - Option 2'!$Q$11:$Q$412)/86400)</x:f>
        <x:v>0.03690972222222222</x:v>
      </x:c>
      <x:c r="H245" s="131" t="str">
        <x:f>IF(G245=0,"Did not attend",IF(G245&gt;='Read Me'!$E$2/86400,"Fully attended","Partially attended"))</x:f>
        <x:v>Partially attended</x:v>
      </x:c>
      <x:c r="I245" s="130" t="n">
        <x:f>E245+G245</x:f>
        <x:v>0.03690972222222222</x:v>
      </x:c>
      <x:c r="J245" s="131" t="str">
        <x:f>IF(I245=0,"Did not attend",IF(I245&gt;='Read Me'!$E$2/86400,"Fully attended","Partially attended"))</x:f>
        <x:v>Partially attended</x:v>
      </x:c>
      <x:c r="K245" s="131" t="str">
        <x:f>IF($D245="","No",IF(COUNTIF('Attendance Report - Option 1'!$P$11:$P$315,$D245)&gt;0,"Yes","No"))</x:f>
        <x:v>No</x:v>
      </x:c>
      <x:c r="L245" s="131" t="str">
        <x:f>IF($D245="","No",IF(COUNTIF('Attendance Report - Option 2'!$P$11:$P$412,$D245)&gt;0,"Yes","No"))</x:f>
        <x:v>Yes</x:v>
      </x:c>
    </x:row>
    <x:row r="246">
      <x:c r="A246" s="16" t="str">
        <x:f>'EMA Assurance Employee List'!A247</x:f>
        <x:v>Kirisha Kasseean</x:v>
      </x:c>
      <x:c r="B246" s="16" t="str">
        <x:f>IF(C246="KE","Kenya",IF(C246="UG","Uganda",IF(C246="MU","Mauritius",IF(C246="TZ","Tanzania",IF(C246="RW","Rwanda",IF(C246="ZA","South Africa",IF(C246="ZM","Zambia","")))))))</x:f>
        <x:v>Mauritius</x:v>
      </x:c>
      <x:c r="C246" s="16" t="str">
        <x:f>'EMA Assurance Employee List'!B247</x:f>
        <x:v>MU</x:v>
      </x:c>
      <x:c r="D246" s="16" t="str">
        <x:f>'EMA Assurance Employee List'!D247</x:f>
        <x:v>kirisha.kasseean@pwc.com</x:v>
      </x:c>
      <x:c r="E246" s="130" t="n">
        <x:f>IF($D246="",0,SUMIF('Attendance Report - Option 1'!$P$11:$P$315,$D246,'Attendance Report - Option 1'!$Q$11:$Q$315)/86400)</x:f>
        <x:v>0</x:v>
      </x:c>
      <x:c r="F246" s="131" t="str">
        <x:f>IF(E246=0,"Did not attend",IF(E246&gt;='Read Me'!$E$2/86400,"Fully attended","Partially attended"))</x:f>
        <x:v>Did not attend</x:v>
      </x:c>
      <x:c r="G246" s="130" t="n">
        <x:f>IF($D246="",0,SUMIF('Attendance Report - Option 2'!$P$11:$P$412,$D246,'Attendance Report - Option 2'!$Q$11:$Q$412)/86400)</x:f>
        <x:v>0.09789351851851852</x:v>
      </x:c>
      <x:c r="H246" s="131" t="str">
        <x:f>IF(G246=0,"Did not attend",IF(G246&gt;='Read Me'!$E$2/86400,"Fully attended","Partially attended"))</x:f>
        <x:v>Fully attended</x:v>
      </x:c>
      <x:c r="I246" s="130" t="n">
        <x:f>E246+G246</x:f>
        <x:v>0.09789351851851852</x:v>
      </x:c>
      <x:c r="J246" s="131" t="str">
        <x:f>IF(I246=0,"Did not attend",IF(I246&gt;='Read Me'!$E$2/86400,"Fully attended","Partially attended"))</x:f>
        <x:v>Fully attended</x:v>
      </x:c>
      <x:c r="K246" s="131" t="str">
        <x:f>IF($D246="","No",IF(COUNTIF('Attendance Report - Option 1'!$P$11:$P$315,$D246)&gt;0,"Yes","No"))</x:f>
        <x:v>No</x:v>
      </x:c>
      <x:c r="L246" s="131" t="str">
        <x:f>IF($D246="","No",IF(COUNTIF('Attendance Report - Option 2'!$P$11:$P$412,$D246)&gt;0,"Yes","No"))</x:f>
        <x:v>Yes</x:v>
      </x:c>
    </x:row>
    <x:row r="247">
      <x:c r="A247" s="16" t="str">
        <x:f>'EMA Assurance Employee List'!A248</x:f>
        <x:v>Kooshika Sookun</x:v>
      </x:c>
      <x:c r="B247" s="16" t="str">
        <x:f>IF(C247="KE","Kenya",IF(C247="UG","Uganda",IF(C247="MU","Mauritius",IF(C247="TZ","Tanzania",IF(C247="RW","Rwanda",IF(C247="ZA","South Africa",IF(C247="ZM","Zambia","")))))))</x:f>
        <x:v>Mauritius</x:v>
      </x:c>
      <x:c r="C247" s="16" t="str">
        <x:f>'EMA Assurance Employee List'!B248</x:f>
        <x:v>MU</x:v>
      </x:c>
      <x:c r="D247" s="16" t="str">
        <x:f>'EMA Assurance Employee List'!D248</x:f>
        <x:v>kooshika.sookun@pwc.com</x:v>
      </x:c>
      <x:c r="E247" s="130" t="n">
        <x:f>IF($D247="",0,SUMIF('Attendance Report - Option 1'!$P$11:$P$315,$D247,'Attendance Report - Option 1'!$Q$11:$Q$315)/86400)</x:f>
        <x:v>0</x:v>
      </x:c>
      <x:c r="F247" s="131" t="str">
        <x:f>IF(E247=0,"Did not attend",IF(E247&gt;='Read Me'!$E$2/86400,"Fully attended","Partially attended"))</x:f>
        <x:v>Did not attend</x:v>
      </x:c>
      <x:c r="G247" s="130" t="n">
        <x:f>IF($D247="",0,SUMIF('Attendance Report - Option 2'!$P$11:$P$412,$D247,'Attendance Report - Option 2'!$Q$11:$Q$412)/86400)</x:f>
        <x:v>0.059722222222222225</x:v>
      </x:c>
      <x:c r="H247" s="131" t="str">
        <x:f>IF(G247=0,"Did not attend",IF(G247&gt;='Read Me'!$E$2/86400,"Fully attended","Partially attended"))</x:f>
        <x:v>Partially attended</x:v>
      </x:c>
      <x:c r="I247" s="130" t="n">
        <x:f>E247+G247</x:f>
        <x:v>0.059722222222222225</x:v>
      </x:c>
      <x:c r="J247" s="131" t="str">
        <x:f>IF(I247=0,"Did not attend",IF(I247&gt;='Read Me'!$E$2/86400,"Fully attended","Partially attended"))</x:f>
        <x:v>Partially attended</x:v>
      </x:c>
      <x:c r="K247" s="131" t="str">
        <x:f>IF($D247="","No",IF(COUNTIF('Attendance Report - Option 1'!$P$11:$P$315,$D247)&gt;0,"Yes","No"))</x:f>
        <x:v>No</x:v>
      </x:c>
      <x:c r="L247" s="131" t="str">
        <x:f>IF($D247="","No",IF(COUNTIF('Attendance Report - Option 2'!$P$11:$P$412,$D247)&gt;0,"Yes","No"))</x:f>
        <x:v>Yes</x:v>
      </x:c>
    </x:row>
    <x:row r="248">
      <x:c r="A248" s="16" t="str">
        <x:f>'EMA Assurance Employee List'!A249</x:f>
        <x:v>Kovanam Moodelly</x:v>
      </x:c>
      <x:c r="B248" s="16" t="str">
        <x:f>IF(C248="KE","Kenya",IF(C248="UG","Uganda",IF(C248="MU","Mauritius",IF(C248="TZ","Tanzania",IF(C248="RW","Rwanda",IF(C248="ZA","South Africa",IF(C248="ZM","Zambia","")))))))</x:f>
        <x:v>Mauritius</x:v>
      </x:c>
      <x:c r="C248" s="16" t="str">
        <x:f>'EMA Assurance Employee List'!B249</x:f>
        <x:v>MU</x:v>
      </x:c>
      <x:c r="D248" s="16" t="str">
        <x:f>'EMA Assurance Employee List'!D249</x:f>
        <x:v>kovanam.moodelly@pwc.com</x:v>
      </x:c>
      <x:c r="E248" s="130" t="n">
        <x:f>IF($D248="",0,SUMIF('Attendance Report - Option 1'!$P$11:$P$315,$D248,'Attendance Report - Option 1'!$Q$11:$Q$315)/86400)</x:f>
        <x:v>0.009965277777777778</x:v>
      </x:c>
      <x:c r="F248" s="131" t="str">
        <x:f>IF(E248=0,"Did not attend",IF(E248&gt;='Read Me'!$E$2/86400,"Fully attended","Partially attended"))</x:f>
        <x:v>Partially attended</x:v>
      </x:c>
      <x:c r="G248" s="130" t="n">
        <x:f>IF($D248="",0,SUMIF('Attendance Report - Option 2'!$P$11:$P$412,$D248,'Attendance Report - Option 2'!$Q$11:$Q$412)/86400)</x:f>
        <x:v>0.08443287037037037</x:v>
      </x:c>
      <x:c r="H248" s="131" t="str">
        <x:f>IF(G248=0,"Did not attend",IF(G248&gt;='Read Me'!$E$2/86400,"Fully attended","Partially attended"))</x:f>
        <x:v>Fully attended</x:v>
      </x:c>
      <x:c r="I248" s="130" t="n">
        <x:f>E248+G248</x:f>
        <x:v>0.09439814814814815</x:v>
      </x:c>
      <x:c r="J248" s="131" t="str">
        <x:f>IF(I248=0,"Did not attend",IF(I248&gt;='Read Me'!$E$2/86400,"Fully attended","Partially attended"))</x:f>
        <x:v>Fully attended</x:v>
      </x:c>
      <x:c r="K248" s="131" t="str">
        <x:f>IF($D248="","No",IF(COUNTIF('Attendance Report - Option 1'!$P$11:$P$315,$D248)&gt;0,"Yes","No"))</x:f>
        <x:v>Yes</x:v>
      </x:c>
      <x:c r="L248" s="131" t="str">
        <x:f>IF($D248="","No",IF(COUNTIF('Attendance Report - Option 2'!$P$11:$P$412,$D248)&gt;0,"Yes","No"))</x:f>
        <x:v>Yes</x:v>
      </x:c>
    </x:row>
    <x:row r="249">
      <x:c r="A249" s="16" t="str">
        <x:f>'EMA Assurance Employee List'!A250</x:f>
        <x:v>Lawrence Macharia</x:v>
      </x:c>
      <x:c r="B249" s="16" t="str">
        <x:f>IF(C249="KE","Kenya",IF(C249="UG","Uganda",IF(C249="MU","Mauritius",IF(C249="TZ","Tanzania",IF(C249="RW","Rwanda",IF(C249="ZA","South Africa",IF(C249="ZM","Zambia","")))))))</x:f>
        <x:v>Kenya</x:v>
      </x:c>
      <x:c r="C249" s="16" t="str">
        <x:f>'EMA Assurance Employee List'!B250</x:f>
        <x:v>KE</x:v>
      </x:c>
      <x:c r="D249" s="16" t="str">
        <x:f>'EMA Assurance Employee List'!D250</x:f>
        <x:v>lawrence.macharia@pwc.com</x:v>
      </x:c>
      <x:c r="E249" s="130" t="n">
        <x:f>IF($D249="",0,SUMIF('Attendance Report - Option 1'!$P$11:$P$315,$D249,'Attendance Report - Option 1'!$Q$11:$Q$315)/86400)</x:f>
        <x:v>0</x:v>
      </x:c>
      <x:c r="F249" s="131" t="str">
        <x:f>IF(E249=0,"Did not attend",IF(E249&gt;='Read Me'!$E$2/86400,"Fully attended","Partially attended"))</x:f>
        <x:v>Did not attend</x:v>
      </x:c>
      <x:c r="G249" s="130" t="n">
        <x:f>IF($D249="",0,SUMIF('Attendance Report - Option 2'!$P$11:$P$412,$D249,'Attendance Report - Option 2'!$Q$11:$Q$412)/86400)</x:f>
        <x:v>0.07944444444444444</x:v>
      </x:c>
      <x:c r="H249" s="131" t="str">
        <x:f>IF(G249=0,"Did not attend",IF(G249&gt;='Read Me'!$E$2/86400,"Fully attended","Partially attended"))</x:f>
        <x:v>Fully attended</x:v>
      </x:c>
      <x:c r="I249" s="130" t="n">
        <x:f>E249+G249</x:f>
        <x:v>0.07944444444444444</x:v>
      </x:c>
      <x:c r="J249" s="131" t="str">
        <x:f>IF(I249=0,"Did not attend",IF(I249&gt;='Read Me'!$E$2/86400,"Fully attended","Partially attended"))</x:f>
        <x:v>Fully attended</x:v>
      </x:c>
      <x:c r="K249" s="131" t="str">
        <x:f>IF($D249="","No",IF(COUNTIF('Attendance Report - Option 1'!$P$11:$P$315,$D249)&gt;0,"Yes","No"))</x:f>
        <x:v>No</x:v>
      </x:c>
      <x:c r="L249" s="131" t="str">
        <x:f>IF($D249="","No",IF(COUNTIF('Attendance Report - Option 2'!$P$11:$P$412,$D249)&gt;0,"Yes","No"))</x:f>
        <x:v>Yes</x:v>
      </x:c>
    </x:row>
    <x:row r="250">
      <x:c r="A250" s="16" t="str">
        <x:f>'EMA Assurance Employee List'!A251</x:f>
        <x:v>Leeshikha Boodhoo</x:v>
      </x:c>
      <x:c r="B250" s="16" t="str">
        <x:f>IF(C250="KE","Kenya",IF(C250="UG","Uganda",IF(C250="MU","Mauritius",IF(C250="TZ","Tanzania",IF(C250="RW","Rwanda",IF(C250="ZA","South Africa",IF(C250="ZM","Zambia","")))))))</x:f>
        <x:v>Mauritius</x:v>
      </x:c>
      <x:c r="C250" s="16" t="str">
        <x:f>'EMA Assurance Employee List'!B251</x:f>
        <x:v>MU</x:v>
      </x:c>
      <x:c r="D250" s="16" t="str">
        <x:f>'EMA Assurance Employee List'!D251</x:f>
        <x:v>leeshikha.boodhoo@pwc.com</x:v>
      </x:c>
      <x:c r="E250" s="130" t="n">
        <x:f>IF($D250="",0,SUMIF('Attendance Report - Option 1'!$P$11:$P$315,$D250,'Attendance Report - Option 1'!$Q$11:$Q$315)/86400)</x:f>
        <x:v>0.020949074074074075</x:v>
      </x:c>
      <x:c r="F250" s="131" t="str">
        <x:f>IF(E250=0,"Did not attend",IF(E250&gt;='Read Me'!$E$2/86400,"Fully attended","Partially attended"))</x:f>
        <x:v>Partially attended</x:v>
      </x:c>
      <x:c r="G250" s="130" t="n">
        <x:f>IF($D250="",0,SUMIF('Attendance Report - Option 2'!$P$11:$P$412,$D250,'Attendance Report - Option 2'!$Q$11:$Q$412)/86400)</x:f>
        <x:v>0.08552083333333334</x:v>
      </x:c>
      <x:c r="H250" s="131" t="str">
        <x:f>IF(G250=0,"Did not attend",IF(G250&gt;='Read Me'!$E$2/86400,"Fully attended","Partially attended"))</x:f>
        <x:v>Fully attended</x:v>
      </x:c>
      <x:c r="I250" s="130" t="n">
        <x:f>E250+G250</x:f>
        <x:v>0.10646990740740742</x:v>
      </x:c>
      <x:c r="J250" s="131" t="str">
        <x:f>IF(I250=0,"Did not attend",IF(I250&gt;='Read Me'!$E$2/86400,"Fully attended","Partially attended"))</x:f>
        <x:v>Fully attended</x:v>
      </x:c>
      <x:c r="K250" s="131" t="str">
        <x:f>IF($D250="","No",IF(COUNTIF('Attendance Report - Option 1'!$P$11:$P$315,$D250)&gt;0,"Yes","No"))</x:f>
        <x:v>Yes</x:v>
      </x:c>
      <x:c r="L250" s="131" t="str">
        <x:f>IF($D250="","No",IF(COUNTIF('Attendance Report - Option 2'!$P$11:$P$412,$D250)&gt;0,"Yes","No"))</x:f>
        <x:v>Yes</x:v>
      </x:c>
    </x:row>
    <x:row r="251">
      <x:c r="A251" s="16" t="str">
        <x:f>'EMA Assurance Employee List'!A252</x:f>
        <x:v>Lena Odara</x:v>
      </x:c>
      <x:c r="B251" s="16" t="str">
        <x:f>IF(C251="KE","Kenya",IF(C251="UG","Uganda",IF(C251="MU","Mauritius",IF(C251="TZ","Tanzania",IF(C251="RW","Rwanda",IF(C251="ZA","South Africa",IF(C251="ZM","Zambia","")))))))</x:f>
        <x:v>Tanzania</x:v>
      </x:c>
      <x:c r="C251" s="16" t="str">
        <x:f>'EMA Assurance Employee List'!B252</x:f>
        <x:v>TZ</x:v>
      </x:c>
      <x:c r="D251" s="16" t="str">
        <x:f>'EMA Assurance Employee List'!D252</x:f>
        <x:v>lena.o.odara@pwc.com</x:v>
      </x:c>
      <x:c r="E251" s="130" t="n">
        <x:f>IF($D251="",0,SUMIF('Attendance Report - Option 1'!$P$11:$P$315,$D251,'Attendance Report - Option 1'!$Q$11:$Q$315)/86400)</x:f>
        <x:v>0</x:v>
      </x:c>
      <x:c r="F251" s="131" t="str">
        <x:f>IF(E251=0,"Did not attend",IF(E251&gt;='Read Me'!$E$2/86400,"Fully attended","Partially attended"))</x:f>
        <x:v>Did not attend</x:v>
      </x:c>
      <x:c r="G251" s="130" t="n">
        <x:f>IF($D251="",0,SUMIF('Attendance Report - Option 2'!$P$11:$P$412,$D251,'Attendance Report - Option 2'!$Q$11:$Q$412)/86400)</x:f>
        <x:v>0.0819212962962963</x:v>
      </x:c>
      <x:c r="H251" s="131" t="str">
        <x:f>IF(G251=0,"Did not attend",IF(G251&gt;='Read Me'!$E$2/86400,"Fully attended","Partially attended"))</x:f>
        <x:v>Fully attended</x:v>
      </x:c>
      <x:c r="I251" s="130" t="n">
        <x:f>E251+G251</x:f>
        <x:v>0.0819212962962963</x:v>
      </x:c>
      <x:c r="J251" s="131" t="str">
        <x:f>IF(I251=0,"Did not attend",IF(I251&gt;='Read Me'!$E$2/86400,"Fully attended","Partially attended"))</x:f>
        <x:v>Fully attended</x:v>
      </x:c>
      <x:c r="K251" s="131" t="str">
        <x:f>IF($D251="","No",IF(COUNTIF('Attendance Report - Option 1'!$P$11:$P$315,$D251)&gt;0,"Yes","No"))</x:f>
        <x:v>No</x:v>
      </x:c>
      <x:c r="L251" s="131" t="str">
        <x:f>IF($D251="","No",IF(COUNTIF('Attendance Report - Option 2'!$P$11:$P$412,$D251)&gt;0,"Yes","No"))</x:f>
        <x:v>Yes</x:v>
      </x:c>
    </x:row>
    <x:row r="252">
      <x:c r="A252" s="16" t="str">
        <x:f>'EMA Assurance Employee List'!A253</x:f>
        <x:v>Lightness Katunzi</x:v>
      </x:c>
      <x:c r="B252" s="16" t="str">
        <x:f>IF(C252="KE","Kenya",IF(C252="UG","Uganda",IF(C252="MU","Mauritius",IF(C252="TZ","Tanzania",IF(C252="RW","Rwanda",IF(C252="ZA","South Africa",IF(C252="ZM","Zambia","")))))))</x:f>
        <x:v>Tanzania</x:v>
      </x:c>
      <x:c r="C252" s="16" t="str">
        <x:f>'EMA Assurance Employee List'!B253</x:f>
        <x:v>TZ</x:v>
      </x:c>
      <x:c r="D252" s="16" t="str">
        <x:f>'EMA Assurance Employee List'!D253</x:f>
        <x:v>lightness.katunzi@pwc.com</x:v>
      </x:c>
      <x:c r="E252" s="130" t="n">
        <x:f>IF($D252="",0,SUMIF('Attendance Report - Option 1'!$P$11:$P$315,$D252,'Attendance Report - Option 1'!$Q$11:$Q$315)/86400)</x:f>
        <x:v>0.08506944444444445</x:v>
      </x:c>
      <x:c r="F252" s="131" t="str">
        <x:f>IF(E252=0,"Did not attend",IF(E252&gt;='Read Me'!$E$2/86400,"Fully attended","Partially attended"))</x:f>
        <x:v>Fully attended</x:v>
      </x:c>
      <x:c r="G252" s="130" t="n">
        <x:f>IF($D252="",0,SUMIF('Attendance Report - Option 2'!$P$11:$P$412,$D252,'Attendance Report - Option 2'!$Q$11:$Q$412)/86400)</x:f>
        <x:v>0</x:v>
      </x:c>
      <x:c r="H252" s="131" t="str">
        <x:f>IF(G252=0,"Did not attend",IF(G252&gt;='Read Me'!$E$2/86400,"Fully attended","Partially attended"))</x:f>
        <x:v>Did not attend</x:v>
      </x:c>
      <x:c r="I252" s="130" t="n">
        <x:f>E252+G252</x:f>
        <x:v>0.08506944444444445</x:v>
      </x:c>
      <x:c r="J252" s="131" t="str">
        <x:f>IF(I252=0,"Did not attend",IF(I252&gt;='Read Me'!$E$2/86400,"Fully attended","Partially attended"))</x:f>
        <x:v>Fully attended</x:v>
      </x:c>
      <x:c r="K252" s="131" t="str">
        <x:f>IF($D252="","No",IF(COUNTIF('Attendance Report - Option 1'!$P$11:$P$315,$D252)&gt;0,"Yes","No"))</x:f>
        <x:v>Yes</x:v>
      </x:c>
      <x:c r="L252" s="131" t="str">
        <x:f>IF($D252="","No",IF(COUNTIF('Attendance Report - Option 2'!$P$11:$P$412,$D252)&gt;0,"Yes","No"))</x:f>
        <x:v>No</x:v>
      </x:c>
    </x:row>
    <x:row r="253">
      <x:c r="A253" s="16" t="str">
        <x:f>'EMA Assurance Employee List'!A254</x:f>
        <x:v>Linda Batuka</x:v>
      </x:c>
      <x:c r="B253" s="16" t="str">
        <x:f>IF(C253="KE","Kenya",IF(C253="UG","Uganda",IF(C253="MU","Mauritius",IF(C253="TZ","Tanzania",IF(C253="RW","Rwanda",IF(C253="ZA","South Africa",IF(C253="ZM","Zambia","")))))))</x:f>
        <x:v>Uganda</x:v>
      </x:c>
      <x:c r="C253" s="16" t="str">
        <x:f>'EMA Assurance Employee List'!B254</x:f>
        <x:v>UG</x:v>
      </x:c>
      <x:c r="D253" s="16" t="str">
        <x:f>'EMA Assurance Employee List'!D254</x:f>
        <x:v>linda.batuka@pwc.com</x:v>
      </x:c>
      <x:c r="E253" s="130" t="n">
        <x:f>IF($D253="",0,SUMIF('Attendance Report - Option 1'!$P$11:$P$315,$D253,'Attendance Report - Option 1'!$Q$11:$Q$315)/86400)</x:f>
        <x:v>0.08335648148148148</x:v>
      </x:c>
      <x:c r="F253" s="131" t="str">
        <x:f>IF(E253=0,"Did not attend",IF(E253&gt;='Read Me'!$E$2/86400,"Fully attended","Partially attended"))</x:f>
        <x:v>Fully attended</x:v>
      </x:c>
      <x:c r="G253" s="130" t="n">
        <x:f>IF($D253="",0,SUMIF('Attendance Report - Option 2'!$P$11:$P$412,$D253,'Attendance Report - Option 2'!$Q$11:$Q$412)/86400)</x:f>
        <x:v>0</x:v>
      </x:c>
      <x:c r="H253" s="131" t="str">
        <x:f>IF(G253=0,"Did not attend",IF(G253&gt;='Read Me'!$E$2/86400,"Fully attended","Partially attended"))</x:f>
        <x:v>Did not attend</x:v>
      </x:c>
      <x:c r="I253" s="130" t="n">
        <x:f>E253+G253</x:f>
        <x:v>0.08335648148148148</x:v>
      </x:c>
      <x:c r="J253" s="131" t="str">
        <x:f>IF(I253=0,"Did not attend",IF(I253&gt;='Read Me'!$E$2/86400,"Fully attended","Partially attended"))</x:f>
        <x:v>Fully attended</x:v>
      </x:c>
      <x:c r="K253" s="131" t="str">
        <x:f>IF($D253="","No",IF(COUNTIF('Attendance Report - Option 1'!$P$11:$P$315,$D253)&gt;0,"Yes","No"))</x:f>
        <x:v>Yes</x:v>
      </x:c>
      <x:c r="L253" s="131" t="str">
        <x:f>IF($D253="","No",IF(COUNTIF('Attendance Report - Option 2'!$P$11:$P$412,$D253)&gt;0,"Yes","No"))</x:f>
        <x:v>No</x:v>
      </x:c>
    </x:row>
    <x:row r="254">
      <x:c r="A254" s="16" t="str">
        <x:f>'EMA Assurance Employee List'!A255</x:f>
        <x:v>Linda Musau</x:v>
      </x:c>
      <x:c r="B254" s="16" t="str">
        <x:f>IF(C254="KE","Kenya",IF(C254="UG","Uganda",IF(C254="MU","Mauritius",IF(C254="TZ","Tanzania",IF(C254="RW","Rwanda",IF(C254="ZA","South Africa",IF(C254="ZM","Zambia","")))))))</x:f>
        <x:v>Kenya</x:v>
      </x:c>
      <x:c r="C254" s="16" t="str">
        <x:f>'EMA Assurance Employee List'!B255</x:f>
        <x:v>KE</x:v>
      </x:c>
      <x:c r="D254" s="16" t="str">
        <x:f>'EMA Assurance Employee List'!D255</x:f>
        <x:v>linda.musau@pwc.com</x:v>
      </x:c>
      <x:c r="E254" s="130" t="n">
        <x:f>IF($D254="",0,SUMIF('Attendance Report - Option 1'!$P$11:$P$315,$D254,'Attendance Report - Option 1'!$Q$11:$Q$315)/86400)</x:f>
        <x:v>0.07946759259259259</x:v>
      </x:c>
      <x:c r="F254" s="131" t="str">
        <x:f>IF(E254=0,"Did not attend",IF(E254&gt;='Read Me'!$E$2/86400,"Fully attended","Partially attended"))</x:f>
        <x:v>Fully attended</x:v>
      </x:c>
      <x:c r="G254" s="130" t="n">
        <x:f>IF($D254="",0,SUMIF('Attendance Report - Option 2'!$P$11:$P$412,$D254,'Attendance Report - Option 2'!$Q$11:$Q$412)/86400)</x:f>
        <x:v>0</x:v>
      </x:c>
      <x:c r="H254" s="131" t="str">
        <x:f>IF(G254=0,"Did not attend",IF(G254&gt;='Read Me'!$E$2/86400,"Fully attended","Partially attended"))</x:f>
        <x:v>Did not attend</x:v>
      </x:c>
      <x:c r="I254" s="130" t="n">
        <x:f>E254+G254</x:f>
        <x:v>0.07946759259259259</x:v>
      </x:c>
      <x:c r="J254" s="131" t="str">
        <x:f>IF(I254=0,"Did not attend",IF(I254&gt;='Read Me'!$E$2/86400,"Fully attended","Partially attended"))</x:f>
        <x:v>Fully attended</x:v>
      </x:c>
      <x:c r="K254" s="131" t="str">
        <x:f>IF($D254="","No",IF(COUNTIF('Attendance Report - Option 1'!$P$11:$P$315,$D254)&gt;0,"Yes","No"))</x:f>
        <x:v>Yes</x:v>
      </x:c>
      <x:c r="L254" s="131" t="str">
        <x:f>IF($D254="","No",IF(COUNTIF('Attendance Report - Option 2'!$P$11:$P$412,$D254)&gt;0,"Yes","No"))</x:f>
        <x:v>No</x:v>
      </x:c>
    </x:row>
    <x:row r="255">
      <x:c r="A255" s="16" t="str">
        <x:f>'EMA Assurance Employee List'!A256</x:f>
        <x:v>Linet Muthii</x:v>
      </x:c>
      <x:c r="B255" s="16" t="str">
        <x:f>IF(C255="KE","Kenya",IF(C255="UG","Uganda",IF(C255="MU","Mauritius",IF(C255="TZ","Tanzania",IF(C255="RW","Rwanda",IF(C255="ZA","South Africa",IF(C255="ZM","Zambia","")))))))</x:f>
        <x:v>Kenya</x:v>
      </x:c>
      <x:c r="C255" s="16" t="str">
        <x:f>'EMA Assurance Employee List'!B256</x:f>
        <x:v>KE</x:v>
      </x:c>
      <x:c r="D255" s="16" t="str">
        <x:f>'EMA Assurance Employee List'!D256</x:f>
        <x:v>linet.muthii@pwc.com</x:v>
      </x:c>
      <x:c r="E255" s="130" t="n">
        <x:f>IF($D255="",0,SUMIF('Attendance Report - Option 1'!$P$11:$P$315,$D255,'Attendance Report - Option 1'!$Q$11:$Q$315)/86400)</x:f>
        <x:v>0.03844907407407407</x:v>
      </x:c>
      <x:c r="F255" s="131" t="str">
        <x:f>IF(E255=0,"Did not attend",IF(E255&gt;='Read Me'!$E$2/86400,"Fully attended","Partially attended"))</x:f>
        <x:v>Partially attended</x:v>
      </x:c>
      <x:c r="G255" s="130" t="n">
        <x:f>IF($D255="",0,SUMIF('Attendance Report - Option 2'!$P$11:$P$412,$D255,'Attendance Report - Option 2'!$Q$11:$Q$412)/86400)</x:f>
        <x:v>0.03474537037037037</x:v>
      </x:c>
      <x:c r="H255" s="131" t="str">
        <x:f>IF(G255=0,"Did not attend",IF(G255&gt;='Read Me'!$E$2/86400,"Fully attended","Partially attended"))</x:f>
        <x:v>Partially attended</x:v>
      </x:c>
      <x:c r="I255" s="130" t="n">
        <x:f>E255+G255</x:f>
        <x:v>0.07319444444444445</x:v>
      </x:c>
      <x:c r="J255" s="131" t="str">
        <x:f>IF(I255=0,"Did not attend",IF(I255&gt;='Read Me'!$E$2/86400,"Fully attended","Partially attended"))</x:f>
        <x:v>Fully attended</x:v>
      </x:c>
      <x:c r="K255" s="131" t="str">
        <x:f>IF($D255="","No",IF(COUNTIF('Attendance Report - Option 1'!$P$11:$P$315,$D255)&gt;0,"Yes","No"))</x:f>
        <x:v>Yes</x:v>
      </x:c>
      <x:c r="L255" s="131" t="str">
        <x:f>IF($D255="","No",IF(COUNTIF('Attendance Report - Option 2'!$P$11:$P$412,$D255)&gt;0,"Yes","No"))</x:f>
        <x:v>Yes</x:v>
      </x:c>
    </x:row>
    <x:row r="256">
      <x:c r="A256" s="16" t="str">
        <x:f>'EMA Assurance Employee List'!A257</x:f>
        <x:v>Lorna Ramsamy</x:v>
      </x:c>
      <x:c r="B256" s="16" t="str">
        <x:f>IF(C256="KE","Kenya",IF(C256="UG","Uganda",IF(C256="MU","Mauritius",IF(C256="TZ","Tanzania",IF(C256="RW","Rwanda",IF(C256="ZA","South Africa",IF(C256="ZM","Zambia","")))))))</x:f>
        <x:v>Mauritius</x:v>
      </x:c>
      <x:c r="C256" s="16" t="str">
        <x:f>'EMA Assurance Employee List'!B257</x:f>
        <x:v>MU</x:v>
      </x:c>
      <x:c r="D256" s="16" t="str">
        <x:f>'EMA Assurance Employee List'!D257</x:f>
        <x:v>lorna.ramsamy@pwc.com</x:v>
      </x:c>
      <x:c r="E256" s="130" t="n">
        <x:f>IF($D256="",0,SUMIF('Attendance Report - Option 1'!$P$11:$P$315,$D256,'Attendance Report - Option 1'!$Q$11:$Q$315)/86400)</x:f>
        <x:v>0</x:v>
      </x:c>
      <x:c r="F256" s="131" t="str">
        <x:f>IF(E256=0,"Did not attend",IF(E256&gt;='Read Me'!$E$2/86400,"Fully attended","Partially attended"))</x:f>
        <x:v>Did not attend</x:v>
      </x:c>
      <x:c r="G256" s="130" t="n">
        <x:f>IF($D256="",0,SUMIF('Attendance Report - Option 2'!$P$11:$P$412,$D256,'Attendance Report - Option 2'!$Q$11:$Q$412)/86400)</x:f>
        <x:v>0.07315972222222222</x:v>
      </x:c>
      <x:c r="H256" s="131" t="str">
        <x:f>IF(G256=0,"Did not attend",IF(G256&gt;='Read Me'!$E$2/86400,"Fully attended","Partially attended"))</x:f>
        <x:v>Fully attended</x:v>
      </x:c>
      <x:c r="I256" s="130" t="n">
        <x:f>E256+G256</x:f>
        <x:v>0.07315972222222222</x:v>
      </x:c>
      <x:c r="J256" s="131" t="str">
        <x:f>IF(I256=0,"Did not attend",IF(I256&gt;='Read Me'!$E$2/86400,"Fully attended","Partially attended"))</x:f>
        <x:v>Fully attended</x:v>
      </x:c>
      <x:c r="K256" s="131" t="str">
        <x:f>IF($D256="","No",IF(COUNTIF('Attendance Report - Option 1'!$P$11:$P$315,$D256)&gt;0,"Yes","No"))</x:f>
        <x:v>No</x:v>
      </x:c>
      <x:c r="L256" s="131" t="str">
        <x:f>IF($D256="","No",IF(COUNTIF('Attendance Report - Option 2'!$P$11:$P$412,$D256)&gt;0,"Yes","No"))</x:f>
        <x:v>Yes</x:v>
      </x:c>
    </x:row>
    <x:row r="257">
      <x:c r="A257" s="16" t="str">
        <x:f>'EMA Assurance Employee List'!A258</x:f>
        <x:v>Louise Umutesi</x:v>
      </x:c>
      <x:c r="B257" s="16" t="str">
        <x:f>IF(C257="KE","Kenya",IF(C257="UG","Uganda",IF(C257="MU","Mauritius",IF(C257="TZ","Tanzania",IF(C257="RW","Rwanda",IF(C257="ZA","South Africa",IF(C257="ZM","Zambia","")))))))</x:f>
        <x:v>Rwanda</x:v>
      </x:c>
      <x:c r="C257" s="16" t="str">
        <x:f>'EMA Assurance Employee List'!B258</x:f>
        <x:v>RW</x:v>
      </x:c>
      <x:c r="D257" s="16" t="str">
        <x:f>'EMA Assurance Employee List'!D258</x:f>
        <x:v>louise.umutesi@pwc.com</x:v>
      </x:c>
      <x:c r="E257" s="130" t="n">
        <x:f>IF($D257="",0,SUMIF('Attendance Report - Option 1'!$P$11:$P$315,$D257,'Attendance Report - Option 1'!$Q$11:$Q$315)/86400)</x:f>
        <x:v>0.08182870370370371</x:v>
      </x:c>
      <x:c r="F257" s="131" t="str">
        <x:f>IF(E257=0,"Did not attend",IF(E257&gt;='Read Me'!$E$2/86400,"Fully attended","Partially attended"))</x:f>
        <x:v>Fully attended</x:v>
      </x:c>
      <x:c r="G257" s="130" t="n">
        <x:f>IF($D257="",0,SUMIF('Attendance Report - Option 2'!$P$11:$P$412,$D257,'Attendance Report - Option 2'!$Q$11:$Q$412)/86400)</x:f>
        <x:v>0</x:v>
      </x:c>
      <x:c r="H257" s="131" t="str">
        <x:f>IF(G257=0,"Did not attend",IF(G257&gt;='Read Me'!$E$2/86400,"Fully attended","Partially attended"))</x:f>
        <x:v>Did not attend</x:v>
      </x:c>
      <x:c r="I257" s="130" t="n">
        <x:f>E257+G257</x:f>
        <x:v>0.08182870370370371</x:v>
      </x:c>
      <x:c r="J257" s="131" t="str">
        <x:f>IF(I257=0,"Did not attend",IF(I257&gt;='Read Me'!$E$2/86400,"Fully attended","Partially attended"))</x:f>
        <x:v>Fully attended</x:v>
      </x:c>
      <x:c r="K257" s="131" t="str">
        <x:f>IF($D257="","No",IF(COUNTIF('Attendance Report - Option 1'!$P$11:$P$315,$D257)&gt;0,"Yes","No"))</x:f>
        <x:v>Yes</x:v>
      </x:c>
      <x:c r="L257" s="131" t="str">
        <x:f>IF($D257="","No",IF(COUNTIF('Attendance Report - Option 2'!$P$11:$P$412,$D257)&gt;0,"Yes","No"))</x:f>
        <x:v>No</x:v>
      </x:c>
    </x:row>
    <x:row r="258">
      <x:c r="A258" s="16" t="str">
        <x:f>'EMA Assurance Employee List'!A259</x:f>
        <x:v>Lubinda Mukelabai</x:v>
      </x:c>
      <x:c r="B258" s="16" t="str">
        <x:f>IF(C258="KE","Kenya",IF(C258="UG","Uganda",IF(C258="MU","Mauritius",IF(C258="TZ","Tanzania",IF(C258="RW","Rwanda",IF(C258="ZA","South Africa",IF(C258="ZM","Zambia","")))))))</x:f>
        <x:v>Zambia</x:v>
      </x:c>
      <x:c r="C258" s="16" t="str">
        <x:f>'EMA Assurance Employee List'!B259</x:f>
        <x:v>ZM</x:v>
      </x:c>
      <x:c r="D258" s="16" t="str">
        <x:f>'EMA Assurance Employee List'!D259</x:f>
        <x:v>lubinda.mukelabai@pwc.com</x:v>
      </x:c>
      <x:c r="E258" s="130" t="n">
        <x:f>IF($D258="",0,SUMIF('Attendance Report - Option 1'!$P$11:$P$315,$D258,'Attendance Report - Option 1'!$Q$11:$Q$315)/86400)</x:f>
        <x:v>0</x:v>
      </x:c>
      <x:c r="F258" s="131" t="str">
        <x:f>IF(E258=0,"Did not attend",IF(E258&gt;='Read Me'!$E$2/86400,"Fully attended","Partially attended"))</x:f>
        <x:v>Did not attend</x:v>
      </x:c>
      <x:c r="G258" s="130" t="n">
        <x:f>IF($D258="",0,SUMIF('Attendance Report - Option 2'!$P$11:$P$412,$D258,'Attendance Report - Option 2'!$Q$11:$Q$412)/86400)</x:f>
        <x:v>0</x:v>
      </x:c>
      <x:c r="H258" s="131" t="str">
        <x:f>IF(G258=0,"Did not attend",IF(G258&gt;='Read Me'!$E$2/86400,"Fully attended","Partially attended"))</x:f>
        <x:v>Did not attend</x:v>
      </x:c>
      <x:c r="I258" s="130" t="n">
        <x:f>E258+G258</x:f>
        <x:v>0</x:v>
      </x:c>
      <x:c r="J258" s="131" t="str">
        <x:f>IF(I258=0,"Did not attend",IF(I258&gt;='Read Me'!$E$2/86400,"Fully attended","Partially attended"))</x:f>
        <x:v>Did not attend</x:v>
      </x:c>
      <x:c r="K258" s="131" t="str">
        <x:f>IF($D258="","No",IF(COUNTIF('Attendance Report - Option 1'!$P$11:$P$315,$D258)&gt;0,"Yes","No"))</x:f>
        <x:v>No</x:v>
      </x:c>
      <x:c r="L258" s="131" t="str">
        <x:f>IF($D258="","No",IF(COUNTIF('Attendance Report - Option 2'!$P$11:$P$412,$D258)&gt;0,"Yes","No"))</x:f>
        <x:v>No</x:v>
      </x:c>
    </x:row>
    <x:row r="259">
      <x:c r="A259" s="16" t="str">
        <x:f>'EMA Assurance Employee List'!A260</x:f>
        <x:v>Lubona Mpikwa</x:v>
      </x:c>
      <x:c r="B259" s="16" t="str">
        <x:f>IF(C259="KE","Kenya",IF(C259="UG","Uganda",IF(C259="MU","Mauritius",IF(C259="TZ","Tanzania",IF(C259="RW","Rwanda",IF(C259="ZA","South Africa",IF(C259="ZM","Zambia","")))))))</x:f>
        <x:v>Zambia</x:v>
      </x:c>
      <x:c r="C259" s="16" t="str">
        <x:f>'EMA Assurance Employee List'!B260</x:f>
        <x:v>ZM</x:v>
      </x:c>
      <x:c r="D259" s="16" t="str">
        <x:f>'EMA Assurance Employee List'!D260</x:f>
        <x:v>lubona.mpikwa@pwc.com</x:v>
      </x:c>
      <x:c r="E259" s="130" t="n">
        <x:f>IF($D259="",0,SUMIF('Attendance Report - Option 1'!$P$11:$P$315,$D259,'Attendance Report - Option 1'!$Q$11:$Q$315)/86400)</x:f>
        <x:v>0</x:v>
      </x:c>
      <x:c r="F259" s="131" t="str">
        <x:f>IF(E259=0,"Did not attend",IF(E259&gt;='Read Me'!$E$2/86400,"Fully attended","Partially attended"))</x:f>
        <x:v>Did not attend</x:v>
      </x:c>
      <x:c r="G259" s="130" t="n">
        <x:f>IF($D259="",0,SUMIF('Attendance Report - Option 2'!$P$11:$P$412,$D259,'Attendance Report - Option 2'!$Q$11:$Q$412)/86400)</x:f>
        <x:v>0.08775462962962963</x:v>
      </x:c>
      <x:c r="H259" s="131" t="str">
        <x:f>IF(G259=0,"Did not attend",IF(G259&gt;='Read Me'!$E$2/86400,"Fully attended","Partially attended"))</x:f>
        <x:v>Fully attended</x:v>
      </x:c>
      <x:c r="I259" s="130" t="n">
        <x:f>E259+G259</x:f>
        <x:v>0.08775462962962963</x:v>
      </x:c>
      <x:c r="J259" s="131" t="str">
        <x:f>IF(I259=0,"Did not attend",IF(I259&gt;='Read Me'!$E$2/86400,"Fully attended","Partially attended"))</x:f>
        <x:v>Fully attended</x:v>
      </x:c>
      <x:c r="K259" s="131" t="str">
        <x:f>IF($D259="","No",IF(COUNTIF('Attendance Report - Option 1'!$P$11:$P$315,$D259)&gt;0,"Yes","No"))</x:f>
        <x:v>No</x:v>
      </x:c>
      <x:c r="L259" s="131" t="str">
        <x:f>IF($D259="","No",IF(COUNTIF('Attendance Report - Option 2'!$P$11:$P$412,$D259)&gt;0,"Yes","No"))</x:f>
        <x:v>Yes</x:v>
      </x:c>
    </x:row>
    <x:row r="260">
      <x:c r="A260" s="16" t="str">
        <x:f>'EMA Assurance Employee List'!A261</x:f>
        <x:v>Luc Meunier</x:v>
      </x:c>
      <x:c r="B260" s="16" t="str">
        <x:f>IF(C260="KE","Kenya",IF(C260="UG","Uganda",IF(C260="MU","Mauritius",IF(C260="TZ","Tanzania",IF(C260="RW","Rwanda",IF(C260="ZA","South Africa",IF(C260="ZM","Zambia","")))))))</x:f>
        <x:v>Mauritius</x:v>
      </x:c>
      <x:c r="C260" s="16" t="str">
        <x:f>'EMA Assurance Employee List'!B261</x:f>
        <x:v>MU</x:v>
      </x:c>
      <x:c r="D260" s="16" t="str">
        <x:f>'EMA Assurance Employee List'!D261</x:f>
        <x:v>luc.meunier@pwc.com</x:v>
      </x:c>
      <x:c r="E260" s="130" t="n">
        <x:f>IF($D260="",0,SUMIF('Attendance Report - Option 1'!$P$11:$P$315,$D260,'Attendance Report - Option 1'!$Q$11:$Q$315)/86400)</x:f>
        <x:v>0.018217592592592594</x:v>
      </x:c>
      <x:c r="F260" s="131" t="str">
        <x:f>IF(E260=0,"Did not attend",IF(E260&gt;='Read Me'!$E$2/86400,"Fully attended","Partially attended"))</x:f>
        <x:v>Partially attended</x:v>
      </x:c>
      <x:c r="G260" s="130" t="n">
        <x:f>IF($D260="",0,SUMIF('Attendance Report - Option 2'!$P$11:$P$412,$D260,'Attendance Report - Option 2'!$Q$11:$Q$412)/86400)</x:f>
        <x:v>0.06408564814814814</x:v>
      </x:c>
      <x:c r="H260" s="131" t="str">
        <x:f>IF(G260=0,"Did not attend",IF(G260&gt;='Read Me'!$E$2/86400,"Fully attended","Partially attended"))</x:f>
        <x:v>Fully attended</x:v>
      </x:c>
      <x:c r="I260" s="130" t="n">
        <x:f>E260+G260</x:f>
        <x:v>0.08230324074074073</x:v>
      </x:c>
      <x:c r="J260" s="131" t="str">
        <x:f>IF(I260=0,"Did not attend",IF(I260&gt;='Read Me'!$E$2/86400,"Fully attended","Partially attended"))</x:f>
        <x:v>Fully attended</x:v>
      </x:c>
      <x:c r="K260" s="131" t="str">
        <x:f>IF($D260="","No",IF(COUNTIF('Attendance Report - Option 1'!$P$11:$P$315,$D260)&gt;0,"Yes","No"))</x:f>
        <x:v>Yes</x:v>
      </x:c>
      <x:c r="L260" s="131" t="str">
        <x:f>IF($D260="","No",IF(COUNTIF('Attendance Report - Option 2'!$P$11:$P$412,$D260)&gt;0,"Yes","No"))</x:f>
        <x:v>Yes</x:v>
      </x:c>
    </x:row>
    <x:row r="261">
      <x:c r="A261" s="16" t="str">
        <x:f>'EMA Assurance Employee List'!A262</x:f>
        <x:v>Lucy Ngugi</x:v>
      </x:c>
      <x:c r="B261" s="16" t="str">
        <x:f>IF(C261="KE","Kenya",IF(C261="UG","Uganda",IF(C261="MU","Mauritius",IF(C261="TZ","Tanzania",IF(C261="RW","Rwanda",IF(C261="ZA","South Africa",IF(C261="ZM","Zambia","")))))))</x:f>
        <x:v>Kenya</x:v>
      </x:c>
      <x:c r="C261" s="16" t="str">
        <x:f>'EMA Assurance Employee List'!B262</x:f>
        <x:v>KE</x:v>
      </x:c>
      <x:c r="D261" s="16" t="str">
        <x:f>'EMA Assurance Employee List'!D262</x:f>
        <x:v>lucy.ngugi@pwc.com</x:v>
      </x:c>
      <x:c r="E261" s="130" t="n">
        <x:f>IF($D261="",0,SUMIF('Attendance Report - Option 1'!$P$11:$P$315,$D261,'Attendance Report - Option 1'!$Q$11:$Q$315)/86400)</x:f>
        <x:v>0</x:v>
      </x:c>
      <x:c r="F261" s="131" t="str">
        <x:f>IF(E261=0,"Did not attend",IF(E261&gt;='Read Me'!$E$2/86400,"Fully attended","Partially attended"))</x:f>
        <x:v>Did not attend</x:v>
      </x:c>
      <x:c r="G261" s="130" t="n">
        <x:f>IF($D261="",0,SUMIF('Attendance Report - Option 2'!$P$11:$P$412,$D261,'Attendance Report - Option 2'!$Q$11:$Q$412)/86400)</x:f>
        <x:v>0.07315972222222222</x:v>
      </x:c>
      <x:c r="H261" s="131" t="str">
        <x:f>IF(G261=0,"Did not attend",IF(G261&gt;='Read Me'!$E$2/86400,"Fully attended","Partially attended"))</x:f>
        <x:v>Fully attended</x:v>
      </x:c>
      <x:c r="I261" s="130" t="n">
        <x:f>E261+G261</x:f>
        <x:v>0.07315972222222222</x:v>
      </x:c>
      <x:c r="J261" s="131" t="str">
        <x:f>IF(I261=0,"Did not attend",IF(I261&gt;='Read Me'!$E$2/86400,"Fully attended","Partially attended"))</x:f>
        <x:v>Fully attended</x:v>
      </x:c>
      <x:c r="K261" s="131" t="str">
        <x:f>IF($D261="","No",IF(COUNTIF('Attendance Report - Option 1'!$P$11:$P$315,$D261)&gt;0,"Yes","No"))</x:f>
        <x:v>No</x:v>
      </x:c>
      <x:c r="L261" s="131" t="str">
        <x:f>IF($D261="","No",IF(COUNTIF('Attendance Report - Option 2'!$P$11:$P$412,$D261)&gt;0,"Yes","No"))</x:f>
        <x:v>Yes</x:v>
      </x:c>
    </x:row>
    <x:row r="262">
      <x:c r="A262" s="16" t="str">
        <x:f>'EMA Assurance Employee List'!A263</x:f>
        <x:v>Lucy Thuo</x:v>
      </x:c>
      <x:c r="B262" s="16" t="str">
        <x:f>IF(C262="KE","Kenya",IF(C262="UG","Uganda",IF(C262="MU","Mauritius",IF(C262="TZ","Tanzania",IF(C262="RW","Rwanda",IF(C262="ZA","South Africa",IF(C262="ZM","Zambia","")))))))</x:f>
        <x:v>Kenya</x:v>
      </x:c>
      <x:c r="C262" s="16" t="str">
        <x:f>'EMA Assurance Employee List'!B263</x:f>
        <x:v>KE</x:v>
      </x:c>
      <x:c r="D262" s="16" t="str">
        <x:f>'EMA Assurance Employee List'!D263</x:f>
        <x:v>lucy.thuo@pwc.com</x:v>
      </x:c>
      <x:c r="E262" s="130" t="n">
        <x:f>IF($D262="",0,SUMIF('Attendance Report - Option 1'!$P$11:$P$315,$D262,'Attendance Report - Option 1'!$Q$11:$Q$315)/86400)</x:f>
        <x:v>0.017881944444444443</x:v>
      </x:c>
      <x:c r="F262" s="131" t="str">
        <x:f>IF(E262=0,"Did not attend",IF(E262&gt;='Read Me'!$E$2/86400,"Fully attended","Partially attended"))</x:f>
        <x:v>Partially attended</x:v>
      </x:c>
      <x:c r="G262" s="130" t="n">
        <x:f>IF($D262="",0,SUMIF('Attendance Report - Option 2'!$P$11:$P$412,$D262,'Attendance Report - Option 2'!$Q$11:$Q$412)/86400)</x:f>
        <x:v>0.021354166666666667</x:v>
      </x:c>
      <x:c r="H262" s="131" t="str">
        <x:f>IF(G262=0,"Did not attend",IF(G262&gt;='Read Me'!$E$2/86400,"Fully attended","Partially attended"))</x:f>
        <x:v>Partially attended</x:v>
      </x:c>
      <x:c r="I262" s="130" t="n">
        <x:f>E262+G262</x:f>
        <x:v>0.03923611111111111</x:v>
      </x:c>
      <x:c r="J262" s="131" t="str">
        <x:f>IF(I262=0,"Did not attend",IF(I262&gt;='Read Me'!$E$2/86400,"Fully attended","Partially attended"))</x:f>
        <x:v>Partially attended</x:v>
      </x:c>
      <x:c r="K262" s="131" t="str">
        <x:f>IF($D262="","No",IF(COUNTIF('Attendance Report - Option 1'!$P$11:$P$315,$D262)&gt;0,"Yes","No"))</x:f>
        <x:v>Yes</x:v>
      </x:c>
      <x:c r="L262" s="131" t="str">
        <x:f>IF($D262="","No",IF(COUNTIF('Attendance Report - Option 2'!$P$11:$P$412,$D262)&gt;0,"Yes","No"))</x:f>
        <x:v>Yes</x:v>
      </x:c>
    </x:row>
    <x:row r="263">
      <x:c r="A263" s="16" t="str">
        <x:f>'EMA Assurance Employee List'!A264</x:f>
        <x:v>Mahima Nowrung</x:v>
      </x:c>
      <x:c r="B263" s="16" t="str">
        <x:f>IF(C263="KE","Kenya",IF(C263="UG","Uganda",IF(C263="MU","Mauritius",IF(C263="TZ","Tanzania",IF(C263="RW","Rwanda",IF(C263="ZA","South Africa",IF(C263="ZM","Zambia","")))))))</x:f>
        <x:v>Mauritius</x:v>
      </x:c>
      <x:c r="C263" s="16" t="str">
        <x:f>'EMA Assurance Employee List'!B264</x:f>
        <x:v>MU</x:v>
      </x:c>
      <x:c r="D263" s="16" t="str">
        <x:f>'EMA Assurance Employee List'!D264</x:f>
        <x:v>mahima.nowrung@pwc.com</x:v>
      </x:c>
      <x:c r="E263" s="130" t="n">
        <x:f>IF($D263="",0,SUMIF('Attendance Report - Option 1'!$P$11:$P$315,$D263,'Attendance Report - Option 1'!$Q$11:$Q$315)/86400)</x:f>
        <x:v>0</x:v>
      </x:c>
      <x:c r="F263" s="131" t="str">
        <x:f>IF(E263=0,"Did not attend",IF(E263&gt;='Read Me'!$E$2/86400,"Fully attended","Partially attended"))</x:f>
        <x:v>Did not attend</x:v>
      </x:c>
      <x:c r="G263" s="130" t="n">
        <x:f>IF($D263="",0,SUMIF('Attendance Report - Option 2'!$P$11:$P$412,$D263,'Attendance Report - Option 2'!$Q$11:$Q$412)/86400)</x:f>
        <x:v>0.07019675925925926</x:v>
      </x:c>
      <x:c r="H263" s="131" t="str">
        <x:f>IF(G263=0,"Did not attend",IF(G263&gt;='Read Me'!$E$2/86400,"Fully attended","Partially attended"))</x:f>
        <x:v>Fully attended</x:v>
      </x:c>
      <x:c r="I263" s="130" t="n">
        <x:f>E263+G263</x:f>
        <x:v>0.07019675925925926</x:v>
      </x:c>
      <x:c r="J263" s="131" t="str">
        <x:f>IF(I263=0,"Did not attend",IF(I263&gt;='Read Me'!$E$2/86400,"Fully attended","Partially attended"))</x:f>
        <x:v>Fully attended</x:v>
      </x:c>
      <x:c r="K263" s="131" t="str">
        <x:f>IF($D263="","No",IF(COUNTIF('Attendance Report - Option 1'!$P$11:$P$315,$D263)&gt;0,"Yes","No"))</x:f>
        <x:v>No</x:v>
      </x:c>
      <x:c r="L263" s="131" t="str">
        <x:f>IF($D263="","No",IF(COUNTIF('Attendance Report - Option 2'!$P$11:$P$412,$D263)&gt;0,"Yes","No"))</x:f>
        <x:v>Yes</x:v>
      </x:c>
    </x:row>
    <x:row r="264">
      <x:c r="A264" s="16" t="str">
        <x:f>'EMA Assurance Employee List'!A265</x:f>
        <x:v>Mahir Perbhoo</x:v>
      </x:c>
      <x:c r="B264" s="16" t="str">
        <x:f>IF(C264="KE","Kenya",IF(C264="UG","Uganda",IF(C264="MU","Mauritius",IF(C264="TZ","Tanzania",IF(C264="RW","Rwanda",IF(C264="ZA","South Africa",IF(C264="ZM","Zambia","")))))))</x:f>
        <x:v>Mauritius</x:v>
      </x:c>
      <x:c r="C264" s="16" t="str">
        <x:f>'EMA Assurance Employee List'!B265</x:f>
        <x:v>MU</x:v>
      </x:c>
      <x:c r="D264" s="16" t="str">
        <x:f>'EMA Assurance Employee List'!D265</x:f>
        <x:v>mahir.perbhoo@pwc.com</x:v>
      </x:c>
      <x:c r="E264" s="130" t="n">
        <x:f>IF($D264="",0,SUMIF('Attendance Report - Option 1'!$P$11:$P$315,$D264,'Attendance Report - Option 1'!$Q$11:$Q$315)/86400)</x:f>
        <x:v>0</x:v>
      </x:c>
      <x:c r="F264" s="131" t="str">
        <x:f>IF(E264=0,"Did not attend",IF(E264&gt;='Read Me'!$E$2/86400,"Fully attended","Partially attended"))</x:f>
        <x:v>Did not attend</x:v>
      </x:c>
      <x:c r="G264" s="130" t="n">
        <x:f>IF($D264="",0,SUMIF('Attendance Report - Option 2'!$P$11:$P$412,$D264,'Attendance Report - Option 2'!$Q$11:$Q$412)/86400)</x:f>
        <x:v>0.0630787037037037</x:v>
      </x:c>
      <x:c r="H264" s="131" t="str">
        <x:f>IF(G264=0,"Did not attend",IF(G264&gt;='Read Me'!$E$2/86400,"Fully attended","Partially attended"))</x:f>
        <x:v>Fully attended</x:v>
      </x:c>
      <x:c r="I264" s="130" t="n">
        <x:f>E264+G264</x:f>
        <x:v>0.0630787037037037</x:v>
      </x:c>
      <x:c r="J264" s="131" t="str">
        <x:f>IF(I264=0,"Did not attend",IF(I264&gt;='Read Me'!$E$2/86400,"Fully attended","Partially attended"))</x:f>
        <x:v>Fully attended</x:v>
      </x:c>
      <x:c r="K264" s="131" t="str">
        <x:f>IF($D264="","No",IF(COUNTIF('Attendance Report - Option 1'!$P$11:$P$315,$D264)&gt;0,"Yes","No"))</x:f>
        <x:v>No</x:v>
      </x:c>
      <x:c r="L264" s="131" t="str">
        <x:f>IF($D264="","No",IF(COUNTIF('Attendance Report - Option 2'!$P$11:$P$412,$D264)&gt;0,"Yes","No"))</x:f>
        <x:v>Yes</x:v>
      </x:c>
    </x:row>
    <x:row r="265">
      <x:c r="A265" s="16" t="str">
        <x:f>'EMA Assurance Employee List'!A266</x:f>
        <x:v>Manish Joorawon</x:v>
      </x:c>
      <x:c r="B265" s="16" t="str">
        <x:f>IF(C265="KE","Kenya",IF(C265="UG","Uganda",IF(C265="MU","Mauritius",IF(C265="TZ","Tanzania",IF(C265="RW","Rwanda",IF(C265="ZA","South Africa",IF(C265="ZM","Zambia","")))))))</x:f>
        <x:v>Mauritius</x:v>
      </x:c>
      <x:c r="C265" s="16" t="str">
        <x:f>'EMA Assurance Employee List'!B266</x:f>
        <x:v>MU</x:v>
      </x:c>
      <x:c r="D265" s="16" t="str">
        <x:f>'EMA Assurance Employee List'!D266</x:f>
        <x:v>manish.joorawon@pwc.com</x:v>
      </x:c>
      <x:c r="E265" s="130" t="n">
        <x:f>IF($D265="",0,SUMIF('Attendance Report - Option 1'!$P$11:$P$315,$D265,'Attendance Report - Option 1'!$Q$11:$Q$315)/86400)</x:f>
        <x:v>0.07976851851851852</x:v>
      </x:c>
      <x:c r="F265" s="131" t="str">
        <x:f>IF(E265=0,"Did not attend",IF(E265&gt;='Read Me'!$E$2/86400,"Fully attended","Partially attended"))</x:f>
        <x:v>Fully attended</x:v>
      </x:c>
      <x:c r="G265" s="130" t="n">
        <x:f>IF($D265="",0,SUMIF('Attendance Report - Option 2'!$P$11:$P$412,$D265,'Attendance Report - Option 2'!$Q$11:$Q$412)/86400)</x:f>
        <x:v>0</x:v>
      </x:c>
      <x:c r="H265" s="131" t="str">
        <x:f>IF(G265=0,"Did not attend",IF(G265&gt;='Read Me'!$E$2/86400,"Fully attended","Partially attended"))</x:f>
        <x:v>Did not attend</x:v>
      </x:c>
      <x:c r="I265" s="130" t="n">
        <x:f>E265+G265</x:f>
        <x:v>0.07976851851851852</x:v>
      </x:c>
      <x:c r="J265" s="131" t="str">
        <x:f>IF(I265=0,"Did not attend",IF(I265&gt;='Read Me'!$E$2/86400,"Fully attended","Partially attended"))</x:f>
        <x:v>Fully attended</x:v>
      </x:c>
      <x:c r="K265" s="131" t="str">
        <x:f>IF($D265="","No",IF(COUNTIF('Attendance Report - Option 1'!$P$11:$P$315,$D265)&gt;0,"Yes","No"))</x:f>
        <x:v>Yes</x:v>
      </x:c>
      <x:c r="L265" s="131" t="str">
        <x:f>IF($D265="","No",IF(COUNTIF('Attendance Report - Option 2'!$P$11:$P$412,$D265)&gt;0,"Yes","No"))</x:f>
        <x:v>No</x:v>
      </x:c>
    </x:row>
    <x:row r="266">
      <x:c r="A266" s="16" t="str">
        <x:f>'EMA Assurance Employee List'!A267</x:f>
        <x:v>Manisha Dookhy</x:v>
      </x:c>
      <x:c r="B266" s="16" t="str">
        <x:f>IF(C266="KE","Kenya",IF(C266="UG","Uganda",IF(C266="MU","Mauritius",IF(C266="TZ","Tanzania",IF(C266="RW","Rwanda",IF(C266="ZA","South Africa",IF(C266="ZM","Zambia","")))))))</x:f>
        <x:v>Mauritius</x:v>
      </x:c>
      <x:c r="C266" s="16" t="str">
        <x:f>'EMA Assurance Employee List'!B267</x:f>
        <x:v>MU</x:v>
      </x:c>
      <x:c r="D266" s="16" t="str">
        <x:f>'EMA Assurance Employee List'!D267</x:f>
        <x:v>manisha.dookhy@pwc.com</x:v>
      </x:c>
      <x:c r="E266" s="130" t="n">
        <x:f>IF($D266="",0,SUMIF('Attendance Report - Option 1'!$P$11:$P$315,$D266,'Attendance Report - Option 1'!$Q$11:$Q$315)/86400)</x:f>
        <x:v>0.08171296296296296</x:v>
      </x:c>
      <x:c r="F266" s="131" t="str">
        <x:f>IF(E266=0,"Did not attend",IF(E266&gt;='Read Me'!$E$2/86400,"Fully attended","Partially attended"))</x:f>
        <x:v>Fully attended</x:v>
      </x:c>
      <x:c r="G266" s="130" t="n">
        <x:f>IF($D266="",0,SUMIF('Attendance Report - Option 2'!$P$11:$P$412,$D266,'Attendance Report - Option 2'!$Q$11:$Q$412)/86400)</x:f>
        <x:v>0</x:v>
      </x:c>
      <x:c r="H266" s="131" t="str">
        <x:f>IF(G266=0,"Did not attend",IF(G266&gt;='Read Me'!$E$2/86400,"Fully attended","Partially attended"))</x:f>
        <x:v>Did not attend</x:v>
      </x:c>
      <x:c r="I266" s="130" t="n">
        <x:f>E266+G266</x:f>
        <x:v>0.08171296296296296</x:v>
      </x:c>
      <x:c r="J266" s="131" t="str">
        <x:f>IF(I266=0,"Did not attend",IF(I266&gt;='Read Me'!$E$2/86400,"Fully attended","Partially attended"))</x:f>
        <x:v>Fully attended</x:v>
      </x:c>
      <x:c r="K266" s="131" t="str">
        <x:f>IF($D266="","No",IF(COUNTIF('Attendance Report - Option 1'!$P$11:$P$315,$D266)&gt;0,"Yes","No"))</x:f>
        <x:v>Yes</x:v>
      </x:c>
      <x:c r="L266" s="131" t="str">
        <x:f>IF($D266="","No",IF(COUNTIF('Attendance Report - Option 2'!$P$11:$P$412,$D266)&gt;0,"Yes","No"))</x:f>
        <x:v>No</x:v>
      </x:c>
    </x:row>
    <x:row r="267">
      <x:c r="A267" s="16" t="str">
        <x:f>'EMA Assurance Employee List'!A268</x:f>
        <x:v>Mansi Jeewooth</x:v>
      </x:c>
      <x:c r="B267" s="16" t="str">
        <x:f>IF(C267="KE","Kenya",IF(C267="UG","Uganda",IF(C267="MU","Mauritius",IF(C267="TZ","Tanzania",IF(C267="RW","Rwanda",IF(C267="ZA","South Africa",IF(C267="ZM","Zambia","")))))))</x:f>
        <x:v>Mauritius</x:v>
      </x:c>
      <x:c r="C267" s="16" t="str">
        <x:f>'EMA Assurance Employee List'!B268</x:f>
        <x:v>MU</x:v>
      </x:c>
      <x:c r="D267" s="16" t="str">
        <x:f>'EMA Assurance Employee List'!D268</x:f>
        <x:v>mansi.jeewooth@pwc.com</x:v>
      </x:c>
      <x:c r="E267" s="130" t="n">
        <x:f>IF($D267="",0,SUMIF('Attendance Report - Option 1'!$P$11:$P$315,$D267,'Attendance Report - Option 1'!$Q$11:$Q$315)/86400)</x:f>
        <x:v>0</x:v>
      </x:c>
      <x:c r="F267" s="131" t="str">
        <x:f>IF(E267=0,"Did not attend",IF(E267&gt;='Read Me'!$E$2/86400,"Fully attended","Partially attended"))</x:f>
        <x:v>Did not attend</x:v>
      </x:c>
      <x:c r="G267" s="130" t="n">
        <x:f>IF($D267="",0,SUMIF('Attendance Report - Option 2'!$P$11:$P$412,$D267,'Attendance Report - Option 2'!$Q$11:$Q$412)/86400)</x:f>
        <x:v>0.08107638888888889</x:v>
      </x:c>
      <x:c r="H267" s="131" t="str">
        <x:f>IF(G267=0,"Did not attend",IF(G267&gt;='Read Me'!$E$2/86400,"Fully attended","Partially attended"))</x:f>
        <x:v>Fully attended</x:v>
      </x:c>
      <x:c r="I267" s="130" t="n">
        <x:f>E267+G267</x:f>
        <x:v>0.08107638888888889</x:v>
      </x:c>
      <x:c r="J267" s="131" t="str">
        <x:f>IF(I267=0,"Did not attend",IF(I267&gt;='Read Me'!$E$2/86400,"Fully attended","Partially attended"))</x:f>
        <x:v>Fully attended</x:v>
      </x:c>
      <x:c r="K267" s="131" t="str">
        <x:f>IF($D267="","No",IF(COUNTIF('Attendance Report - Option 1'!$P$11:$P$315,$D267)&gt;0,"Yes","No"))</x:f>
        <x:v>No</x:v>
      </x:c>
      <x:c r="L267" s="131" t="str">
        <x:f>IF($D267="","No",IF(COUNTIF('Attendance Report - Option 2'!$P$11:$P$412,$D267)&gt;0,"Yes","No"))</x:f>
        <x:v>Yes</x:v>
      </x:c>
    </x:row>
    <x:row r="268">
      <x:c r="A268" s="16" t="str">
        <x:f>'EMA Assurance Employee List'!A269</x:f>
        <x:v>Mario Li</x:v>
      </x:c>
      <x:c r="B268" s="16" t="str">
        <x:f>IF(C268="KE","Kenya",IF(C268="UG","Uganda",IF(C268="MU","Mauritius",IF(C268="TZ","Tanzania",IF(C268="RW","Rwanda",IF(C268="ZA","South Africa",IF(C268="ZM","Zambia","")))))))</x:f>
        <x:v>Mauritius</x:v>
      </x:c>
      <x:c r="C268" s="16" t="str">
        <x:f>'EMA Assurance Employee List'!B269</x:f>
        <x:v>MU</x:v>
      </x:c>
      <x:c r="D268" s="16" t="str">
        <x:f>'EMA Assurance Employee List'!D269</x:f>
        <x:v>mario.li@pwc.com</x:v>
      </x:c>
      <x:c r="E268" s="130" t="n">
        <x:f>IF($D268="",0,SUMIF('Attendance Report - Option 1'!$P$11:$P$315,$D268,'Attendance Report - Option 1'!$Q$11:$Q$315)/86400)</x:f>
        <x:v>0</x:v>
      </x:c>
      <x:c r="F268" s="131" t="str">
        <x:f>IF(E268=0,"Did not attend",IF(E268&gt;='Read Me'!$E$2/86400,"Fully attended","Partially attended"))</x:f>
        <x:v>Did not attend</x:v>
      </x:c>
      <x:c r="G268" s="130" t="n">
        <x:f>IF($D268="",0,SUMIF('Attendance Report - Option 2'!$P$11:$P$412,$D268,'Attendance Report - Option 2'!$Q$11:$Q$412)/86400)</x:f>
        <x:v>0.08586805555555556</x:v>
      </x:c>
      <x:c r="H268" s="131" t="str">
        <x:f>IF(G268=0,"Did not attend",IF(G268&gt;='Read Me'!$E$2/86400,"Fully attended","Partially attended"))</x:f>
        <x:v>Fully attended</x:v>
      </x:c>
      <x:c r="I268" s="130" t="n">
        <x:f>E268+G268</x:f>
        <x:v>0.08586805555555556</x:v>
      </x:c>
      <x:c r="J268" s="131" t="str">
        <x:f>IF(I268=0,"Did not attend",IF(I268&gt;='Read Me'!$E$2/86400,"Fully attended","Partially attended"))</x:f>
        <x:v>Fully attended</x:v>
      </x:c>
      <x:c r="K268" s="131" t="str">
        <x:f>IF($D268="","No",IF(COUNTIF('Attendance Report - Option 1'!$P$11:$P$315,$D268)&gt;0,"Yes","No"))</x:f>
        <x:v>No</x:v>
      </x:c>
      <x:c r="L268" s="131" t="str">
        <x:f>IF($D268="","No",IF(COUNTIF('Attendance Report - Option 2'!$P$11:$P$412,$D268)&gt;0,"Yes","No"))</x:f>
        <x:v>Yes</x:v>
      </x:c>
    </x:row>
    <x:row r="269">
      <x:c r="A269" s="16" t="str">
        <x:f>'EMA Assurance Employee List'!A270</x:f>
        <x:v>Martin Bamukunde</x:v>
      </x:c>
      <x:c r="B269" s="16" t="str">
        <x:f>IF(C269="KE","Kenya",IF(C269="UG","Uganda",IF(C269="MU","Mauritius",IF(C269="TZ","Tanzania",IF(C269="RW","Rwanda",IF(C269="ZA","South Africa",IF(C269="ZM","Zambia","")))))))</x:f>
        <x:v>Zambia</x:v>
      </x:c>
      <x:c r="C269" s="16" t="str">
        <x:f>'EMA Assurance Employee List'!B270</x:f>
        <x:v>ZM</x:v>
      </x:c>
      <x:c r="D269" s="16" t="str">
        <x:f>'EMA Assurance Employee List'!D270</x:f>
        <x:v>martin.x.bamukunde@pwc.com</x:v>
      </x:c>
      <x:c r="E269" s="130" t="n">
        <x:f>IF($D269="",0,SUMIF('Attendance Report - Option 1'!$P$11:$P$315,$D269,'Attendance Report - Option 1'!$Q$11:$Q$315)/86400)</x:f>
        <x:v>0.09759259259259259</x:v>
      </x:c>
      <x:c r="F269" s="131" t="str">
        <x:f>IF(E269=0,"Did not attend",IF(E269&gt;='Read Me'!$E$2/86400,"Fully attended","Partially attended"))</x:f>
        <x:v>Fully attended</x:v>
      </x:c>
      <x:c r="G269" s="130" t="n">
        <x:f>IF($D269="",0,SUMIF('Attendance Report - Option 2'!$P$11:$P$412,$D269,'Attendance Report - Option 2'!$Q$11:$Q$412)/86400)</x:f>
        <x:v>0.09025462962962963</x:v>
      </x:c>
      <x:c r="H269" s="131" t="str">
        <x:f>IF(G269=0,"Did not attend",IF(G269&gt;='Read Me'!$E$2/86400,"Fully attended","Partially attended"))</x:f>
        <x:v>Fully attended</x:v>
      </x:c>
      <x:c r="I269" s="130" t="n">
        <x:f>E269+G269</x:f>
        <x:v>0.18784722222222222</x:v>
      </x:c>
      <x:c r="J269" s="131" t="str">
        <x:f>IF(I269=0,"Did not attend",IF(I269&gt;='Read Me'!$E$2/86400,"Fully attended","Partially attended"))</x:f>
        <x:v>Fully attended</x:v>
      </x:c>
      <x:c r="K269" s="131" t="str">
        <x:f>IF($D269="","No",IF(COUNTIF('Attendance Report - Option 1'!$P$11:$P$315,$D269)&gt;0,"Yes","No"))</x:f>
        <x:v>Yes</x:v>
      </x:c>
      <x:c r="L269" s="131" t="str">
        <x:f>IF($D269="","No",IF(COUNTIF('Attendance Report - Option 2'!$P$11:$P$412,$D269)&gt;0,"Yes","No"))</x:f>
        <x:v>Yes</x:v>
      </x:c>
    </x:row>
    <x:row r="270">
      <x:c r="A270" s="16" t="str">
        <x:f>'EMA Assurance Employee List'!A271</x:f>
        <x:v>Martin Karumba</x:v>
      </x:c>
      <x:c r="B270" s="16" t="str">
        <x:f>IF(C270="KE","Kenya",IF(C270="UG","Uganda",IF(C270="MU","Mauritius",IF(C270="TZ","Tanzania",IF(C270="RW","Rwanda",IF(C270="ZA","South Africa",IF(C270="ZM","Zambia","")))))))</x:f>
        <x:v>Kenya</x:v>
      </x:c>
      <x:c r="C270" s="16" t="str">
        <x:f>'EMA Assurance Employee List'!B271</x:f>
        <x:v>KE</x:v>
      </x:c>
      <x:c r="D270" s="16" t="str">
        <x:f>'EMA Assurance Employee List'!D271</x:f>
        <x:v>martin.karumba@pwc.com</x:v>
      </x:c>
      <x:c r="E270" s="130" t="n">
        <x:f>IF($D270="",0,SUMIF('Attendance Report - Option 1'!$P$11:$P$315,$D270,'Attendance Report - Option 1'!$Q$11:$Q$315)/86400)</x:f>
        <x:v>0.08613425925925926</x:v>
      </x:c>
      <x:c r="F270" s="131" t="str">
        <x:f>IF(E270=0,"Did not attend",IF(E270&gt;='Read Me'!$E$2/86400,"Fully attended","Partially attended"))</x:f>
        <x:v>Fully attended</x:v>
      </x:c>
      <x:c r="G270" s="130" t="n">
        <x:f>IF($D270="",0,SUMIF('Attendance Report - Option 2'!$P$11:$P$412,$D270,'Attendance Report - Option 2'!$Q$11:$Q$412)/86400)</x:f>
        <x:v>0</x:v>
      </x:c>
      <x:c r="H270" s="131" t="str">
        <x:f>IF(G270=0,"Did not attend",IF(G270&gt;='Read Me'!$E$2/86400,"Fully attended","Partially attended"))</x:f>
        <x:v>Did not attend</x:v>
      </x:c>
      <x:c r="I270" s="130" t="n">
        <x:f>E270+G270</x:f>
        <x:v>0.08613425925925926</x:v>
      </x:c>
      <x:c r="J270" s="131" t="str">
        <x:f>IF(I270=0,"Did not attend",IF(I270&gt;='Read Me'!$E$2/86400,"Fully attended","Partially attended"))</x:f>
        <x:v>Fully attended</x:v>
      </x:c>
      <x:c r="K270" s="131" t="str">
        <x:f>IF($D270="","No",IF(COUNTIF('Attendance Report - Option 1'!$P$11:$P$315,$D270)&gt;0,"Yes","No"))</x:f>
        <x:v>Yes</x:v>
      </x:c>
      <x:c r="L270" s="131" t="str">
        <x:f>IF($D270="","No",IF(COUNTIF('Attendance Report - Option 2'!$P$11:$P$412,$D270)&gt;0,"Yes","No"))</x:f>
        <x:v>No</x:v>
      </x:c>
    </x:row>
    <x:row r="271">
      <x:c r="A271" s="16" t="str">
        <x:f>'EMA Assurance Employee List'!A272</x:f>
        <x:v>Mary Juma</x:v>
      </x:c>
      <x:c r="B271" s="16" t="str">
        <x:f>IF(C271="KE","Kenya",IF(C271="UG","Uganda",IF(C271="MU","Mauritius",IF(C271="TZ","Tanzania",IF(C271="RW","Rwanda",IF(C271="ZA","South Africa",IF(C271="ZM","Zambia","")))))))</x:f>
        <x:v>Kenya</x:v>
      </x:c>
      <x:c r="C271" s="16" t="str">
        <x:f>'EMA Assurance Employee List'!B272</x:f>
        <x:v>KE</x:v>
      </x:c>
      <x:c r="D271" s="16" t="str">
        <x:f>'EMA Assurance Employee List'!D272</x:f>
        <x:v>mary.juma@pwc.com</x:v>
      </x:c>
      <x:c r="E271" s="130" t="n">
        <x:f>IF($D271="",0,SUMIF('Attendance Report - Option 1'!$P$11:$P$315,$D271,'Attendance Report - Option 1'!$Q$11:$Q$315)/86400)</x:f>
        <x:v>0.05631944444444444</x:v>
      </x:c>
      <x:c r="F271" s="131" t="str">
        <x:f>IF(E271=0,"Did not attend",IF(E271&gt;='Read Me'!$E$2/86400,"Fully attended","Partially attended"))</x:f>
        <x:v>Partially attended</x:v>
      </x:c>
      <x:c r="G271" s="130" t="n">
        <x:f>IF($D271="",0,SUMIF('Attendance Report - Option 2'!$P$11:$P$412,$D271,'Attendance Report - Option 2'!$Q$11:$Q$412)/86400)</x:f>
        <x:v>0.0330787037037037</x:v>
      </x:c>
      <x:c r="H271" s="131" t="str">
        <x:f>IF(G271=0,"Did not attend",IF(G271&gt;='Read Me'!$E$2/86400,"Fully attended","Partially attended"))</x:f>
        <x:v>Partially attended</x:v>
      </x:c>
      <x:c r="I271" s="130" t="n">
        <x:f>E271+G271</x:f>
        <x:v>0.08939814814814814</x:v>
      </x:c>
      <x:c r="J271" s="131" t="str">
        <x:f>IF(I271=0,"Did not attend",IF(I271&gt;='Read Me'!$E$2/86400,"Fully attended","Partially attended"))</x:f>
        <x:v>Fully attended</x:v>
      </x:c>
      <x:c r="K271" s="131" t="str">
        <x:f>IF($D271="","No",IF(COUNTIF('Attendance Report - Option 1'!$P$11:$P$315,$D271)&gt;0,"Yes","No"))</x:f>
        <x:v>Yes</x:v>
      </x:c>
      <x:c r="L271" s="131" t="str">
        <x:f>IF($D271="","No",IF(COUNTIF('Attendance Report - Option 2'!$P$11:$P$412,$D271)&gt;0,"Yes","No"))</x:f>
        <x:v>Yes</x:v>
      </x:c>
    </x:row>
    <x:row r="272">
      <x:c r="A272" s="16" t="str">
        <x:f>'EMA Assurance Employee List'!A273</x:f>
        <x:v>Mary Kariithi</x:v>
      </x:c>
      <x:c r="B272" s="16" t="str">
        <x:f>IF(C272="KE","Kenya",IF(C272="UG","Uganda",IF(C272="MU","Mauritius",IF(C272="TZ","Tanzania",IF(C272="RW","Rwanda",IF(C272="ZA","South Africa",IF(C272="ZM","Zambia","")))))))</x:f>
        <x:v>Kenya</x:v>
      </x:c>
      <x:c r="C272" s="16" t="str">
        <x:f>'EMA Assurance Employee List'!B273</x:f>
        <x:v>KE</x:v>
      </x:c>
      <x:c r="D272" s="16" t="str">
        <x:f>'EMA Assurance Employee List'!D273</x:f>
        <x:v>mary.kariithi@pwc.com</x:v>
      </x:c>
      <x:c r="E272" s="130" t="n">
        <x:f>IF($D272="",0,SUMIF('Attendance Report - Option 1'!$P$11:$P$315,$D272,'Attendance Report - Option 1'!$Q$11:$Q$315)/86400)</x:f>
        <x:v>0.07783564814814815</x:v>
      </x:c>
      <x:c r="F272" s="131" t="str">
        <x:f>IF(E272=0,"Did not attend",IF(E272&gt;='Read Me'!$E$2/86400,"Fully attended","Partially attended"))</x:f>
        <x:v>Fully attended</x:v>
      </x:c>
      <x:c r="G272" s="130" t="n">
        <x:f>IF($D272="",0,SUMIF('Attendance Report - Option 2'!$P$11:$P$412,$D272,'Attendance Report - Option 2'!$Q$11:$Q$412)/86400)</x:f>
        <x:v>0</x:v>
      </x:c>
      <x:c r="H272" s="131" t="str">
        <x:f>IF(G272=0,"Did not attend",IF(G272&gt;='Read Me'!$E$2/86400,"Fully attended","Partially attended"))</x:f>
        <x:v>Did not attend</x:v>
      </x:c>
      <x:c r="I272" s="130" t="n">
        <x:f>E272+G272</x:f>
        <x:v>0.07783564814814815</x:v>
      </x:c>
      <x:c r="J272" s="131" t="str">
        <x:f>IF(I272=0,"Did not attend",IF(I272&gt;='Read Me'!$E$2/86400,"Fully attended","Partially attended"))</x:f>
        <x:v>Fully attended</x:v>
      </x:c>
      <x:c r="K272" s="131" t="str">
        <x:f>IF($D272="","No",IF(COUNTIF('Attendance Report - Option 1'!$P$11:$P$315,$D272)&gt;0,"Yes","No"))</x:f>
        <x:v>Yes</x:v>
      </x:c>
      <x:c r="L272" s="131" t="str">
        <x:f>IF($D272="","No",IF(COUNTIF('Attendance Report - Option 2'!$P$11:$P$412,$D272)&gt;0,"Yes","No"))</x:f>
        <x:v>No</x:v>
      </x:c>
    </x:row>
    <x:row r="273">
      <x:c r="A273" s="16" t="str">
        <x:f>'EMA Assurance Employee List'!A274</x:f>
        <x:v>Mary Mutuku</x:v>
      </x:c>
      <x:c r="B273" s="16" t="str">
        <x:f>IF(C273="KE","Kenya",IF(C273="UG","Uganda",IF(C273="MU","Mauritius",IF(C273="TZ","Tanzania",IF(C273="RW","Rwanda",IF(C273="ZA","South Africa",IF(C273="ZM","Zambia","")))))))</x:f>
        <x:v>Kenya</x:v>
      </x:c>
      <x:c r="C273" s="16" t="str">
        <x:f>'EMA Assurance Employee List'!B274</x:f>
        <x:v>KE</x:v>
      </x:c>
      <x:c r="D273" s="16" t="str">
        <x:f>'EMA Assurance Employee List'!D274</x:f>
        <x:v>mary.mutuku@pwc.com</x:v>
      </x:c>
      <x:c r="E273" s="130" t="n">
        <x:f>IF($D273="",0,SUMIF('Attendance Report - Option 1'!$P$11:$P$315,$D273,'Attendance Report - Option 1'!$Q$11:$Q$315)/86400)</x:f>
        <x:v>0.08833333333333333</x:v>
      </x:c>
      <x:c r="F273" s="131" t="str">
        <x:f>IF(E273=0,"Did not attend",IF(E273&gt;='Read Me'!$E$2/86400,"Fully attended","Partially attended"))</x:f>
        <x:v>Fully attended</x:v>
      </x:c>
      <x:c r="G273" s="130" t="n">
        <x:f>IF($D273="",0,SUMIF('Attendance Report - Option 2'!$P$11:$P$412,$D273,'Attendance Report - Option 2'!$Q$11:$Q$412)/86400)</x:f>
        <x:v>0</x:v>
      </x:c>
      <x:c r="H273" s="131" t="str">
        <x:f>IF(G273=0,"Did not attend",IF(G273&gt;='Read Me'!$E$2/86400,"Fully attended","Partially attended"))</x:f>
        <x:v>Did not attend</x:v>
      </x:c>
      <x:c r="I273" s="130" t="n">
        <x:f>E273+G273</x:f>
        <x:v>0.08833333333333333</x:v>
      </x:c>
      <x:c r="J273" s="131" t="str">
        <x:f>IF(I273=0,"Did not attend",IF(I273&gt;='Read Me'!$E$2/86400,"Fully attended","Partially attended"))</x:f>
        <x:v>Fully attended</x:v>
      </x:c>
      <x:c r="K273" s="131" t="str">
        <x:f>IF($D273="","No",IF(COUNTIF('Attendance Report - Option 1'!$P$11:$P$315,$D273)&gt;0,"Yes","No"))</x:f>
        <x:v>Yes</x:v>
      </x:c>
      <x:c r="L273" s="131" t="str">
        <x:f>IF($D273="","No",IF(COUNTIF('Attendance Report - Option 2'!$P$11:$P$412,$D273)&gt;0,"Yes","No"))</x:f>
        <x:v>No</x:v>
      </x:c>
    </x:row>
    <x:row r="274">
      <x:c r="A274" s="16" t="str">
        <x:f>'EMA Assurance Employee List'!A275</x:f>
        <x:v>Masela Chishinga</x:v>
      </x:c>
      <x:c r="B274" s="16" t="str">
        <x:f>IF(C274="KE","Kenya",IF(C274="UG","Uganda",IF(C274="MU","Mauritius",IF(C274="TZ","Tanzania",IF(C274="RW","Rwanda",IF(C274="ZA","South Africa",IF(C274="ZM","Zambia","")))))))</x:f>
        <x:v>Zambia</x:v>
      </x:c>
      <x:c r="C274" s="16" t="str">
        <x:f>'EMA Assurance Employee List'!B275</x:f>
        <x:v>ZM</x:v>
      </x:c>
      <x:c r="D274" s="16" t="str">
        <x:f>'EMA Assurance Employee List'!D275</x:f>
        <x:v>masela.chishinga@pwc.com</x:v>
      </x:c>
      <x:c r="E274" s="130" t="n">
        <x:f>IF($D274="",0,SUMIF('Attendance Report - Option 1'!$P$11:$P$315,$D274,'Attendance Report - Option 1'!$Q$11:$Q$315)/86400)</x:f>
        <x:v>0</x:v>
      </x:c>
      <x:c r="F274" s="131" t="str">
        <x:f>IF(E274=0,"Did not attend",IF(E274&gt;='Read Me'!$E$2/86400,"Fully attended","Partially attended"))</x:f>
        <x:v>Did not attend</x:v>
      </x:c>
      <x:c r="G274" s="130" t="n">
        <x:f>IF($D274="",0,SUMIF('Attendance Report - Option 2'!$P$11:$P$412,$D274,'Attendance Report - Option 2'!$Q$11:$Q$412)/86400)</x:f>
        <x:v>0.05920138888888889</x:v>
      </x:c>
      <x:c r="H274" s="131" t="str">
        <x:f>IF(G274=0,"Did not attend",IF(G274&gt;='Read Me'!$E$2/86400,"Fully attended","Partially attended"))</x:f>
        <x:v>Partially attended</x:v>
      </x:c>
      <x:c r="I274" s="130" t="n">
        <x:f>E274+G274</x:f>
        <x:v>0.05920138888888889</x:v>
      </x:c>
      <x:c r="J274" s="131" t="str">
        <x:f>IF(I274=0,"Did not attend",IF(I274&gt;='Read Me'!$E$2/86400,"Fully attended","Partially attended"))</x:f>
        <x:v>Partially attended</x:v>
      </x:c>
      <x:c r="K274" s="131" t="str">
        <x:f>IF($D274="","No",IF(COUNTIF('Attendance Report - Option 1'!$P$11:$P$315,$D274)&gt;0,"Yes","No"))</x:f>
        <x:v>No</x:v>
      </x:c>
      <x:c r="L274" s="131" t="str">
        <x:f>IF($D274="","No",IF(COUNTIF('Attendance Report - Option 2'!$P$11:$P$412,$D274)&gt;0,"Yes","No"))</x:f>
        <x:v>Yes</x:v>
      </x:c>
    </x:row>
    <x:row r="275">
      <x:c r="A275" s="16" t="str">
        <x:f>'EMA Assurance Employee List'!A276</x:f>
        <x:v>Masha Alobo</x:v>
      </x:c>
      <x:c r="B275" s="16" t="str">
        <x:f>IF(C275="KE","Kenya",IF(C275="UG","Uganda",IF(C275="MU","Mauritius",IF(C275="TZ","Tanzania",IF(C275="RW","Rwanda",IF(C275="ZA","South Africa",IF(C275="ZM","Zambia","")))))))</x:f>
        <x:v>Kenya</x:v>
      </x:c>
      <x:c r="C275" s="16" t="str">
        <x:f>'EMA Assurance Employee List'!B276</x:f>
        <x:v>KE</x:v>
      </x:c>
      <x:c r="D275" s="16" t="str">
        <x:f>'EMA Assurance Employee List'!D276</x:f>
        <x:v>masha.alobo@pwc.com</x:v>
      </x:c>
      <x:c r="E275" s="130" t="n">
        <x:f>IF($D275="",0,SUMIF('Attendance Report - Option 1'!$P$11:$P$315,$D275,'Attendance Report - Option 1'!$Q$11:$Q$315)/86400)</x:f>
        <x:v>0.07730324074074074</x:v>
      </x:c>
      <x:c r="F275" s="131" t="str">
        <x:f>IF(E275=0,"Did not attend",IF(E275&gt;='Read Me'!$E$2/86400,"Fully attended","Partially attended"))</x:f>
        <x:v>Fully attended</x:v>
      </x:c>
      <x:c r="G275" s="130" t="n">
        <x:f>IF($D275="",0,SUMIF('Attendance Report - Option 2'!$P$11:$P$412,$D275,'Attendance Report - Option 2'!$Q$11:$Q$412)/86400)</x:f>
        <x:v>0</x:v>
      </x:c>
      <x:c r="H275" s="131" t="str">
        <x:f>IF(G275=0,"Did not attend",IF(G275&gt;='Read Me'!$E$2/86400,"Fully attended","Partially attended"))</x:f>
        <x:v>Did not attend</x:v>
      </x:c>
      <x:c r="I275" s="130" t="n">
        <x:f>E275+G275</x:f>
        <x:v>0.07730324074074074</x:v>
      </x:c>
      <x:c r="J275" s="131" t="str">
        <x:f>IF(I275=0,"Did not attend",IF(I275&gt;='Read Me'!$E$2/86400,"Fully attended","Partially attended"))</x:f>
        <x:v>Fully attended</x:v>
      </x:c>
      <x:c r="K275" s="131" t="str">
        <x:f>IF($D275="","No",IF(COUNTIF('Attendance Report - Option 1'!$P$11:$P$315,$D275)&gt;0,"Yes","No"))</x:f>
        <x:v>Yes</x:v>
      </x:c>
      <x:c r="L275" s="131" t="str">
        <x:f>IF($D275="","No",IF(COUNTIF('Attendance Report - Option 2'!$P$11:$P$412,$D275)&gt;0,"Yes","No"))</x:f>
        <x:v>No</x:v>
      </x:c>
    </x:row>
    <x:row r="276">
      <x:c r="A276" s="16" t="str">
        <x:f>'EMA Assurance Employee List'!A277</x:f>
        <x:v>Matthew Ddimirire</x:v>
      </x:c>
      <x:c r="B276" s="16" t="str">
        <x:f>IF(C276="KE","Kenya",IF(C276="UG","Uganda",IF(C276="MU","Mauritius",IF(C276="TZ","Tanzania",IF(C276="RW","Rwanda",IF(C276="ZA","South Africa",IF(C276="ZM","Zambia","")))))))</x:f>
        <x:v>Uganda</x:v>
      </x:c>
      <x:c r="C276" s="16" t="str">
        <x:f>'EMA Assurance Employee List'!B277</x:f>
        <x:v>UG</x:v>
      </x:c>
      <x:c r="D276" s="16" t="str">
        <x:f>'EMA Assurance Employee List'!D277</x:f>
        <x:v>matthew.ddimirire@pwc.com</x:v>
      </x:c>
      <x:c r="E276" s="130" t="n">
        <x:f>IF($D276="",0,SUMIF('Attendance Report - Option 1'!$P$11:$P$315,$D276,'Attendance Report - Option 1'!$Q$11:$Q$315)/86400)</x:f>
        <x:v>0</x:v>
      </x:c>
      <x:c r="F276" s="131" t="str">
        <x:f>IF(E276=0,"Did not attend",IF(E276&gt;='Read Me'!$E$2/86400,"Fully attended","Partially attended"))</x:f>
        <x:v>Did not attend</x:v>
      </x:c>
      <x:c r="G276" s="130" t="n">
        <x:f>IF($D276="",0,SUMIF('Attendance Report - Option 2'!$P$11:$P$412,$D276,'Attendance Report - Option 2'!$Q$11:$Q$412)/86400)</x:f>
        <x:v>0.09362268518518518</x:v>
      </x:c>
      <x:c r="H276" s="131" t="str">
        <x:f>IF(G276=0,"Did not attend",IF(G276&gt;='Read Me'!$E$2/86400,"Fully attended","Partially attended"))</x:f>
        <x:v>Fully attended</x:v>
      </x:c>
      <x:c r="I276" s="130" t="n">
        <x:f>E276+G276</x:f>
        <x:v>0.09362268518518518</x:v>
      </x:c>
      <x:c r="J276" s="131" t="str">
        <x:f>IF(I276=0,"Did not attend",IF(I276&gt;='Read Me'!$E$2/86400,"Fully attended","Partially attended"))</x:f>
        <x:v>Fully attended</x:v>
      </x:c>
      <x:c r="K276" s="131" t="str">
        <x:f>IF($D276="","No",IF(COUNTIF('Attendance Report - Option 1'!$P$11:$P$315,$D276)&gt;0,"Yes","No"))</x:f>
        <x:v>No</x:v>
      </x:c>
      <x:c r="L276" s="131" t="str">
        <x:f>IF($D276="","No",IF(COUNTIF('Attendance Report - Option 2'!$P$11:$P$412,$D276)&gt;0,"Yes","No"))</x:f>
        <x:v>Yes</x:v>
      </x:c>
    </x:row>
    <x:row r="277">
      <x:c r="A277" s="16" t="str">
        <x:f>'EMA Assurance Employee List'!A278</x:f>
        <x:v>Maureen Benedict</x:v>
      </x:c>
      <x:c r="B277" s="16" t="str">
        <x:f>IF(C277="KE","Kenya",IF(C277="UG","Uganda",IF(C277="MU","Mauritius",IF(C277="TZ","Tanzania",IF(C277="RW","Rwanda",IF(C277="ZA","South Africa",IF(C277="ZM","Zambia","")))))))</x:f>
        <x:v>Tanzania</x:v>
      </x:c>
      <x:c r="C277" s="16" t="str">
        <x:f>'EMA Assurance Employee List'!B278</x:f>
        <x:v>TZ</x:v>
      </x:c>
      <x:c r="D277" s="16" t="str">
        <x:f>'EMA Assurance Employee List'!D278</x:f>
        <x:v>maureen.benedict@pwc.com</x:v>
      </x:c>
      <x:c r="E277" s="130" t="n">
        <x:f>IF($D277="",0,SUMIF('Attendance Report - Option 1'!$P$11:$P$315,$D277,'Attendance Report - Option 1'!$Q$11:$Q$315)/86400)</x:f>
        <x:v>0.08381944444444445</x:v>
      </x:c>
      <x:c r="F277" s="131" t="str">
        <x:f>IF(E277=0,"Did not attend",IF(E277&gt;='Read Me'!$E$2/86400,"Fully attended","Partially attended"))</x:f>
        <x:v>Fully attended</x:v>
      </x:c>
      <x:c r="G277" s="130" t="n">
        <x:f>IF($D277="",0,SUMIF('Attendance Report - Option 2'!$P$11:$P$412,$D277,'Attendance Report - Option 2'!$Q$11:$Q$412)/86400)</x:f>
        <x:v>0.050104166666666665</x:v>
      </x:c>
      <x:c r="H277" s="131" t="str">
        <x:f>IF(G277=0,"Did not attend",IF(G277&gt;='Read Me'!$E$2/86400,"Fully attended","Partially attended"))</x:f>
        <x:v>Partially attended</x:v>
      </x:c>
      <x:c r="I277" s="130" t="n">
        <x:f>E277+G277</x:f>
        <x:v>0.13392361111111112</x:v>
      </x:c>
      <x:c r="J277" s="131" t="str">
        <x:f>IF(I277=0,"Did not attend",IF(I277&gt;='Read Me'!$E$2/86400,"Fully attended","Partially attended"))</x:f>
        <x:v>Fully attended</x:v>
      </x:c>
      <x:c r="K277" s="131" t="str">
        <x:f>IF($D277="","No",IF(COUNTIF('Attendance Report - Option 1'!$P$11:$P$315,$D277)&gt;0,"Yes","No"))</x:f>
        <x:v>Yes</x:v>
      </x:c>
      <x:c r="L277" s="131" t="str">
        <x:f>IF($D277="","No",IF(COUNTIF('Attendance Report - Option 2'!$P$11:$P$412,$D277)&gt;0,"Yes","No"))</x:f>
        <x:v>Yes</x:v>
      </x:c>
    </x:row>
    <x:row r="278">
      <x:c r="A278" s="16" t="str">
        <x:f>'EMA Assurance Employee List'!A279</x:f>
        <x:v>Maureen Carmagnole</x:v>
      </x:c>
      <x:c r="B278" s="16" t="str">
        <x:f>IF(C278="KE","Kenya",IF(C278="UG","Uganda",IF(C278="MU","Mauritius",IF(C278="TZ","Tanzania",IF(C278="RW","Rwanda",IF(C278="ZA","South Africa",IF(C278="ZM","Zambia","")))))))</x:f>
        <x:v>Mauritius</x:v>
      </x:c>
      <x:c r="C278" s="16" t="str">
        <x:f>'EMA Assurance Employee List'!B279</x:f>
        <x:v>MU</x:v>
      </x:c>
      <x:c r="D278" s="16" t="str">
        <x:f>'EMA Assurance Employee List'!D279</x:f>
        <x:v>maureen.carmagnole@pwc.com</x:v>
      </x:c>
      <x:c r="E278" s="130" t="n">
        <x:f>IF($D278="",0,SUMIF('Attendance Report - Option 1'!$P$11:$P$315,$D278,'Attendance Report - Option 1'!$Q$11:$Q$315)/86400)</x:f>
        <x:v>0</x:v>
      </x:c>
      <x:c r="F278" s="131" t="str">
        <x:f>IF(E278=0,"Did not attend",IF(E278&gt;='Read Me'!$E$2/86400,"Fully attended","Partially attended"))</x:f>
        <x:v>Did not attend</x:v>
      </x:c>
      <x:c r="G278" s="130" t="n">
        <x:f>IF($D278="",0,SUMIF('Attendance Report - Option 2'!$P$11:$P$412,$D278,'Attendance Report - Option 2'!$Q$11:$Q$412)/86400)</x:f>
        <x:v>0.04677083333333333</x:v>
      </x:c>
      <x:c r="H278" s="131" t="str">
        <x:f>IF(G278=0,"Did not attend",IF(G278&gt;='Read Me'!$E$2/86400,"Fully attended","Partially attended"))</x:f>
        <x:v>Partially attended</x:v>
      </x:c>
      <x:c r="I278" s="130" t="n">
        <x:f>E278+G278</x:f>
        <x:v>0.04677083333333333</x:v>
      </x:c>
      <x:c r="J278" s="131" t="str">
        <x:f>IF(I278=0,"Did not attend",IF(I278&gt;='Read Me'!$E$2/86400,"Fully attended","Partially attended"))</x:f>
        <x:v>Partially attended</x:v>
      </x:c>
      <x:c r="K278" s="131" t="str">
        <x:f>IF($D278="","No",IF(COUNTIF('Attendance Report - Option 1'!$P$11:$P$315,$D278)&gt;0,"Yes","No"))</x:f>
        <x:v>No</x:v>
      </x:c>
      <x:c r="L278" s="131" t="str">
        <x:f>IF($D278="","No",IF(COUNTIF('Attendance Report - Option 2'!$P$11:$P$412,$D278)&gt;0,"Yes","No"))</x:f>
        <x:v>Yes</x:v>
      </x:c>
    </x:row>
    <x:row r="279">
      <x:c r="A279" s="16" t="str">
        <x:f>'EMA Assurance Employee List'!A280</x:f>
        <x:v>Melanie Li Wan Cheun</x:v>
      </x:c>
      <x:c r="B279" s="16" t="str">
        <x:f>IF(C279="KE","Kenya",IF(C279="UG","Uganda",IF(C279="MU","Mauritius",IF(C279="TZ","Tanzania",IF(C279="RW","Rwanda",IF(C279="ZA","South Africa",IF(C279="ZM","Zambia","")))))))</x:f>
        <x:v>Mauritius</x:v>
      </x:c>
      <x:c r="C279" s="16" t="str">
        <x:f>'EMA Assurance Employee List'!B280</x:f>
        <x:v>MU</x:v>
      </x:c>
      <x:c r="D279" s="16" t="str">
        <x:f>'EMA Assurance Employee List'!D280</x:f>
        <x:v>melanie.li.wan.cheun@pwc.com</x:v>
      </x:c>
      <x:c r="E279" s="130" t="n">
        <x:f>IF($D279="",0,SUMIF('Attendance Report - Option 1'!$P$11:$P$315,$D279,'Attendance Report - Option 1'!$Q$11:$Q$315)/86400)</x:f>
        <x:v>0</x:v>
      </x:c>
      <x:c r="F279" s="131" t="str">
        <x:f>IF(E279=0,"Did not attend",IF(E279&gt;='Read Me'!$E$2/86400,"Fully attended","Partially attended"))</x:f>
        <x:v>Did not attend</x:v>
      </x:c>
      <x:c r="G279" s="130" t="n">
        <x:f>IF($D279="",0,SUMIF('Attendance Report - Option 2'!$P$11:$P$412,$D279,'Attendance Report - Option 2'!$Q$11:$Q$412)/86400)</x:f>
        <x:v>0.08758101851851852</x:v>
      </x:c>
      <x:c r="H279" s="131" t="str">
        <x:f>IF(G279=0,"Did not attend",IF(G279&gt;='Read Me'!$E$2/86400,"Fully attended","Partially attended"))</x:f>
        <x:v>Fully attended</x:v>
      </x:c>
      <x:c r="I279" s="130" t="n">
        <x:f>E279+G279</x:f>
        <x:v>0.08758101851851852</x:v>
      </x:c>
      <x:c r="J279" s="131" t="str">
        <x:f>IF(I279=0,"Did not attend",IF(I279&gt;='Read Me'!$E$2/86400,"Fully attended","Partially attended"))</x:f>
        <x:v>Fully attended</x:v>
      </x:c>
      <x:c r="K279" s="131" t="str">
        <x:f>IF($D279="","No",IF(COUNTIF('Attendance Report - Option 1'!$P$11:$P$315,$D279)&gt;0,"Yes","No"))</x:f>
        <x:v>No</x:v>
      </x:c>
      <x:c r="L279" s="131" t="str">
        <x:f>IF($D279="","No",IF(COUNTIF('Attendance Report - Option 2'!$P$11:$P$412,$D279)&gt;0,"Yes","No"))</x:f>
        <x:v>Yes</x:v>
      </x:c>
    </x:row>
    <x:row r="280">
      <x:c r="A280" s="16" t="str">
        <x:f>'EMA Assurance Employee List'!A281</x:f>
        <x:v>Mercy John</x:v>
      </x:c>
      <x:c r="B280" s="16" t="str">
        <x:f>IF(C280="KE","Kenya",IF(C280="UG","Uganda",IF(C280="MU","Mauritius",IF(C280="TZ","Tanzania",IF(C280="RW","Rwanda",IF(C280="ZA","South Africa",IF(C280="ZM","Zambia","")))))))</x:f>
        <x:v>Kenya</x:v>
      </x:c>
      <x:c r="C280" s="16" t="str">
        <x:f>'EMA Assurance Employee List'!B281</x:f>
        <x:v>KE</x:v>
      </x:c>
      <x:c r="D280" s="16" t="str">
        <x:f>'EMA Assurance Employee List'!D281</x:f>
        <x:v>mercy.john@pwc.com</x:v>
      </x:c>
      <x:c r="E280" s="130" t="n">
        <x:f>IF($D280="",0,SUMIF('Attendance Report - Option 1'!$P$11:$P$315,$D280,'Attendance Report - Option 1'!$Q$11:$Q$315)/86400)</x:f>
        <x:v>0.07203703703703704</x:v>
      </x:c>
      <x:c r="F280" s="131" t="str">
        <x:f>IF(E280=0,"Did not attend",IF(E280&gt;='Read Me'!$E$2/86400,"Fully attended","Partially attended"))</x:f>
        <x:v>Fully attended</x:v>
      </x:c>
      <x:c r="G280" s="130" t="n">
        <x:f>IF($D280="",0,SUMIF('Attendance Report - Option 2'!$P$11:$P$412,$D280,'Attendance Report - Option 2'!$Q$11:$Q$412)/86400)</x:f>
        <x:v>0</x:v>
      </x:c>
      <x:c r="H280" s="131" t="str">
        <x:f>IF(G280=0,"Did not attend",IF(G280&gt;='Read Me'!$E$2/86400,"Fully attended","Partially attended"))</x:f>
        <x:v>Did not attend</x:v>
      </x:c>
      <x:c r="I280" s="130" t="n">
        <x:f>E280+G280</x:f>
        <x:v>0.07203703703703704</x:v>
      </x:c>
      <x:c r="J280" s="131" t="str">
        <x:f>IF(I280=0,"Did not attend",IF(I280&gt;='Read Me'!$E$2/86400,"Fully attended","Partially attended"))</x:f>
        <x:v>Fully attended</x:v>
      </x:c>
      <x:c r="K280" s="131" t="str">
        <x:f>IF($D280="","No",IF(COUNTIF('Attendance Report - Option 1'!$P$11:$P$315,$D280)&gt;0,"Yes","No"))</x:f>
        <x:v>Yes</x:v>
      </x:c>
      <x:c r="L280" s="131" t="str">
        <x:f>IF($D280="","No",IF(COUNTIF('Attendance Report - Option 2'!$P$11:$P$412,$D280)&gt;0,"Yes","No"))</x:f>
        <x:v>No</x:v>
      </x:c>
    </x:row>
    <x:row r="281">
      <x:c r="A281" s="16" t="str">
        <x:f>'EMA Assurance Employee List'!A282</x:f>
        <x:v>Mercy Kiprono</x:v>
      </x:c>
      <x:c r="B281" s="16" t="str">
        <x:f>IF(C281="KE","Kenya",IF(C281="UG","Uganda",IF(C281="MU","Mauritius",IF(C281="TZ","Tanzania",IF(C281="RW","Rwanda",IF(C281="ZA","South Africa",IF(C281="ZM","Zambia","")))))))</x:f>
        <x:v>Kenya</x:v>
      </x:c>
      <x:c r="C281" s="16" t="str">
        <x:f>'EMA Assurance Employee List'!B282</x:f>
        <x:v>KE</x:v>
      </x:c>
      <x:c r="D281" s="16" t="str">
        <x:f>'EMA Assurance Employee List'!D282</x:f>
        <x:v>mercy.kiprono@pwc.com</x:v>
      </x:c>
      <x:c r="E281" s="130" t="n">
        <x:f>IF($D281="",0,SUMIF('Attendance Report - Option 1'!$P$11:$P$315,$D281,'Attendance Report - Option 1'!$Q$11:$Q$315)/86400)</x:f>
        <x:v>0</x:v>
      </x:c>
      <x:c r="F281" s="131" t="str">
        <x:f>IF(E281=0,"Did not attend",IF(E281&gt;='Read Me'!$E$2/86400,"Fully attended","Partially attended"))</x:f>
        <x:v>Did not attend</x:v>
      </x:c>
      <x:c r="G281" s="130" t="n">
        <x:f>IF($D281="",0,SUMIF('Attendance Report - Option 2'!$P$11:$P$412,$D281,'Attendance Report - Option 2'!$Q$11:$Q$412)/86400)</x:f>
        <x:v>0</x:v>
      </x:c>
      <x:c r="H281" s="131" t="str">
        <x:f>IF(G281=0,"Did not attend",IF(G281&gt;='Read Me'!$E$2/86400,"Fully attended","Partially attended"))</x:f>
        <x:v>Did not attend</x:v>
      </x:c>
      <x:c r="I281" s="130" t="n">
        <x:f>E281+G281</x:f>
        <x:v>0</x:v>
      </x:c>
      <x:c r="J281" s="131" t="str">
        <x:f>IF(I281=0,"Did not attend",IF(I281&gt;='Read Me'!$E$2/86400,"Fully attended","Partially attended"))</x:f>
        <x:v>Did not attend</x:v>
      </x:c>
      <x:c r="K281" s="131" t="str">
        <x:f>IF($D281="","No",IF(COUNTIF('Attendance Report - Option 1'!$P$11:$P$315,$D281)&gt;0,"Yes","No"))</x:f>
        <x:v>No</x:v>
      </x:c>
      <x:c r="L281" s="131" t="str">
        <x:f>IF($D281="","No",IF(COUNTIF('Attendance Report - Option 2'!$P$11:$P$412,$D281)&gt;0,"Yes","No"))</x:f>
        <x:v>No</x:v>
      </x:c>
    </x:row>
    <x:row r="282">
      <x:c r="A282" s="16" t="str">
        <x:f>'EMA Assurance Employee List'!A283</x:f>
        <x:v>Mercy Koskei</x:v>
      </x:c>
      <x:c r="B282" s="16" t="str">
        <x:f>IF(C282="KE","Kenya",IF(C282="UG","Uganda",IF(C282="MU","Mauritius",IF(C282="TZ","Tanzania",IF(C282="RW","Rwanda",IF(C282="ZA","South Africa",IF(C282="ZM","Zambia","")))))))</x:f>
        <x:v>Kenya</x:v>
      </x:c>
      <x:c r="C282" s="16" t="str">
        <x:f>'EMA Assurance Employee List'!B283</x:f>
        <x:v>KE</x:v>
      </x:c>
      <x:c r="D282" s="16" t="str">
        <x:f>'EMA Assurance Employee List'!D283</x:f>
        <x:v>mercy.koskei@pwc.com</x:v>
      </x:c>
      <x:c r="E282" s="130" t="n">
        <x:f>IF($D282="",0,SUMIF('Attendance Report - Option 1'!$P$11:$P$315,$D282,'Attendance Report - Option 1'!$Q$11:$Q$315)/86400)</x:f>
        <x:v>0.08621527777777778</x:v>
      </x:c>
      <x:c r="F282" s="131" t="str">
        <x:f>IF(E282=0,"Did not attend",IF(E282&gt;='Read Me'!$E$2/86400,"Fully attended","Partially attended"))</x:f>
        <x:v>Fully attended</x:v>
      </x:c>
      <x:c r="G282" s="130" t="n">
        <x:f>IF($D282="",0,SUMIF('Attendance Report - Option 2'!$P$11:$P$412,$D282,'Attendance Report - Option 2'!$Q$11:$Q$412)/86400)</x:f>
        <x:v>0</x:v>
      </x:c>
      <x:c r="H282" s="131" t="str">
        <x:f>IF(G282=0,"Did not attend",IF(G282&gt;='Read Me'!$E$2/86400,"Fully attended","Partially attended"))</x:f>
        <x:v>Did not attend</x:v>
      </x:c>
      <x:c r="I282" s="130" t="n">
        <x:f>E282+G282</x:f>
        <x:v>0.08621527777777778</x:v>
      </x:c>
      <x:c r="J282" s="131" t="str">
        <x:f>IF(I282=0,"Did not attend",IF(I282&gt;='Read Me'!$E$2/86400,"Fully attended","Partially attended"))</x:f>
        <x:v>Fully attended</x:v>
      </x:c>
      <x:c r="K282" s="131" t="str">
        <x:f>IF($D282="","No",IF(COUNTIF('Attendance Report - Option 1'!$P$11:$P$315,$D282)&gt;0,"Yes","No"))</x:f>
        <x:v>Yes</x:v>
      </x:c>
      <x:c r="L282" s="131" t="str">
        <x:f>IF($D282="","No",IF(COUNTIF('Attendance Report - Option 2'!$P$11:$P$412,$D282)&gt;0,"Yes","No"))</x:f>
        <x:v>No</x:v>
      </x:c>
    </x:row>
    <x:row r="283">
      <x:c r="A283" s="16" t="str">
        <x:f>'EMA Assurance Employee List'!A284</x:f>
        <x:v>Mercy Kuria</x:v>
      </x:c>
      <x:c r="B283" s="16" t="str">
        <x:f>IF(C283="KE","Kenya",IF(C283="UG","Uganda",IF(C283="MU","Mauritius",IF(C283="TZ","Tanzania",IF(C283="RW","Rwanda",IF(C283="ZA","South Africa",IF(C283="ZM","Zambia","")))))))</x:f>
        <x:v>Kenya</x:v>
      </x:c>
      <x:c r="C283" s="16" t="str">
        <x:f>'EMA Assurance Employee List'!B284</x:f>
        <x:v>KE</x:v>
      </x:c>
      <x:c r="D283" s="16" t="str">
        <x:f>'EMA Assurance Employee List'!D284</x:f>
        <x:v>mercy.kuria@pwc.com</x:v>
      </x:c>
      <x:c r="E283" s="130" t="n">
        <x:f>IF($D283="",0,SUMIF('Attendance Report - Option 1'!$P$11:$P$315,$D283,'Attendance Report - Option 1'!$Q$11:$Q$315)/86400)</x:f>
        <x:v>0.0772337962962963</x:v>
      </x:c>
      <x:c r="F283" s="131" t="str">
        <x:f>IF(E283=0,"Did not attend",IF(E283&gt;='Read Me'!$E$2/86400,"Fully attended","Partially attended"))</x:f>
        <x:v>Fully attended</x:v>
      </x:c>
      <x:c r="G283" s="130" t="n">
        <x:f>IF($D283="",0,SUMIF('Attendance Report - Option 2'!$P$11:$P$412,$D283,'Attendance Report - Option 2'!$Q$11:$Q$412)/86400)</x:f>
        <x:v>0</x:v>
      </x:c>
      <x:c r="H283" s="131" t="str">
        <x:f>IF(G283=0,"Did not attend",IF(G283&gt;='Read Me'!$E$2/86400,"Fully attended","Partially attended"))</x:f>
        <x:v>Did not attend</x:v>
      </x:c>
      <x:c r="I283" s="130" t="n">
        <x:f>E283+G283</x:f>
        <x:v>0.0772337962962963</x:v>
      </x:c>
      <x:c r="J283" s="131" t="str">
        <x:f>IF(I283=0,"Did not attend",IF(I283&gt;='Read Me'!$E$2/86400,"Fully attended","Partially attended"))</x:f>
        <x:v>Fully attended</x:v>
      </x:c>
      <x:c r="K283" s="131" t="str">
        <x:f>IF($D283="","No",IF(COUNTIF('Attendance Report - Option 1'!$P$11:$P$315,$D283)&gt;0,"Yes","No"))</x:f>
        <x:v>Yes</x:v>
      </x:c>
      <x:c r="L283" s="131" t="str">
        <x:f>IF($D283="","No",IF(COUNTIF('Attendance Report - Option 2'!$P$11:$P$412,$D283)&gt;0,"Yes","No"))</x:f>
        <x:v>No</x:v>
      </x:c>
    </x:row>
    <x:row r="284">
      <x:c r="A284" s="16" t="str">
        <x:f>'EMA Assurance Employee List'!A285</x:f>
        <x:v>Michael Male</x:v>
      </x:c>
      <x:c r="B284" s="16" t="str">
        <x:f>IF(C284="KE","Kenya",IF(C284="UG","Uganda",IF(C284="MU","Mauritius",IF(C284="TZ","Tanzania",IF(C284="RW","Rwanda",IF(C284="ZA","South Africa",IF(C284="ZM","Zambia","")))))))</x:f>
        <x:v>Uganda</x:v>
      </x:c>
      <x:c r="C284" s="16" t="str">
        <x:f>'EMA Assurance Employee List'!B285</x:f>
        <x:v>UG</x:v>
      </x:c>
      <x:c r="D284" s="16" t="str">
        <x:f>'EMA Assurance Employee List'!D285</x:f>
        <x:v>michael.male@pwc.com</x:v>
      </x:c>
      <x:c r="E284" s="130" t="n">
        <x:f>IF($D284="",0,SUMIF('Attendance Report - Option 1'!$P$11:$P$315,$D284,'Attendance Report - Option 1'!$Q$11:$Q$315)/86400)</x:f>
        <x:v>0.04614583333333333</x:v>
      </x:c>
      <x:c r="F284" s="131" t="str">
        <x:f>IF(E284=0,"Did not attend",IF(E284&gt;='Read Me'!$E$2/86400,"Fully attended","Partially attended"))</x:f>
        <x:v>Partially attended</x:v>
      </x:c>
      <x:c r="G284" s="130" t="n">
        <x:f>IF($D284="",0,SUMIF('Attendance Report - Option 2'!$P$11:$P$412,$D284,'Attendance Report - Option 2'!$Q$11:$Q$412)/86400)</x:f>
        <x:v>0.10450231481481481</x:v>
      </x:c>
      <x:c r="H284" s="131" t="str">
        <x:f>IF(G284=0,"Did not attend",IF(G284&gt;='Read Me'!$E$2/86400,"Fully attended","Partially attended"))</x:f>
        <x:v>Fully attended</x:v>
      </x:c>
      <x:c r="I284" s="130" t="n">
        <x:f>E284+G284</x:f>
        <x:v>0.15064814814814814</x:v>
      </x:c>
      <x:c r="J284" s="131" t="str">
        <x:f>IF(I284=0,"Did not attend",IF(I284&gt;='Read Me'!$E$2/86400,"Fully attended","Partially attended"))</x:f>
        <x:v>Fully attended</x:v>
      </x:c>
      <x:c r="K284" s="131" t="str">
        <x:f>IF($D284="","No",IF(COUNTIF('Attendance Report - Option 1'!$P$11:$P$315,$D284)&gt;0,"Yes","No"))</x:f>
        <x:v>Yes</x:v>
      </x:c>
      <x:c r="L284" s="131" t="str">
        <x:f>IF($D284="","No",IF(COUNTIF('Attendance Report - Option 2'!$P$11:$P$412,$D284)&gt;0,"Yes","No"))</x:f>
        <x:v>Yes</x:v>
      </x:c>
    </x:row>
    <x:row r="285">
      <x:c r="A285" s="16" t="str">
        <x:f>'EMA Assurance Employee List'!A286</x:f>
        <x:v>Michael Mwendwa</x:v>
      </x:c>
      <x:c r="B285" s="16" t="str">
        <x:f>IF(C285="KE","Kenya",IF(C285="UG","Uganda",IF(C285="MU","Mauritius",IF(C285="TZ","Tanzania",IF(C285="RW","Rwanda",IF(C285="ZA","South Africa",IF(C285="ZM","Zambia","")))))))</x:f>
        <x:v>Kenya</x:v>
      </x:c>
      <x:c r="C285" s="16" t="str">
        <x:f>'EMA Assurance Employee List'!B286</x:f>
        <x:v>KE</x:v>
      </x:c>
      <x:c r="D285" s="16" t="str">
        <x:f>'EMA Assurance Employee List'!D286</x:f>
        <x:v>michael.mwendwa@pwc.com</x:v>
      </x:c>
      <x:c r="E285" s="130" t="n">
        <x:f>IF($D285="",0,SUMIF('Attendance Report - Option 1'!$P$11:$P$315,$D285,'Attendance Report - Option 1'!$Q$11:$Q$315)/86400)</x:f>
        <x:v>0</x:v>
      </x:c>
      <x:c r="F285" s="131" t="str">
        <x:f>IF(E285=0,"Did not attend",IF(E285&gt;='Read Me'!$E$2/86400,"Fully attended","Partially attended"))</x:f>
        <x:v>Did not attend</x:v>
      </x:c>
      <x:c r="G285" s="130" t="n">
        <x:f>IF($D285="",0,SUMIF('Attendance Report - Option 2'!$P$11:$P$412,$D285,'Attendance Report - Option 2'!$Q$11:$Q$412)/86400)</x:f>
        <x:v>0.029247685185185186</x:v>
      </x:c>
      <x:c r="H285" s="131" t="str">
        <x:f>IF(G285=0,"Did not attend",IF(G285&gt;='Read Me'!$E$2/86400,"Fully attended","Partially attended"))</x:f>
        <x:v>Partially attended</x:v>
      </x:c>
      <x:c r="I285" s="130" t="n">
        <x:f>E285+G285</x:f>
        <x:v>0.029247685185185186</x:v>
      </x:c>
      <x:c r="J285" s="131" t="str">
        <x:f>IF(I285=0,"Did not attend",IF(I285&gt;='Read Me'!$E$2/86400,"Fully attended","Partially attended"))</x:f>
        <x:v>Partially attended</x:v>
      </x:c>
      <x:c r="K285" s="131" t="str">
        <x:f>IF($D285="","No",IF(COUNTIF('Attendance Report - Option 1'!$P$11:$P$315,$D285)&gt;0,"Yes","No"))</x:f>
        <x:v>No</x:v>
      </x:c>
      <x:c r="L285" s="131" t="str">
        <x:f>IF($D285="","No",IF(COUNTIF('Attendance Report - Option 2'!$P$11:$P$412,$D285)&gt;0,"Yes","No"))</x:f>
        <x:v>Yes</x:v>
      </x:c>
    </x:row>
    <x:row r="286">
      <x:c r="A286" s="16" t="str">
        <x:f>'EMA Assurance Employee List'!A287</x:f>
        <x:v>Michael Ngugi</x:v>
      </x:c>
      <x:c r="B286" s="16" t="str">
        <x:f>IF(C286="KE","Kenya",IF(C286="UG","Uganda",IF(C286="MU","Mauritius",IF(C286="TZ","Tanzania",IF(C286="RW","Rwanda",IF(C286="ZA","South Africa",IF(C286="ZM","Zambia","")))))))</x:f>
        <x:v>Kenya</x:v>
      </x:c>
      <x:c r="C286" s="16" t="str">
        <x:f>'EMA Assurance Employee List'!B287</x:f>
        <x:v>KE</x:v>
      </x:c>
      <x:c r="D286" s="16" t="str">
        <x:f>'EMA Assurance Employee List'!D287</x:f>
        <x:v>michael.ngugi@pwc.com</x:v>
      </x:c>
      <x:c r="E286" s="130" t="n">
        <x:f>IF($D286="",0,SUMIF('Attendance Report - Option 1'!$P$11:$P$315,$D286,'Attendance Report - Option 1'!$Q$11:$Q$315)/86400)</x:f>
        <x:v>0</x:v>
      </x:c>
      <x:c r="F286" s="131" t="str">
        <x:f>IF(E286=0,"Did not attend",IF(E286&gt;='Read Me'!$E$2/86400,"Fully attended","Partially attended"))</x:f>
        <x:v>Did not attend</x:v>
      </x:c>
      <x:c r="G286" s="130" t="n">
        <x:f>IF($D286="",0,SUMIF('Attendance Report - Option 2'!$P$11:$P$412,$D286,'Attendance Report - Option 2'!$Q$11:$Q$412)/86400)</x:f>
        <x:v>0.06627314814814815</x:v>
      </x:c>
      <x:c r="H286" s="131" t="str">
        <x:f>IF(G286=0,"Did not attend",IF(G286&gt;='Read Me'!$E$2/86400,"Fully attended","Partially attended"))</x:f>
        <x:v>Fully attended</x:v>
      </x:c>
      <x:c r="I286" s="130" t="n">
        <x:f>E286+G286</x:f>
        <x:v>0.06627314814814815</x:v>
      </x:c>
      <x:c r="J286" s="131" t="str">
        <x:f>IF(I286=0,"Did not attend",IF(I286&gt;='Read Me'!$E$2/86400,"Fully attended","Partially attended"))</x:f>
        <x:v>Fully attended</x:v>
      </x:c>
      <x:c r="K286" s="131" t="str">
        <x:f>IF($D286="","No",IF(COUNTIF('Attendance Report - Option 1'!$P$11:$P$315,$D286)&gt;0,"Yes","No"))</x:f>
        <x:v>No</x:v>
      </x:c>
      <x:c r="L286" s="131" t="str">
        <x:f>IF($D286="","No",IF(COUNTIF('Attendance Report - Option 2'!$P$11:$P$412,$D286)&gt;0,"Yes","No"))</x:f>
        <x:v>Yes</x:v>
      </x:c>
    </x:row>
    <x:row r="287">
      <x:c r="A287" s="16" t="str">
        <x:f>'EMA Assurance Employee List'!A288</x:f>
        <x:v>Michael Mugasa</x:v>
      </x:c>
      <x:c r="B287" s="16" t="str">
        <x:f>IF(C287="KE","Kenya",IF(C287="UG","Uganda",IF(C287="MU","Mauritius",IF(C287="TZ","Tanzania",IF(C287="RW","Rwanda",IF(C287="ZA","South Africa",IF(C287="ZM","Zambia","")))))))</x:f>
        <x:v>Kenya</x:v>
      </x:c>
      <x:c r="C287" s="16" t="str">
        <x:f>'EMA Assurance Employee List'!B288</x:f>
        <x:v>KE</x:v>
      </x:c>
      <x:c r="D287" s="16" t="str">
        <x:f>'EMA Assurance Employee List'!D288</x:f>
        <x:v>michael.mugasa@pwc.com</x:v>
      </x:c>
      <x:c r="E287" s="130" t="n">
        <x:f>IF($D287="",0,SUMIF('Attendance Report - Option 1'!$P$11:$P$315,$D287,'Attendance Report - Option 1'!$Q$11:$Q$315)/86400)</x:f>
        <x:v>0.08489583333333334</x:v>
      </x:c>
      <x:c r="F287" s="131" t="str">
        <x:f>IF(E287=0,"Did not attend",IF(E287&gt;='Read Me'!$E$2/86400,"Fully attended","Partially attended"))</x:f>
        <x:v>Fully attended</x:v>
      </x:c>
      <x:c r="G287" s="130" t="n">
        <x:f>IF($D287="",0,SUMIF('Attendance Report - Option 2'!$P$11:$P$412,$D287,'Attendance Report - Option 2'!$Q$11:$Q$412)/86400)</x:f>
        <x:v>0.09909722222222223</x:v>
      </x:c>
      <x:c r="H287" s="131" t="str">
        <x:f>IF(G287=0,"Did not attend",IF(G287&gt;='Read Me'!$E$2/86400,"Fully attended","Partially attended"))</x:f>
        <x:v>Fully attended</x:v>
      </x:c>
      <x:c r="I287" s="130" t="n">
        <x:f>E287+G287</x:f>
        <x:v>0.18399305555555556</x:v>
      </x:c>
      <x:c r="J287" s="131" t="str">
        <x:f>IF(I287=0,"Did not attend",IF(I287&gt;='Read Me'!$E$2/86400,"Fully attended","Partially attended"))</x:f>
        <x:v>Fully attended</x:v>
      </x:c>
      <x:c r="K287" s="131" t="str">
        <x:f>IF($D287="","No",IF(COUNTIF('Attendance Report - Option 1'!$P$11:$P$315,$D287)&gt;0,"Yes","No"))</x:f>
        <x:v>Yes</x:v>
      </x:c>
      <x:c r="L287" s="131" t="str">
        <x:f>IF($D287="","No",IF(COUNTIF('Attendance Report - Option 2'!$P$11:$P$412,$D287)&gt;0,"Yes","No"))</x:f>
        <x:v>Yes</x:v>
      </x:c>
    </x:row>
    <x:row r="288">
      <x:c r="A288" s="16" t="str">
        <x:f>'EMA Assurance Employee List'!A289</x:f>
        <x:v>Micheal Murungi</x:v>
      </x:c>
      <x:c r="B288" s="16" t="str">
        <x:f>IF(C288="KE","Kenya",IF(C288="UG","Uganda",IF(C288="MU","Mauritius",IF(C288="TZ","Tanzania",IF(C288="RW","Rwanda",IF(C288="ZA","South Africa",IF(C288="ZM","Zambia","")))))))</x:f>
        <x:v>Uganda</x:v>
      </x:c>
      <x:c r="C288" s="16" t="str">
        <x:f>'EMA Assurance Employee List'!B289</x:f>
        <x:v>UG</x:v>
      </x:c>
      <x:c r="D288" s="16" t="str">
        <x:f>'EMA Assurance Employee List'!D289</x:f>
        <x:v>micheal.murungi@pwc.com</x:v>
      </x:c>
      <x:c r="E288" s="130" t="n">
        <x:f>IF($D288="",0,SUMIF('Attendance Report - Option 1'!$P$11:$P$315,$D288,'Attendance Report - Option 1'!$Q$11:$Q$315)/86400)</x:f>
        <x:v>0</x:v>
      </x:c>
      <x:c r="F288" s="131" t="str">
        <x:f>IF(E288=0,"Did not attend",IF(E288&gt;='Read Me'!$E$2/86400,"Fully attended","Partially attended"))</x:f>
        <x:v>Did not attend</x:v>
      </x:c>
      <x:c r="G288" s="130" t="n">
        <x:f>IF($D288="",0,SUMIF('Attendance Report - Option 2'!$P$11:$P$412,$D288,'Attendance Report - Option 2'!$Q$11:$Q$412)/86400)</x:f>
        <x:v>0.0039004629629629628</x:v>
      </x:c>
      <x:c r="H288" s="131" t="str">
        <x:f>IF(G288=0,"Did not attend",IF(G288&gt;='Read Me'!$E$2/86400,"Fully attended","Partially attended"))</x:f>
        <x:v>Partially attended</x:v>
      </x:c>
      <x:c r="I288" s="130" t="n">
        <x:f>E288+G288</x:f>
        <x:v>0.0039004629629629628</x:v>
      </x:c>
      <x:c r="J288" s="131" t="str">
        <x:f>IF(I288=0,"Did not attend",IF(I288&gt;='Read Me'!$E$2/86400,"Fully attended","Partially attended"))</x:f>
        <x:v>Partially attended</x:v>
      </x:c>
      <x:c r="K288" s="131" t="str">
        <x:f>IF($D288="","No",IF(COUNTIF('Attendance Report - Option 1'!$P$11:$P$315,$D288)&gt;0,"Yes","No"))</x:f>
        <x:v>No</x:v>
      </x:c>
      <x:c r="L288" s="131" t="str">
        <x:f>IF($D288="","No",IF(COUNTIF('Attendance Report - Option 2'!$P$11:$P$412,$D288)&gt;0,"Yes","No"))</x:f>
        <x:v>Yes</x:v>
      </x:c>
    </x:row>
    <x:row r="289">
      <x:c r="A289" s="16" t="str">
        <x:f>'EMA Assurance Employee List'!A290</x:f>
        <x:v>Milbert Kakyama</x:v>
      </x:c>
      <x:c r="B289" s="16" t="str">
        <x:f>IF(C289="KE","Kenya",IF(C289="UG","Uganda",IF(C289="MU","Mauritius",IF(C289="TZ","Tanzania",IF(C289="RW","Rwanda",IF(C289="ZA","South Africa",IF(C289="ZM","Zambia","")))))))</x:f>
        <x:v>Uganda</x:v>
      </x:c>
      <x:c r="C289" s="16" t="str">
        <x:f>'EMA Assurance Employee List'!B290</x:f>
        <x:v>UG</x:v>
      </x:c>
      <x:c r="D289" s="16" t="str">
        <x:f>'EMA Assurance Employee List'!D290</x:f>
        <x:v>milbert.kakyama@pwc.com</x:v>
      </x:c>
      <x:c r="E289" s="130" t="n">
        <x:f>IF($D289="",0,SUMIF('Attendance Report - Option 1'!$P$11:$P$315,$D289,'Attendance Report - Option 1'!$Q$11:$Q$315)/86400)</x:f>
        <x:v>0.08467592592592593</x:v>
      </x:c>
      <x:c r="F289" s="131" t="str">
        <x:f>IF(E289=0,"Did not attend",IF(E289&gt;='Read Me'!$E$2/86400,"Fully attended","Partially attended"))</x:f>
        <x:v>Fully attended</x:v>
      </x:c>
      <x:c r="G289" s="130" t="n">
        <x:f>IF($D289="",0,SUMIF('Attendance Report - Option 2'!$P$11:$P$412,$D289,'Attendance Report - Option 2'!$Q$11:$Q$412)/86400)</x:f>
        <x:v>0</x:v>
      </x:c>
      <x:c r="H289" s="131" t="str">
        <x:f>IF(G289=0,"Did not attend",IF(G289&gt;='Read Me'!$E$2/86400,"Fully attended","Partially attended"))</x:f>
        <x:v>Did not attend</x:v>
      </x:c>
      <x:c r="I289" s="130" t="n">
        <x:f>E289+G289</x:f>
        <x:v>0.08467592592592593</x:v>
      </x:c>
      <x:c r="J289" s="131" t="str">
        <x:f>IF(I289=0,"Did not attend",IF(I289&gt;='Read Me'!$E$2/86400,"Fully attended","Partially attended"))</x:f>
        <x:v>Fully attended</x:v>
      </x:c>
      <x:c r="K289" s="131" t="str">
        <x:f>IF($D289="","No",IF(COUNTIF('Attendance Report - Option 1'!$P$11:$P$315,$D289)&gt;0,"Yes","No"))</x:f>
        <x:v>Yes</x:v>
      </x:c>
      <x:c r="L289" s="131" t="str">
        <x:f>IF($D289="","No",IF(COUNTIF('Attendance Report - Option 2'!$P$11:$P$412,$D289)&gt;0,"Yes","No"))</x:f>
        <x:v>No</x:v>
      </x:c>
    </x:row>
    <x:row r="290">
      <x:c r="A290" s="16" t="str">
        <x:f>'EMA Assurance Employee List'!A291</x:f>
        <x:v>Mirriam Muatha</x:v>
      </x:c>
      <x:c r="B290" s="16" t="str">
        <x:f>IF(C290="KE","Kenya",IF(C290="UG","Uganda",IF(C290="MU","Mauritius",IF(C290="TZ","Tanzania",IF(C290="RW","Rwanda",IF(C290="ZA","South Africa",IF(C290="ZM","Zambia","")))))))</x:f>
        <x:v>Kenya</x:v>
      </x:c>
      <x:c r="C290" s="16" t="str">
        <x:f>'EMA Assurance Employee List'!B291</x:f>
        <x:v>KE</x:v>
      </x:c>
      <x:c r="D290" s="16" t="str">
        <x:f>'EMA Assurance Employee List'!D291</x:f>
        <x:v>mirriam.muatha@pwc.com</x:v>
      </x:c>
      <x:c r="E290" s="130" t="n">
        <x:f>IF($D290="",0,SUMIF('Attendance Report - Option 1'!$P$11:$P$315,$D290,'Attendance Report - Option 1'!$Q$11:$Q$315)/86400)</x:f>
        <x:v>0</x:v>
      </x:c>
      <x:c r="F290" s="131" t="str">
        <x:f>IF(E290=0,"Did not attend",IF(E290&gt;='Read Me'!$E$2/86400,"Fully attended","Partially attended"))</x:f>
        <x:v>Did not attend</x:v>
      </x:c>
      <x:c r="G290" s="130" t="n">
        <x:f>IF($D290="",0,SUMIF('Attendance Report - Option 2'!$P$11:$P$412,$D290,'Attendance Report - Option 2'!$Q$11:$Q$412)/86400)</x:f>
        <x:v>0.08917824074074074</x:v>
      </x:c>
      <x:c r="H290" s="131" t="str">
        <x:f>IF(G290=0,"Did not attend",IF(G290&gt;='Read Me'!$E$2/86400,"Fully attended","Partially attended"))</x:f>
        <x:v>Fully attended</x:v>
      </x:c>
      <x:c r="I290" s="130" t="n">
        <x:f>E290+G290</x:f>
        <x:v>0.08917824074074074</x:v>
      </x:c>
      <x:c r="J290" s="131" t="str">
        <x:f>IF(I290=0,"Did not attend",IF(I290&gt;='Read Me'!$E$2/86400,"Fully attended","Partially attended"))</x:f>
        <x:v>Fully attended</x:v>
      </x:c>
      <x:c r="K290" s="131" t="str">
        <x:f>IF($D290="","No",IF(COUNTIF('Attendance Report - Option 1'!$P$11:$P$315,$D290)&gt;0,"Yes","No"))</x:f>
        <x:v>No</x:v>
      </x:c>
      <x:c r="L290" s="131" t="str">
        <x:f>IF($D290="","No",IF(COUNTIF('Attendance Report - Option 2'!$P$11:$P$412,$D290)&gt;0,"Yes","No"))</x:f>
        <x:v>Yes</x:v>
      </x:c>
    </x:row>
    <x:row r="291">
      <x:c r="A291" s="16" t="str">
        <x:f>'EMA Assurance Employee List'!A292</x:f>
        <x:v>Moddie Mwewa</x:v>
      </x:c>
      <x:c r="B291" s="16" t="str">
        <x:f>IF(C291="KE","Kenya",IF(C291="UG","Uganda",IF(C291="MU","Mauritius",IF(C291="TZ","Tanzania",IF(C291="RW","Rwanda",IF(C291="ZA","South Africa",IF(C291="ZM","Zambia","")))))))</x:f>
        <x:v>Zambia</x:v>
      </x:c>
      <x:c r="C291" s="16" t="str">
        <x:f>'EMA Assurance Employee List'!B292</x:f>
        <x:v>ZM</x:v>
      </x:c>
      <x:c r="D291" s="16" t="str">
        <x:f>'EMA Assurance Employee List'!D292</x:f>
        <x:v>moddie.mwewa@pwc.com</x:v>
      </x:c>
      <x:c r="E291" s="130" t="n">
        <x:f>IF($D291="",0,SUMIF('Attendance Report - Option 1'!$P$11:$P$315,$D291,'Attendance Report - Option 1'!$Q$11:$Q$315)/86400)</x:f>
        <x:v>0.07517361111111111</x:v>
      </x:c>
      <x:c r="F291" s="131" t="str">
        <x:f>IF(E291=0,"Did not attend",IF(E291&gt;='Read Me'!$E$2/86400,"Fully attended","Partially attended"))</x:f>
        <x:v>Fully attended</x:v>
      </x:c>
      <x:c r="G291" s="130" t="n">
        <x:f>IF($D291="",0,SUMIF('Attendance Report - Option 2'!$P$11:$P$412,$D291,'Attendance Report - Option 2'!$Q$11:$Q$412)/86400)</x:f>
        <x:v>0</x:v>
      </x:c>
      <x:c r="H291" s="131" t="str">
        <x:f>IF(G291=0,"Did not attend",IF(G291&gt;='Read Me'!$E$2/86400,"Fully attended","Partially attended"))</x:f>
        <x:v>Did not attend</x:v>
      </x:c>
      <x:c r="I291" s="130" t="n">
        <x:f>E291+G291</x:f>
        <x:v>0.07517361111111111</x:v>
      </x:c>
      <x:c r="J291" s="131" t="str">
        <x:f>IF(I291=0,"Did not attend",IF(I291&gt;='Read Me'!$E$2/86400,"Fully attended","Partially attended"))</x:f>
        <x:v>Fully attended</x:v>
      </x:c>
      <x:c r="K291" s="131" t="str">
        <x:f>IF($D291="","No",IF(COUNTIF('Attendance Report - Option 1'!$P$11:$P$315,$D291)&gt;0,"Yes","No"))</x:f>
        <x:v>Yes</x:v>
      </x:c>
      <x:c r="L291" s="131" t="str">
        <x:f>IF($D291="","No",IF(COUNTIF('Attendance Report - Option 2'!$P$11:$P$412,$D291)&gt;0,"Yes","No"))</x:f>
        <x:v>No</x:v>
      </x:c>
    </x:row>
    <x:row r="292">
      <x:c r="A292" s="16" t="str">
        <x:f>'EMA Assurance Employee List'!A293</x:f>
        <x:v>Mohamed Zuberi</x:v>
      </x:c>
      <x:c r="B292" s="16" t="str">
        <x:f>IF(C292="KE","Kenya",IF(C292="UG","Uganda",IF(C292="MU","Mauritius",IF(C292="TZ","Tanzania",IF(C292="RW","Rwanda",IF(C292="ZA","South Africa",IF(C292="ZM","Zambia","")))))))</x:f>
        <x:v>Tanzania</x:v>
      </x:c>
      <x:c r="C292" s="16" t="str">
        <x:f>'EMA Assurance Employee List'!B293</x:f>
        <x:v>TZ</x:v>
      </x:c>
      <x:c r="D292" s="16" t="str">
        <x:f>'EMA Assurance Employee List'!D293</x:f>
        <x:v>mohamed.zuberi@pwc.com</x:v>
      </x:c>
      <x:c r="E292" s="130" t="n">
        <x:f>IF($D292="",0,SUMIF('Attendance Report - Option 1'!$P$11:$P$315,$D292,'Attendance Report - Option 1'!$Q$11:$Q$315)/86400)</x:f>
        <x:v>0.07947916666666667</x:v>
      </x:c>
      <x:c r="F292" s="131" t="str">
        <x:f>IF(E292=0,"Did not attend",IF(E292&gt;='Read Me'!$E$2/86400,"Fully attended","Partially attended"))</x:f>
        <x:v>Fully attended</x:v>
      </x:c>
      <x:c r="G292" s="130" t="n">
        <x:f>IF($D292="",0,SUMIF('Attendance Report - Option 2'!$P$11:$P$412,$D292,'Attendance Report - Option 2'!$Q$11:$Q$412)/86400)</x:f>
        <x:v>0</x:v>
      </x:c>
      <x:c r="H292" s="131" t="str">
        <x:f>IF(G292=0,"Did not attend",IF(G292&gt;='Read Me'!$E$2/86400,"Fully attended","Partially attended"))</x:f>
        <x:v>Did not attend</x:v>
      </x:c>
      <x:c r="I292" s="130" t="n">
        <x:f>E292+G292</x:f>
        <x:v>0.07947916666666667</x:v>
      </x:c>
      <x:c r="J292" s="131" t="str">
        <x:f>IF(I292=0,"Did not attend",IF(I292&gt;='Read Me'!$E$2/86400,"Fully attended","Partially attended"))</x:f>
        <x:v>Fully attended</x:v>
      </x:c>
      <x:c r="K292" s="131" t="str">
        <x:f>IF($D292="","No",IF(COUNTIF('Attendance Report - Option 1'!$P$11:$P$315,$D292)&gt;0,"Yes","No"))</x:f>
        <x:v>Yes</x:v>
      </x:c>
      <x:c r="L292" s="131" t="str">
        <x:f>IF($D292="","No",IF(COUNTIF('Attendance Report - Option 2'!$P$11:$P$412,$D292)&gt;0,"Yes","No"))</x:f>
        <x:v>No</x:v>
      </x:c>
    </x:row>
    <x:row r="293">
      <x:c r="A293" s="16" t="str">
        <x:f>'EMA Assurance Employee List'!A294</x:f>
        <x:v>Moheenee Harah</x:v>
      </x:c>
      <x:c r="B293" s="16" t="str">
        <x:f>IF(C293="KE","Kenya",IF(C293="UG","Uganda",IF(C293="MU","Mauritius",IF(C293="TZ","Tanzania",IF(C293="RW","Rwanda",IF(C293="ZA","South Africa",IF(C293="ZM","Zambia","")))))))</x:f>
        <x:v>Mauritius</x:v>
      </x:c>
      <x:c r="C293" s="16" t="str">
        <x:f>'EMA Assurance Employee List'!B294</x:f>
        <x:v>MU</x:v>
      </x:c>
      <x:c r="D293" s="16" t="str">
        <x:f>'EMA Assurance Employee List'!D294</x:f>
        <x:v>moheenee.harah@pwc.com</x:v>
      </x:c>
      <x:c r="E293" s="130" t="n">
        <x:f>IF($D293="",0,SUMIF('Attendance Report - Option 1'!$P$11:$P$315,$D293,'Attendance Report - Option 1'!$Q$11:$Q$315)/86400)</x:f>
        <x:v>0</x:v>
      </x:c>
      <x:c r="F293" s="131" t="str">
        <x:f>IF(E293=0,"Did not attend",IF(E293&gt;='Read Me'!$E$2/86400,"Fully attended","Partially attended"))</x:f>
        <x:v>Did not attend</x:v>
      </x:c>
      <x:c r="G293" s="130" t="n">
        <x:f>IF($D293="",0,SUMIF('Attendance Report - Option 2'!$P$11:$P$412,$D293,'Attendance Report - Option 2'!$Q$11:$Q$412)/86400)</x:f>
        <x:v>0.08859953703703703</x:v>
      </x:c>
      <x:c r="H293" s="131" t="str">
        <x:f>IF(G293=0,"Did not attend",IF(G293&gt;='Read Me'!$E$2/86400,"Fully attended","Partially attended"))</x:f>
        <x:v>Fully attended</x:v>
      </x:c>
      <x:c r="I293" s="130" t="n">
        <x:f>E293+G293</x:f>
        <x:v>0.08859953703703703</x:v>
      </x:c>
      <x:c r="J293" s="131" t="str">
        <x:f>IF(I293=0,"Did not attend",IF(I293&gt;='Read Me'!$E$2/86400,"Fully attended","Partially attended"))</x:f>
        <x:v>Fully attended</x:v>
      </x:c>
      <x:c r="K293" s="131" t="str">
        <x:f>IF($D293="","No",IF(COUNTIF('Attendance Report - Option 1'!$P$11:$P$315,$D293)&gt;0,"Yes","No"))</x:f>
        <x:v>No</x:v>
      </x:c>
      <x:c r="L293" s="131" t="str">
        <x:f>IF($D293="","No",IF(COUNTIF('Attendance Report - Option 2'!$P$11:$P$412,$D293)&gt;0,"Yes","No"))</x:f>
        <x:v>Yes</x:v>
      </x:c>
    </x:row>
    <x:row r="294">
      <x:c r="A294" s="16" t="str">
        <x:f>'EMA Assurance Employee List'!A295</x:f>
        <x:v>Moses Njoroge</x:v>
      </x:c>
      <x:c r="B294" s="16" t="str">
        <x:f>IF(C294="KE","Kenya",IF(C294="UG","Uganda",IF(C294="MU","Mauritius",IF(C294="TZ","Tanzania",IF(C294="RW","Rwanda",IF(C294="ZA","South Africa",IF(C294="ZM","Zambia","")))))))</x:f>
        <x:v>Kenya</x:v>
      </x:c>
      <x:c r="C294" s="16" t="str">
        <x:f>'EMA Assurance Employee List'!B295</x:f>
        <x:v>KE</x:v>
      </x:c>
      <x:c r="D294" s="16" t="str">
        <x:f>'EMA Assurance Employee List'!D295</x:f>
        <x:v>moses.njoroge@pwc.com</x:v>
      </x:c>
      <x:c r="E294" s="130" t="n">
        <x:f>IF($D294="",0,SUMIF('Attendance Report - Option 1'!$P$11:$P$315,$D294,'Attendance Report - Option 1'!$Q$11:$Q$315)/86400)</x:f>
        <x:v>0.07856481481481481</x:v>
      </x:c>
      <x:c r="F294" s="131" t="str">
        <x:f>IF(E294=0,"Did not attend",IF(E294&gt;='Read Me'!$E$2/86400,"Fully attended","Partially attended"))</x:f>
        <x:v>Fully attended</x:v>
      </x:c>
      <x:c r="G294" s="130" t="n">
        <x:f>IF($D294="",0,SUMIF('Attendance Report - Option 2'!$P$11:$P$412,$D294,'Attendance Report - Option 2'!$Q$11:$Q$412)/86400)</x:f>
        <x:v>0</x:v>
      </x:c>
      <x:c r="H294" s="131" t="str">
        <x:f>IF(G294=0,"Did not attend",IF(G294&gt;='Read Me'!$E$2/86400,"Fully attended","Partially attended"))</x:f>
        <x:v>Did not attend</x:v>
      </x:c>
      <x:c r="I294" s="130" t="n">
        <x:f>E294+G294</x:f>
        <x:v>0.07856481481481481</x:v>
      </x:c>
      <x:c r="J294" s="131" t="str">
        <x:f>IF(I294=0,"Did not attend",IF(I294&gt;='Read Me'!$E$2/86400,"Fully attended","Partially attended"))</x:f>
        <x:v>Fully attended</x:v>
      </x:c>
      <x:c r="K294" s="131" t="str">
        <x:f>IF($D294="","No",IF(COUNTIF('Attendance Report - Option 1'!$P$11:$P$315,$D294)&gt;0,"Yes","No"))</x:f>
        <x:v>Yes</x:v>
      </x:c>
      <x:c r="L294" s="131" t="str">
        <x:f>IF($D294="","No",IF(COUNTIF('Attendance Report - Option 2'!$P$11:$P$412,$D294)&gt;0,"Yes","No"))</x:f>
        <x:v>No</x:v>
      </x:c>
    </x:row>
    <x:row r="295">
      <x:c r="A295" s="16" t="str">
        <x:f>'EMA Assurance Employee List'!A296</x:f>
        <x:v>Mulenga Chileshe</x:v>
      </x:c>
      <x:c r="B295" s="16" t="str">
        <x:f>IF(C295="KE","Kenya",IF(C295="UG","Uganda",IF(C295="MU","Mauritius",IF(C295="TZ","Tanzania",IF(C295="RW","Rwanda",IF(C295="ZA","South Africa",IF(C295="ZM","Zambia","")))))))</x:f>
        <x:v>Zambia</x:v>
      </x:c>
      <x:c r="C295" s="16" t="str">
        <x:f>'EMA Assurance Employee List'!B296</x:f>
        <x:v>ZM</x:v>
      </x:c>
      <x:c r="D295" s="16" t="str">
        <x:f>'EMA Assurance Employee List'!D296</x:f>
        <x:v>mulenga.chileshe@pwc.com</x:v>
      </x:c>
      <x:c r="E295" s="130" t="n">
        <x:f>IF($D295="",0,SUMIF('Attendance Report - Option 1'!$P$11:$P$315,$D295,'Attendance Report - Option 1'!$Q$11:$Q$315)/86400)</x:f>
        <x:v>0</x:v>
      </x:c>
      <x:c r="F295" s="131" t="str">
        <x:f>IF(E295=0,"Did not attend",IF(E295&gt;='Read Me'!$E$2/86400,"Fully attended","Partially attended"))</x:f>
        <x:v>Did not attend</x:v>
      </x:c>
      <x:c r="G295" s="130" t="n">
        <x:f>IF($D295="",0,SUMIF('Attendance Report - Option 2'!$P$11:$P$412,$D295,'Attendance Report - Option 2'!$Q$11:$Q$412)/86400)</x:f>
        <x:v>0.020763888888888887</x:v>
      </x:c>
      <x:c r="H295" s="131" t="str">
        <x:f>IF(G295=0,"Did not attend",IF(G295&gt;='Read Me'!$E$2/86400,"Fully attended","Partially attended"))</x:f>
        <x:v>Partially attended</x:v>
      </x:c>
      <x:c r="I295" s="130" t="n">
        <x:f>E295+G295</x:f>
        <x:v>0.020763888888888887</x:v>
      </x:c>
      <x:c r="J295" s="131" t="str">
        <x:f>IF(I295=0,"Did not attend",IF(I295&gt;='Read Me'!$E$2/86400,"Fully attended","Partially attended"))</x:f>
        <x:v>Partially attended</x:v>
      </x:c>
      <x:c r="K295" s="131" t="str">
        <x:f>IF($D295="","No",IF(COUNTIF('Attendance Report - Option 1'!$P$11:$P$315,$D295)&gt;0,"Yes","No"))</x:f>
        <x:v>No</x:v>
      </x:c>
      <x:c r="L295" s="131" t="str">
        <x:f>IF($D295="","No",IF(COUNTIF('Attendance Report - Option 2'!$P$11:$P$412,$D295)&gt;0,"Yes","No"))</x:f>
        <x:v>Yes</x:v>
      </x:c>
    </x:row>
    <x:row r="296">
      <x:c r="A296" s="16" t="str">
        <x:f>'EMA Assurance Employee List'!A297</x:f>
        <x:v>Mulenga Chiti</x:v>
      </x:c>
      <x:c r="B296" s="16" t="str">
        <x:f>IF(C296="KE","Kenya",IF(C296="UG","Uganda",IF(C296="MU","Mauritius",IF(C296="TZ","Tanzania",IF(C296="RW","Rwanda",IF(C296="ZA","South Africa",IF(C296="ZM","Zambia","")))))))</x:f>
        <x:v>Zambia</x:v>
      </x:c>
      <x:c r="C296" s="16" t="str">
        <x:f>'EMA Assurance Employee List'!B297</x:f>
        <x:v>ZM</x:v>
      </x:c>
      <x:c r="D296" s="16" t="str">
        <x:f>'EMA Assurance Employee List'!D297</x:f>
        <x:v>mulenga.chiti@pwc.com</x:v>
      </x:c>
      <x:c r="E296" s="130" t="n">
        <x:f>IF($D296="",0,SUMIF('Attendance Report - Option 1'!$P$11:$P$315,$D296,'Attendance Report - Option 1'!$Q$11:$Q$315)/86400)</x:f>
        <x:v>0</x:v>
      </x:c>
      <x:c r="F296" s="131" t="str">
        <x:f>IF(E296=0,"Did not attend",IF(E296&gt;='Read Me'!$E$2/86400,"Fully attended","Partially attended"))</x:f>
        <x:v>Did not attend</x:v>
      </x:c>
      <x:c r="G296" s="130" t="n">
        <x:f>IF($D296="",0,SUMIF('Attendance Report - Option 2'!$P$11:$P$412,$D296,'Attendance Report - Option 2'!$Q$11:$Q$412)/86400)</x:f>
        <x:v>0.07884259259259259</x:v>
      </x:c>
      <x:c r="H296" s="131" t="str">
        <x:f>IF(G296=0,"Did not attend",IF(G296&gt;='Read Me'!$E$2/86400,"Fully attended","Partially attended"))</x:f>
        <x:v>Fully attended</x:v>
      </x:c>
      <x:c r="I296" s="130" t="n">
        <x:f>E296+G296</x:f>
        <x:v>0.07884259259259259</x:v>
      </x:c>
      <x:c r="J296" s="131" t="str">
        <x:f>IF(I296=0,"Did not attend",IF(I296&gt;='Read Me'!$E$2/86400,"Fully attended","Partially attended"))</x:f>
        <x:v>Fully attended</x:v>
      </x:c>
      <x:c r="K296" s="131" t="str">
        <x:f>IF($D296="","No",IF(COUNTIF('Attendance Report - Option 1'!$P$11:$P$315,$D296)&gt;0,"Yes","No"))</x:f>
        <x:v>No</x:v>
      </x:c>
      <x:c r="L296" s="131" t="str">
        <x:f>IF($D296="","No",IF(COUNTIF('Attendance Report - Option 2'!$P$11:$P$412,$D296)&gt;0,"Yes","No"))</x:f>
        <x:v>Yes</x:v>
      </x:c>
    </x:row>
    <x:row r="297">
      <x:c r="A297" s="16" t="str">
        <x:f>'EMA Assurance Employee List'!A298</x:f>
        <x:v>Muzzammil Panchoo</x:v>
      </x:c>
      <x:c r="B297" s="16" t="str">
        <x:f>IF(C297="KE","Kenya",IF(C297="UG","Uganda",IF(C297="MU","Mauritius",IF(C297="TZ","Tanzania",IF(C297="RW","Rwanda",IF(C297="ZA","South Africa",IF(C297="ZM","Zambia","")))))))</x:f>
        <x:v>Mauritius</x:v>
      </x:c>
      <x:c r="C297" s="16" t="str">
        <x:f>'EMA Assurance Employee List'!B298</x:f>
        <x:v>MU</x:v>
      </x:c>
      <x:c r="D297" s="16" t="str">
        <x:f>'EMA Assurance Employee List'!D298</x:f>
        <x:v>muzzammil.panchoo@pwc.com</x:v>
      </x:c>
      <x:c r="E297" s="130" t="n">
        <x:f>IF($D297="",0,SUMIF('Attendance Report - Option 1'!$P$11:$P$315,$D297,'Attendance Report - Option 1'!$Q$11:$Q$315)/86400)</x:f>
        <x:v>0</x:v>
      </x:c>
      <x:c r="F297" s="131" t="str">
        <x:f>IF(E297=0,"Did not attend",IF(E297&gt;='Read Me'!$E$2/86400,"Fully attended","Partially attended"))</x:f>
        <x:v>Did not attend</x:v>
      </x:c>
      <x:c r="G297" s="130" t="n">
        <x:f>IF($D297="",0,SUMIF('Attendance Report - Option 2'!$P$11:$P$412,$D297,'Attendance Report - Option 2'!$Q$11:$Q$412)/86400)</x:f>
        <x:v>0</x:v>
      </x:c>
      <x:c r="H297" s="131" t="str">
        <x:f>IF(G297=0,"Did not attend",IF(G297&gt;='Read Me'!$E$2/86400,"Fully attended","Partially attended"))</x:f>
        <x:v>Did not attend</x:v>
      </x:c>
      <x:c r="I297" s="130" t="n">
        <x:f>E297+G297</x:f>
        <x:v>0</x:v>
      </x:c>
      <x:c r="J297" s="131" t="str">
        <x:f>IF(I297=0,"Did not attend",IF(I297&gt;='Read Me'!$E$2/86400,"Fully attended","Partially attended"))</x:f>
        <x:v>Did not attend</x:v>
      </x:c>
      <x:c r="K297" s="131" t="str">
        <x:f>IF($D297="","No",IF(COUNTIF('Attendance Report - Option 1'!$P$11:$P$315,$D297)&gt;0,"Yes","No"))</x:f>
        <x:v>No</x:v>
      </x:c>
      <x:c r="L297" s="131" t="str">
        <x:f>IF($D297="","No",IF(COUNTIF('Attendance Report - Option 2'!$P$11:$P$412,$D297)&gt;0,"Yes","No"))</x:f>
        <x:v>No</x:v>
      </x:c>
    </x:row>
    <x:row r="298">
      <x:c r="A298" s="16" t="str">
        <x:f>'EMA Assurance Employee List'!A299</x:f>
        <x:v>Mwaka Njobvu</x:v>
      </x:c>
      <x:c r="B298" s="16" t="str">
        <x:f>IF(C298="KE","Kenya",IF(C298="UG","Uganda",IF(C298="MU","Mauritius",IF(C298="TZ","Tanzania",IF(C298="RW","Rwanda",IF(C298="ZA","South Africa",IF(C298="ZM","Zambia","")))))))</x:f>
        <x:v>Zambia</x:v>
      </x:c>
      <x:c r="C298" s="16" t="str">
        <x:f>'EMA Assurance Employee List'!B299</x:f>
        <x:v>ZM</x:v>
      </x:c>
      <x:c r="D298" s="16" t="str">
        <x:f>'EMA Assurance Employee List'!D299</x:f>
        <x:v>mwaka.njobvu@pwc.com</x:v>
      </x:c>
      <x:c r="E298" s="130" t="n">
        <x:f>IF($D298="",0,SUMIF('Attendance Report - Option 1'!$P$11:$P$315,$D298,'Attendance Report - Option 1'!$Q$11:$Q$315)/86400)</x:f>
        <x:v>0</x:v>
      </x:c>
      <x:c r="F298" s="131" t="str">
        <x:f>IF(E298=0,"Did not attend",IF(E298&gt;='Read Me'!$E$2/86400,"Fully attended","Partially attended"))</x:f>
        <x:v>Did not attend</x:v>
      </x:c>
      <x:c r="G298" s="130" t="n">
        <x:f>IF($D298="",0,SUMIF('Attendance Report - Option 2'!$P$11:$P$412,$D298,'Attendance Report - Option 2'!$Q$11:$Q$412)/86400)</x:f>
        <x:v>0.03650462962962963</x:v>
      </x:c>
      <x:c r="H298" s="131" t="str">
        <x:f>IF(G298=0,"Did not attend",IF(G298&gt;='Read Me'!$E$2/86400,"Fully attended","Partially attended"))</x:f>
        <x:v>Partially attended</x:v>
      </x:c>
      <x:c r="I298" s="130" t="n">
        <x:f>E298+G298</x:f>
        <x:v>0.03650462962962963</x:v>
      </x:c>
      <x:c r="J298" s="131" t="str">
        <x:f>IF(I298=0,"Did not attend",IF(I298&gt;='Read Me'!$E$2/86400,"Fully attended","Partially attended"))</x:f>
        <x:v>Partially attended</x:v>
      </x:c>
      <x:c r="K298" s="131" t="str">
        <x:f>IF($D298="","No",IF(COUNTIF('Attendance Report - Option 1'!$P$11:$P$315,$D298)&gt;0,"Yes","No"))</x:f>
        <x:v>No</x:v>
      </x:c>
      <x:c r="L298" s="131" t="str">
        <x:f>IF($D298="","No",IF(COUNTIF('Attendance Report - Option 2'!$P$11:$P$412,$D298)&gt;0,"Yes","No"))</x:f>
        <x:v>Yes</x:v>
      </x:c>
    </x:row>
    <x:row r="299">
      <x:c r="A299" s="16" t="str">
        <x:f>'EMA Assurance Employee List'!A300</x:f>
        <x:v>Mwangi Karanja</x:v>
      </x:c>
      <x:c r="B299" s="16" t="str">
        <x:f>IF(C299="KE","Kenya",IF(C299="UG","Uganda",IF(C299="MU","Mauritius",IF(C299="TZ","Tanzania",IF(C299="RW","Rwanda",IF(C299="ZA","South Africa",IF(C299="ZM","Zambia","")))))))</x:f>
        <x:v>Rwanda</x:v>
      </x:c>
      <x:c r="C299" s="16" t="str">
        <x:f>'EMA Assurance Employee List'!B300</x:f>
        <x:v>RW</x:v>
      </x:c>
      <x:c r="D299" s="16" t="str">
        <x:f>'EMA Assurance Employee List'!D300</x:f>
        <x:v>mwangi.j.karanja@pwc.com</x:v>
      </x:c>
      <x:c r="E299" s="130" t="n">
        <x:f>IF($D299="",0,SUMIF('Attendance Report - Option 1'!$P$11:$P$315,$D299,'Attendance Report - Option 1'!$Q$11:$Q$315)/86400)</x:f>
        <x:v>0</x:v>
      </x:c>
      <x:c r="F299" s="131" t="str">
        <x:f>IF(E299=0,"Did not attend",IF(E299&gt;='Read Me'!$E$2/86400,"Fully attended","Partially attended"))</x:f>
        <x:v>Did not attend</x:v>
      </x:c>
      <x:c r="G299" s="130" t="n">
        <x:f>IF($D299="",0,SUMIF('Attendance Report - Option 2'!$P$11:$P$412,$D299,'Attendance Report - Option 2'!$Q$11:$Q$412)/86400)</x:f>
        <x:v>0.08815972222222222</x:v>
      </x:c>
      <x:c r="H299" s="131" t="str">
        <x:f>IF(G299=0,"Did not attend",IF(G299&gt;='Read Me'!$E$2/86400,"Fully attended","Partially attended"))</x:f>
        <x:v>Fully attended</x:v>
      </x:c>
      <x:c r="I299" s="130" t="n">
        <x:f>E299+G299</x:f>
        <x:v>0.08815972222222222</x:v>
      </x:c>
      <x:c r="J299" s="131" t="str">
        <x:f>IF(I299=0,"Did not attend",IF(I299&gt;='Read Me'!$E$2/86400,"Fully attended","Partially attended"))</x:f>
        <x:v>Fully attended</x:v>
      </x:c>
      <x:c r="K299" s="131" t="str">
        <x:f>IF($D299="","No",IF(COUNTIF('Attendance Report - Option 1'!$P$11:$P$315,$D299)&gt;0,"Yes","No"))</x:f>
        <x:v>No</x:v>
      </x:c>
      <x:c r="L299" s="131" t="str">
        <x:f>IF($D299="","No",IF(COUNTIF('Attendance Report - Option 2'!$P$11:$P$412,$D299)&gt;0,"Yes","No"))</x:f>
        <x:v>Yes</x:v>
      </x:c>
    </x:row>
    <x:row r="300">
      <x:c r="A300" s="16" t="str">
        <x:f>'EMA Assurance Employee List'!A301</x:f>
        <x:v>Mwiya Mwiya</x:v>
      </x:c>
      <x:c r="B300" s="16" t="str">
        <x:f>IF(C300="KE","Kenya",IF(C300="UG","Uganda",IF(C300="MU","Mauritius",IF(C300="TZ","Tanzania",IF(C300="RW","Rwanda",IF(C300="ZA","South Africa",IF(C300="ZM","Zambia","")))))))</x:f>
        <x:v>Zambia</x:v>
      </x:c>
      <x:c r="C300" s="16" t="str">
        <x:f>'EMA Assurance Employee List'!B301</x:f>
        <x:v>ZM</x:v>
      </x:c>
      <x:c r="D300" s="16" t="str">
        <x:f>'EMA Assurance Employee List'!D301</x:f>
        <x:v>mwiya.mwiya@pwc.com</x:v>
      </x:c>
      <x:c r="E300" s="130" t="n">
        <x:f>IF($D300="",0,SUMIF('Attendance Report - Option 1'!$P$11:$P$315,$D300,'Attendance Report - Option 1'!$Q$11:$Q$315)/86400)</x:f>
        <x:v>0</x:v>
      </x:c>
      <x:c r="F300" s="131" t="str">
        <x:f>IF(E300=0,"Did not attend",IF(E300&gt;='Read Me'!$E$2/86400,"Fully attended","Partially attended"))</x:f>
        <x:v>Did not attend</x:v>
      </x:c>
      <x:c r="G300" s="130" t="n">
        <x:f>IF($D300="",0,SUMIF('Attendance Report - Option 2'!$P$11:$P$412,$D300,'Attendance Report - Option 2'!$Q$11:$Q$412)/86400)</x:f>
        <x:v>0.0804861111111111</x:v>
      </x:c>
      <x:c r="H300" s="131" t="str">
        <x:f>IF(G300=0,"Did not attend",IF(G300&gt;='Read Me'!$E$2/86400,"Fully attended","Partially attended"))</x:f>
        <x:v>Fully attended</x:v>
      </x:c>
      <x:c r="I300" s="130" t="n">
        <x:f>E300+G300</x:f>
        <x:v>0.0804861111111111</x:v>
      </x:c>
      <x:c r="J300" s="131" t="str">
        <x:f>IF(I300=0,"Did not attend",IF(I300&gt;='Read Me'!$E$2/86400,"Fully attended","Partially attended"))</x:f>
        <x:v>Fully attended</x:v>
      </x:c>
      <x:c r="K300" s="131" t="str">
        <x:f>IF($D300="","No",IF(COUNTIF('Attendance Report - Option 1'!$P$11:$P$315,$D300)&gt;0,"Yes","No"))</x:f>
        <x:v>No</x:v>
      </x:c>
      <x:c r="L300" s="131" t="str">
        <x:f>IF($D300="","No",IF(COUNTIF('Attendance Report - Option 2'!$P$11:$P$412,$D300)&gt;0,"Yes","No"))</x:f>
        <x:v>Yes</x:v>
      </x:c>
    </x:row>
    <x:row r="301">
      <x:c r="A301" s="16" t="str">
        <x:f>'EMA Assurance Employee List'!A302</x:f>
        <x:v>Naeku Edith</x:v>
      </x:c>
      <x:c r="B301" s="16" t="str">
        <x:f>IF(C301="KE","Kenya",IF(C301="UG","Uganda",IF(C301="MU","Mauritius",IF(C301="TZ","Tanzania",IF(C301="RW","Rwanda",IF(C301="ZA","South Africa",IF(C301="ZM","Zambia","")))))))</x:f>
        <x:v>Kenya</x:v>
      </x:c>
      <x:c r="C301" s="16" t="str">
        <x:f>'EMA Assurance Employee List'!B302</x:f>
        <x:v>KE</x:v>
      </x:c>
      <x:c r="D301" s="16" t="str">
        <x:f>'EMA Assurance Employee List'!D302</x:f>
        <x:v>naeku.edith@pwc.com</x:v>
      </x:c>
      <x:c r="E301" s="130" t="n">
        <x:f>IF($D301="",0,SUMIF('Attendance Report - Option 1'!$P$11:$P$315,$D301,'Attendance Report - Option 1'!$Q$11:$Q$315)/86400)</x:f>
        <x:v>0.08321759259259259</x:v>
      </x:c>
      <x:c r="F301" s="131" t="str">
        <x:f>IF(E301=0,"Did not attend",IF(E301&gt;='Read Me'!$E$2/86400,"Fully attended","Partially attended"))</x:f>
        <x:v>Fully attended</x:v>
      </x:c>
      <x:c r="G301" s="130" t="n">
        <x:f>IF($D301="",0,SUMIF('Attendance Report - Option 2'!$P$11:$P$412,$D301,'Attendance Report - Option 2'!$Q$11:$Q$412)/86400)</x:f>
        <x:v>0</x:v>
      </x:c>
      <x:c r="H301" s="131" t="str">
        <x:f>IF(G301=0,"Did not attend",IF(G301&gt;='Read Me'!$E$2/86400,"Fully attended","Partially attended"))</x:f>
        <x:v>Did not attend</x:v>
      </x:c>
      <x:c r="I301" s="130" t="n">
        <x:f>E301+G301</x:f>
        <x:v>0.08321759259259259</x:v>
      </x:c>
      <x:c r="J301" s="131" t="str">
        <x:f>IF(I301=0,"Did not attend",IF(I301&gt;='Read Me'!$E$2/86400,"Fully attended","Partially attended"))</x:f>
        <x:v>Fully attended</x:v>
      </x:c>
      <x:c r="K301" s="131" t="str">
        <x:f>IF($D301="","No",IF(COUNTIF('Attendance Report - Option 1'!$P$11:$P$315,$D301)&gt;0,"Yes","No"))</x:f>
        <x:v>Yes</x:v>
      </x:c>
      <x:c r="L301" s="131" t="str">
        <x:f>IF($D301="","No",IF(COUNTIF('Attendance Report - Option 2'!$P$11:$P$412,$D301)&gt;0,"Yes","No"))</x:f>
        <x:v>No</x:v>
      </x:c>
    </x:row>
    <x:row r="302">
      <x:c r="A302" s="16" t="str">
        <x:f>'EMA Assurance Employee List'!A303</x:f>
        <x:v>Nahashon Kimani</x:v>
      </x:c>
      <x:c r="B302" s="16" t="str">
        <x:f>IF(C302="KE","Kenya",IF(C302="UG","Uganda",IF(C302="MU","Mauritius",IF(C302="TZ","Tanzania",IF(C302="RW","Rwanda",IF(C302="ZA","South Africa",IF(C302="ZM","Zambia","")))))))</x:f>
        <x:v>Kenya</x:v>
      </x:c>
      <x:c r="C302" s="16" t="str">
        <x:f>'EMA Assurance Employee List'!B303</x:f>
        <x:v>KE</x:v>
      </x:c>
      <x:c r="D302" s="16" t="str">
        <x:f>'EMA Assurance Employee List'!D303</x:f>
        <x:v>nahashon.kimani@pwc.com</x:v>
      </x:c>
      <x:c r="E302" s="130" t="n">
        <x:f>IF($D302="",0,SUMIF('Attendance Report - Option 1'!$P$11:$P$315,$D302,'Attendance Report - Option 1'!$Q$11:$Q$315)/86400)</x:f>
        <x:v>0.07916666666666666</x:v>
      </x:c>
      <x:c r="F302" s="131" t="str">
        <x:f>IF(E302=0,"Did not attend",IF(E302&gt;='Read Me'!$E$2/86400,"Fully attended","Partially attended"))</x:f>
        <x:v>Fully attended</x:v>
      </x:c>
      <x:c r="G302" s="130" t="n">
        <x:f>IF($D302="",0,SUMIF('Attendance Report - Option 2'!$P$11:$P$412,$D302,'Attendance Report - Option 2'!$Q$11:$Q$412)/86400)</x:f>
        <x:v>0</x:v>
      </x:c>
      <x:c r="H302" s="131" t="str">
        <x:f>IF(G302=0,"Did not attend",IF(G302&gt;='Read Me'!$E$2/86400,"Fully attended","Partially attended"))</x:f>
        <x:v>Did not attend</x:v>
      </x:c>
      <x:c r="I302" s="130" t="n">
        <x:f>E302+G302</x:f>
        <x:v>0.07916666666666666</x:v>
      </x:c>
      <x:c r="J302" s="131" t="str">
        <x:f>IF(I302=0,"Did not attend",IF(I302&gt;='Read Me'!$E$2/86400,"Fully attended","Partially attended"))</x:f>
        <x:v>Fully attended</x:v>
      </x:c>
      <x:c r="K302" s="131" t="str">
        <x:f>IF($D302="","No",IF(COUNTIF('Attendance Report - Option 1'!$P$11:$P$315,$D302)&gt;0,"Yes","No"))</x:f>
        <x:v>Yes</x:v>
      </x:c>
      <x:c r="L302" s="131" t="str">
        <x:f>IF($D302="","No",IF(COUNTIF('Attendance Report - Option 2'!$P$11:$P$412,$D302)&gt;0,"Yes","No"))</x:f>
        <x:v>No</x:v>
      </x:c>
    </x:row>
    <x:row r="303">
      <x:c r="A303" s="16" t="str">
        <x:f>'EMA Assurance Employee List'!A304</x:f>
        <x:v>Nahashon Thuo</x:v>
      </x:c>
      <x:c r="B303" s="16" t="str">
        <x:f>IF(C303="KE","Kenya",IF(C303="UG","Uganda",IF(C303="MU","Mauritius",IF(C303="TZ","Tanzania",IF(C303="RW","Rwanda",IF(C303="ZA","South Africa",IF(C303="ZM","Zambia","")))))))</x:f>
        <x:v>Kenya</x:v>
      </x:c>
      <x:c r="C303" s="16" t="str">
        <x:f>'EMA Assurance Employee List'!B304</x:f>
        <x:v>KE</x:v>
      </x:c>
      <x:c r="D303" s="16" t="str">
        <x:f>'EMA Assurance Employee List'!D304</x:f>
        <x:v>nahashon.thuo@pwc.com</x:v>
      </x:c>
      <x:c r="E303" s="130" t="n">
        <x:f>IF($D303="",0,SUMIF('Attendance Report - Option 1'!$P$11:$P$315,$D303,'Attendance Report - Option 1'!$Q$11:$Q$315)/86400)</x:f>
        <x:v>0.07818287037037037</x:v>
      </x:c>
      <x:c r="F303" s="131" t="str">
        <x:f>IF(E303=0,"Did not attend",IF(E303&gt;='Read Me'!$E$2/86400,"Fully attended","Partially attended"))</x:f>
        <x:v>Fully attended</x:v>
      </x:c>
      <x:c r="G303" s="130" t="n">
        <x:f>IF($D303="",0,SUMIF('Attendance Report - Option 2'!$P$11:$P$412,$D303,'Attendance Report - Option 2'!$Q$11:$Q$412)/86400)</x:f>
        <x:v>0</x:v>
      </x:c>
      <x:c r="H303" s="131" t="str">
        <x:f>IF(G303=0,"Did not attend",IF(G303&gt;='Read Me'!$E$2/86400,"Fully attended","Partially attended"))</x:f>
        <x:v>Did not attend</x:v>
      </x:c>
      <x:c r="I303" s="130" t="n">
        <x:f>E303+G303</x:f>
        <x:v>0.07818287037037037</x:v>
      </x:c>
      <x:c r="J303" s="131" t="str">
        <x:f>IF(I303=0,"Did not attend",IF(I303&gt;='Read Me'!$E$2/86400,"Fully attended","Partially attended"))</x:f>
        <x:v>Fully attended</x:v>
      </x:c>
      <x:c r="K303" s="131" t="str">
        <x:f>IF($D303="","No",IF(COUNTIF('Attendance Report - Option 1'!$P$11:$P$315,$D303)&gt;0,"Yes","No"))</x:f>
        <x:v>Yes</x:v>
      </x:c>
      <x:c r="L303" s="131" t="str">
        <x:f>IF($D303="","No",IF(COUNTIF('Attendance Report - Option 2'!$P$11:$P$412,$D303)&gt;0,"Yes","No"))</x:f>
        <x:v>No</x:v>
      </x:c>
    </x:row>
    <x:row r="304">
      <x:c r="A304" s="16" t="str">
        <x:f>'EMA Assurance Employee List'!A305</x:f>
        <x:v>Nancy Woisso</x:v>
      </x:c>
      <x:c r="B304" s="16" t="str">
        <x:f>IF(C304="KE","Kenya",IF(C304="UG","Uganda",IF(C304="MU","Mauritius",IF(C304="TZ","Tanzania",IF(C304="RW","Rwanda",IF(C304="ZA","South Africa",IF(C304="ZM","Zambia","")))))))</x:f>
        <x:v>Tanzania</x:v>
      </x:c>
      <x:c r="C304" s="16" t="str">
        <x:f>'EMA Assurance Employee List'!B305</x:f>
        <x:v>TZ</x:v>
      </x:c>
      <x:c r="D304" s="16" t="str">
        <x:f>'EMA Assurance Employee List'!D305</x:f>
        <x:v>nancy.woisso@pwc.com</x:v>
      </x:c>
      <x:c r="E304" s="130" t="n">
        <x:f>IF($D304="",0,SUMIF('Attendance Report - Option 1'!$P$11:$P$315,$D304,'Attendance Report - Option 1'!$Q$11:$Q$315)/86400)</x:f>
        <x:v>0.07996527777777777</x:v>
      </x:c>
      <x:c r="F304" s="131" t="str">
        <x:f>IF(E304=0,"Did not attend",IF(E304&gt;='Read Me'!$E$2/86400,"Fully attended","Partially attended"))</x:f>
        <x:v>Fully attended</x:v>
      </x:c>
      <x:c r="G304" s="130" t="n">
        <x:f>IF($D304="",0,SUMIF('Attendance Report - Option 2'!$P$11:$P$412,$D304,'Attendance Report - Option 2'!$Q$11:$Q$412)/86400)</x:f>
        <x:v>0</x:v>
      </x:c>
      <x:c r="H304" s="131" t="str">
        <x:f>IF(G304=0,"Did not attend",IF(G304&gt;='Read Me'!$E$2/86400,"Fully attended","Partially attended"))</x:f>
        <x:v>Did not attend</x:v>
      </x:c>
      <x:c r="I304" s="130" t="n">
        <x:f>E304+G304</x:f>
        <x:v>0.07996527777777777</x:v>
      </x:c>
      <x:c r="J304" s="131" t="str">
        <x:f>IF(I304=0,"Did not attend",IF(I304&gt;='Read Me'!$E$2/86400,"Fully attended","Partially attended"))</x:f>
        <x:v>Fully attended</x:v>
      </x:c>
      <x:c r="K304" s="131" t="str">
        <x:f>IF($D304="","No",IF(COUNTIF('Attendance Report - Option 1'!$P$11:$P$315,$D304)&gt;0,"Yes","No"))</x:f>
        <x:v>Yes</x:v>
      </x:c>
      <x:c r="L304" s="131" t="str">
        <x:f>IF($D304="","No",IF(COUNTIF('Attendance Report - Option 2'!$P$11:$P$412,$D304)&gt;0,"Yes","No"))</x:f>
        <x:v>No</x:v>
      </x:c>
    </x:row>
    <x:row r="305">
      <x:c r="A305" s="16" t="str">
        <x:f>'EMA Assurance Employee List'!A306</x:f>
        <x:v>Naomi Mwamba</x:v>
      </x:c>
      <x:c r="B305" s="16" t="str">
        <x:f>IF(C305="KE","Kenya",IF(C305="UG","Uganda",IF(C305="MU","Mauritius",IF(C305="TZ","Tanzania",IF(C305="RW","Rwanda",IF(C305="ZA","South Africa",IF(C305="ZM","Zambia","")))))))</x:f>
        <x:v>Zambia</x:v>
      </x:c>
      <x:c r="C305" s="16" t="str">
        <x:f>'EMA Assurance Employee List'!B306</x:f>
        <x:v>ZM</x:v>
      </x:c>
      <x:c r="D305" s="16" t="str">
        <x:f>'EMA Assurance Employee List'!D306</x:f>
        <x:v>naomi.mwamba@pwc.com</x:v>
      </x:c>
      <x:c r="E305" s="130" t="n">
        <x:f>IF($D305="",0,SUMIF('Attendance Report - Option 1'!$P$11:$P$315,$D305,'Attendance Report - Option 1'!$Q$11:$Q$315)/86400)</x:f>
        <x:v>0.052175925925925924</x:v>
      </x:c>
      <x:c r="F305" s="131" t="str">
        <x:f>IF(E305=0,"Did not attend",IF(E305&gt;='Read Me'!$E$2/86400,"Fully attended","Partially attended"))</x:f>
        <x:v>Partially attended</x:v>
      </x:c>
      <x:c r="G305" s="130" t="n">
        <x:f>IF($D305="",0,SUMIF('Attendance Report - Option 2'!$P$11:$P$412,$D305,'Attendance Report - Option 2'!$Q$11:$Q$412)/86400)</x:f>
        <x:v>0</x:v>
      </x:c>
      <x:c r="H305" s="131" t="str">
        <x:f>IF(G305=0,"Did not attend",IF(G305&gt;='Read Me'!$E$2/86400,"Fully attended","Partially attended"))</x:f>
        <x:v>Did not attend</x:v>
      </x:c>
      <x:c r="I305" s="130" t="n">
        <x:f>E305+G305</x:f>
        <x:v>0.052175925925925924</x:v>
      </x:c>
      <x:c r="J305" s="131" t="str">
        <x:f>IF(I305=0,"Did not attend",IF(I305&gt;='Read Me'!$E$2/86400,"Fully attended","Partially attended"))</x:f>
        <x:v>Partially attended</x:v>
      </x:c>
      <x:c r="K305" s="131" t="str">
        <x:f>IF($D305="","No",IF(COUNTIF('Attendance Report - Option 1'!$P$11:$P$315,$D305)&gt;0,"Yes","No"))</x:f>
        <x:v>Yes</x:v>
      </x:c>
      <x:c r="L305" s="131" t="str">
        <x:f>IF($D305="","No",IF(COUNTIF('Attendance Report - Option 2'!$P$11:$P$412,$D305)&gt;0,"Yes","No"))</x:f>
        <x:v>No</x:v>
      </x:c>
    </x:row>
    <x:row r="306">
      <x:c r="A306" s="16" t="str">
        <x:f>'EMA Assurance Employee List'!A307</x:f>
        <x:v>Napelwa Kambafwile</x:v>
      </x:c>
      <x:c r="B306" s="16" t="str">
        <x:f>IF(C306="KE","Kenya",IF(C306="UG","Uganda",IF(C306="MU","Mauritius",IF(C306="TZ","Tanzania",IF(C306="RW","Rwanda",IF(C306="ZA","South Africa",IF(C306="ZM","Zambia","")))))))</x:f>
        <x:v>Zambia</x:v>
      </x:c>
      <x:c r="C306" s="16" t="str">
        <x:f>'EMA Assurance Employee List'!B307</x:f>
        <x:v>ZM</x:v>
      </x:c>
      <x:c r="D306" s="16" t="str">
        <x:f>'EMA Assurance Employee List'!D307</x:f>
        <x:v>napelwa.kambafwile@pwc.com</x:v>
      </x:c>
      <x:c r="E306" s="130" t="n">
        <x:f>IF($D306="",0,SUMIF('Attendance Report - Option 1'!$P$11:$P$315,$D306,'Attendance Report - Option 1'!$Q$11:$Q$315)/86400)</x:f>
        <x:v>0</x:v>
      </x:c>
      <x:c r="F306" s="131" t="str">
        <x:f>IF(E306=0,"Did not attend",IF(E306&gt;='Read Me'!$E$2/86400,"Fully attended","Partially attended"))</x:f>
        <x:v>Did not attend</x:v>
      </x:c>
      <x:c r="G306" s="130" t="n">
        <x:f>IF($D306="",0,SUMIF('Attendance Report - Option 2'!$P$11:$P$412,$D306,'Attendance Report - Option 2'!$Q$11:$Q$412)/86400)</x:f>
        <x:v>0.07760416666666667</x:v>
      </x:c>
      <x:c r="H306" s="131" t="str">
        <x:f>IF(G306=0,"Did not attend",IF(G306&gt;='Read Me'!$E$2/86400,"Fully attended","Partially attended"))</x:f>
        <x:v>Fully attended</x:v>
      </x:c>
      <x:c r="I306" s="130" t="n">
        <x:f>E306+G306</x:f>
        <x:v>0.07760416666666667</x:v>
      </x:c>
      <x:c r="J306" s="131" t="str">
        <x:f>IF(I306=0,"Did not attend",IF(I306&gt;='Read Me'!$E$2/86400,"Fully attended","Partially attended"))</x:f>
        <x:v>Fully attended</x:v>
      </x:c>
      <x:c r="K306" s="131" t="str">
        <x:f>IF($D306="","No",IF(COUNTIF('Attendance Report - Option 1'!$P$11:$P$315,$D306)&gt;0,"Yes","No"))</x:f>
        <x:v>No</x:v>
      </x:c>
      <x:c r="L306" s="131" t="str">
        <x:f>IF($D306="","No",IF(COUNTIF('Attendance Report - Option 2'!$P$11:$P$412,$D306)&gt;0,"Yes","No"))</x:f>
        <x:v>Yes</x:v>
      </x:c>
    </x:row>
    <x:row r="307">
      <x:c r="A307" s="16" t="str">
        <x:f>'EMA Assurance Employee List'!A308</x:f>
        <x:v>Navishta Jugasing</x:v>
      </x:c>
      <x:c r="B307" s="16" t="str">
        <x:f>IF(C307="KE","Kenya",IF(C307="UG","Uganda",IF(C307="MU","Mauritius",IF(C307="TZ","Tanzania",IF(C307="RW","Rwanda",IF(C307="ZA","South Africa",IF(C307="ZM","Zambia","")))))))</x:f>
        <x:v>Mauritius</x:v>
      </x:c>
      <x:c r="C307" s="16" t="str">
        <x:f>'EMA Assurance Employee List'!B308</x:f>
        <x:v>MU</x:v>
      </x:c>
      <x:c r="D307" s="16" t="str">
        <x:f>'EMA Assurance Employee List'!D308</x:f>
        <x:v>navishta.jugasing@pwc.com</x:v>
      </x:c>
      <x:c r="E307" s="130" t="n">
        <x:f>IF($D307="",0,SUMIF('Attendance Report - Option 1'!$P$11:$P$315,$D307,'Attendance Report - Option 1'!$Q$11:$Q$315)/86400)</x:f>
        <x:v>0</x:v>
      </x:c>
      <x:c r="F307" s="131" t="str">
        <x:f>IF(E307=0,"Did not attend",IF(E307&gt;='Read Me'!$E$2/86400,"Fully attended","Partially attended"))</x:f>
        <x:v>Did not attend</x:v>
      </x:c>
      <x:c r="G307" s="130" t="n">
        <x:f>IF($D307="",0,SUMIF('Attendance Report - Option 2'!$P$11:$P$412,$D307,'Attendance Report - Option 2'!$Q$11:$Q$412)/86400)</x:f>
        <x:v>0.08805555555555555</x:v>
      </x:c>
      <x:c r="H307" s="131" t="str">
        <x:f>IF(G307=0,"Did not attend",IF(G307&gt;='Read Me'!$E$2/86400,"Fully attended","Partially attended"))</x:f>
        <x:v>Fully attended</x:v>
      </x:c>
      <x:c r="I307" s="130" t="n">
        <x:f>E307+G307</x:f>
        <x:v>0.08805555555555555</x:v>
      </x:c>
      <x:c r="J307" s="131" t="str">
        <x:f>IF(I307=0,"Did not attend",IF(I307&gt;='Read Me'!$E$2/86400,"Fully attended","Partially attended"))</x:f>
        <x:v>Fully attended</x:v>
      </x:c>
      <x:c r="K307" s="131" t="str">
        <x:f>IF($D307="","No",IF(COUNTIF('Attendance Report - Option 1'!$P$11:$P$315,$D307)&gt;0,"Yes","No"))</x:f>
        <x:v>No</x:v>
      </x:c>
      <x:c r="L307" s="131" t="str">
        <x:f>IF($D307="","No",IF(COUNTIF('Attendance Report - Option 2'!$P$11:$P$412,$D307)&gt;0,"Yes","No"))</x:f>
        <x:v>Yes</x:v>
      </x:c>
    </x:row>
    <x:row r="308">
      <x:c r="A308" s="16" t="str">
        <x:f>'EMA Assurance Employee List'!A309</x:f>
        <x:v>Ndana Simataa</x:v>
      </x:c>
      <x:c r="B308" s="16" t="str">
        <x:f>IF(C308="KE","Kenya",IF(C308="UG","Uganda",IF(C308="MU","Mauritius",IF(C308="TZ","Tanzania",IF(C308="RW","Rwanda",IF(C308="ZA","South Africa",IF(C308="ZM","Zambia","")))))))</x:f>
        <x:v>Zambia</x:v>
      </x:c>
      <x:c r="C308" s="16" t="str">
        <x:f>'EMA Assurance Employee List'!B309</x:f>
        <x:v>ZM</x:v>
      </x:c>
      <x:c r="D308" s="16" t="str">
        <x:f>'EMA Assurance Employee List'!D309</x:f>
        <x:v>ndana.simataa@pwc.com</x:v>
      </x:c>
      <x:c r="E308" s="130" t="n">
        <x:f>IF($D308="",0,SUMIF('Attendance Report - Option 1'!$P$11:$P$315,$D308,'Attendance Report - Option 1'!$Q$11:$Q$315)/86400)</x:f>
        <x:v>0.01744212962962963</x:v>
      </x:c>
      <x:c r="F308" s="131" t="str">
        <x:f>IF(E308=0,"Did not attend",IF(E308&gt;='Read Me'!$E$2/86400,"Fully attended","Partially attended"))</x:f>
        <x:v>Partially attended</x:v>
      </x:c>
      <x:c r="G308" s="130" t="n">
        <x:f>IF($D308="",0,SUMIF('Attendance Report - Option 2'!$P$11:$P$412,$D308,'Attendance Report - Option 2'!$Q$11:$Q$412)/86400)</x:f>
        <x:v>0.03311342592592593</x:v>
      </x:c>
      <x:c r="H308" s="131" t="str">
        <x:f>IF(G308=0,"Did not attend",IF(G308&gt;='Read Me'!$E$2/86400,"Fully attended","Partially attended"))</x:f>
        <x:v>Partially attended</x:v>
      </x:c>
      <x:c r="I308" s="130" t="n">
        <x:f>E308+G308</x:f>
        <x:v>0.05055555555555556</x:v>
      </x:c>
      <x:c r="J308" s="131" t="str">
        <x:f>IF(I308=0,"Did not attend",IF(I308&gt;='Read Me'!$E$2/86400,"Fully attended","Partially attended"))</x:f>
        <x:v>Partially attended</x:v>
      </x:c>
      <x:c r="K308" s="131" t="str">
        <x:f>IF($D308="","No",IF(COUNTIF('Attendance Report - Option 1'!$P$11:$P$315,$D308)&gt;0,"Yes","No"))</x:f>
        <x:v>Yes</x:v>
      </x:c>
      <x:c r="L308" s="131" t="str">
        <x:f>IF($D308="","No",IF(COUNTIF('Attendance Report - Option 2'!$P$11:$P$412,$D308)&gt;0,"Yes","No"))</x:f>
        <x:v>Yes</x:v>
      </x:c>
    </x:row>
    <x:row r="309">
      <x:c r="A309" s="16" t="str">
        <x:f>'EMA Assurance Employee List'!A310</x:f>
        <x:v>Ndanji Simukoko</x:v>
      </x:c>
      <x:c r="B309" s="16" t="str">
        <x:f>IF(C309="KE","Kenya",IF(C309="UG","Uganda",IF(C309="MU","Mauritius",IF(C309="TZ","Tanzania",IF(C309="RW","Rwanda",IF(C309="ZA","South Africa",IF(C309="ZM","Zambia","")))))))</x:f>
        <x:v>Zambia</x:v>
      </x:c>
      <x:c r="C309" s="16" t="str">
        <x:f>'EMA Assurance Employee List'!B310</x:f>
        <x:v>ZM</x:v>
      </x:c>
      <x:c r="D309" s="16" t="str">
        <x:f>'EMA Assurance Employee List'!D310</x:f>
        <x:v>ndanji.simukoko@pwc.com</x:v>
      </x:c>
      <x:c r="E309" s="130" t="n">
        <x:f>IF($D309="",0,SUMIF('Attendance Report - Option 1'!$P$11:$P$315,$D309,'Attendance Report - Option 1'!$Q$11:$Q$315)/86400)</x:f>
        <x:v>0.045208333333333336</x:v>
      </x:c>
      <x:c r="F309" s="131" t="str">
        <x:f>IF(E309=0,"Did not attend",IF(E309&gt;='Read Me'!$E$2/86400,"Fully attended","Partially attended"))</x:f>
        <x:v>Partially attended</x:v>
      </x:c>
      <x:c r="G309" s="130" t="n">
        <x:f>IF($D309="",0,SUMIF('Attendance Report - Option 2'!$P$11:$P$412,$D309,'Attendance Report - Option 2'!$Q$11:$Q$412)/86400)</x:f>
        <x:v>0.06637731481481482</x:v>
      </x:c>
      <x:c r="H309" s="131" t="str">
        <x:f>IF(G309=0,"Did not attend",IF(G309&gt;='Read Me'!$E$2/86400,"Fully attended","Partially attended"))</x:f>
        <x:v>Fully attended</x:v>
      </x:c>
      <x:c r="I309" s="130" t="n">
        <x:f>E309+G309</x:f>
        <x:v>0.11158564814814816</x:v>
      </x:c>
      <x:c r="J309" s="131" t="str">
        <x:f>IF(I309=0,"Did not attend",IF(I309&gt;='Read Me'!$E$2/86400,"Fully attended","Partially attended"))</x:f>
        <x:v>Fully attended</x:v>
      </x:c>
      <x:c r="K309" s="131" t="str">
        <x:f>IF($D309="","No",IF(COUNTIF('Attendance Report - Option 1'!$P$11:$P$315,$D309)&gt;0,"Yes","No"))</x:f>
        <x:v>Yes</x:v>
      </x:c>
      <x:c r="L309" s="131" t="str">
        <x:f>IF($D309="","No",IF(COUNTIF('Attendance Report - Option 2'!$P$11:$P$412,$D309)&gt;0,"Yes","No"))</x:f>
        <x:v>Yes</x:v>
      </x:c>
    </x:row>
    <x:row r="310">
      <x:c r="A310" s="16" t="str">
        <x:f>'EMA Assurance Employee List'!A311</x:f>
        <x:v>Neelen Veerapen</x:v>
      </x:c>
      <x:c r="B310" s="16" t="str">
        <x:f>IF(C310="KE","Kenya",IF(C310="UG","Uganda",IF(C310="MU","Mauritius",IF(C310="TZ","Tanzania",IF(C310="RW","Rwanda",IF(C310="ZA","South Africa",IF(C310="ZM","Zambia","")))))))</x:f>
        <x:v>Mauritius</x:v>
      </x:c>
      <x:c r="C310" s="16" t="str">
        <x:f>'EMA Assurance Employee List'!B311</x:f>
        <x:v>MU</x:v>
      </x:c>
      <x:c r="D310" s="16" t="str">
        <x:f>'EMA Assurance Employee List'!D311</x:f>
        <x:v>neelen.veerapen@pwc.com</x:v>
      </x:c>
      <x:c r="E310" s="130" t="n">
        <x:f>IF($D310="",0,SUMIF('Attendance Report - Option 1'!$P$11:$P$315,$D310,'Attendance Report - Option 1'!$Q$11:$Q$315)/86400)</x:f>
        <x:v>0.08210648148148147</x:v>
      </x:c>
      <x:c r="F310" s="131" t="str">
        <x:f>IF(E310=0,"Did not attend",IF(E310&gt;='Read Me'!$E$2/86400,"Fully attended","Partially attended"))</x:f>
        <x:v>Fully attended</x:v>
      </x:c>
      <x:c r="G310" s="130" t="n">
        <x:f>IF($D310="",0,SUMIF('Attendance Report - Option 2'!$P$11:$P$412,$D310,'Attendance Report - Option 2'!$Q$11:$Q$412)/86400)</x:f>
        <x:v>0</x:v>
      </x:c>
      <x:c r="H310" s="131" t="str">
        <x:f>IF(G310=0,"Did not attend",IF(G310&gt;='Read Me'!$E$2/86400,"Fully attended","Partially attended"))</x:f>
        <x:v>Did not attend</x:v>
      </x:c>
      <x:c r="I310" s="130" t="n">
        <x:f>E310+G310</x:f>
        <x:v>0.08210648148148147</x:v>
      </x:c>
      <x:c r="J310" s="131" t="str">
        <x:f>IF(I310=0,"Did not attend",IF(I310&gt;='Read Me'!$E$2/86400,"Fully attended","Partially attended"))</x:f>
        <x:v>Fully attended</x:v>
      </x:c>
      <x:c r="K310" s="131" t="str">
        <x:f>IF($D310="","No",IF(COUNTIF('Attendance Report - Option 1'!$P$11:$P$315,$D310)&gt;0,"Yes","No"))</x:f>
        <x:v>Yes</x:v>
      </x:c>
      <x:c r="L310" s="131" t="str">
        <x:f>IF($D310="","No",IF(COUNTIF('Attendance Report - Option 2'!$P$11:$P$412,$D310)&gt;0,"Yes","No"))</x:f>
        <x:v>No</x:v>
      </x:c>
    </x:row>
    <x:row r="311">
      <x:c r="A311" s="16" t="str">
        <x:f>'EMA Assurance Employee List'!A312</x:f>
        <x:v>Neema Shayo</x:v>
      </x:c>
      <x:c r="B311" s="16" t="str">
        <x:f>IF(C311="KE","Kenya",IF(C311="UG","Uganda",IF(C311="MU","Mauritius",IF(C311="TZ","Tanzania",IF(C311="RW","Rwanda",IF(C311="ZA","South Africa",IF(C311="ZM","Zambia","")))))))</x:f>
        <x:v>Kenya</x:v>
      </x:c>
      <x:c r="C311" s="16" t="str">
        <x:f>'EMA Assurance Employee List'!B312</x:f>
        <x:v>KE</x:v>
      </x:c>
      <x:c r="D311" s="16" t="str">
        <x:f>'EMA Assurance Employee List'!D312</x:f>
        <x:v>neema.shayo@pwc.com</x:v>
      </x:c>
      <x:c r="E311" s="130" t="n">
        <x:f>IF($D311="",0,SUMIF('Attendance Report - Option 1'!$P$11:$P$315,$D311,'Attendance Report - Option 1'!$Q$11:$Q$315)/86400)</x:f>
        <x:v>0</x:v>
      </x:c>
      <x:c r="F311" s="131" t="str">
        <x:f>IF(E311=0,"Did not attend",IF(E311&gt;='Read Me'!$E$2/86400,"Fully attended","Partially attended"))</x:f>
        <x:v>Did not attend</x:v>
      </x:c>
      <x:c r="G311" s="130" t="n">
        <x:f>IF($D311="",0,SUMIF('Attendance Report - Option 2'!$P$11:$P$412,$D311,'Attendance Report - Option 2'!$Q$11:$Q$412)/86400)</x:f>
        <x:v>0.07797453703703704</x:v>
      </x:c>
      <x:c r="H311" s="131" t="str">
        <x:f>IF(G311=0,"Did not attend",IF(G311&gt;='Read Me'!$E$2/86400,"Fully attended","Partially attended"))</x:f>
        <x:v>Fully attended</x:v>
      </x:c>
      <x:c r="I311" s="130" t="n">
        <x:f>E311+G311</x:f>
        <x:v>0.07797453703703704</x:v>
      </x:c>
      <x:c r="J311" s="131" t="str">
        <x:f>IF(I311=0,"Did not attend",IF(I311&gt;='Read Me'!$E$2/86400,"Fully attended","Partially attended"))</x:f>
        <x:v>Fully attended</x:v>
      </x:c>
      <x:c r="K311" s="131" t="str">
        <x:f>IF($D311="","No",IF(COUNTIF('Attendance Report - Option 1'!$P$11:$P$315,$D311)&gt;0,"Yes","No"))</x:f>
        <x:v>No</x:v>
      </x:c>
      <x:c r="L311" s="131" t="str">
        <x:f>IF($D311="","No",IF(COUNTIF('Attendance Report - Option 2'!$P$11:$P$412,$D311)&gt;0,"Yes","No"))</x:f>
        <x:v>Yes</x:v>
      </x:c>
    </x:row>
    <x:row r="312">
      <x:c r="A312" s="16" t="str">
        <x:f>'EMA Assurance Employee List'!A313</x:f>
        <x:v>Neeve-Ann Godda</x:v>
      </x:c>
      <x:c r="B312" s="16" t="str">
        <x:f>IF(C312="KE","Kenya",IF(C312="UG","Uganda",IF(C312="MU","Mauritius",IF(C312="TZ","Tanzania",IF(C312="RW","Rwanda",IF(C312="ZA","South Africa",IF(C312="ZM","Zambia","")))))))</x:f>
        <x:v>Tanzania</x:v>
      </x:c>
      <x:c r="C312" s="16" t="str">
        <x:f>'EMA Assurance Employee List'!B313</x:f>
        <x:v>TZ</x:v>
      </x:c>
      <x:c r="D312" s="16" t="str">
        <x:f>'EMA Assurance Employee List'!D313</x:f>
        <x:v>neeve-ann.godda@pwc.com</x:v>
      </x:c>
      <x:c r="E312" s="130" t="n">
        <x:f>IF($D312="",0,SUMIF('Attendance Report - Option 1'!$P$11:$P$315,$D312,'Attendance Report - Option 1'!$Q$11:$Q$315)/86400)</x:f>
        <x:v>0</x:v>
      </x:c>
      <x:c r="F312" s="131" t="str">
        <x:f>IF(E312=0,"Did not attend",IF(E312&gt;='Read Me'!$E$2/86400,"Fully attended","Partially attended"))</x:f>
        <x:v>Did not attend</x:v>
      </x:c>
      <x:c r="G312" s="130" t="n">
        <x:f>IF($D312="",0,SUMIF('Attendance Report - Option 2'!$P$11:$P$412,$D312,'Attendance Report - Option 2'!$Q$11:$Q$412)/86400)</x:f>
        <x:v>0.06768518518518518</x:v>
      </x:c>
      <x:c r="H312" s="131" t="str">
        <x:f>IF(G312=0,"Did not attend",IF(G312&gt;='Read Me'!$E$2/86400,"Fully attended","Partially attended"))</x:f>
        <x:v>Fully attended</x:v>
      </x:c>
      <x:c r="I312" s="130" t="n">
        <x:f>E312+G312</x:f>
        <x:v>0.06768518518518518</x:v>
      </x:c>
      <x:c r="J312" s="131" t="str">
        <x:f>IF(I312=0,"Did not attend",IF(I312&gt;='Read Me'!$E$2/86400,"Fully attended","Partially attended"))</x:f>
        <x:v>Fully attended</x:v>
      </x:c>
      <x:c r="K312" s="131" t="str">
        <x:f>IF($D312="","No",IF(COUNTIF('Attendance Report - Option 1'!$P$11:$P$315,$D312)&gt;0,"Yes","No"))</x:f>
        <x:v>No</x:v>
      </x:c>
      <x:c r="L312" s="131" t="str">
        <x:f>IF($D312="","No",IF(COUNTIF('Attendance Report - Option 2'!$P$11:$P$412,$D312)&gt;0,"Yes","No"))</x:f>
        <x:v>Yes</x:v>
      </x:c>
    </x:row>
    <x:row r="313">
      <x:c r="A313" s="16" t="str">
        <x:f>'EMA Assurance Employee List'!A314</x:f>
        <x:v>Nelly Muriungi</x:v>
      </x:c>
      <x:c r="B313" s="16" t="str">
        <x:f>IF(C313="KE","Kenya",IF(C313="UG","Uganda",IF(C313="MU","Mauritius",IF(C313="TZ","Tanzania",IF(C313="RW","Rwanda",IF(C313="ZA","South Africa",IF(C313="ZM","Zambia","")))))))</x:f>
        <x:v>Kenya</x:v>
      </x:c>
      <x:c r="C313" s="16" t="str">
        <x:f>'EMA Assurance Employee List'!B314</x:f>
        <x:v>KE</x:v>
      </x:c>
      <x:c r="D313" s="16" t="str">
        <x:f>'EMA Assurance Employee List'!D314</x:f>
        <x:v>nelly.muriungi@pwc.com</x:v>
      </x:c>
      <x:c r="E313" s="130" t="n">
        <x:f>IF($D313="",0,SUMIF('Attendance Report - Option 1'!$P$11:$P$315,$D313,'Attendance Report - Option 1'!$Q$11:$Q$315)/86400)</x:f>
        <x:v>0</x:v>
      </x:c>
      <x:c r="F313" s="131" t="str">
        <x:f>IF(E313=0,"Did not attend",IF(E313&gt;='Read Me'!$E$2/86400,"Fully attended","Partially attended"))</x:f>
        <x:v>Did not attend</x:v>
      </x:c>
      <x:c r="G313" s="130" t="n">
        <x:f>IF($D313="",0,SUMIF('Attendance Report - Option 2'!$P$11:$P$412,$D313,'Attendance Report - Option 2'!$Q$11:$Q$412)/86400)</x:f>
        <x:v>0.02417824074074074</x:v>
      </x:c>
      <x:c r="H313" s="131" t="str">
        <x:f>IF(G313=0,"Did not attend",IF(G313&gt;='Read Me'!$E$2/86400,"Fully attended","Partially attended"))</x:f>
        <x:v>Partially attended</x:v>
      </x:c>
      <x:c r="I313" s="130" t="n">
        <x:f>E313+G313</x:f>
        <x:v>0.02417824074074074</x:v>
      </x:c>
      <x:c r="J313" s="131" t="str">
        <x:f>IF(I313=0,"Did not attend",IF(I313&gt;='Read Me'!$E$2/86400,"Fully attended","Partially attended"))</x:f>
        <x:v>Partially attended</x:v>
      </x:c>
      <x:c r="K313" s="131" t="str">
        <x:f>IF($D313="","No",IF(COUNTIF('Attendance Report - Option 1'!$P$11:$P$315,$D313)&gt;0,"Yes","No"))</x:f>
        <x:v>No</x:v>
      </x:c>
      <x:c r="L313" s="131" t="str">
        <x:f>IF($D313="","No",IF(COUNTIF('Attendance Report - Option 2'!$P$11:$P$412,$D313)&gt;0,"Yes","No"))</x:f>
        <x:v>Yes</x:v>
      </x:c>
    </x:row>
    <x:row r="314">
      <x:c r="A314" s="16" t="str">
        <x:f>'EMA Assurance Employee List'!A315</x:f>
        <x:v>Nelson Msuya</x:v>
      </x:c>
      <x:c r="B314" s="16" t="str">
        <x:f>IF(C314="KE","Kenya",IF(C314="UG","Uganda",IF(C314="MU","Mauritius",IF(C314="TZ","Tanzania",IF(C314="RW","Rwanda",IF(C314="ZA","South Africa",IF(C314="ZM","Zambia","")))))))</x:f>
        <x:v>Tanzania</x:v>
      </x:c>
      <x:c r="C314" s="16" t="str">
        <x:f>'EMA Assurance Employee List'!B315</x:f>
        <x:v>TZ</x:v>
      </x:c>
      <x:c r="D314" s="16" t="str">
        <x:f>'EMA Assurance Employee List'!D315</x:f>
        <x:v>nelson.msuya@pwc.com</x:v>
      </x:c>
      <x:c r="E314" s="130" t="n">
        <x:f>IF($D314="",0,SUMIF('Attendance Report - Option 1'!$P$11:$P$315,$D314,'Attendance Report - Option 1'!$Q$11:$Q$315)/86400)</x:f>
        <x:v>0</x:v>
      </x:c>
      <x:c r="F314" s="131" t="str">
        <x:f>IF(E314=0,"Did not attend",IF(E314&gt;='Read Me'!$E$2/86400,"Fully attended","Partially attended"))</x:f>
        <x:v>Did not attend</x:v>
      </x:c>
      <x:c r="G314" s="130" t="n">
        <x:f>IF($D314="",0,SUMIF('Attendance Report - Option 2'!$P$11:$P$412,$D314,'Attendance Report - Option 2'!$Q$11:$Q$412)/86400)</x:f>
        <x:v>0.07616898148148148</x:v>
      </x:c>
      <x:c r="H314" s="131" t="str">
        <x:f>IF(G314=0,"Did not attend",IF(G314&gt;='Read Me'!$E$2/86400,"Fully attended","Partially attended"))</x:f>
        <x:v>Fully attended</x:v>
      </x:c>
      <x:c r="I314" s="130" t="n">
        <x:f>E314+G314</x:f>
        <x:v>0.07616898148148148</x:v>
      </x:c>
      <x:c r="J314" s="131" t="str">
        <x:f>IF(I314=0,"Did not attend",IF(I314&gt;='Read Me'!$E$2/86400,"Fully attended","Partially attended"))</x:f>
        <x:v>Fully attended</x:v>
      </x:c>
      <x:c r="K314" s="131" t="str">
        <x:f>IF($D314="","No",IF(COUNTIF('Attendance Report - Option 1'!$P$11:$P$315,$D314)&gt;0,"Yes","No"))</x:f>
        <x:v>No</x:v>
      </x:c>
      <x:c r="L314" s="131" t="str">
        <x:f>IF($D314="","No",IF(COUNTIF('Attendance Report - Option 2'!$P$11:$P$412,$D314)&gt;0,"Yes","No"))</x:f>
        <x:v>Yes</x:v>
      </x:c>
    </x:row>
    <x:row r="315">
      <x:c r="A315" s="16" t="str">
        <x:f>'EMA Assurance Employee List'!A316</x:f>
        <x:v>Neria Rutashobya</x:v>
      </x:c>
      <x:c r="B315" s="16" t="str">
        <x:f>IF(C315="KE","Kenya",IF(C315="UG","Uganda",IF(C315="MU","Mauritius",IF(C315="TZ","Tanzania",IF(C315="RW","Rwanda",IF(C315="ZA","South Africa",IF(C315="ZM","Zambia","")))))))</x:f>
        <x:v>Tanzania</x:v>
      </x:c>
      <x:c r="C315" s="16" t="str">
        <x:f>'EMA Assurance Employee List'!B316</x:f>
        <x:v>TZ</x:v>
      </x:c>
      <x:c r="D315" s="16" t="str">
        <x:f>'EMA Assurance Employee List'!D316</x:f>
        <x:v>neria.rutashobya@pwc.com</x:v>
      </x:c>
      <x:c r="E315" s="130" t="n">
        <x:f>IF($D315="",0,SUMIF('Attendance Report - Option 1'!$P$11:$P$315,$D315,'Attendance Report - Option 1'!$Q$11:$Q$315)/86400)</x:f>
        <x:v>0.0802662037037037</x:v>
      </x:c>
      <x:c r="F315" s="131" t="str">
        <x:f>IF(E315=0,"Did not attend",IF(E315&gt;='Read Me'!$E$2/86400,"Fully attended","Partially attended"))</x:f>
        <x:v>Fully attended</x:v>
      </x:c>
      <x:c r="G315" s="130" t="n">
        <x:f>IF($D315="",0,SUMIF('Attendance Report - Option 2'!$P$11:$P$412,$D315,'Attendance Report - Option 2'!$Q$11:$Q$412)/86400)</x:f>
        <x:v>0</x:v>
      </x:c>
      <x:c r="H315" s="131" t="str">
        <x:f>IF(G315=0,"Did not attend",IF(G315&gt;='Read Me'!$E$2/86400,"Fully attended","Partially attended"))</x:f>
        <x:v>Did not attend</x:v>
      </x:c>
      <x:c r="I315" s="130" t="n">
        <x:f>E315+G315</x:f>
        <x:v>0.0802662037037037</x:v>
      </x:c>
      <x:c r="J315" s="131" t="str">
        <x:f>IF(I315=0,"Did not attend",IF(I315&gt;='Read Me'!$E$2/86400,"Fully attended","Partially attended"))</x:f>
        <x:v>Fully attended</x:v>
      </x:c>
      <x:c r="K315" s="131" t="str">
        <x:f>IF($D315="","No",IF(COUNTIF('Attendance Report - Option 1'!$P$11:$P$315,$D315)&gt;0,"Yes","No"))</x:f>
        <x:v>Yes</x:v>
      </x:c>
      <x:c r="L315" s="131" t="str">
        <x:f>IF($D315="","No",IF(COUNTIF('Attendance Report - Option 2'!$P$11:$P$412,$D315)&gt;0,"Yes","No"))</x:f>
        <x:v>No</x:v>
      </x:c>
    </x:row>
    <x:row r="316">
      <x:c r="A316" s="16" t="str">
        <x:f>'EMA Assurance Employee List'!A317</x:f>
        <x:v>Newton Orengeje</x:v>
      </x:c>
      <x:c r="B316" s="16" t="str">
        <x:f>IF(C316="KE","Kenya",IF(C316="UG","Uganda",IF(C316="MU","Mauritius",IF(C316="TZ","Tanzania",IF(C316="RW","Rwanda",IF(C316="ZA","South Africa",IF(C316="ZM","Zambia","")))))))</x:f>
        <x:v>Uganda</x:v>
      </x:c>
      <x:c r="C316" s="16" t="str">
        <x:f>'EMA Assurance Employee List'!B317</x:f>
        <x:v>UG</x:v>
      </x:c>
      <x:c r="D316" s="16" t="str">
        <x:f>'EMA Assurance Employee List'!D317</x:f>
        <x:v>newton.orengeje@pwc.com</x:v>
      </x:c>
      <x:c r="E316" s="130" t="n">
        <x:f>IF($D316="",0,SUMIF('Attendance Report - Option 1'!$P$11:$P$315,$D316,'Attendance Report - Option 1'!$Q$11:$Q$315)/86400)</x:f>
        <x:v>0</x:v>
      </x:c>
      <x:c r="F316" s="131" t="str">
        <x:f>IF(E316=0,"Did not attend",IF(E316&gt;='Read Me'!$E$2/86400,"Fully attended","Partially attended"))</x:f>
        <x:v>Did not attend</x:v>
      </x:c>
      <x:c r="G316" s="130" t="n">
        <x:f>IF($D316="",0,SUMIF('Attendance Report - Option 2'!$P$11:$P$412,$D316,'Attendance Report - Option 2'!$Q$11:$Q$412)/86400)</x:f>
        <x:v>0.0859375</x:v>
      </x:c>
      <x:c r="H316" s="131" t="str">
        <x:f>IF(G316=0,"Did not attend",IF(G316&gt;='Read Me'!$E$2/86400,"Fully attended","Partially attended"))</x:f>
        <x:v>Fully attended</x:v>
      </x:c>
      <x:c r="I316" s="130" t="n">
        <x:f>E316+G316</x:f>
        <x:v>0.0859375</x:v>
      </x:c>
      <x:c r="J316" s="131" t="str">
        <x:f>IF(I316=0,"Did not attend",IF(I316&gt;='Read Me'!$E$2/86400,"Fully attended","Partially attended"))</x:f>
        <x:v>Fully attended</x:v>
      </x:c>
      <x:c r="K316" s="131" t="str">
        <x:f>IF($D316="","No",IF(COUNTIF('Attendance Report - Option 1'!$P$11:$P$315,$D316)&gt;0,"Yes","No"))</x:f>
        <x:v>No</x:v>
      </x:c>
      <x:c r="L316" s="131" t="str">
        <x:f>IF($D316="","No",IF(COUNTIF('Attendance Report - Option 2'!$P$11:$P$412,$D316)&gt;0,"Yes","No"))</x:f>
        <x:v>Yes</x:v>
      </x:c>
    </x:row>
    <x:row r="317">
      <x:c r="A317" s="16" t="str">
        <x:f>'EMA Assurance Employee List'!A318</x:f>
        <x:v>Nicholas Mahero</x:v>
      </x:c>
      <x:c r="B317" s="16" t="str">
        <x:f>IF(C317="KE","Kenya",IF(C317="UG","Uganda",IF(C317="MU","Mauritius",IF(C317="TZ","Tanzania",IF(C317="RW","Rwanda",IF(C317="ZA","South Africa",IF(C317="ZM","Zambia","")))))))</x:f>
        <x:v>Kenya</x:v>
      </x:c>
      <x:c r="C317" s="16" t="str">
        <x:f>'EMA Assurance Employee List'!B318</x:f>
        <x:v>KE</x:v>
      </x:c>
      <x:c r="D317" s="16" t="str">
        <x:f>'EMA Assurance Employee List'!D318</x:f>
        <x:v>nicholas.mahero@pwc.com</x:v>
      </x:c>
      <x:c r="E317" s="130" t="n">
        <x:f>IF($D317="",0,SUMIF('Attendance Report - Option 1'!$P$11:$P$315,$D317,'Attendance Report - Option 1'!$Q$11:$Q$315)/86400)</x:f>
        <x:v>0.042534722222222224</x:v>
      </x:c>
      <x:c r="F317" s="131" t="str">
        <x:f>IF(E317=0,"Did not attend",IF(E317&gt;='Read Me'!$E$2/86400,"Fully attended","Partially attended"))</x:f>
        <x:v>Partially attended</x:v>
      </x:c>
      <x:c r="G317" s="130" t="n">
        <x:f>IF($D317="",0,SUMIF('Attendance Report - Option 2'!$P$11:$P$412,$D317,'Attendance Report - Option 2'!$Q$11:$Q$412)/86400)</x:f>
        <x:v>0</x:v>
      </x:c>
      <x:c r="H317" s="131" t="str">
        <x:f>IF(G317=0,"Did not attend",IF(G317&gt;='Read Me'!$E$2/86400,"Fully attended","Partially attended"))</x:f>
        <x:v>Did not attend</x:v>
      </x:c>
      <x:c r="I317" s="130" t="n">
        <x:f>E317+G317</x:f>
        <x:v>0.042534722222222224</x:v>
      </x:c>
      <x:c r="J317" s="131" t="str">
        <x:f>IF(I317=0,"Did not attend",IF(I317&gt;='Read Me'!$E$2/86400,"Fully attended","Partially attended"))</x:f>
        <x:v>Partially attended</x:v>
      </x:c>
      <x:c r="K317" s="131" t="str">
        <x:f>IF($D317="","No",IF(COUNTIF('Attendance Report - Option 1'!$P$11:$P$315,$D317)&gt;0,"Yes","No"))</x:f>
        <x:v>Yes</x:v>
      </x:c>
      <x:c r="L317" s="131" t="str">
        <x:f>IF($D317="","No",IF(COUNTIF('Attendance Report - Option 2'!$P$11:$P$412,$D317)&gt;0,"Yes","No"))</x:f>
        <x:v>No</x:v>
      </x:c>
    </x:row>
    <x:row r="318">
      <x:c r="A318" s="16" t="str">
        <x:f>'EMA Assurance Employee List'!A319</x:f>
        <x:v>Nilshaad Nowbuth</x:v>
      </x:c>
      <x:c r="B318" s="16" t="str">
        <x:f>IF(C318="KE","Kenya",IF(C318="UG","Uganda",IF(C318="MU","Mauritius",IF(C318="TZ","Tanzania",IF(C318="RW","Rwanda",IF(C318="ZA","South Africa",IF(C318="ZM","Zambia","")))))))</x:f>
        <x:v>Mauritius</x:v>
      </x:c>
      <x:c r="C318" s="16" t="str">
        <x:f>'EMA Assurance Employee List'!B319</x:f>
        <x:v>MU</x:v>
      </x:c>
      <x:c r="D318" s="16" t="str">
        <x:f>'EMA Assurance Employee List'!D319</x:f>
        <x:v>nilshaad.nowbuth@pwc.com</x:v>
      </x:c>
      <x:c r="E318" s="130" t="n">
        <x:f>IF($D318="",0,SUMIF('Attendance Report - Option 1'!$P$11:$P$315,$D318,'Attendance Report - Option 1'!$Q$11:$Q$315)/86400)</x:f>
        <x:v>0</x:v>
      </x:c>
      <x:c r="F318" s="131" t="str">
        <x:f>IF(E318=0,"Did not attend",IF(E318&gt;='Read Me'!$E$2/86400,"Fully attended","Partially attended"))</x:f>
        <x:v>Did not attend</x:v>
      </x:c>
      <x:c r="G318" s="130" t="n">
        <x:f>IF($D318="",0,SUMIF('Attendance Report - Option 2'!$P$11:$P$412,$D318,'Attendance Report - Option 2'!$Q$11:$Q$412)/86400)</x:f>
        <x:v>0.08793981481481482</x:v>
      </x:c>
      <x:c r="H318" s="131" t="str">
        <x:f>IF(G318=0,"Did not attend",IF(G318&gt;='Read Me'!$E$2/86400,"Fully attended","Partially attended"))</x:f>
        <x:v>Fully attended</x:v>
      </x:c>
      <x:c r="I318" s="130" t="n">
        <x:f>E318+G318</x:f>
        <x:v>0.08793981481481482</x:v>
      </x:c>
      <x:c r="J318" s="131" t="str">
        <x:f>IF(I318=0,"Did not attend",IF(I318&gt;='Read Me'!$E$2/86400,"Fully attended","Partially attended"))</x:f>
        <x:v>Fully attended</x:v>
      </x:c>
      <x:c r="K318" s="131" t="str">
        <x:f>IF($D318="","No",IF(COUNTIF('Attendance Report - Option 1'!$P$11:$P$315,$D318)&gt;0,"Yes","No"))</x:f>
        <x:v>No</x:v>
      </x:c>
      <x:c r="L318" s="131" t="str">
        <x:f>IF($D318="","No",IF(COUNTIF('Attendance Report - Option 2'!$P$11:$P$412,$D318)&gt;0,"Yes","No"))</x:f>
        <x:v>Yes</x:v>
      </x:c>
    </x:row>
    <x:row r="319">
      <x:c r="A319" s="16" t="str">
        <x:f>'EMA Assurance Employee List'!A320</x:f>
        <x:v>Nirvan Bissessur</x:v>
      </x:c>
      <x:c r="B319" s="16" t="str">
        <x:f>IF(C319="KE","Kenya",IF(C319="UG","Uganda",IF(C319="MU","Mauritius",IF(C319="TZ","Tanzania",IF(C319="RW","Rwanda",IF(C319="ZA","South Africa",IF(C319="ZM","Zambia","")))))))</x:f>
        <x:v>Mauritius</x:v>
      </x:c>
      <x:c r="C319" s="16" t="str">
        <x:f>'EMA Assurance Employee List'!B320</x:f>
        <x:v>MU</x:v>
      </x:c>
      <x:c r="D319" s="16" t="str">
        <x:f>'EMA Assurance Employee List'!D320</x:f>
        <x:v>nirvan.bissessur@pwc.com</x:v>
      </x:c>
      <x:c r="E319" s="130" t="n">
        <x:f>IF($D319="",0,SUMIF('Attendance Report - Option 1'!$P$11:$P$315,$D319,'Attendance Report - Option 1'!$Q$11:$Q$315)/86400)</x:f>
        <x:v>0</x:v>
      </x:c>
      <x:c r="F319" s="131" t="str">
        <x:f>IF(E319=0,"Did not attend",IF(E319&gt;='Read Me'!$E$2/86400,"Fully attended","Partially attended"))</x:f>
        <x:v>Did not attend</x:v>
      </x:c>
      <x:c r="G319" s="130" t="n">
        <x:f>IF($D319="",0,SUMIF('Attendance Report - Option 2'!$P$11:$P$412,$D319,'Attendance Report - Option 2'!$Q$11:$Q$412)/86400)</x:f>
        <x:v>0.014178240740740741</x:v>
      </x:c>
      <x:c r="H319" s="131" t="str">
        <x:f>IF(G319=0,"Did not attend",IF(G319&gt;='Read Me'!$E$2/86400,"Fully attended","Partially attended"))</x:f>
        <x:v>Partially attended</x:v>
      </x:c>
      <x:c r="I319" s="130" t="n">
        <x:f>E319+G319</x:f>
        <x:v>0.014178240740740741</x:v>
      </x:c>
      <x:c r="J319" s="131" t="str">
        <x:f>IF(I319=0,"Did not attend",IF(I319&gt;='Read Me'!$E$2/86400,"Fully attended","Partially attended"))</x:f>
        <x:v>Partially attended</x:v>
      </x:c>
      <x:c r="K319" s="131" t="str">
        <x:f>IF($D319="","No",IF(COUNTIF('Attendance Report - Option 1'!$P$11:$P$315,$D319)&gt;0,"Yes","No"))</x:f>
        <x:v>No</x:v>
      </x:c>
      <x:c r="L319" s="131" t="str">
        <x:f>IF($D319="","No",IF(COUNTIF('Attendance Report - Option 2'!$P$11:$P$412,$D319)&gt;0,"Yes","No"))</x:f>
        <x:v>Yes</x:v>
      </x:c>
    </x:row>
    <x:row r="320">
      <x:c r="A320" s="16" t="str">
        <x:f>'EMA Assurance Employee List'!A321</x:f>
        <x:v>Nuzhah Beebeejaun</x:v>
      </x:c>
      <x:c r="B320" s="16" t="str">
        <x:f>IF(C320="KE","Kenya",IF(C320="UG","Uganda",IF(C320="MU","Mauritius",IF(C320="TZ","Tanzania",IF(C320="RW","Rwanda",IF(C320="ZA","South Africa",IF(C320="ZM","Zambia","")))))))</x:f>
        <x:v>Mauritius</x:v>
      </x:c>
      <x:c r="C320" s="16" t="str">
        <x:f>'EMA Assurance Employee List'!B321</x:f>
        <x:v>MU</x:v>
      </x:c>
      <x:c r="D320" s="16" t="str">
        <x:f>'EMA Assurance Employee List'!D321</x:f>
        <x:v>nuzhah.beebeejaun@pwc.com</x:v>
      </x:c>
      <x:c r="E320" s="130" t="n">
        <x:f>IF($D320="",0,SUMIF('Attendance Report - Option 1'!$P$11:$P$315,$D320,'Attendance Report - Option 1'!$Q$11:$Q$315)/86400)</x:f>
        <x:v>0</x:v>
      </x:c>
      <x:c r="F320" s="131" t="str">
        <x:f>IF(E320=0,"Did not attend",IF(E320&gt;='Read Me'!$E$2/86400,"Fully attended","Partially attended"))</x:f>
        <x:v>Did not attend</x:v>
      </x:c>
      <x:c r="G320" s="130" t="n">
        <x:f>IF($D320="",0,SUMIF('Attendance Report - Option 2'!$P$11:$P$412,$D320,'Attendance Report - Option 2'!$Q$11:$Q$412)/86400)</x:f>
        <x:v>0.09101851851851851</x:v>
      </x:c>
      <x:c r="H320" s="131" t="str">
        <x:f>IF(G320=0,"Did not attend",IF(G320&gt;='Read Me'!$E$2/86400,"Fully attended","Partially attended"))</x:f>
        <x:v>Fully attended</x:v>
      </x:c>
      <x:c r="I320" s="130" t="n">
        <x:f>E320+G320</x:f>
        <x:v>0.09101851851851851</x:v>
      </x:c>
      <x:c r="J320" s="131" t="str">
        <x:f>IF(I320=0,"Did not attend",IF(I320&gt;='Read Me'!$E$2/86400,"Fully attended","Partially attended"))</x:f>
        <x:v>Fully attended</x:v>
      </x:c>
      <x:c r="K320" s="131" t="str">
        <x:f>IF($D320="","No",IF(COUNTIF('Attendance Report - Option 1'!$P$11:$P$315,$D320)&gt;0,"Yes","No"))</x:f>
        <x:v>No</x:v>
      </x:c>
      <x:c r="L320" s="131" t="str">
        <x:f>IF($D320="","No",IF(COUNTIF('Attendance Report - Option 2'!$P$11:$P$412,$D320)&gt;0,"Yes","No"))</x:f>
        <x:v>Yes</x:v>
      </x:c>
    </x:row>
    <x:row r="321">
      <x:c r="A321" s="16" t="str">
        <x:f>'EMA Assurance Employee List'!A322</x:f>
        <x:v>Nuzhah Dilmohamed</x:v>
      </x:c>
      <x:c r="B321" s="16" t="str">
        <x:f>IF(C321="KE","Kenya",IF(C321="UG","Uganda",IF(C321="MU","Mauritius",IF(C321="TZ","Tanzania",IF(C321="RW","Rwanda",IF(C321="ZA","South Africa",IF(C321="ZM","Zambia","")))))))</x:f>
        <x:v>Mauritius</x:v>
      </x:c>
      <x:c r="C321" s="16" t="str">
        <x:f>'EMA Assurance Employee List'!B322</x:f>
        <x:v>MU</x:v>
      </x:c>
      <x:c r="D321" s="16" t="str">
        <x:f>'EMA Assurance Employee List'!D322</x:f>
        <x:v>nuzhah.dilmohamed@pwc.com</x:v>
      </x:c>
      <x:c r="E321" s="130" t="n">
        <x:f>IF($D321="",0,SUMIF('Attendance Report - Option 1'!$P$11:$P$315,$D321,'Attendance Report - Option 1'!$Q$11:$Q$315)/86400)</x:f>
        <x:v>0</x:v>
      </x:c>
      <x:c r="F321" s="131" t="str">
        <x:f>IF(E321=0,"Did not attend",IF(E321&gt;='Read Me'!$E$2/86400,"Fully attended","Partially attended"))</x:f>
        <x:v>Did not attend</x:v>
      </x:c>
      <x:c r="G321" s="130" t="n">
        <x:f>IF($D321="",0,SUMIF('Attendance Report - Option 2'!$P$11:$P$412,$D321,'Attendance Report - Option 2'!$Q$11:$Q$412)/86400)</x:f>
        <x:v>0</x:v>
      </x:c>
      <x:c r="H321" s="131" t="str">
        <x:f>IF(G321=0,"Did not attend",IF(G321&gt;='Read Me'!$E$2/86400,"Fully attended","Partially attended"))</x:f>
        <x:v>Did not attend</x:v>
      </x:c>
      <x:c r="I321" s="130" t="n">
        <x:f>E321+G321</x:f>
        <x:v>0</x:v>
      </x:c>
      <x:c r="J321" s="131" t="str">
        <x:f>IF(I321=0,"Did not attend",IF(I321&gt;='Read Me'!$E$2/86400,"Fully attended","Partially attended"))</x:f>
        <x:v>Did not attend</x:v>
      </x:c>
      <x:c r="K321" s="131" t="str">
        <x:f>IF($D321="","No",IF(COUNTIF('Attendance Report - Option 1'!$P$11:$P$315,$D321)&gt;0,"Yes","No"))</x:f>
        <x:v>No</x:v>
      </x:c>
      <x:c r="L321" s="131" t="str">
        <x:f>IF($D321="","No",IF(COUNTIF('Attendance Report - Option 2'!$P$11:$P$412,$D321)&gt;0,"Yes","No"))</x:f>
        <x:v>No</x:v>
      </x:c>
    </x:row>
    <x:row r="322">
      <x:c r="A322" s="16" t="str">
        <x:f>'EMA Assurance Employee List'!A323</x:f>
        <x:v>Nuzhah Rosun</x:v>
      </x:c>
      <x:c r="B322" s="16" t="str">
        <x:f>IF(C322="KE","Kenya",IF(C322="UG","Uganda",IF(C322="MU","Mauritius",IF(C322="TZ","Tanzania",IF(C322="RW","Rwanda",IF(C322="ZA","South Africa",IF(C322="ZM","Zambia","")))))))</x:f>
        <x:v>Mauritius</x:v>
      </x:c>
      <x:c r="C322" s="16" t="str">
        <x:f>'EMA Assurance Employee List'!B323</x:f>
        <x:v>MU</x:v>
      </x:c>
      <x:c r="D322" s="16" t="str">
        <x:f>'EMA Assurance Employee List'!D323</x:f>
        <x:v>nuzhah.r.rosun@pwc.com</x:v>
      </x:c>
      <x:c r="E322" s="130" t="n">
        <x:f>IF($D322="",0,SUMIF('Attendance Report - Option 1'!$P$11:$P$315,$D322,'Attendance Report - Option 1'!$Q$11:$Q$315)/86400)</x:f>
        <x:v>0.07793981481481481</x:v>
      </x:c>
      <x:c r="F322" s="131" t="str">
        <x:f>IF(E322=0,"Did not attend",IF(E322&gt;='Read Me'!$E$2/86400,"Fully attended","Partially attended"))</x:f>
        <x:v>Fully attended</x:v>
      </x:c>
      <x:c r="G322" s="130" t="n">
        <x:f>IF($D322="",0,SUMIF('Attendance Report - Option 2'!$P$11:$P$412,$D322,'Attendance Report - Option 2'!$Q$11:$Q$412)/86400)</x:f>
        <x:v>0</x:v>
      </x:c>
      <x:c r="H322" s="131" t="str">
        <x:f>IF(G322=0,"Did not attend",IF(G322&gt;='Read Me'!$E$2/86400,"Fully attended","Partially attended"))</x:f>
        <x:v>Did not attend</x:v>
      </x:c>
      <x:c r="I322" s="130" t="n">
        <x:f>E322+G322</x:f>
        <x:v>0.07793981481481481</x:v>
      </x:c>
      <x:c r="J322" s="131" t="str">
        <x:f>IF(I322=0,"Did not attend",IF(I322&gt;='Read Me'!$E$2/86400,"Fully attended","Partially attended"))</x:f>
        <x:v>Fully attended</x:v>
      </x:c>
      <x:c r="K322" s="131" t="str">
        <x:f>IF($D322="","No",IF(COUNTIF('Attendance Report - Option 1'!$P$11:$P$315,$D322)&gt;0,"Yes","No"))</x:f>
        <x:v>Yes</x:v>
      </x:c>
      <x:c r="L322" s="131" t="str">
        <x:f>IF($D322="","No",IF(COUNTIF('Attendance Report - Option 2'!$P$11:$P$412,$D322)&gt;0,"Yes","No"))</x:f>
        <x:v>No</x:v>
      </x:c>
    </x:row>
    <x:row r="323">
      <x:c r="A323" s="16" t="str">
        <x:f>'EMA Assurance Employee List'!A324</x:f>
        <x:v>Nyangi Waweru</x:v>
      </x:c>
      <x:c r="B323" s="16" t="str">
        <x:f>IF(C323="KE","Kenya",IF(C323="UG","Uganda",IF(C323="MU","Mauritius",IF(C323="TZ","Tanzania",IF(C323="RW","Rwanda",IF(C323="ZA","South Africa",IF(C323="ZM","Zambia","")))))))</x:f>
        <x:v>Tanzania</x:v>
      </x:c>
      <x:c r="C323" s="16" t="str">
        <x:f>'EMA Assurance Employee List'!B324</x:f>
        <x:v>TZ</x:v>
      </x:c>
      <x:c r="D323" s="16" t="str">
        <x:f>'EMA Assurance Employee List'!D324</x:f>
        <x:v>nyangi.w.waweru@pwc.com</x:v>
      </x:c>
      <x:c r="E323" s="130" t="n">
        <x:f>IF($D323="",0,SUMIF('Attendance Report - Option 1'!$P$11:$P$315,$D323,'Attendance Report - Option 1'!$Q$11:$Q$315)/86400)</x:f>
        <x:v>0</x:v>
      </x:c>
      <x:c r="F323" s="131" t="str">
        <x:f>IF(E323=0,"Did not attend",IF(E323&gt;='Read Me'!$E$2/86400,"Fully attended","Partially attended"))</x:f>
        <x:v>Did not attend</x:v>
      </x:c>
      <x:c r="G323" s="130" t="n">
        <x:f>IF($D323="",0,SUMIF('Attendance Report - Option 2'!$P$11:$P$412,$D323,'Attendance Report - Option 2'!$Q$11:$Q$412)/86400)</x:f>
        <x:v>0</x:v>
      </x:c>
      <x:c r="H323" s="131" t="str">
        <x:f>IF(G323=0,"Did not attend",IF(G323&gt;='Read Me'!$E$2/86400,"Fully attended","Partially attended"))</x:f>
        <x:v>Did not attend</x:v>
      </x:c>
      <x:c r="I323" s="130" t="n">
        <x:f>E323+G323</x:f>
        <x:v>0</x:v>
      </x:c>
      <x:c r="J323" s="131" t="str">
        <x:f>IF(I323=0,"Did not attend",IF(I323&gt;='Read Me'!$E$2/86400,"Fully attended","Partially attended"))</x:f>
        <x:v>Did not attend</x:v>
      </x:c>
      <x:c r="K323" s="131" t="str">
        <x:f>IF($D323="","No",IF(COUNTIF('Attendance Report - Option 1'!$P$11:$P$315,$D323)&gt;0,"Yes","No"))</x:f>
        <x:v>No</x:v>
      </x:c>
      <x:c r="L323" s="131" t="str">
        <x:f>IF($D323="","No",IF(COUNTIF('Attendance Report - Option 2'!$P$11:$P$412,$D323)&gt;0,"Yes","No"))</x:f>
        <x:v>No</x:v>
      </x:c>
    </x:row>
    <x:row r="324">
      <x:c r="A324" s="16" t="str">
        <x:f>'EMA Assurance Employee List'!A325</x:f>
        <x:v>Nyongesa Odhiambo</x:v>
      </x:c>
      <x:c r="B324" s="16" t="str">
        <x:f>IF(C324="KE","Kenya",IF(C324="UG","Uganda",IF(C324="MU","Mauritius",IF(C324="TZ","Tanzania",IF(C324="RW","Rwanda",IF(C324="ZA","South Africa",IF(C324="ZM","Zambia","")))))))</x:f>
        <x:v>Kenya</x:v>
      </x:c>
      <x:c r="C324" s="16" t="str">
        <x:f>'EMA Assurance Employee List'!B325</x:f>
        <x:v>KE</x:v>
      </x:c>
      <x:c r="D324" s="16" t="str">
        <x:f>'EMA Assurance Employee List'!D325</x:f>
        <x:v>nyongesa.odhiambo@pwc.com</x:v>
      </x:c>
      <x:c r="E324" s="130" t="n">
        <x:f>IF($D324="",0,SUMIF('Attendance Report - Option 1'!$P$11:$P$315,$D324,'Attendance Report - Option 1'!$Q$11:$Q$315)/86400)</x:f>
        <x:v>0.08196759259259259</x:v>
      </x:c>
      <x:c r="F324" s="131" t="str">
        <x:f>IF(E324=0,"Did not attend",IF(E324&gt;='Read Me'!$E$2/86400,"Fully attended","Partially attended"))</x:f>
        <x:v>Fully attended</x:v>
      </x:c>
      <x:c r="G324" s="130" t="n">
        <x:f>IF($D324="",0,SUMIF('Attendance Report - Option 2'!$P$11:$P$412,$D324,'Attendance Report - Option 2'!$Q$11:$Q$412)/86400)</x:f>
        <x:v>0</x:v>
      </x:c>
      <x:c r="H324" s="131" t="str">
        <x:f>IF(G324=0,"Did not attend",IF(G324&gt;='Read Me'!$E$2/86400,"Fully attended","Partially attended"))</x:f>
        <x:v>Did not attend</x:v>
      </x:c>
      <x:c r="I324" s="130" t="n">
        <x:f>E324+G324</x:f>
        <x:v>0.08196759259259259</x:v>
      </x:c>
      <x:c r="J324" s="131" t="str">
        <x:f>IF(I324=0,"Did not attend",IF(I324&gt;='Read Me'!$E$2/86400,"Fully attended","Partially attended"))</x:f>
        <x:v>Fully attended</x:v>
      </x:c>
      <x:c r="K324" s="131" t="str">
        <x:f>IF($D324="","No",IF(COUNTIF('Attendance Report - Option 1'!$P$11:$P$315,$D324)&gt;0,"Yes","No"))</x:f>
        <x:v>Yes</x:v>
      </x:c>
      <x:c r="L324" s="131" t="str">
        <x:f>IF($D324="","No",IF(COUNTIF('Attendance Report - Option 2'!$P$11:$P$412,$D324)&gt;0,"Yes","No"))</x:f>
        <x:v>No</x:v>
      </x:c>
    </x:row>
    <x:row r="325">
      <x:c r="A325" s="16" t="str">
        <x:f>'EMA Assurance Employee List'!A326</x:f>
        <x:v>Obed Manunshu</x:v>
      </x:c>
      <x:c r="B325" s="16" t="str">
        <x:f>IF(C325="KE","Kenya",IF(C325="UG","Uganda",IF(C325="MU","Mauritius",IF(C325="TZ","Tanzania",IF(C325="RW","Rwanda",IF(C325="ZA","South Africa",IF(C325="ZM","Zambia","")))))))</x:f>
        <x:v>Tanzania</x:v>
      </x:c>
      <x:c r="C325" s="16" t="str">
        <x:f>'EMA Assurance Employee List'!B326</x:f>
        <x:v>TZ</x:v>
      </x:c>
      <x:c r="D325" s="16" t="str">
        <x:f>'EMA Assurance Employee List'!D326</x:f>
        <x:v>obed.manunshu@pwc.com</x:v>
      </x:c>
      <x:c r="E325" s="130" t="n">
        <x:f>IF($D325="",0,SUMIF('Attendance Report - Option 1'!$P$11:$P$315,$D325,'Attendance Report - Option 1'!$Q$11:$Q$315)/86400)</x:f>
        <x:v>0</x:v>
      </x:c>
      <x:c r="F325" s="131" t="str">
        <x:f>IF(E325=0,"Did not attend",IF(E325&gt;='Read Me'!$E$2/86400,"Fully attended","Partially attended"))</x:f>
        <x:v>Did not attend</x:v>
      </x:c>
      <x:c r="G325" s="130" t="n">
        <x:f>IF($D325="",0,SUMIF('Attendance Report - Option 2'!$P$11:$P$412,$D325,'Attendance Report - Option 2'!$Q$11:$Q$412)/86400)</x:f>
        <x:v>0.08475694444444444</x:v>
      </x:c>
      <x:c r="H325" s="131" t="str">
        <x:f>IF(G325=0,"Did not attend",IF(G325&gt;='Read Me'!$E$2/86400,"Fully attended","Partially attended"))</x:f>
        <x:v>Fully attended</x:v>
      </x:c>
      <x:c r="I325" s="130" t="n">
        <x:f>E325+G325</x:f>
        <x:v>0.08475694444444444</x:v>
      </x:c>
      <x:c r="J325" s="131" t="str">
        <x:f>IF(I325=0,"Did not attend",IF(I325&gt;='Read Me'!$E$2/86400,"Fully attended","Partially attended"))</x:f>
        <x:v>Fully attended</x:v>
      </x:c>
      <x:c r="K325" s="131" t="str">
        <x:f>IF($D325="","No",IF(COUNTIF('Attendance Report - Option 1'!$P$11:$P$315,$D325)&gt;0,"Yes","No"))</x:f>
        <x:v>No</x:v>
      </x:c>
      <x:c r="L325" s="131" t="str">
        <x:f>IF($D325="","No",IF(COUNTIF('Attendance Report - Option 2'!$P$11:$P$412,$D325)&gt;0,"Yes","No"))</x:f>
        <x:v>Yes</x:v>
      </x:c>
    </x:row>
    <x:row r="326">
      <x:c r="A326" s="16" t="str">
        <x:f>'EMA Assurance Employee List'!A327</x:f>
        <x:v>Olivier Rey</x:v>
      </x:c>
      <x:c r="B326" s="16" t="str">
        <x:f>IF(C326="KE","Kenya",IF(C326="UG","Uganda",IF(C326="MU","Mauritius",IF(C326="TZ","Tanzania",IF(C326="RW","Rwanda",IF(C326="ZA","South Africa",IF(C326="ZM","Zambia","")))))))</x:f>
        <x:v>Mauritius</x:v>
      </x:c>
      <x:c r="C326" s="16" t="str">
        <x:f>'EMA Assurance Employee List'!B327</x:f>
        <x:v>MU</x:v>
      </x:c>
      <x:c r="D326" s="16" t="str">
        <x:f>'EMA Assurance Employee List'!D327</x:f>
        <x:v>olivier.rey@pwc.com</x:v>
      </x:c>
      <x:c r="E326" s="130" t="n">
        <x:f>IF($D326="",0,SUMIF('Attendance Report - Option 1'!$P$11:$P$315,$D326,'Attendance Report - Option 1'!$Q$11:$Q$315)/86400)</x:f>
        <x:v>0</x:v>
      </x:c>
      <x:c r="F326" s="131" t="str">
        <x:f>IF(E326=0,"Did not attend",IF(E326&gt;='Read Me'!$E$2/86400,"Fully attended","Partially attended"))</x:f>
        <x:v>Did not attend</x:v>
      </x:c>
      <x:c r="G326" s="130" t="n">
        <x:f>IF($D326="",0,SUMIF('Attendance Report - Option 2'!$P$11:$P$412,$D326,'Attendance Report - Option 2'!$Q$11:$Q$412)/86400)</x:f>
        <x:v>0.0022453703703703702</x:v>
      </x:c>
      <x:c r="H326" s="131" t="str">
        <x:f>IF(G326=0,"Did not attend",IF(G326&gt;='Read Me'!$E$2/86400,"Fully attended","Partially attended"))</x:f>
        <x:v>Partially attended</x:v>
      </x:c>
      <x:c r="I326" s="130" t="n">
        <x:f>E326+G326</x:f>
        <x:v>0.0022453703703703702</x:v>
      </x:c>
      <x:c r="J326" s="131" t="str">
        <x:f>IF(I326=0,"Did not attend",IF(I326&gt;='Read Me'!$E$2/86400,"Fully attended","Partially attended"))</x:f>
        <x:v>Partially attended</x:v>
      </x:c>
      <x:c r="K326" s="131" t="str">
        <x:f>IF($D326="","No",IF(COUNTIF('Attendance Report - Option 1'!$P$11:$P$315,$D326)&gt;0,"Yes","No"))</x:f>
        <x:v>No</x:v>
      </x:c>
      <x:c r="L326" s="131" t="str">
        <x:f>IF($D326="","No",IF(COUNTIF('Attendance Report - Option 2'!$P$11:$P$412,$D326)&gt;0,"Yes","No"))</x:f>
        <x:v>Yes</x:v>
      </x:c>
    </x:row>
    <x:row r="327">
      <x:c r="A327" s="16" t="str">
        <x:f>'EMA Assurance Employee List'!A328</x:f>
        <x:v>Pallavee Narrainen</x:v>
      </x:c>
      <x:c r="B327" s="16" t="str">
        <x:f>IF(C327="KE","Kenya",IF(C327="UG","Uganda",IF(C327="MU","Mauritius",IF(C327="TZ","Tanzania",IF(C327="RW","Rwanda",IF(C327="ZA","South Africa",IF(C327="ZM","Zambia","")))))))</x:f>
        <x:v>Mauritius</x:v>
      </x:c>
      <x:c r="C327" s="16" t="str">
        <x:f>'EMA Assurance Employee List'!B328</x:f>
        <x:v>MU</x:v>
      </x:c>
      <x:c r="D327" s="16" t="str">
        <x:f>'EMA Assurance Employee List'!D328</x:f>
        <x:v>pallavee.narrainen@pwc.com</x:v>
      </x:c>
      <x:c r="E327" s="130" t="n">
        <x:f>IF($D327="",0,SUMIF('Attendance Report - Option 1'!$P$11:$P$315,$D327,'Attendance Report - Option 1'!$Q$11:$Q$315)/86400)</x:f>
        <x:v>0</x:v>
      </x:c>
      <x:c r="F327" s="131" t="str">
        <x:f>IF(E327=0,"Did not attend",IF(E327&gt;='Read Me'!$E$2/86400,"Fully attended","Partially attended"))</x:f>
        <x:v>Did not attend</x:v>
      </x:c>
      <x:c r="G327" s="130" t="n">
        <x:f>IF($D327="",0,SUMIF('Attendance Report - Option 2'!$P$11:$P$412,$D327,'Attendance Report - Option 2'!$Q$11:$Q$412)/86400)</x:f>
        <x:v>0.08674768518518519</x:v>
      </x:c>
      <x:c r="H327" s="131" t="str">
        <x:f>IF(G327=0,"Did not attend",IF(G327&gt;='Read Me'!$E$2/86400,"Fully attended","Partially attended"))</x:f>
        <x:v>Fully attended</x:v>
      </x:c>
      <x:c r="I327" s="130" t="n">
        <x:f>E327+G327</x:f>
        <x:v>0.08674768518518519</x:v>
      </x:c>
      <x:c r="J327" s="131" t="str">
        <x:f>IF(I327=0,"Did not attend",IF(I327&gt;='Read Me'!$E$2/86400,"Fully attended","Partially attended"))</x:f>
        <x:v>Fully attended</x:v>
      </x:c>
      <x:c r="K327" s="131" t="str">
        <x:f>IF($D327="","No",IF(COUNTIF('Attendance Report - Option 1'!$P$11:$P$315,$D327)&gt;0,"Yes","No"))</x:f>
        <x:v>No</x:v>
      </x:c>
      <x:c r="L327" s="131" t="str">
        <x:f>IF($D327="","No",IF(COUNTIF('Attendance Report - Option 2'!$P$11:$P$412,$D327)&gt;0,"Yes","No"))</x:f>
        <x:v>Yes</x:v>
      </x:c>
    </x:row>
    <x:row r="328">
      <x:c r="A328" s="16" t="str">
        <x:f>'EMA Assurance Employee List'!A329</x:f>
        <x:v>Patience Namugenyi</x:v>
      </x:c>
      <x:c r="B328" s="16" t="str">
        <x:f>IF(C328="KE","Kenya",IF(C328="UG","Uganda",IF(C328="MU","Mauritius",IF(C328="TZ","Tanzania",IF(C328="RW","Rwanda",IF(C328="ZA","South Africa",IF(C328="ZM","Zambia","")))))))</x:f>
        <x:v>Uganda</x:v>
      </x:c>
      <x:c r="C328" s="16" t="str">
        <x:f>'EMA Assurance Employee List'!B329</x:f>
        <x:v>UG</x:v>
      </x:c>
      <x:c r="D328" s="16" t="str">
        <x:f>'EMA Assurance Employee List'!D329</x:f>
        <x:v>patience.namugenyi@pwc.com</x:v>
      </x:c>
      <x:c r="E328" s="130" t="n">
        <x:f>IF($D328="",0,SUMIF('Attendance Report - Option 1'!$P$11:$P$315,$D328,'Attendance Report - Option 1'!$Q$11:$Q$315)/86400)</x:f>
        <x:v>0</x:v>
      </x:c>
      <x:c r="F328" s="131" t="str">
        <x:f>IF(E328=0,"Did not attend",IF(E328&gt;='Read Me'!$E$2/86400,"Fully attended","Partially attended"))</x:f>
        <x:v>Did not attend</x:v>
      </x:c>
      <x:c r="G328" s="130" t="n">
        <x:f>IF($D328="",0,SUMIF('Attendance Report - Option 2'!$P$11:$P$412,$D328,'Attendance Report - Option 2'!$Q$11:$Q$412)/86400)</x:f>
        <x:v>0.0874074074074074</x:v>
      </x:c>
      <x:c r="H328" s="131" t="str">
        <x:f>IF(G328=0,"Did not attend",IF(G328&gt;='Read Me'!$E$2/86400,"Fully attended","Partially attended"))</x:f>
        <x:v>Fully attended</x:v>
      </x:c>
      <x:c r="I328" s="130" t="n">
        <x:f>E328+G328</x:f>
        <x:v>0.0874074074074074</x:v>
      </x:c>
      <x:c r="J328" s="131" t="str">
        <x:f>IF(I328=0,"Did not attend",IF(I328&gt;='Read Me'!$E$2/86400,"Fully attended","Partially attended"))</x:f>
        <x:v>Fully attended</x:v>
      </x:c>
      <x:c r="K328" s="131" t="str">
        <x:f>IF($D328="","No",IF(COUNTIF('Attendance Report - Option 1'!$P$11:$P$315,$D328)&gt;0,"Yes","No"))</x:f>
        <x:v>No</x:v>
      </x:c>
      <x:c r="L328" s="131" t="str">
        <x:f>IF($D328="","No",IF(COUNTIF('Attendance Report - Option 2'!$P$11:$P$412,$D328)&gt;0,"Yes","No"))</x:f>
        <x:v>Yes</x:v>
      </x:c>
    </x:row>
    <x:row r="329">
      <x:c r="A329" s="16" t="str">
        <x:f>'EMA Assurance Employee List'!A330</x:f>
        <x:v>Patricia Kavuma</x:v>
      </x:c>
      <x:c r="B329" s="16" t="str">
        <x:f>IF(C329="KE","Kenya",IF(C329="UG","Uganda",IF(C329="MU","Mauritius",IF(C329="TZ","Tanzania",IF(C329="RW","Rwanda",IF(C329="ZA","South Africa",IF(C329="ZM","Zambia","")))))))</x:f>
        <x:v>Uganda</x:v>
      </x:c>
      <x:c r="C329" s="16" t="str">
        <x:f>'EMA Assurance Employee List'!B330</x:f>
        <x:v>UG</x:v>
      </x:c>
      <x:c r="D329" s="16" t="str">
        <x:f>'EMA Assurance Employee List'!D330</x:f>
        <x:v>patricia.kavuma@pwc.com</x:v>
      </x:c>
      <x:c r="E329" s="130" t="n">
        <x:f>IF($D329="",0,SUMIF('Attendance Report - Option 1'!$P$11:$P$315,$D329,'Attendance Report - Option 1'!$Q$11:$Q$315)/86400)</x:f>
        <x:v>0</x:v>
      </x:c>
      <x:c r="F329" s="131" t="str">
        <x:f>IF(E329=0,"Did not attend",IF(E329&gt;='Read Me'!$E$2/86400,"Fully attended","Partially attended"))</x:f>
        <x:v>Did not attend</x:v>
      </x:c>
      <x:c r="G329" s="130" t="n">
        <x:f>IF($D329="",0,SUMIF('Attendance Report - Option 2'!$P$11:$P$412,$D329,'Attendance Report - Option 2'!$Q$11:$Q$412)/86400)</x:f>
        <x:v>0.029861111111111113</x:v>
      </x:c>
      <x:c r="H329" s="131" t="str">
        <x:f>IF(G329=0,"Did not attend",IF(G329&gt;='Read Me'!$E$2/86400,"Fully attended","Partially attended"))</x:f>
        <x:v>Partially attended</x:v>
      </x:c>
      <x:c r="I329" s="130" t="n">
        <x:f>E329+G329</x:f>
        <x:v>0.029861111111111113</x:v>
      </x:c>
      <x:c r="J329" s="131" t="str">
        <x:f>IF(I329=0,"Did not attend",IF(I329&gt;='Read Me'!$E$2/86400,"Fully attended","Partially attended"))</x:f>
        <x:v>Partially attended</x:v>
      </x:c>
      <x:c r="K329" s="131" t="str">
        <x:f>IF($D329="","No",IF(COUNTIF('Attendance Report - Option 1'!$P$11:$P$315,$D329)&gt;0,"Yes","No"))</x:f>
        <x:v>No</x:v>
      </x:c>
      <x:c r="L329" s="131" t="str">
        <x:f>IF($D329="","No",IF(COUNTIF('Attendance Report - Option 2'!$P$11:$P$412,$D329)&gt;0,"Yes","No"))</x:f>
        <x:v>Yes</x:v>
      </x:c>
    </x:row>
    <x:row r="330">
      <x:c r="A330" s="16" t="str">
        <x:f>'EMA Assurance Employee List'!A331</x:f>
        <x:v>Patrick Kiambi</x:v>
      </x:c>
      <x:c r="B330" s="16" t="str">
        <x:f>IF(C330="KE","Kenya",IF(C330="UG","Uganda",IF(C330="MU","Mauritius",IF(C330="TZ","Tanzania",IF(C330="RW","Rwanda",IF(C330="ZA","South Africa",IF(C330="ZM","Zambia","")))))))</x:f>
        <x:v>Kenya</x:v>
      </x:c>
      <x:c r="C330" s="16" t="str">
        <x:f>'EMA Assurance Employee List'!B331</x:f>
        <x:v>KE</x:v>
      </x:c>
      <x:c r="D330" s="16" t="str">
        <x:f>'EMA Assurance Employee List'!D331</x:f>
        <x:v>patrick.kiambi@pwc.com</x:v>
      </x:c>
      <x:c r="E330" s="130" t="n">
        <x:f>IF($D330="",0,SUMIF('Attendance Report - Option 1'!$P$11:$P$315,$D330,'Attendance Report - Option 1'!$Q$11:$Q$315)/86400)</x:f>
        <x:v>0</x:v>
      </x:c>
      <x:c r="F330" s="131" t="str">
        <x:f>IF(E330=0,"Did not attend",IF(E330&gt;='Read Me'!$E$2/86400,"Fully attended","Partially attended"))</x:f>
        <x:v>Did not attend</x:v>
      </x:c>
      <x:c r="G330" s="130" t="n">
        <x:f>IF($D330="",0,SUMIF('Attendance Report - Option 2'!$P$11:$P$412,$D330,'Attendance Report - Option 2'!$Q$11:$Q$412)/86400)</x:f>
        <x:v>0</x:v>
      </x:c>
      <x:c r="H330" s="131" t="str">
        <x:f>IF(G330=0,"Did not attend",IF(G330&gt;='Read Me'!$E$2/86400,"Fully attended","Partially attended"))</x:f>
        <x:v>Did not attend</x:v>
      </x:c>
      <x:c r="I330" s="130" t="n">
        <x:f>E330+G330</x:f>
        <x:v>0</x:v>
      </x:c>
      <x:c r="J330" s="131" t="str">
        <x:f>IF(I330=0,"Did not attend",IF(I330&gt;='Read Me'!$E$2/86400,"Fully attended","Partially attended"))</x:f>
        <x:v>Did not attend</x:v>
      </x:c>
      <x:c r="K330" s="131" t="str">
        <x:f>IF($D330="","No",IF(COUNTIF('Attendance Report - Option 1'!$P$11:$P$315,$D330)&gt;0,"Yes","No"))</x:f>
        <x:v>No</x:v>
      </x:c>
      <x:c r="L330" s="131" t="str">
        <x:f>IF($D330="","No",IF(COUNTIF('Attendance Report - Option 2'!$P$11:$P$412,$D330)&gt;0,"Yes","No"))</x:f>
        <x:v>No</x:v>
      </x:c>
    </x:row>
    <x:row r="331">
      <x:c r="A331" s="16" t="str">
        <x:f>'EMA Assurance Employee List'!A332</x:f>
        <x:v>Patrick Rimomo</x:v>
      </x:c>
      <x:c r="B331" s="16" t="str">
        <x:f>IF(C331="KE","Kenya",IF(C331="UG","Uganda",IF(C331="MU","Mauritius",IF(C331="TZ","Tanzania",IF(C331="RW","Rwanda",IF(C331="ZA","South Africa",IF(C331="ZM","Zambia","")))))))</x:f>
        <x:v>Kenya</x:v>
      </x:c>
      <x:c r="C331" s="16" t="str">
        <x:f>'EMA Assurance Employee List'!B332</x:f>
        <x:v>KE</x:v>
      </x:c>
      <x:c r="D331" s="16" t="str">
        <x:f>'EMA Assurance Employee List'!D332</x:f>
        <x:v>patrick.rimomo@pwc.com</x:v>
      </x:c>
      <x:c r="E331" s="130" t="n">
        <x:f>IF($D331="",0,SUMIF('Attendance Report - Option 1'!$P$11:$P$315,$D331,'Attendance Report - Option 1'!$Q$11:$Q$315)/86400)</x:f>
        <x:v>0.05197916666666667</x:v>
      </x:c>
      <x:c r="F331" s="131" t="str">
        <x:f>IF(E331=0,"Did not attend",IF(E331&gt;='Read Me'!$E$2/86400,"Fully attended","Partially attended"))</x:f>
        <x:v>Partially attended</x:v>
      </x:c>
      <x:c r="G331" s="130" t="n">
        <x:f>IF($D331="",0,SUMIF('Attendance Report - Option 2'!$P$11:$P$412,$D331,'Attendance Report - Option 2'!$Q$11:$Q$412)/86400)</x:f>
        <x:v>0</x:v>
      </x:c>
      <x:c r="H331" s="131" t="str">
        <x:f>IF(G331=0,"Did not attend",IF(G331&gt;='Read Me'!$E$2/86400,"Fully attended","Partially attended"))</x:f>
        <x:v>Did not attend</x:v>
      </x:c>
      <x:c r="I331" s="130" t="n">
        <x:f>E331+G331</x:f>
        <x:v>0.05197916666666667</x:v>
      </x:c>
      <x:c r="J331" s="131" t="str">
        <x:f>IF(I331=0,"Did not attend",IF(I331&gt;='Read Me'!$E$2/86400,"Fully attended","Partially attended"))</x:f>
        <x:v>Partially attended</x:v>
      </x:c>
      <x:c r="K331" s="131" t="str">
        <x:f>IF($D331="","No",IF(COUNTIF('Attendance Report - Option 1'!$P$11:$P$315,$D331)&gt;0,"Yes","No"))</x:f>
        <x:v>Yes</x:v>
      </x:c>
      <x:c r="L331" s="131" t="str">
        <x:f>IF($D331="","No",IF(COUNTIF('Attendance Report - Option 2'!$P$11:$P$412,$D331)&gt;0,"Yes","No"))</x:f>
        <x:v>No</x:v>
      </x:c>
    </x:row>
    <x:row r="332">
      <x:c r="A332" s="16" t="str">
        <x:f>'EMA Assurance Employee List'!A333</x:f>
        <x:v>Pearl Koon</x:v>
      </x:c>
      <x:c r="B332" s="16" t="str">
        <x:f>IF(C332="KE","Kenya",IF(C332="UG","Uganda",IF(C332="MU","Mauritius",IF(C332="TZ","Tanzania",IF(C332="RW","Rwanda",IF(C332="ZA","South Africa",IF(C332="ZM","Zambia","")))))))</x:f>
        <x:v>Mauritius</x:v>
      </x:c>
      <x:c r="C332" s="16" t="str">
        <x:f>'EMA Assurance Employee List'!B333</x:f>
        <x:v>MU</x:v>
      </x:c>
      <x:c r="D332" s="16" t="str">
        <x:f>'EMA Assurance Employee List'!D333</x:f>
        <x:v>pearl.koon@pwc.com</x:v>
      </x:c>
      <x:c r="E332" s="130" t="n">
        <x:f>IF($D332="",0,SUMIF('Attendance Report - Option 1'!$P$11:$P$315,$D332,'Attendance Report - Option 1'!$Q$11:$Q$315)/86400)</x:f>
        <x:v>0</x:v>
      </x:c>
      <x:c r="F332" s="131" t="str">
        <x:f>IF(E332=0,"Did not attend",IF(E332&gt;='Read Me'!$E$2/86400,"Fully attended","Partially attended"))</x:f>
        <x:v>Did not attend</x:v>
      </x:c>
      <x:c r="G332" s="130" t="n">
        <x:f>IF($D332="",0,SUMIF('Attendance Report - Option 2'!$P$11:$P$412,$D332,'Attendance Report - Option 2'!$Q$11:$Q$412)/86400)</x:f>
        <x:v>0.06388888888888888</x:v>
      </x:c>
      <x:c r="H332" s="131" t="str">
        <x:f>IF(G332=0,"Did not attend",IF(G332&gt;='Read Me'!$E$2/86400,"Fully attended","Partially attended"))</x:f>
        <x:v>Fully attended</x:v>
      </x:c>
      <x:c r="I332" s="130" t="n">
        <x:f>E332+G332</x:f>
        <x:v>0.06388888888888888</x:v>
      </x:c>
      <x:c r="J332" s="131" t="str">
        <x:f>IF(I332=0,"Did not attend",IF(I332&gt;='Read Me'!$E$2/86400,"Fully attended","Partially attended"))</x:f>
        <x:v>Fully attended</x:v>
      </x:c>
      <x:c r="K332" s="131" t="str">
        <x:f>IF($D332="","No",IF(COUNTIF('Attendance Report - Option 1'!$P$11:$P$315,$D332)&gt;0,"Yes","No"))</x:f>
        <x:v>No</x:v>
      </x:c>
      <x:c r="L332" s="131" t="str">
        <x:f>IF($D332="","No",IF(COUNTIF('Attendance Report - Option 2'!$P$11:$P$412,$D332)&gt;0,"Yes","No"))</x:f>
        <x:v>Yes</x:v>
      </x:c>
    </x:row>
    <x:row r="333">
      <x:c r="A333" s="16" t="str">
        <x:f>'EMA Assurance Employee List'!A334</x:f>
        <x:v>Peter Namara</x:v>
      </x:c>
      <x:c r="B333" s="16" t="str">
        <x:f>IF(C333="KE","Kenya",IF(C333="UG","Uganda",IF(C333="MU","Mauritius",IF(C333="TZ","Tanzania",IF(C333="RW","Rwanda",IF(C333="ZA","South Africa",IF(C333="ZM","Zambia","")))))))</x:f>
        <x:v>Uganda</x:v>
      </x:c>
      <x:c r="C333" s="16" t="str">
        <x:f>'EMA Assurance Employee List'!B334</x:f>
        <x:v>UG</x:v>
      </x:c>
      <x:c r="D333" s="16" t="str">
        <x:f>'EMA Assurance Employee List'!D334</x:f>
        <x:v>peter.namara@pwc.com</x:v>
      </x:c>
      <x:c r="E333" s="130" t="n">
        <x:f>IF($D333="",0,SUMIF('Attendance Report - Option 1'!$P$11:$P$315,$D333,'Attendance Report - Option 1'!$Q$11:$Q$315)/86400)</x:f>
        <x:v>0</x:v>
      </x:c>
      <x:c r="F333" s="131" t="str">
        <x:f>IF(E333=0,"Did not attend",IF(E333&gt;='Read Me'!$E$2/86400,"Fully attended","Partially attended"))</x:f>
        <x:v>Did not attend</x:v>
      </x:c>
      <x:c r="G333" s="130" t="n">
        <x:f>IF($D333="",0,SUMIF('Attendance Report - Option 2'!$P$11:$P$412,$D333,'Attendance Report - Option 2'!$Q$11:$Q$412)/86400)</x:f>
        <x:v>0</x:v>
      </x:c>
      <x:c r="H333" s="131" t="str">
        <x:f>IF(G333=0,"Did not attend",IF(G333&gt;='Read Me'!$E$2/86400,"Fully attended","Partially attended"))</x:f>
        <x:v>Did not attend</x:v>
      </x:c>
      <x:c r="I333" s="130" t="n">
        <x:f>E333+G333</x:f>
        <x:v>0</x:v>
      </x:c>
      <x:c r="J333" s="131" t="str">
        <x:f>IF(I333=0,"Did not attend",IF(I333&gt;='Read Me'!$E$2/86400,"Fully attended","Partially attended"))</x:f>
        <x:v>Did not attend</x:v>
      </x:c>
      <x:c r="K333" s="131" t="str">
        <x:f>IF($D333="","No",IF(COUNTIF('Attendance Report - Option 1'!$P$11:$P$315,$D333)&gt;0,"Yes","No"))</x:f>
        <x:v>No</x:v>
      </x:c>
      <x:c r="L333" s="131" t="str">
        <x:f>IF($D333="","No",IF(COUNTIF('Attendance Report - Option 2'!$P$11:$P$412,$D333)&gt;0,"Yes","No"))</x:f>
        <x:v>No</x:v>
      </x:c>
    </x:row>
    <x:row r="334">
      <x:c r="A334" s="16" t="str">
        <x:f>'EMA Assurance Employee List'!A335</x:f>
        <x:v>Peter Ngahu</x:v>
      </x:c>
      <x:c r="B334" s="16" t="str">
        <x:f>IF(C334="KE","Kenya",IF(C334="UG","Uganda",IF(C334="MU","Mauritius",IF(C334="TZ","Tanzania",IF(C334="RW","Rwanda",IF(C334="ZA","South Africa",IF(C334="ZM","Zambia","")))))))</x:f>
        <x:v>Kenya</x:v>
      </x:c>
      <x:c r="C334" s="16" t="str">
        <x:f>'EMA Assurance Employee List'!B335</x:f>
        <x:v>KE</x:v>
      </x:c>
      <x:c r="D334" s="16" t="str">
        <x:f>'EMA Assurance Employee List'!D335</x:f>
        <x:v>peter.ngahu@pwc.com</x:v>
      </x:c>
      <x:c r="E334" s="130" t="n">
        <x:f>IF($D334="",0,SUMIF('Attendance Report - Option 1'!$P$11:$P$315,$D334,'Attendance Report - Option 1'!$Q$11:$Q$315)/86400)</x:f>
        <x:v>0</x:v>
      </x:c>
      <x:c r="F334" s="131" t="str">
        <x:f>IF(E334=0,"Did not attend",IF(E334&gt;='Read Me'!$E$2/86400,"Fully attended","Partially attended"))</x:f>
        <x:v>Did not attend</x:v>
      </x:c>
      <x:c r="G334" s="130" t="n">
        <x:f>IF($D334="",0,SUMIF('Attendance Report - Option 2'!$P$11:$P$412,$D334,'Attendance Report - Option 2'!$Q$11:$Q$412)/86400)</x:f>
        <x:v>0</x:v>
      </x:c>
      <x:c r="H334" s="131" t="str">
        <x:f>IF(G334=0,"Did not attend",IF(G334&gt;='Read Me'!$E$2/86400,"Fully attended","Partially attended"))</x:f>
        <x:v>Did not attend</x:v>
      </x:c>
      <x:c r="I334" s="130" t="n">
        <x:f>E334+G334</x:f>
        <x:v>0</x:v>
      </x:c>
      <x:c r="J334" s="131" t="str">
        <x:f>IF(I334=0,"Did not attend",IF(I334&gt;='Read Me'!$E$2/86400,"Fully attended","Partially attended"))</x:f>
        <x:v>Did not attend</x:v>
      </x:c>
      <x:c r="K334" s="131" t="str">
        <x:f>IF($D334="","No",IF(COUNTIF('Attendance Report - Option 1'!$P$11:$P$315,$D334)&gt;0,"Yes","No"))</x:f>
        <x:v>No</x:v>
      </x:c>
      <x:c r="L334" s="131" t="str">
        <x:f>IF($D334="","No",IF(COUNTIF('Attendance Report - Option 2'!$P$11:$P$412,$D334)&gt;0,"Yes","No"))</x:f>
        <x:v>No</x:v>
      </x:c>
    </x:row>
    <x:row r="335">
      <x:c r="A335" s="16" t="str">
        <x:f>'EMA Assurance Employee List'!A336</x:f>
        <x:v>Peter Ojekunle</x:v>
      </x:c>
      <x:c r="B335" s="16" t="str">
        <x:f>IF(C335="KE","Kenya",IF(C335="UG","Uganda",IF(C335="MU","Mauritius",IF(C335="TZ","Tanzania",IF(C335="RW","Rwanda",IF(C335="ZA","South Africa",IF(C335="ZM","Zambia","")))))))</x:f>
        <x:v>Uganda</x:v>
      </x:c>
      <x:c r="C335" s="16" t="str">
        <x:f>'EMA Assurance Employee List'!B336</x:f>
        <x:v>UG</x:v>
      </x:c>
      <x:c r="D335" s="16" t="str">
        <x:f>'EMA Assurance Employee List'!D336</x:f>
        <x:v>peter.s.ojekunle@pwc.com</x:v>
      </x:c>
      <x:c r="E335" s="130" t="n">
        <x:f>IF($D335="",0,SUMIF('Attendance Report - Option 1'!$P$11:$P$315,$D335,'Attendance Report - Option 1'!$Q$11:$Q$315)/86400)</x:f>
        <x:v>0.004039351851851852</x:v>
      </x:c>
      <x:c r="F335" s="131" t="str">
        <x:f>IF(E335=0,"Did not attend",IF(E335&gt;='Read Me'!$E$2/86400,"Fully attended","Partially attended"))</x:f>
        <x:v>Partially attended</x:v>
      </x:c>
      <x:c r="G335" s="130" t="n">
        <x:f>IF($D335="",0,SUMIF('Attendance Report - Option 2'!$P$11:$P$412,$D335,'Attendance Report - Option 2'!$Q$11:$Q$412)/86400)</x:f>
        <x:v>0</x:v>
      </x:c>
      <x:c r="H335" s="131" t="str">
        <x:f>IF(G335=0,"Did not attend",IF(G335&gt;='Read Me'!$E$2/86400,"Fully attended","Partially attended"))</x:f>
        <x:v>Did not attend</x:v>
      </x:c>
      <x:c r="I335" s="130" t="n">
        <x:f>E335+G335</x:f>
        <x:v>0.004039351851851852</x:v>
      </x:c>
      <x:c r="J335" s="131" t="str">
        <x:f>IF(I335=0,"Did not attend",IF(I335&gt;='Read Me'!$E$2/86400,"Fully attended","Partially attended"))</x:f>
        <x:v>Partially attended</x:v>
      </x:c>
      <x:c r="K335" s="131" t="str">
        <x:f>IF($D335="","No",IF(COUNTIF('Attendance Report - Option 1'!$P$11:$P$315,$D335)&gt;0,"Yes","No"))</x:f>
        <x:v>Yes</x:v>
      </x:c>
      <x:c r="L335" s="131" t="str">
        <x:f>IF($D335="","No",IF(COUNTIF('Attendance Report - Option 2'!$P$11:$P$412,$D335)&gt;0,"Yes","No"))</x:f>
        <x:v>No</x:v>
      </x:c>
    </x:row>
    <x:row r="336">
      <x:c r="A336" s="16" t="str">
        <x:f>'EMA Assurance Employee List'!A337</x:f>
        <x:v>Phaneesh Purmah</x:v>
      </x:c>
      <x:c r="B336" s="16" t="str">
        <x:f>IF(C336="KE","Kenya",IF(C336="UG","Uganda",IF(C336="MU","Mauritius",IF(C336="TZ","Tanzania",IF(C336="RW","Rwanda",IF(C336="ZA","South Africa",IF(C336="ZM","Zambia","")))))))</x:f>
        <x:v>Mauritius</x:v>
      </x:c>
      <x:c r="C336" s="16" t="str">
        <x:f>'EMA Assurance Employee List'!B337</x:f>
        <x:v>MU</x:v>
      </x:c>
      <x:c r="D336" s="16" t="str">
        <x:f>'EMA Assurance Employee List'!D337</x:f>
        <x:v>phaneesh.purmah@pwc.com</x:v>
      </x:c>
      <x:c r="E336" s="130" t="n">
        <x:f>IF($D336="",0,SUMIF('Attendance Report - Option 1'!$P$11:$P$315,$D336,'Attendance Report - Option 1'!$Q$11:$Q$315)/86400)</x:f>
        <x:v>0</x:v>
      </x:c>
      <x:c r="F336" s="131" t="str">
        <x:f>IF(E336=0,"Did not attend",IF(E336&gt;='Read Me'!$E$2/86400,"Fully attended","Partially attended"))</x:f>
        <x:v>Did not attend</x:v>
      </x:c>
      <x:c r="G336" s="130" t="n">
        <x:f>IF($D336="",0,SUMIF('Attendance Report - Option 2'!$P$11:$P$412,$D336,'Attendance Report - Option 2'!$Q$11:$Q$412)/86400)</x:f>
        <x:v>0</x:v>
      </x:c>
      <x:c r="H336" s="131" t="str">
        <x:f>IF(G336=0,"Did not attend",IF(G336&gt;='Read Me'!$E$2/86400,"Fully attended","Partially attended"))</x:f>
        <x:v>Did not attend</x:v>
      </x:c>
      <x:c r="I336" s="130" t="n">
        <x:f>E336+G336</x:f>
        <x:v>0</x:v>
      </x:c>
      <x:c r="J336" s="131" t="str">
        <x:f>IF(I336=0,"Did not attend",IF(I336&gt;='Read Me'!$E$2/86400,"Fully attended","Partially attended"))</x:f>
        <x:v>Did not attend</x:v>
      </x:c>
      <x:c r="K336" s="131" t="str">
        <x:f>IF($D336="","No",IF(COUNTIF('Attendance Report - Option 1'!$P$11:$P$315,$D336)&gt;0,"Yes","No"))</x:f>
        <x:v>No</x:v>
      </x:c>
      <x:c r="L336" s="131" t="str">
        <x:f>IF($D336="","No",IF(COUNTIF('Attendance Report - Option 2'!$P$11:$P$412,$D336)&gt;0,"Yes","No"))</x:f>
        <x:v>No</x:v>
      </x:c>
    </x:row>
    <x:row r="337">
      <x:c r="A337" s="16" t="str">
        <x:f>'EMA Assurance Employee List'!A338</x:f>
        <x:v>Pieter Hough</x:v>
      </x:c>
      <x:c r="B337" s="16" t="str">
        <x:f>IF(C337="KE","Kenya",IF(C337="UG","Uganda",IF(C337="MU","Mauritius",IF(C337="TZ","Tanzania",IF(C337="RW","Rwanda",IF(C337="ZA","South Africa",IF(C337="ZM","Zambia","")))))))</x:f>
        <x:v>South Africa</x:v>
      </x:c>
      <x:c r="C337" s="16" t="str">
        <x:f>'EMA Assurance Employee List'!B338</x:f>
        <x:v>ZA</x:v>
      </x:c>
      <x:c r="D337" s="16" t="str">
        <x:f>'EMA Assurance Employee List'!D338</x:f>
        <x:v>pieter.hough@pwc.com</x:v>
      </x:c>
      <x:c r="E337" s="130" t="n">
        <x:f>IF($D337="",0,SUMIF('Attendance Report - Option 1'!$P$11:$P$315,$D337,'Attendance Report - Option 1'!$Q$11:$Q$315)/86400)</x:f>
        <x:v>0.0815162037037037</x:v>
      </x:c>
      <x:c r="F337" s="131" t="str">
        <x:f>IF(E337=0,"Did not attend",IF(E337&gt;='Read Me'!$E$2/86400,"Fully attended","Partially attended"))</x:f>
        <x:v>Fully attended</x:v>
      </x:c>
      <x:c r="G337" s="130" t="n">
        <x:f>IF($D337="",0,SUMIF('Attendance Report - Option 2'!$P$11:$P$412,$D337,'Attendance Report - Option 2'!$Q$11:$Q$412)/86400)</x:f>
        <x:v>0</x:v>
      </x:c>
      <x:c r="H337" s="131" t="str">
        <x:f>IF(G337=0,"Did not attend",IF(G337&gt;='Read Me'!$E$2/86400,"Fully attended","Partially attended"))</x:f>
        <x:v>Did not attend</x:v>
      </x:c>
      <x:c r="I337" s="130" t="n">
        <x:f>E337+G337</x:f>
        <x:v>0.0815162037037037</x:v>
      </x:c>
      <x:c r="J337" s="131" t="str">
        <x:f>IF(I337=0,"Did not attend",IF(I337&gt;='Read Me'!$E$2/86400,"Fully attended","Partially attended"))</x:f>
        <x:v>Fully attended</x:v>
      </x:c>
      <x:c r="K337" s="131" t="str">
        <x:f>IF($D337="","No",IF(COUNTIF('Attendance Report - Option 1'!$P$11:$P$315,$D337)&gt;0,"Yes","No"))</x:f>
        <x:v>Yes</x:v>
      </x:c>
      <x:c r="L337" s="131" t="str">
        <x:f>IF($D337="","No",IF(COUNTIF('Attendance Report - Option 2'!$P$11:$P$412,$D337)&gt;0,"Yes","No"))</x:f>
        <x:v>No</x:v>
      </x:c>
    </x:row>
    <x:row r="338">
      <x:c r="A338" s="16" t="str">
        <x:f>'EMA Assurance Employee List'!A339</x:f>
        <x:v>Piyanshu Ghumaria</x:v>
      </x:c>
      <x:c r="B338" s="16" t="str">
        <x:f>IF(C338="KE","Kenya",IF(C338="UG","Uganda",IF(C338="MU","Mauritius",IF(C338="TZ","Tanzania",IF(C338="RW","Rwanda",IF(C338="ZA","South Africa",IF(C338="ZM","Zambia","")))))))</x:f>
        <x:v>Mauritius</x:v>
      </x:c>
      <x:c r="C338" s="16" t="str">
        <x:f>'EMA Assurance Employee List'!B339</x:f>
        <x:v>MU</x:v>
      </x:c>
      <x:c r="D338" s="16" t="str">
        <x:f>'EMA Assurance Employee List'!D339</x:f>
        <x:v>piyanshu.ghumaria@pwc.com</x:v>
      </x:c>
      <x:c r="E338" s="130" t="n">
        <x:f>IF($D338="",0,SUMIF('Attendance Report - Option 1'!$P$11:$P$315,$D338,'Attendance Report - Option 1'!$Q$11:$Q$315)/86400)</x:f>
        <x:v>0</x:v>
      </x:c>
      <x:c r="F338" s="131" t="str">
        <x:f>IF(E338=0,"Did not attend",IF(E338&gt;='Read Me'!$E$2/86400,"Fully attended","Partially attended"))</x:f>
        <x:v>Did not attend</x:v>
      </x:c>
      <x:c r="G338" s="130" t="n">
        <x:f>IF($D338="",0,SUMIF('Attendance Report - Option 2'!$P$11:$P$412,$D338,'Attendance Report - Option 2'!$Q$11:$Q$412)/86400)</x:f>
        <x:v>0</x:v>
      </x:c>
      <x:c r="H338" s="131" t="str">
        <x:f>IF(G338=0,"Did not attend",IF(G338&gt;='Read Me'!$E$2/86400,"Fully attended","Partially attended"))</x:f>
        <x:v>Did not attend</x:v>
      </x:c>
      <x:c r="I338" s="130" t="n">
        <x:f>E338+G338</x:f>
        <x:v>0</x:v>
      </x:c>
      <x:c r="J338" s="131" t="str">
        <x:f>IF(I338=0,"Did not attend",IF(I338&gt;='Read Me'!$E$2/86400,"Fully attended","Partially attended"))</x:f>
        <x:v>Did not attend</x:v>
      </x:c>
      <x:c r="K338" s="131" t="str">
        <x:f>IF($D338="","No",IF(COUNTIF('Attendance Report - Option 1'!$P$11:$P$315,$D338)&gt;0,"Yes","No"))</x:f>
        <x:v>No</x:v>
      </x:c>
      <x:c r="L338" s="131" t="str">
        <x:f>IF($D338="","No",IF(COUNTIF('Attendance Report - Option 2'!$P$11:$P$412,$D338)&gt;0,"Yes","No"))</x:f>
        <x:v>No</x:v>
      </x:c>
    </x:row>
    <x:row r="339">
      <x:c r="A339" s="16" t="str">
        <x:f>'EMA Assurance Employee List'!A340</x:f>
        <x:v>Praveena Ramlogun</x:v>
      </x:c>
      <x:c r="B339" s="16" t="str">
        <x:f>IF(C339="KE","Kenya",IF(C339="UG","Uganda",IF(C339="MU","Mauritius",IF(C339="TZ","Tanzania",IF(C339="RW","Rwanda",IF(C339="ZA","South Africa",IF(C339="ZM","Zambia","")))))))</x:f>
        <x:v>Mauritius</x:v>
      </x:c>
      <x:c r="C339" s="16" t="str">
        <x:f>'EMA Assurance Employee List'!B340</x:f>
        <x:v>MU</x:v>
      </x:c>
      <x:c r="D339" s="16" t="str">
        <x:f>'EMA Assurance Employee List'!D340</x:f>
        <x:v>praveena.ramlogun@pwc.com</x:v>
      </x:c>
      <x:c r="E339" s="130" t="n">
        <x:f>IF($D339="",0,SUMIF('Attendance Report - Option 1'!$P$11:$P$315,$D339,'Attendance Report - Option 1'!$Q$11:$Q$315)/86400)</x:f>
        <x:v>0</x:v>
      </x:c>
      <x:c r="F339" s="131" t="str">
        <x:f>IF(E339=0,"Did not attend",IF(E339&gt;='Read Me'!$E$2/86400,"Fully attended","Partially attended"))</x:f>
        <x:v>Did not attend</x:v>
      </x:c>
      <x:c r="G339" s="130" t="n">
        <x:f>IF($D339="",0,SUMIF('Attendance Report - Option 2'!$P$11:$P$412,$D339,'Attendance Report - Option 2'!$Q$11:$Q$412)/86400)</x:f>
        <x:v>0.08113425925925925</x:v>
      </x:c>
      <x:c r="H339" s="131" t="str">
        <x:f>IF(G339=0,"Did not attend",IF(G339&gt;='Read Me'!$E$2/86400,"Fully attended","Partially attended"))</x:f>
        <x:v>Fully attended</x:v>
      </x:c>
      <x:c r="I339" s="130" t="n">
        <x:f>E339+G339</x:f>
        <x:v>0.08113425925925925</x:v>
      </x:c>
      <x:c r="J339" s="131" t="str">
        <x:f>IF(I339=0,"Did not attend",IF(I339&gt;='Read Me'!$E$2/86400,"Fully attended","Partially attended"))</x:f>
        <x:v>Fully attended</x:v>
      </x:c>
      <x:c r="K339" s="131" t="str">
        <x:f>IF($D339="","No",IF(COUNTIF('Attendance Report - Option 1'!$P$11:$P$315,$D339)&gt;0,"Yes","No"))</x:f>
        <x:v>No</x:v>
      </x:c>
      <x:c r="L339" s="131" t="str">
        <x:f>IF($D339="","No",IF(COUNTIF('Attendance Report - Option 2'!$P$11:$P$412,$D339)&gt;0,"Yes","No"))</x:f>
        <x:v>Yes</x:v>
      </x:c>
    </x:row>
    <x:row r="340">
      <x:c r="A340" s="16" t="str">
        <x:f>'EMA Assurance Employee List'!A341</x:f>
        <x:v>Pravin Meetoo</x:v>
      </x:c>
      <x:c r="B340" s="16" t="str">
        <x:f>IF(C340="KE","Kenya",IF(C340="UG","Uganda",IF(C340="MU","Mauritius",IF(C340="TZ","Tanzania",IF(C340="RW","Rwanda",IF(C340="ZA","South Africa",IF(C340="ZM","Zambia","")))))))</x:f>
        <x:v>Mauritius</x:v>
      </x:c>
      <x:c r="C340" s="16" t="str">
        <x:f>'EMA Assurance Employee List'!B341</x:f>
        <x:v>MU</x:v>
      </x:c>
      <x:c r="D340" s="16" t="str">
        <x:f>'EMA Assurance Employee List'!D341</x:f>
        <x:v>pravin.p.meetoo@pwc.com</x:v>
      </x:c>
      <x:c r="E340" s="130" t="n">
        <x:f>IF($D340="",0,SUMIF('Attendance Report - Option 1'!$P$11:$P$315,$D340,'Attendance Report - Option 1'!$Q$11:$Q$315)/86400)</x:f>
        <x:v>0.007152777777777778</x:v>
      </x:c>
      <x:c r="F340" s="131" t="str">
        <x:f>IF(E340=0,"Did not attend",IF(E340&gt;='Read Me'!$E$2/86400,"Fully attended","Partially attended"))</x:f>
        <x:v>Partially attended</x:v>
      </x:c>
      <x:c r="G340" s="130" t="n">
        <x:f>IF($D340="",0,SUMIF('Attendance Report - Option 2'!$P$11:$P$412,$D340,'Attendance Report - Option 2'!$Q$11:$Q$412)/86400)</x:f>
        <x:v>0.08265046296296297</x:v>
      </x:c>
      <x:c r="H340" s="131" t="str">
        <x:f>IF(G340=0,"Did not attend",IF(G340&gt;='Read Me'!$E$2/86400,"Fully attended","Partially attended"))</x:f>
        <x:v>Fully attended</x:v>
      </x:c>
      <x:c r="I340" s="130" t="n">
        <x:f>E340+G340</x:f>
        <x:v>0.08980324074074074</x:v>
      </x:c>
      <x:c r="J340" s="131" t="str">
        <x:f>IF(I340=0,"Did not attend",IF(I340&gt;='Read Me'!$E$2/86400,"Fully attended","Partially attended"))</x:f>
        <x:v>Fully attended</x:v>
      </x:c>
      <x:c r="K340" s="131" t="str">
        <x:f>IF($D340="","No",IF(COUNTIF('Attendance Report - Option 1'!$P$11:$P$315,$D340)&gt;0,"Yes","No"))</x:f>
        <x:v>Yes</x:v>
      </x:c>
      <x:c r="L340" s="131" t="str">
        <x:f>IF($D340="","No",IF(COUNTIF('Attendance Report - Option 2'!$P$11:$P$412,$D340)&gt;0,"Yes","No"))</x:f>
        <x:v>Yes</x:v>
      </x:c>
    </x:row>
    <x:row r="341">
      <x:c r="A341" s="16" t="str">
        <x:f>'EMA Assurance Employee List'!A342</x:f>
        <x:v>Preksha Russeean</x:v>
      </x:c>
      <x:c r="B341" s="16" t="str">
        <x:f>IF(C341="KE","Kenya",IF(C341="UG","Uganda",IF(C341="MU","Mauritius",IF(C341="TZ","Tanzania",IF(C341="RW","Rwanda",IF(C341="ZA","South Africa",IF(C341="ZM","Zambia","")))))))</x:f>
        <x:v>Mauritius</x:v>
      </x:c>
      <x:c r="C341" s="16" t="str">
        <x:f>'EMA Assurance Employee List'!B342</x:f>
        <x:v>MU</x:v>
      </x:c>
      <x:c r="D341" s="16" t="str">
        <x:f>'EMA Assurance Employee List'!D342</x:f>
        <x:v>preksha.russeean@pwc.com</x:v>
      </x:c>
      <x:c r="E341" s="130" t="n">
        <x:f>IF($D341="",0,SUMIF('Attendance Report - Option 1'!$P$11:$P$315,$D341,'Attendance Report - Option 1'!$Q$11:$Q$315)/86400)</x:f>
        <x:v>0</x:v>
      </x:c>
      <x:c r="F341" s="131" t="str">
        <x:f>IF(E341=0,"Did not attend",IF(E341&gt;='Read Me'!$E$2/86400,"Fully attended","Partially attended"))</x:f>
        <x:v>Did not attend</x:v>
      </x:c>
      <x:c r="G341" s="130" t="n">
        <x:f>IF($D341="",0,SUMIF('Attendance Report - Option 2'!$P$11:$P$412,$D341,'Attendance Report - Option 2'!$Q$11:$Q$412)/86400)</x:f>
        <x:v>0.08564814814814815</x:v>
      </x:c>
      <x:c r="H341" s="131" t="str">
        <x:f>IF(G341=0,"Did not attend",IF(G341&gt;='Read Me'!$E$2/86400,"Fully attended","Partially attended"))</x:f>
        <x:v>Fully attended</x:v>
      </x:c>
      <x:c r="I341" s="130" t="n">
        <x:f>E341+G341</x:f>
        <x:v>0.08564814814814815</x:v>
      </x:c>
      <x:c r="J341" s="131" t="str">
        <x:f>IF(I341=0,"Did not attend",IF(I341&gt;='Read Me'!$E$2/86400,"Fully attended","Partially attended"))</x:f>
        <x:v>Fully attended</x:v>
      </x:c>
      <x:c r="K341" s="131" t="str">
        <x:f>IF($D341="","No",IF(COUNTIF('Attendance Report - Option 1'!$P$11:$P$315,$D341)&gt;0,"Yes","No"))</x:f>
        <x:v>No</x:v>
      </x:c>
      <x:c r="L341" s="131" t="str">
        <x:f>IF($D341="","No",IF(COUNTIF('Attendance Report - Option 2'!$P$11:$P$412,$D341)&gt;0,"Yes","No"))</x:f>
        <x:v>Yes</x:v>
      </x:c>
    </x:row>
    <x:row r="342">
      <x:c r="A342" s="16" t="str">
        <x:f>'EMA Assurance Employee List'!A343</x:f>
        <x:v>Prisca Lifasi</x:v>
      </x:c>
      <x:c r="B342" s="16" t="str">
        <x:f>IF(C342="KE","Kenya",IF(C342="UG","Uganda",IF(C342="MU","Mauritius",IF(C342="TZ","Tanzania",IF(C342="RW","Rwanda",IF(C342="ZA","South Africa",IF(C342="ZM","Zambia","")))))))</x:f>
        <x:v>Zambia</x:v>
      </x:c>
      <x:c r="C342" s="16" t="str">
        <x:f>'EMA Assurance Employee List'!B343</x:f>
        <x:v>ZM</x:v>
      </x:c>
      <x:c r="D342" s="16" t="str">
        <x:f>'EMA Assurance Employee List'!D343</x:f>
        <x:v>prisca.lifasi@pwc.com</x:v>
      </x:c>
      <x:c r="E342" s="130" t="n">
        <x:f>IF($D342="",0,SUMIF('Attendance Report - Option 1'!$P$11:$P$315,$D342,'Attendance Report - Option 1'!$Q$11:$Q$315)/86400)</x:f>
        <x:v>0.024733796296296295</x:v>
      </x:c>
      <x:c r="F342" s="131" t="str">
        <x:f>IF(E342=0,"Did not attend",IF(E342&gt;='Read Me'!$E$2/86400,"Fully attended","Partially attended"))</x:f>
        <x:v>Partially attended</x:v>
      </x:c>
      <x:c r="G342" s="130" t="n">
        <x:f>IF($D342="",0,SUMIF('Attendance Report - Option 2'!$P$11:$P$412,$D342,'Attendance Report - Option 2'!$Q$11:$Q$412)/86400)</x:f>
        <x:v>0.010659722222222221</x:v>
      </x:c>
      <x:c r="H342" s="131" t="str">
        <x:f>IF(G342=0,"Did not attend",IF(G342&gt;='Read Me'!$E$2/86400,"Fully attended","Partially attended"))</x:f>
        <x:v>Partially attended</x:v>
      </x:c>
      <x:c r="I342" s="130" t="n">
        <x:f>E342+G342</x:f>
        <x:v>0.03539351851851852</x:v>
      </x:c>
      <x:c r="J342" s="131" t="str">
        <x:f>IF(I342=0,"Did not attend",IF(I342&gt;='Read Me'!$E$2/86400,"Fully attended","Partially attended"))</x:f>
        <x:v>Partially attended</x:v>
      </x:c>
      <x:c r="K342" s="131" t="str">
        <x:f>IF($D342="","No",IF(COUNTIF('Attendance Report - Option 1'!$P$11:$P$315,$D342)&gt;0,"Yes","No"))</x:f>
        <x:v>Yes</x:v>
      </x:c>
      <x:c r="L342" s="131" t="str">
        <x:f>IF($D342="","No",IF(COUNTIF('Attendance Report - Option 2'!$P$11:$P$412,$D342)&gt;0,"Yes","No"))</x:f>
        <x:v>Yes</x:v>
      </x:c>
    </x:row>
    <x:row r="343">
      <x:c r="A343" s="16" t="str">
        <x:f>'EMA Assurance Employee List'!A344</x:f>
        <x:v>Purav Patel</x:v>
      </x:c>
      <x:c r="B343" s="16" t="str">
        <x:f>IF(C343="KE","Kenya",IF(C343="UG","Uganda",IF(C343="MU","Mauritius",IF(C343="TZ","Tanzania",IF(C343="RW","Rwanda",IF(C343="ZA","South Africa",IF(C343="ZM","Zambia","")))))))</x:f>
        <x:v>Kenya</x:v>
      </x:c>
      <x:c r="C343" s="16" t="str">
        <x:f>'EMA Assurance Employee List'!B344</x:f>
        <x:v>KE</x:v>
      </x:c>
      <x:c r="D343" s="16" t="str">
        <x:f>'EMA Assurance Employee List'!D344</x:f>
        <x:v>purav.patel@pwc.com</x:v>
      </x:c>
      <x:c r="E343" s="130" t="n">
        <x:f>IF($D343="",0,SUMIF('Attendance Report - Option 1'!$P$11:$P$315,$D343,'Attendance Report - Option 1'!$Q$11:$Q$315)/86400)</x:f>
        <x:v>0.08225694444444444</x:v>
      </x:c>
      <x:c r="F343" s="131" t="str">
        <x:f>IF(E343=0,"Did not attend",IF(E343&gt;='Read Me'!$E$2/86400,"Fully attended","Partially attended"))</x:f>
        <x:v>Fully attended</x:v>
      </x:c>
      <x:c r="G343" s="130" t="n">
        <x:f>IF($D343="",0,SUMIF('Attendance Report - Option 2'!$P$11:$P$412,$D343,'Attendance Report - Option 2'!$Q$11:$Q$412)/86400)</x:f>
        <x:v>0</x:v>
      </x:c>
      <x:c r="H343" s="131" t="str">
        <x:f>IF(G343=0,"Did not attend",IF(G343&gt;='Read Me'!$E$2/86400,"Fully attended","Partially attended"))</x:f>
        <x:v>Did not attend</x:v>
      </x:c>
      <x:c r="I343" s="130" t="n">
        <x:f>E343+G343</x:f>
        <x:v>0.08225694444444444</x:v>
      </x:c>
      <x:c r="J343" s="131" t="str">
        <x:f>IF(I343=0,"Did not attend",IF(I343&gt;='Read Me'!$E$2/86400,"Fully attended","Partially attended"))</x:f>
        <x:v>Fully attended</x:v>
      </x:c>
      <x:c r="K343" s="131" t="str">
        <x:f>IF($D343="","No",IF(COUNTIF('Attendance Report - Option 1'!$P$11:$P$315,$D343)&gt;0,"Yes","No"))</x:f>
        <x:v>Yes</x:v>
      </x:c>
      <x:c r="L343" s="131" t="str">
        <x:f>IF($D343="","No",IF(COUNTIF('Attendance Report - Option 2'!$P$11:$P$412,$D343)&gt;0,"Yes","No"))</x:f>
        <x:v>No</x:v>
      </x:c>
    </x:row>
    <x:row r="344">
      <x:c r="A344" s="16" t="str">
        <x:f>'EMA Assurance Employee List'!A345</x:f>
        <x:v>Purvashi Ramracheea</x:v>
      </x:c>
      <x:c r="B344" s="16" t="str">
        <x:f>IF(C344="KE","Kenya",IF(C344="UG","Uganda",IF(C344="MU","Mauritius",IF(C344="TZ","Tanzania",IF(C344="RW","Rwanda",IF(C344="ZA","South Africa",IF(C344="ZM","Zambia","")))))))</x:f>
        <x:v>Mauritius</x:v>
      </x:c>
      <x:c r="C344" s="16" t="str">
        <x:f>'EMA Assurance Employee List'!B345</x:f>
        <x:v>MU</x:v>
      </x:c>
      <x:c r="D344" s="16" t="str">
        <x:f>'EMA Assurance Employee List'!D345</x:f>
        <x:v>purvashi.ramracheea@pwc.com</x:v>
      </x:c>
      <x:c r="E344" s="130" t="n">
        <x:f>IF($D344="",0,SUMIF('Attendance Report - Option 1'!$P$11:$P$315,$D344,'Attendance Report - Option 1'!$Q$11:$Q$315)/86400)</x:f>
        <x:v>0</x:v>
      </x:c>
      <x:c r="F344" s="131" t="str">
        <x:f>IF(E344=0,"Did not attend",IF(E344&gt;='Read Me'!$E$2/86400,"Fully attended","Partially attended"))</x:f>
        <x:v>Did not attend</x:v>
      </x:c>
      <x:c r="G344" s="130" t="n">
        <x:f>IF($D344="",0,SUMIF('Attendance Report - Option 2'!$P$11:$P$412,$D344,'Attendance Report - Option 2'!$Q$11:$Q$412)/86400)</x:f>
        <x:v>0.06076388888888889</x:v>
      </x:c>
      <x:c r="H344" s="131" t="str">
        <x:f>IF(G344=0,"Did not attend",IF(G344&gt;='Read Me'!$E$2/86400,"Fully attended","Partially attended"))</x:f>
        <x:v>Partially attended</x:v>
      </x:c>
      <x:c r="I344" s="130" t="n">
        <x:f>E344+G344</x:f>
        <x:v>0.06076388888888889</x:v>
      </x:c>
      <x:c r="J344" s="131" t="str">
        <x:f>IF(I344=0,"Did not attend",IF(I344&gt;='Read Me'!$E$2/86400,"Fully attended","Partially attended"))</x:f>
        <x:v>Partially attended</x:v>
      </x:c>
      <x:c r="K344" s="131" t="str">
        <x:f>IF($D344="","No",IF(COUNTIF('Attendance Report - Option 1'!$P$11:$P$315,$D344)&gt;0,"Yes","No"))</x:f>
        <x:v>No</x:v>
      </x:c>
      <x:c r="L344" s="131" t="str">
        <x:f>IF($D344="","No",IF(COUNTIF('Attendance Report - Option 2'!$P$11:$P$412,$D344)&gt;0,"Yes","No"))</x:f>
        <x:v>Yes</x:v>
      </x:c>
    </x:row>
    <x:row r="345">
      <x:c r="A345" s="16" t="str">
        <x:f>'EMA Assurance Employee List'!A346</x:f>
        <x:v>Racheal Nakimuli</x:v>
      </x:c>
      <x:c r="B345" s="16" t="str">
        <x:f>IF(C345="KE","Kenya",IF(C345="UG","Uganda",IF(C345="MU","Mauritius",IF(C345="TZ","Tanzania",IF(C345="RW","Rwanda",IF(C345="ZA","South Africa",IF(C345="ZM","Zambia","")))))))</x:f>
        <x:v>Uganda</x:v>
      </x:c>
      <x:c r="C345" s="16" t="str">
        <x:f>'EMA Assurance Employee List'!B346</x:f>
        <x:v>UG</x:v>
      </x:c>
      <x:c r="D345" s="16" t="str">
        <x:f>'EMA Assurance Employee List'!D346</x:f>
        <x:v>racheal.nakimuli@pwc.com</x:v>
      </x:c>
      <x:c r="E345" s="130" t="n">
        <x:f>IF($D345="",0,SUMIF('Attendance Report - Option 1'!$P$11:$P$315,$D345,'Attendance Report - Option 1'!$Q$11:$Q$315)/86400)</x:f>
        <x:v>0.06954861111111112</x:v>
      </x:c>
      <x:c r="F345" s="131" t="str">
        <x:f>IF(E345=0,"Did not attend",IF(E345&gt;='Read Me'!$E$2/86400,"Fully attended","Partially attended"))</x:f>
        <x:v>Fully attended</x:v>
      </x:c>
      <x:c r="G345" s="130" t="n">
        <x:f>IF($D345="",0,SUMIF('Attendance Report - Option 2'!$P$11:$P$412,$D345,'Attendance Report - Option 2'!$Q$11:$Q$412)/86400)</x:f>
        <x:v>0</x:v>
      </x:c>
      <x:c r="H345" s="131" t="str">
        <x:f>IF(G345=0,"Did not attend",IF(G345&gt;='Read Me'!$E$2/86400,"Fully attended","Partially attended"))</x:f>
        <x:v>Did not attend</x:v>
      </x:c>
      <x:c r="I345" s="130" t="n">
        <x:f>E345+G345</x:f>
        <x:v>0.06954861111111112</x:v>
      </x:c>
      <x:c r="J345" s="131" t="str">
        <x:f>IF(I345=0,"Did not attend",IF(I345&gt;='Read Me'!$E$2/86400,"Fully attended","Partially attended"))</x:f>
        <x:v>Fully attended</x:v>
      </x:c>
      <x:c r="K345" s="131" t="str">
        <x:f>IF($D345="","No",IF(COUNTIF('Attendance Report - Option 1'!$P$11:$P$315,$D345)&gt;0,"Yes","No"))</x:f>
        <x:v>Yes</x:v>
      </x:c>
      <x:c r="L345" s="131" t="str">
        <x:f>IF($D345="","No",IF(COUNTIF('Attendance Report - Option 2'!$P$11:$P$412,$D345)&gt;0,"Yes","No"))</x:f>
        <x:v>No</x:v>
      </x:c>
    </x:row>
    <x:row r="346">
      <x:c r="A346" s="16" t="str">
        <x:f>'EMA Assurance Employee List'!A347</x:f>
        <x:v>Raj Sookhurry</x:v>
      </x:c>
      <x:c r="B346" s="16" t="str">
        <x:f>IF(C346="KE","Kenya",IF(C346="UG","Uganda",IF(C346="MU","Mauritius",IF(C346="TZ","Tanzania",IF(C346="RW","Rwanda",IF(C346="ZA","South Africa",IF(C346="ZM","Zambia","")))))))</x:f>
        <x:v>Mauritius</x:v>
      </x:c>
      <x:c r="C346" s="16" t="str">
        <x:f>'EMA Assurance Employee List'!B347</x:f>
        <x:v>MU</x:v>
      </x:c>
      <x:c r="D346" s="16" t="str">
        <x:f>'EMA Assurance Employee List'!D347</x:f>
        <x:v>raj.sookhurry@pwc.com</x:v>
      </x:c>
      <x:c r="E346" s="130" t="n">
        <x:f>IF($D346="",0,SUMIF('Attendance Report - Option 1'!$P$11:$P$315,$D346,'Attendance Report - Option 1'!$Q$11:$Q$315)/86400)</x:f>
        <x:v>0</x:v>
      </x:c>
      <x:c r="F346" s="131" t="str">
        <x:f>IF(E346=0,"Did not attend",IF(E346&gt;='Read Me'!$E$2/86400,"Fully attended","Partially attended"))</x:f>
        <x:v>Did not attend</x:v>
      </x:c>
      <x:c r="G346" s="130" t="n">
        <x:f>IF($D346="",0,SUMIF('Attendance Report - Option 2'!$P$11:$P$412,$D346,'Attendance Report - Option 2'!$Q$11:$Q$412)/86400)</x:f>
        <x:v>0</x:v>
      </x:c>
      <x:c r="H346" s="131" t="str">
        <x:f>IF(G346=0,"Did not attend",IF(G346&gt;='Read Me'!$E$2/86400,"Fully attended","Partially attended"))</x:f>
        <x:v>Did not attend</x:v>
      </x:c>
      <x:c r="I346" s="130" t="n">
        <x:f>E346+G346</x:f>
        <x:v>0</x:v>
      </x:c>
      <x:c r="J346" s="131" t="str">
        <x:f>IF(I346=0,"Did not attend",IF(I346&gt;='Read Me'!$E$2/86400,"Fully attended","Partially attended"))</x:f>
        <x:v>Did not attend</x:v>
      </x:c>
      <x:c r="K346" s="131" t="str">
        <x:f>IF($D346="","No",IF(COUNTIF('Attendance Report - Option 1'!$P$11:$P$315,$D346)&gt;0,"Yes","No"))</x:f>
        <x:v>No</x:v>
      </x:c>
      <x:c r="L346" s="131" t="str">
        <x:f>IF($D346="","No",IF(COUNTIF('Attendance Report - Option 2'!$P$11:$P$412,$D346)&gt;0,"Yes","No"))</x:f>
        <x:v>No</x:v>
      </x:c>
    </x:row>
    <x:row r="347">
      <x:c r="A347" s="16" t="str">
        <x:f>'EMA Assurance Employee List'!A348</x:f>
        <x:v>Ranveer Dindoyal</x:v>
      </x:c>
      <x:c r="B347" s="16" t="str">
        <x:f>IF(C347="KE","Kenya",IF(C347="UG","Uganda",IF(C347="MU","Mauritius",IF(C347="TZ","Tanzania",IF(C347="RW","Rwanda",IF(C347="ZA","South Africa",IF(C347="ZM","Zambia","")))))))</x:f>
        <x:v>Mauritius</x:v>
      </x:c>
      <x:c r="C347" s="16" t="str">
        <x:f>'EMA Assurance Employee List'!B348</x:f>
        <x:v>MU</x:v>
      </x:c>
      <x:c r="D347" s="16" t="str">
        <x:f>'EMA Assurance Employee List'!D348</x:f>
        <x:v>ranveer.d.dindoyal@pwc.com</x:v>
      </x:c>
      <x:c r="E347" s="130" t="n">
        <x:f>IF($D347="",0,SUMIF('Attendance Report - Option 1'!$P$11:$P$315,$D347,'Attendance Report - Option 1'!$Q$11:$Q$315)/86400)</x:f>
        <x:v>0.07543981481481482</x:v>
      </x:c>
      <x:c r="F347" s="131" t="str">
        <x:f>IF(E347=0,"Did not attend",IF(E347&gt;='Read Me'!$E$2/86400,"Fully attended","Partially attended"))</x:f>
        <x:v>Fully attended</x:v>
      </x:c>
      <x:c r="G347" s="130" t="n">
        <x:f>IF($D347="",0,SUMIF('Attendance Report - Option 2'!$P$11:$P$412,$D347,'Attendance Report - Option 2'!$Q$11:$Q$412)/86400)</x:f>
        <x:v>0</x:v>
      </x:c>
      <x:c r="H347" s="131" t="str">
        <x:f>IF(G347=0,"Did not attend",IF(G347&gt;='Read Me'!$E$2/86400,"Fully attended","Partially attended"))</x:f>
        <x:v>Did not attend</x:v>
      </x:c>
      <x:c r="I347" s="130" t="n">
        <x:f>E347+G347</x:f>
        <x:v>0.07543981481481482</x:v>
      </x:c>
      <x:c r="J347" s="131" t="str">
        <x:f>IF(I347=0,"Did not attend",IF(I347&gt;='Read Me'!$E$2/86400,"Fully attended","Partially attended"))</x:f>
        <x:v>Fully attended</x:v>
      </x:c>
      <x:c r="K347" s="131" t="str">
        <x:f>IF($D347="","No",IF(COUNTIF('Attendance Report - Option 1'!$P$11:$P$315,$D347)&gt;0,"Yes","No"))</x:f>
        <x:v>Yes</x:v>
      </x:c>
      <x:c r="L347" s="131" t="str">
        <x:f>IF($D347="","No",IF(COUNTIF('Attendance Report - Option 2'!$P$11:$P$412,$D347)&gt;0,"Yes","No"))</x:f>
        <x:v>No</x:v>
      </x:c>
    </x:row>
    <x:row r="348">
      <x:c r="A348" s="16" t="str">
        <x:f>'EMA Assurance Employee List'!A349</x:f>
        <x:v>Raphael Ochieng</x:v>
      </x:c>
      <x:c r="B348" s="16" t="str">
        <x:f>IF(C348="KE","Kenya",IF(C348="UG","Uganda",IF(C348="MU","Mauritius",IF(C348="TZ","Tanzania",IF(C348="RW","Rwanda",IF(C348="ZA","South Africa",IF(C348="ZM","Zambia","")))))))</x:f>
        <x:v>Kenya</x:v>
      </x:c>
      <x:c r="C348" s="16" t="str">
        <x:f>'EMA Assurance Employee List'!B349</x:f>
        <x:v>KE</x:v>
      </x:c>
      <x:c r="D348" s="16" t="str">
        <x:f>'EMA Assurance Employee List'!D349</x:f>
        <x:v>raphael.ochieng@pwc.com</x:v>
      </x:c>
      <x:c r="E348" s="130" t="n">
        <x:f>IF($D348="",0,SUMIF('Attendance Report - Option 1'!$P$11:$P$315,$D348,'Attendance Report - Option 1'!$Q$11:$Q$315)/86400)</x:f>
        <x:v>0</x:v>
      </x:c>
      <x:c r="F348" s="131" t="str">
        <x:f>IF(E348=0,"Did not attend",IF(E348&gt;='Read Me'!$E$2/86400,"Fully attended","Partially attended"))</x:f>
        <x:v>Did not attend</x:v>
      </x:c>
      <x:c r="G348" s="130" t="n">
        <x:f>IF($D348="",0,SUMIF('Attendance Report - Option 2'!$P$11:$P$412,$D348,'Attendance Report - Option 2'!$Q$11:$Q$412)/86400)</x:f>
        <x:v>0.02318287037037037</x:v>
      </x:c>
      <x:c r="H348" s="131" t="str">
        <x:f>IF(G348=0,"Did not attend",IF(G348&gt;='Read Me'!$E$2/86400,"Fully attended","Partially attended"))</x:f>
        <x:v>Partially attended</x:v>
      </x:c>
      <x:c r="I348" s="130" t="n">
        <x:f>E348+G348</x:f>
        <x:v>0.02318287037037037</x:v>
      </x:c>
      <x:c r="J348" s="131" t="str">
        <x:f>IF(I348=0,"Did not attend",IF(I348&gt;='Read Me'!$E$2/86400,"Fully attended","Partially attended"))</x:f>
        <x:v>Partially attended</x:v>
      </x:c>
      <x:c r="K348" s="131" t="str">
        <x:f>IF($D348="","No",IF(COUNTIF('Attendance Report - Option 1'!$P$11:$P$315,$D348)&gt;0,"Yes","No"))</x:f>
        <x:v>No</x:v>
      </x:c>
      <x:c r="L348" s="131" t="str">
        <x:f>IF($D348="","No",IF(COUNTIF('Attendance Report - Option 2'!$P$11:$P$412,$D348)&gt;0,"Yes","No"))</x:f>
        <x:v>Yes</x:v>
      </x:c>
    </x:row>
    <x:row r="349">
      <x:c r="A349" s="16" t="str">
        <x:f>'EMA Assurance Employee List'!A350</x:f>
        <x:v>Rashida Phiri</x:v>
      </x:c>
      <x:c r="B349" s="16" t="str">
        <x:f>IF(C349="KE","Kenya",IF(C349="UG","Uganda",IF(C349="MU","Mauritius",IF(C349="TZ","Tanzania",IF(C349="RW","Rwanda",IF(C349="ZA","South Africa",IF(C349="ZM","Zambia","")))))))</x:f>
        <x:v>Zambia</x:v>
      </x:c>
      <x:c r="C349" s="16" t="str">
        <x:f>'EMA Assurance Employee List'!B350</x:f>
        <x:v>ZM</x:v>
      </x:c>
      <x:c r="D349" s="16" t="str">
        <x:f>'EMA Assurance Employee List'!D350</x:f>
        <x:v>rashida.x.phiri@pwc.com</x:v>
      </x:c>
      <x:c r="E349" s="130" t="n">
        <x:f>IF($D349="",0,SUMIF('Attendance Report - Option 1'!$P$11:$P$315,$D349,'Attendance Report - Option 1'!$Q$11:$Q$315)/86400)</x:f>
        <x:v>0.08166666666666667</x:v>
      </x:c>
      <x:c r="F349" s="131" t="str">
        <x:f>IF(E349=0,"Did not attend",IF(E349&gt;='Read Me'!$E$2/86400,"Fully attended","Partially attended"))</x:f>
        <x:v>Fully attended</x:v>
      </x:c>
      <x:c r="G349" s="130" t="n">
        <x:f>IF($D349="",0,SUMIF('Attendance Report - Option 2'!$P$11:$P$412,$D349,'Attendance Report - Option 2'!$Q$11:$Q$412)/86400)</x:f>
        <x:v>0</x:v>
      </x:c>
      <x:c r="H349" s="131" t="str">
        <x:f>IF(G349=0,"Did not attend",IF(G349&gt;='Read Me'!$E$2/86400,"Fully attended","Partially attended"))</x:f>
        <x:v>Did not attend</x:v>
      </x:c>
      <x:c r="I349" s="130" t="n">
        <x:f>E349+G349</x:f>
        <x:v>0.08166666666666667</x:v>
      </x:c>
      <x:c r="J349" s="131" t="str">
        <x:f>IF(I349=0,"Did not attend",IF(I349&gt;='Read Me'!$E$2/86400,"Fully attended","Partially attended"))</x:f>
        <x:v>Fully attended</x:v>
      </x:c>
      <x:c r="K349" s="131" t="str">
        <x:f>IF($D349="","No",IF(COUNTIF('Attendance Report - Option 1'!$P$11:$P$315,$D349)&gt;0,"Yes","No"))</x:f>
        <x:v>Yes</x:v>
      </x:c>
      <x:c r="L349" s="131" t="str">
        <x:f>IF($D349="","No",IF(COUNTIF('Attendance Report - Option 2'!$P$11:$P$412,$D349)&gt;0,"Yes","No"))</x:f>
        <x:v>No</x:v>
      </x:c>
    </x:row>
    <x:row r="350">
      <x:c r="A350" s="16" t="str">
        <x:f>'EMA Assurance Employee List'!A351</x:f>
        <x:v>Ray Hang'ambwa</x:v>
      </x:c>
      <x:c r="B350" s="16" t="str">
        <x:f>IF(C350="KE","Kenya",IF(C350="UG","Uganda",IF(C350="MU","Mauritius",IF(C350="TZ","Tanzania",IF(C350="RW","Rwanda",IF(C350="ZA","South Africa",IF(C350="ZM","Zambia","")))))))</x:f>
        <x:v>Zambia</x:v>
      </x:c>
      <x:c r="C350" s="16" t="str">
        <x:f>'EMA Assurance Employee List'!B351</x:f>
        <x:v>ZM</x:v>
      </x:c>
      <x:c r="D350" s="16" t="str">
        <x:f>'EMA Assurance Employee List'!D351</x:f>
        <x:v>ray.hangambwa@pwc.com</x:v>
      </x:c>
      <x:c r="E350" s="130" t="n">
        <x:f>IF($D350="",0,SUMIF('Attendance Report - Option 1'!$P$11:$P$315,$D350,'Attendance Report - Option 1'!$Q$11:$Q$315)/86400)</x:f>
        <x:v>0</x:v>
      </x:c>
      <x:c r="F350" s="131" t="str">
        <x:f>IF(E350=0,"Did not attend",IF(E350&gt;='Read Me'!$E$2/86400,"Fully attended","Partially attended"))</x:f>
        <x:v>Did not attend</x:v>
      </x:c>
      <x:c r="G350" s="130" t="n">
        <x:f>IF($D350="",0,SUMIF('Attendance Report - Option 2'!$P$11:$P$412,$D350,'Attendance Report - Option 2'!$Q$11:$Q$412)/86400)</x:f>
        <x:v>0</x:v>
      </x:c>
      <x:c r="H350" s="131" t="str">
        <x:f>IF(G350=0,"Did not attend",IF(G350&gt;='Read Me'!$E$2/86400,"Fully attended","Partially attended"))</x:f>
        <x:v>Did not attend</x:v>
      </x:c>
      <x:c r="I350" s="130" t="n">
        <x:f>E350+G350</x:f>
        <x:v>0</x:v>
      </x:c>
      <x:c r="J350" s="131" t="str">
        <x:f>IF(I350=0,"Did not attend",IF(I350&gt;='Read Me'!$E$2/86400,"Fully attended","Partially attended"))</x:f>
        <x:v>Did not attend</x:v>
      </x:c>
      <x:c r="K350" s="131" t="str">
        <x:f>IF($D350="","No",IF(COUNTIF('Attendance Report - Option 1'!$P$11:$P$315,$D350)&gt;0,"Yes","No"))</x:f>
        <x:v>No</x:v>
      </x:c>
      <x:c r="L350" s="131" t="str">
        <x:f>IF($D350="","No",IF(COUNTIF('Attendance Report - Option 2'!$P$11:$P$412,$D350)&gt;0,"Yes","No"))</x:f>
        <x:v>No</x:v>
      </x:c>
    </x:row>
    <x:row r="351">
      <x:c r="A351" s="16" t="str">
        <x:f>'EMA Assurance Employee List'!A352</x:f>
        <x:v>Rebecca Chepkoech</x:v>
      </x:c>
      <x:c r="B351" s="16" t="str">
        <x:f>IF(C351="KE","Kenya",IF(C351="UG","Uganda",IF(C351="MU","Mauritius",IF(C351="TZ","Tanzania",IF(C351="RW","Rwanda",IF(C351="ZA","South Africa",IF(C351="ZM","Zambia","")))))))</x:f>
        <x:v>Rwanda</x:v>
      </x:c>
      <x:c r="C351" s="16" t="str">
        <x:f>'EMA Assurance Employee List'!B352</x:f>
        <x:v>RW</x:v>
      </x:c>
      <x:c r="D351" s="16" t="str">
        <x:f>'EMA Assurance Employee List'!D352</x:f>
        <x:v>rebecca.r.chepkoech@pwc.com</x:v>
      </x:c>
      <x:c r="E351" s="130" t="n">
        <x:f>IF($D351="",0,SUMIF('Attendance Report - Option 1'!$P$11:$P$315,$D351,'Attendance Report - Option 1'!$Q$11:$Q$315)/86400)</x:f>
        <x:v>0</x:v>
      </x:c>
      <x:c r="F351" s="131" t="str">
        <x:f>IF(E351=0,"Did not attend",IF(E351&gt;='Read Me'!$E$2/86400,"Fully attended","Partially attended"))</x:f>
        <x:v>Did not attend</x:v>
      </x:c>
      <x:c r="G351" s="130" t="n">
        <x:f>IF($D351="",0,SUMIF('Attendance Report - Option 2'!$P$11:$P$412,$D351,'Attendance Report - Option 2'!$Q$11:$Q$412)/86400)</x:f>
        <x:v>0.0880787037037037</x:v>
      </x:c>
      <x:c r="H351" s="131" t="str">
        <x:f>IF(G351=0,"Did not attend",IF(G351&gt;='Read Me'!$E$2/86400,"Fully attended","Partially attended"))</x:f>
        <x:v>Fully attended</x:v>
      </x:c>
      <x:c r="I351" s="130" t="n">
        <x:f>E351+G351</x:f>
        <x:v>0.0880787037037037</x:v>
      </x:c>
      <x:c r="J351" s="131" t="str">
        <x:f>IF(I351=0,"Did not attend",IF(I351&gt;='Read Me'!$E$2/86400,"Fully attended","Partially attended"))</x:f>
        <x:v>Fully attended</x:v>
      </x:c>
      <x:c r="K351" s="131" t="str">
        <x:f>IF($D351="","No",IF(COUNTIF('Attendance Report - Option 1'!$P$11:$P$315,$D351)&gt;0,"Yes","No"))</x:f>
        <x:v>No</x:v>
      </x:c>
      <x:c r="L351" s="131" t="str">
        <x:f>IF($D351="","No",IF(COUNTIF('Attendance Report - Option 2'!$P$11:$P$412,$D351)&gt;0,"Yes","No"))</x:f>
        <x:v>Yes</x:v>
      </x:c>
    </x:row>
    <x:row r="352">
      <x:c r="A352" s="16" t="str">
        <x:f>'EMA Assurance Employee List'!A353</x:f>
        <x:v>Rehema Muhimbi</x:v>
      </x:c>
      <x:c r="B352" s="16" t="str">
        <x:f>IF(C352="KE","Kenya",IF(C352="UG","Uganda",IF(C352="MU","Mauritius",IF(C352="TZ","Tanzania",IF(C352="RW","Rwanda",IF(C352="ZA","South Africa",IF(C352="ZM","Zambia","")))))))</x:f>
        <x:v>Tanzania</x:v>
      </x:c>
      <x:c r="C352" s="16" t="str">
        <x:f>'EMA Assurance Employee List'!B353</x:f>
        <x:v>TZ</x:v>
      </x:c>
      <x:c r="D352" s="16" t="str">
        <x:f>'EMA Assurance Employee List'!D353</x:f>
        <x:v>rehema.muhimbi@pwc.com</x:v>
      </x:c>
      <x:c r="E352" s="130" t="n">
        <x:f>IF($D352="",0,SUMIF('Attendance Report - Option 1'!$P$11:$P$315,$D352,'Attendance Report - Option 1'!$Q$11:$Q$315)/86400)</x:f>
        <x:v>0</x:v>
      </x:c>
      <x:c r="F352" s="131" t="str">
        <x:f>IF(E352=0,"Did not attend",IF(E352&gt;='Read Me'!$E$2/86400,"Fully attended","Partially attended"))</x:f>
        <x:v>Did not attend</x:v>
      </x:c>
      <x:c r="G352" s="130" t="n">
        <x:f>IF($D352="",0,SUMIF('Attendance Report - Option 2'!$P$11:$P$412,$D352,'Attendance Report - Option 2'!$Q$11:$Q$412)/86400)</x:f>
        <x:v>0.0880324074074074</x:v>
      </x:c>
      <x:c r="H352" s="131" t="str">
        <x:f>IF(G352=0,"Did not attend",IF(G352&gt;='Read Me'!$E$2/86400,"Fully attended","Partially attended"))</x:f>
        <x:v>Fully attended</x:v>
      </x:c>
      <x:c r="I352" s="130" t="n">
        <x:f>E352+G352</x:f>
        <x:v>0.0880324074074074</x:v>
      </x:c>
      <x:c r="J352" s="131" t="str">
        <x:f>IF(I352=0,"Did not attend",IF(I352&gt;='Read Me'!$E$2/86400,"Fully attended","Partially attended"))</x:f>
        <x:v>Fully attended</x:v>
      </x:c>
      <x:c r="K352" s="131" t="str">
        <x:f>IF($D352="","No",IF(COUNTIF('Attendance Report - Option 1'!$P$11:$P$315,$D352)&gt;0,"Yes","No"))</x:f>
        <x:v>No</x:v>
      </x:c>
      <x:c r="L352" s="131" t="str">
        <x:f>IF($D352="","No",IF(COUNTIF('Attendance Report - Option 2'!$P$11:$P$412,$D352)&gt;0,"Yes","No"))</x:f>
        <x:v>Yes</x:v>
      </x:c>
    </x:row>
    <x:row r="353">
      <x:c r="A353" s="16" t="str">
        <x:f>'EMA Assurance Employee List'!A354</x:f>
        <x:v>Rendani Ramulongo</x:v>
      </x:c>
      <x:c r="B353" s="16" t="str">
        <x:f>IF(C353="KE","Kenya",IF(C353="UG","Uganda",IF(C353="MU","Mauritius",IF(C353="TZ","Tanzania",IF(C353="RW","Rwanda",IF(C353="ZA","South Africa",IF(C353="ZM","Zambia","")))))))</x:f>
        <x:v>Tanzania</x:v>
      </x:c>
      <x:c r="C353" s="16" t="str">
        <x:f>'EMA Assurance Employee List'!B354</x:f>
        <x:v>TZ</x:v>
      </x:c>
      <x:c r="D353" s="16" t="str">
        <x:f>'EMA Assurance Employee List'!D354</x:f>
        <x:v>rendani.r.ramulongo@pwc.com</x:v>
      </x:c>
      <x:c r="E353" s="130" t="n">
        <x:f>IF($D353="",0,SUMIF('Attendance Report - Option 1'!$P$11:$P$315,$D353,'Attendance Report - Option 1'!$Q$11:$Q$315)/86400)</x:f>
        <x:v>0.08533564814814815</x:v>
      </x:c>
      <x:c r="F353" s="131" t="str">
        <x:f>IF(E353=0,"Did not attend",IF(E353&gt;='Read Me'!$E$2/86400,"Fully attended","Partially attended"))</x:f>
        <x:v>Fully attended</x:v>
      </x:c>
      <x:c r="G353" s="130" t="n">
        <x:f>IF($D353="",0,SUMIF('Attendance Report - Option 2'!$P$11:$P$412,$D353,'Attendance Report - Option 2'!$Q$11:$Q$412)/86400)</x:f>
        <x:v>0</x:v>
      </x:c>
      <x:c r="H353" s="131" t="str">
        <x:f>IF(G353=0,"Did not attend",IF(G353&gt;='Read Me'!$E$2/86400,"Fully attended","Partially attended"))</x:f>
        <x:v>Did not attend</x:v>
      </x:c>
      <x:c r="I353" s="130" t="n">
        <x:f>E353+G353</x:f>
        <x:v>0.08533564814814815</x:v>
      </x:c>
      <x:c r="J353" s="131" t="str">
        <x:f>IF(I353=0,"Did not attend",IF(I353&gt;='Read Me'!$E$2/86400,"Fully attended","Partially attended"))</x:f>
        <x:v>Fully attended</x:v>
      </x:c>
      <x:c r="K353" s="131" t="str">
        <x:f>IF($D353="","No",IF(COUNTIF('Attendance Report - Option 1'!$P$11:$P$315,$D353)&gt;0,"Yes","No"))</x:f>
        <x:v>Yes</x:v>
      </x:c>
      <x:c r="L353" s="131" t="str">
        <x:f>IF($D353="","No",IF(COUNTIF('Attendance Report - Option 2'!$P$11:$P$412,$D353)&gt;0,"Yes","No"))</x:f>
        <x:v>No</x:v>
      </x:c>
    </x:row>
    <x:row r="354">
      <x:c r="A354" s="16" t="str">
        <x:f>'EMA Assurance Employee List'!A355</x:f>
        <x:v>Renou Ramdany</x:v>
      </x:c>
      <x:c r="B354" s="16" t="str">
        <x:f>IF(C354="KE","Kenya",IF(C354="UG","Uganda",IF(C354="MU","Mauritius",IF(C354="TZ","Tanzania",IF(C354="RW","Rwanda",IF(C354="ZA","South Africa",IF(C354="ZM","Zambia","")))))))</x:f>
        <x:v>Mauritius</x:v>
      </x:c>
      <x:c r="C354" s="16" t="str">
        <x:f>'EMA Assurance Employee List'!B355</x:f>
        <x:v>MU</x:v>
      </x:c>
      <x:c r="D354" s="16" t="str">
        <x:f>'EMA Assurance Employee List'!D355</x:f>
        <x:v>renou.ramdany@pwc.com</x:v>
      </x:c>
      <x:c r="E354" s="130" t="n">
        <x:f>IF($D354="",0,SUMIF('Attendance Report - Option 1'!$P$11:$P$315,$D354,'Attendance Report - Option 1'!$Q$11:$Q$315)/86400)</x:f>
        <x:v>0.08386574074074074</x:v>
      </x:c>
      <x:c r="F354" s="131" t="str">
        <x:f>IF(E354=0,"Did not attend",IF(E354&gt;='Read Me'!$E$2/86400,"Fully attended","Partially attended"))</x:f>
        <x:v>Fully attended</x:v>
      </x:c>
      <x:c r="G354" s="130" t="n">
        <x:f>IF($D354="",0,SUMIF('Attendance Report - Option 2'!$P$11:$P$412,$D354,'Attendance Report - Option 2'!$Q$11:$Q$412)/86400)</x:f>
        <x:v>0</x:v>
      </x:c>
      <x:c r="H354" s="131" t="str">
        <x:f>IF(G354=0,"Did not attend",IF(G354&gt;='Read Me'!$E$2/86400,"Fully attended","Partially attended"))</x:f>
        <x:v>Did not attend</x:v>
      </x:c>
      <x:c r="I354" s="130" t="n">
        <x:f>E354+G354</x:f>
        <x:v>0.08386574074074074</x:v>
      </x:c>
      <x:c r="J354" s="131" t="str">
        <x:f>IF(I354=0,"Did not attend",IF(I354&gt;='Read Me'!$E$2/86400,"Fully attended","Partially attended"))</x:f>
        <x:v>Fully attended</x:v>
      </x:c>
      <x:c r="K354" s="131" t="str">
        <x:f>IF($D354="","No",IF(COUNTIF('Attendance Report - Option 1'!$P$11:$P$315,$D354)&gt;0,"Yes","No"))</x:f>
        <x:v>Yes</x:v>
      </x:c>
      <x:c r="L354" s="131" t="str">
        <x:f>IF($D354="","No",IF(COUNTIF('Attendance Report - Option 2'!$P$11:$P$412,$D354)&gt;0,"Yes","No"))</x:f>
        <x:v>No</x:v>
      </x:c>
    </x:row>
    <x:row r="355">
      <x:c r="A355" s="16" t="str">
        <x:f>'EMA Assurance Employee List'!A356</x:f>
        <x:v>Revatee Huril</x:v>
      </x:c>
      <x:c r="B355" s="16" t="str">
        <x:f>IF(C355="KE","Kenya",IF(C355="UG","Uganda",IF(C355="MU","Mauritius",IF(C355="TZ","Tanzania",IF(C355="RW","Rwanda",IF(C355="ZA","South Africa",IF(C355="ZM","Zambia","")))))))</x:f>
        <x:v>Mauritius</x:v>
      </x:c>
      <x:c r="C355" s="16" t="str">
        <x:f>'EMA Assurance Employee List'!B356</x:f>
        <x:v>MU</x:v>
      </x:c>
      <x:c r="D355" s="16" t="str">
        <x:f>'EMA Assurance Employee List'!D356</x:f>
        <x:v>revatee.huril@pwc.com</x:v>
      </x:c>
      <x:c r="E355" s="130" t="n">
        <x:f>IF($D355="",0,SUMIF('Attendance Report - Option 1'!$P$11:$P$315,$D355,'Attendance Report - Option 1'!$Q$11:$Q$315)/86400)</x:f>
        <x:v>0.00017361111111111112</x:v>
      </x:c>
      <x:c r="F355" s="131" t="str">
        <x:f>IF(E355=0,"Did not attend",IF(E355&gt;='Read Me'!$E$2/86400,"Fully attended","Partially attended"))</x:f>
        <x:v>Partially attended</x:v>
      </x:c>
      <x:c r="G355" s="130" t="n">
        <x:f>IF($D355="",0,SUMIF('Attendance Report - Option 2'!$P$11:$P$412,$D355,'Attendance Report - Option 2'!$Q$11:$Q$412)/86400)</x:f>
        <x:v>0.09190972222222223</x:v>
      </x:c>
      <x:c r="H355" s="131" t="str">
        <x:f>IF(G355=0,"Did not attend",IF(G355&gt;='Read Me'!$E$2/86400,"Fully attended","Partially attended"))</x:f>
        <x:v>Fully attended</x:v>
      </x:c>
      <x:c r="I355" s="130" t="n">
        <x:f>E355+G355</x:f>
        <x:v>0.09208333333333334</x:v>
      </x:c>
      <x:c r="J355" s="131" t="str">
        <x:f>IF(I355=0,"Did not attend",IF(I355&gt;='Read Me'!$E$2/86400,"Fully attended","Partially attended"))</x:f>
        <x:v>Fully attended</x:v>
      </x:c>
      <x:c r="K355" s="131" t="str">
        <x:f>IF($D355="","No",IF(COUNTIF('Attendance Report - Option 1'!$P$11:$P$315,$D355)&gt;0,"Yes","No"))</x:f>
        <x:v>Yes</x:v>
      </x:c>
      <x:c r="L355" s="131" t="str">
        <x:f>IF($D355="","No",IF(COUNTIF('Attendance Report - Option 2'!$P$11:$P$412,$D355)&gt;0,"Yes","No"))</x:f>
        <x:v>Yes</x:v>
      </x:c>
    </x:row>
    <x:row r="356">
      <x:c r="A356" s="16" t="str">
        <x:f>'EMA Assurance Employee List'!A357</x:f>
        <x:v>Rhoda Irungu</x:v>
      </x:c>
      <x:c r="B356" s="16" t="str">
        <x:f>IF(C356="KE","Kenya",IF(C356="UG","Uganda",IF(C356="MU","Mauritius",IF(C356="TZ","Tanzania",IF(C356="RW","Rwanda",IF(C356="ZA","South Africa",IF(C356="ZM","Zambia","")))))))</x:f>
        <x:v>Kenya</x:v>
      </x:c>
      <x:c r="C356" s="16" t="str">
        <x:f>'EMA Assurance Employee List'!B357</x:f>
        <x:v>KE</x:v>
      </x:c>
      <x:c r="D356" s="16" t="str">
        <x:f>'EMA Assurance Employee List'!D357</x:f>
        <x:v>rhoda.irungu@pwc.com</x:v>
      </x:c>
      <x:c r="E356" s="130" t="n">
        <x:f>IF($D356="",0,SUMIF('Attendance Report - Option 1'!$P$11:$P$315,$D356,'Attendance Report - Option 1'!$Q$11:$Q$315)/86400)</x:f>
        <x:v>0</x:v>
      </x:c>
      <x:c r="F356" s="131" t="str">
        <x:f>IF(E356=0,"Did not attend",IF(E356&gt;='Read Me'!$E$2/86400,"Fully attended","Partially attended"))</x:f>
        <x:v>Did not attend</x:v>
      </x:c>
      <x:c r="G356" s="130" t="n">
        <x:f>IF($D356="",0,SUMIF('Attendance Report - Option 2'!$P$11:$P$412,$D356,'Attendance Report - Option 2'!$Q$11:$Q$412)/86400)</x:f>
        <x:v>0.08614583333333334</x:v>
      </x:c>
      <x:c r="H356" s="131" t="str">
        <x:f>IF(G356=0,"Did not attend",IF(G356&gt;='Read Me'!$E$2/86400,"Fully attended","Partially attended"))</x:f>
        <x:v>Fully attended</x:v>
      </x:c>
      <x:c r="I356" s="130" t="n">
        <x:f>E356+G356</x:f>
        <x:v>0.08614583333333334</x:v>
      </x:c>
      <x:c r="J356" s="131" t="str">
        <x:f>IF(I356=0,"Did not attend",IF(I356&gt;='Read Me'!$E$2/86400,"Fully attended","Partially attended"))</x:f>
        <x:v>Fully attended</x:v>
      </x:c>
      <x:c r="K356" s="131" t="str">
        <x:f>IF($D356="","No",IF(COUNTIF('Attendance Report - Option 1'!$P$11:$P$315,$D356)&gt;0,"Yes","No"))</x:f>
        <x:v>No</x:v>
      </x:c>
      <x:c r="L356" s="131" t="str">
        <x:f>IF($D356="","No",IF(COUNTIF('Attendance Report - Option 2'!$P$11:$P$412,$D356)&gt;0,"Yes","No"))</x:f>
        <x:v>Yes</x:v>
      </x:c>
    </x:row>
    <x:row r="357">
      <x:c r="A357" s="16" t="str">
        <x:f>'EMA Assurance Employee List'!A358</x:f>
        <x:v>Richard John</x:v>
      </x:c>
      <x:c r="B357" s="16" t="str">
        <x:f>IF(C357="KE","Kenya",IF(C357="UG","Uganda",IF(C357="MU","Mauritius",IF(C357="TZ","Tanzania",IF(C357="RW","Rwanda",IF(C357="ZA","South Africa",IF(C357="ZM","Zambia","")))))))</x:f>
        <x:v>Tanzania</x:v>
      </x:c>
      <x:c r="C357" s="16" t="str">
        <x:f>'EMA Assurance Employee List'!B358</x:f>
        <x:v>TZ</x:v>
      </x:c>
      <x:c r="D357" s="16" t="str">
        <x:f>'EMA Assurance Employee List'!D358</x:f>
        <x:v>richard.john@pwc.com</x:v>
      </x:c>
      <x:c r="E357" s="130" t="n">
        <x:f>IF($D357="",0,SUMIF('Attendance Report - Option 1'!$P$11:$P$315,$D357,'Attendance Report - Option 1'!$Q$11:$Q$315)/86400)</x:f>
        <x:v>0.08765046296296296</x:v>
      </x:c>
      <x:c r="F357" s="131" t="str">
        <x:f>IF(E357=0,"Did not attend",IF(E357&gt;='Read Me'!$E$2/86400,"Fully attended","Partially attended"))</x:f>
        <x:v>Fully attended</x:v>
      </x:c>
      <x:c r="G357" s="130" t="n">
        <x:f>IF($D357="",0,SUMIF('Attendance Report - Option 2'!$P$11:$P$412,$D357,'Attendance Report - Option 2'!$Q$11:$Q$412)/86400)</x:f>
        <x:v>0.045023148148148145</x:v>
      </x:c>
      <x:c r="H357" s="131" t="str">
        <x:f>IF(G357=0,"Did not attend",IF(G357&gt;='Read Me'!$E$2/86400,"Fully attended","Partially attended"))</x:f>
        <x:v>Partially attended</x:v>
      </x:c>
      <x:c r="I357" s="130" t="n">
        <x:f>E357+G357</x:f>
        <x:v>0.1326736111111111</x:v>
      </x:c>
      <x:c r="J357" s="131" t="str">
        <x:f>IF(I357=0,"Did not attend",IF(I357&gt;='Read Me'!$E$2/86400,"Fully attended","Partially attended"))</x:f>
        <x:v>Fully attended</x:v>
      </x:c>
      <x:c r="K357" s="131" t="str">
        <x:f>IF($D357="","No",IF(COUNTIF('Attendance Report - Option 1'!$P$11:$P$315,$D357)&gt;0,"Yes","No"))</x:f>
        <x:v>Yes</x:v>
      </x:c>
      <x:c r="L357" s="131" t="str">
        <x:f>IF($D357="","No",IF(COUNTIF('Attendance Report - Option 2'!$P$11:$P$412,$D357)&gt;0,"Yes","No"))</x:f>
        <x:v>Yes</x:v>
      </x:c>
    </x:row>
    <x:row r="358">
      <x:c r="A358" s="16" t="str">
        <x:f>'EMA Assurance Employee List'!A359</x:f>
        <x:v>Richard Manzi</x:v>
      </x:c>
      <x:c r="B358" s="16" t="str">
        <x:f>IF(C358="KE","Kenya",IF(C358="UG","Uganda",IF(C358="MU","Mauritius",IF(C358="TZ","Tanzania",IF(C358="RW","Rwanda",IF(C358="ZA","South Africa",IF(C358="ZM","Zambia","")))))))</x:f>
        <x:v>Rwanda</x:v>
      </x:c>
      <x:c r="C358" s="16" t="str">
        <x:f>'EMA Assurance Employee List'!B359</x:f>
        <x:v>RW</x:v>
      </x:c>
      <x:c r="D358" s="16" t="str">
        <x:f>'EMA Assurance Employee List'!D359</x:f>
        <x:v>richard.manzi@pwc.com</x:v>
      </x:c>
      <x:c r="E358" s="130" t="n">
        <x:f>IF($D358="",0,SUMIF('Attendance Report - Option 1'!$P$11:$P$315,$D358,'Attendance Report - Option 1'!$Q$11:$Q$315)/86400)</x:f>
        <x:v>0.056400462962962965</x:v>
      </x:c>
      <x:c r="F358" s="131" t="str">
        <x:f>IF(E358=0,"Did not attend",IF(E358&gt;='Read Me'!$E$2/86400,"Fully attended","Partially attended"))</x:f>
        <x:v>Partially attended</x:v>
      </x:c>
      <x:c r="G358" s="130" t="n">
        <x:f>IF($D358="",0,SUMIF('Attendance Report - Option 2'!$P$11:$P$412,$D358,'Attendance Report - Option 2'!$Q$11:$Q$412)/86400)</x:f>
        <x:v>0</x:v>
      </x:c>
      <x:c r="H358" s="131" t="str">
        <x:f>IF(G358=0,"Did not attend",IF(G358&gt;='Read Me'!$E$2/86400,"Fully attended","Partially attended"))</x:f>
        <x:v>Did not attend</x:v>
      </x:c>
      <x:c r="I358" s="130" t="n">
        <x:f>E358+G358</x:f>
        <x:v>0.056400462962962965</x:v>
      </x:c>
      <x:c r="J358" s="131" t="str">
        <x:f>IF(I358=0,"Did not attend",IF(I358&gt;='Read Me'!$E$2/86400,"Fully attended","Partially attended"))</x:f>
        <x:v>Partially attended</x:v>
      </x:c>
      <x:c r="K358" s="131" t="str">
        <x:f>IF($D358="","No",IF(COUNTIF('Attendance Report - Option 1'!$P$11:$P$315,$D358)&gt;0,"Yes","No"))</x:f>
        <x:v>Yes</x:v>
      </x:c>
      <x:c r="L358" s="131" t="str">
        <x:f>IF($D358="","No",IF(COUNTIF('Attendance Report - Option 2'!$P$11:$P$412,$D358)&gt;0,"Yes","No"))</x:f>
        <x:v>No</x:v>
      </x:c>
    </x:row>
    <x:row r="359">
      <x:c r="A359" s="16" t="str">
        <x:f>'EMA Assurance Employee List'!A360</x:f>
        <x:v>Ridhiwani Mohammed</x:v>
      </x:c>
      <x:c r="B359" s="16" t="str">
        <x:f>IF(C359="KE","Kenya",IF(C359="UG","Uganda",IF(C359="MU","Mauritius",IF(C359="TZ","Tanzania",IF(C359="RW","Rwanda",IF(C359="ZA","South Africa",IF(C359="ZM","Zambia","")))))))</x:f>
        <x:v>Tanzania</x:v>
      </x:c>
      <x:c r="C359" s="16" t="str">
        <x:f>'EMA Assurance Employee List'!B360</x:f>
        <x:v>TZ</x:v>
      </x:c>
      <x:c r="D359" s="16" t="str">
        <x:f>'EMA Assurance Employee List'!D360</x:f>
        <x:v>ridhiwani.mohammed@pwc.com</x:v>
      </x:c>
      <x:c r="E359" s="130" t="n">
        <x:f>IF($D359="",0,SUMIF('Attendance Report - Option 1'!$P$11:$P$315,$D359,'Attendance Report - Option 1'!$Q$11:$Q$315)/86400)</x:f>
        <x:v>0</x:v>
      </x:c>
      <x:c r="F359" s="131" t="str">
        <x:f>IF(E359=0,"Did not attend",IF(E359&gt;='Read Me'!$E$2/86400,"Fully attended","Partially attended"))</x:f>
        <x:v>Did not attend</x:v>
      </x:c>
      <x:c r="G359" s="130" t="n">
        <x:f>IF($D359="",0,SUMIF('Attendance Report - Option 2'!$P$11:$P$412,$D359,'Attendance Report - Option 2'!$Q$11:$Q$412)/86400)</x:f>
        <x:v>0.08454861111111112</x:v>
      </x:c>
      <x:c r="H359" s="131" t="str">
        <x:f>IF(G359=0,"Did not attend",IF(G359&gt;='Read Me'!$E$2/86400,"Fully attended","Partially attended"))</x:f>
        <x:v>Fully attended</x:v>
      </x:c>
      <x:c r="I359" s="130" t="n">
        <x:f>E359+G359</x:f>
        <x:v>0.08454861111111112</x:v>
      </x:c>
      <x:c r="J359" s="131" t="str">
        <x:f>IF(I359=0,"Did not attend",IF(I359&gt;='Read Me'!$E$2/86400,"Fully attended","Partially attended"))</x:f>
        <x:v>Fully attended</x:v>
      </x:c>
      <x:c r="K359" s="131" t="str">
        <x:f>IF($D359="","No",IF(COUNTIF('Attendance Report - Option 1'!$P$11:$P$315,$D359)&gt;0,"Yes","No"))</x:f>
        <x:v>No</x:v>
      </x:c>
      <x:c r="L359" s="131" t="str">
        <x:f>IF($D359="","No",IF(COUNTIF('Attendance Report - Option 2'!$P$11:$P$412,$D359)&gt;0,"Yes","No"))</x:f>
        <x:v>Yes</x:v>
      </x:c>
    </x:row>
    <x:row r="360">
      <x:c r="A360" s="16" t="str">
        <x:f>'EMA Assurance Employee List'!A361</x:f>
        <x:v>Ronah Nuwagaba</x:v>
      </x:c>
      <x:c r="B360" s="16" t="str">
        <x:f>IF(C360="KE","Kenya",IF(C360="UG","Uganda",IF(C360="MU","Mauritius",IF(C360="TZ","Tanzania",IF(C360="RW","Rwanda",IF(C360="ZA","South Africa",IF(C360="ZM","Zambia","")))))))</x:f>
        <x:v>Uganda</x:v>
      </x:c>
      <x:c r="C360" s="16" t="str">
        <x:f>'EMA Assurance Employee List'!B361</x:f>
        <x:v>UG</x:v>
      </x:c>
      <x:c r="D360" s="16" t="str">
        <x:f>'EMA Assurance Employee List'!D361</x:f>
        <x:v>ronah.nuwagaba@pwc.com</x:v>
      </x:c>
      <x:c r="E360" s="130" t="n">
        <x:f>IF($D360="",0,SUMIF('Attendance Report - Option 1'!$P$11:$P$315,$D360,'Attendance Report - Option 1'!$Q$11:$Q$315)/86400)</x:f>
        <x:v>0.09329861111111111</x:v>
      </x:c>
      <x:c r="F360" s="131" t="str">
        <x:f>IF(E360=0,"Did not attend",IF(E360&gt;='Read Me'!$E$2/86400,"Fully attended","Partially attended"))</x:f>
        <x:v>Fully attended</x:v>
      </x:c>
      <x:c r="G360" s="130" t="n">
        <x:f>IF($D360="",0,SUMIF('Attendance Report - Option 2'!$P$11:$P$412,$D360,'Attendance Report - Option 2'!$Q$11:$Q$412)/86400)</x:f>
        <x:v>0</x:v>
      </x:c>
      <x:c r="H360" s="131" t="str">
        <x:f>IF(G360=0,"Did not attend",IF(G360&gt;='Read Me'!$E$2/86400,"Fully attended","Partially attended"))</x:f>
        <x:v>Did not attend</x:v>
      </x:c>
      <x:c r="I360" s="130" t="n">
        <x:f>E360+G360</x:f>
        <x:v>0.09329861111111111</x:v>
      </x:c>
      <x:c r="J360" s="131" t="str">
        <x:f>IF(I360=0,"Did not attend",IF(I360&gt;='Read Me'!$E$2/86400,"Fully attended","Partially attended"))</x:f>
        <x:v>Fully attended</x:v>
      </x:c>
      <x:c r="K360" s="131" t="str">
        <x:f>IF($D360="","No",IF(COUNTIF('Attendance Report - Option 1'!$P$11:$P$315,$D360)&gt;0,"Yes","No"))</x:f>
        <x:v>Yes</x:v>
      </x:c>
      <x:c r="L360" s="131" t="str">
        <x:f>IF($D360="","No",IF(COUNTIF('Attendance Report - Option 2'!$P$11:$P$412,$D360)&gt;0,"Yes","No"))</x:f>
        <x:v>No</x:v>
      </x:c>
    </x:row>
    <x:row r="361">
      <x:c r="A361" s="16" t="str">
        <x:f>'EMA Assurance Employee List'!A362</x:f>
        <x:v>Ronald Simba</x:v>
      </x:c>
      <x:c r="B361" s="16" t="str">
        <x:f>IF(C361="KE","Kenya",IF(C361="UG","Uganda",IF(C361="MU","Mauritius",IF(C361="TZ","Tanzania",IF(C361="RW","Rwanda",IF(C361="ZA","South Africa",IF(C361="ZM","Zambia","")))))))</x:f>
        <x:v>Tanzania</x:v>
      </x:c>
      <x:c r="C361" s="16" t="str">
        <x:f>'EMA Assurance Employee List'!B362</x:f>
        <x:v>TZ</x:v>
      </x:c>
      <x:c r="D361" s="16" t="str">
        <x:f>'EMA Assurance Employee List'!D362</x:f>
        <x:v>ronald.simba@pwc.com</x:v>
      </x:c>
      <x:c r="E361" s="130" t="n">
        <x:f>IF($D361="",0,SUMIF('Attendance Report - Option 1'!$P$11:$P$315,$D361,'Attendance Report - Option 1'!$Q$11:$Q$315)/86400)</x:f>
        <x:v>0.17761574074074074</x:v>
      </x:c>
      <x:c r="F361" s="131" t="str">
        <x:f>IF(E361=0,"Did not attend",IF(E361&gt;='Read Me'!$E$2/86400,"Fully attended","Partially attended"))</x:f>
        <x:v>Fully attended</x:v>
      </x:c>
      <x:c r="G361" s="130" t="n">
        <x:f>IF($D361="",0,SUMIF('Attendance Report - Option 2'!$P$11:$P$412,$D361,'Attendance Report - Option 2'!$Q$11:$Q$412)/86400)</x:f>
        <x:v>0</x:v>
      </x:c>
      <x:c r="H361" s="131" t="str">
        <x:f>IF(G361=0,"Did not attend",IF(G361&gt;='Read Me'!$E$2/86400,"Fully attended","Partially attended"))</x:f>
        <x:v>Did not attend</x:v>
      </x:c>
      <x:c r="I361" s="130" t="n">
        <x:f>E361+G361</x:f>
        <x:v>0.17761574074074074</x:v>
      </x:c>
      <x:c r="J361" s="131" t="str">
        <x:f>IF(I361=0,"Did not attend",IF(I361&gt;='Read Me'!$E$2/86400,"Fully attended","Partially attended"))</x:f>
        <x:v>Fully attended</x:v>
      </x:c>
      <x:c r="K361" s="131" t="str">
        <x:f>IF($D361="","No",IF(COUNTIF('Attendance Report - Option 1'!$P$11:$P$315,$D361)&gt;0,"Yes","No"))</x:f>
        <x:v>Yes</x:v>
      </x:c>
      <x:c r="L361" s="131" t="str">
        <x:f>IF($D361="","No",IF(COUNTIF('Attendance Report - Option 2'!$P$11:$P$412,$D361)&gt;0,"Yes","No"))</x:f>
        <x:v>No</x:v>
      </x:c>
    </x:row>
    <x:row r="362">
      <x:c r="A362" s="16" t="str">
        <x:f>'EMA Assurance Employee List'!A363</x:f>
        <x:v>Rose Muasya</x:v>
      </x:c>
      <x:c r="B362" s="16" t="str">
        <x:f>IF(C362="KE","Kenya",IF(C362="UG","Uganda",IF(C362="MU","Mauritius",IF(C362="TZ","Tanzania",IF(C362="RW","Rwanda",IF(C362="ZA","South Africa",IF(C362="ZM","Zambia","")))))))</x:f>
        <x:v>Kenya</x:v>
      </x:c>
      <x:c r="C362" s="16" t="str">
        <x:f>'EMA Assurance Employee List'!B363</x:f>
        <x:v>KE</x:v>
      </x:c>
      <x:c r="D362" s="16" t="str">
        <x:f>'EMA Assurance Employee List'!D363</x:f>
        <x:v>rose.muasya@pwc.com</x:v>
      </x:c>
      <x:c r="E362" s="130" t="n">
        <x:f>IF($D362="",0,SUMIF('Attendance Report - Option 1'!$P$11:$P$315,$D362,'Attendance Report - Option 1'!$Q$11:$Q$315)/86400)</x:f>
        <x:v>0.024849537037037038</x:v>
      </x:c>
      <x:c r="F362" s="131" t="str">
        <x:f>IF(E362=0,"Did not attend",IF(E362&gt;='Read Me'!$E$2/86400,"Fully attended","Partially attended"))</x:f>
        <x:v>Partially attended</x:v>
      </x:c>
      <x:c r="G362" s="130" t="n">
        <x:f>IF($D362="",0,SUMIF('Attendance Report - Option 2'!$P$11:$P$412,$D362,'Attendance Report - Option 2'!$Q$11:$Q$412)/86400)</x:f>
        <x:v>0.01824074074074074</x:v>
      </x:c>
      <x:c r="H362" s="131" t="str">
        <x:f>IF(G362=0,"Did not attend",IF(G362&gt;='Read Me'!$E$2/86400,"Fully attended","Partially attended"))</x:f>
        <x:v>Partially attended</x:v>
      </x:c>
      <x:c r="I362" s="130" t="n">
        <x:f>E362+G362</x:f>
        <x:v>0.04309027777777778</x:v>
      </x:c>
      <x:c r="J362" s="131" t="str">
        <x:f>IF(I362=0,"Did not attend",IF(I362&gt;='Read Me'!$E$2/86400,"Fully attended","Partially attended"))</x:f>
        <x:v>Partially attended</x:v>
      </x:c>
      <x:c r="K362" s="131" t="str">
        <x:f>IF($D362="","No",IF(COUNTIF('Attendance Report - Option 1'!$P$11:$P$315,$D362)&gt;0,"Yes","No"))</x:f>
        <x:v>Yes</x:v>
      </x:c>
      <x:c r="L362" s="131" t="str">
        <x:f>IF($D362="","No",IF(COUNTIF('Attendance Report - Option 2'!$P$11:$P$412,$D362)&gt;0,"Yes","No"))</x:f>
        <x:v>Yes</x:v>
      </x:c>
    </x:row>
    <x:row r="363">
      <x:c r="A363" s="16" t="str">
        <x:f>'EMA Assurance Employee List'!A364</x:f>
        <x:v>Rose Mufana</x:v>
      </x:c>
      <x:c r="B363" s="16" t="str">
        <x:f>IF(C363="KE","Kenya",IF(C363="UG","Uganda",IF(C363="MU","Mauritius",IF(C363="TZ","Tanzania",IF(C363="RW","Rwanda",IF(C363="ZA","South Africa",IF(C363="ZM","Zambia","")))))))</x:f>
        <x:v>Zambia</x:v>
      </x:c>
      <x:c r="C363" s="16" t="str">
        <x:f>'EMA Assurance Employee List'!B364</x:f>
        <x:v>ZM</x:v>
      </x:c>
      <x:c r="D363" s="16" t="str">
        <x:f>'EMA Assurance Employee List'!D364</x:f>
        <x:v>rose.mufana@pwc.com</x:v>
      </x:c>
      <x:c r="E363" s="130" t="n">
        <x:f>IF($D363="",0,SUMIF('Attendance Report - Option 1'!$P$11:$P$315,$D363,'Attendance Report - Option 1'!$Q$11:$Q$315)/86400)</x:f>
        <x:v>0.11326388888888889</x:v>
      </x:c>
      <x:c r="F363" s="131" t="str">
        <x:f>IF(E363=0,"Did not attend",IF(E363&gt;='Read Me'!$E$2/86400,"Fully attended","Partially attended"))</x:f>
        <x:v>Fully attended</x:v>
      </x:c>
      <x:c r="G363" s="130" t="n">
        <x:f>IF($D363="",0,SUMIF('Attendance Report - Option 2'!$P$11:$P$412,$D363,'Attendance Report - Option 2'!$Q$11:$Q$412)/86400)</x:f>
        <x:v>0.03693287037037037</x:v>
      </x:c>
      <x:c r="H363" s="131" t="str">
        <x:f>IF(G363=0,"Did not attend",IF(G363&gt;='Read Me'!$E$2/86400,"Fully attended","Partially attended"))</x:f>
        <x:v>Partially attended</x:v>
      </x:c>
      <x:c r="I363" s="130" t="n">
        <x:f>E363+G363</x:f>
        <x:v>0.15019675925925927</x:v>
      </x:c>
      <x:c r="J363" s="131" t="str">
        <x:f>IF(I363=0,"Did not attend",IF(I363&gt;='Read Me'!$E$2/86400,"Fully attended","Partially attended"))</x:f>
        <x:v>Fully attended</x:v>
      </x:c>
      <x:c r="K363" s="131" t="str">
        <x:f>IF($D363="","No",IF(COUNTIF('Attendance Report - Option 1'!$P$11:$P$315,$D363)&gt;0,"Yes","No"))</x:f>
        <x:v>Yes</x:v>
      </x:c>
      <x:c r="L363" s="131" t="str">
        <x:f>IF($D363="","No",IF(COUNTIF('Attendance Report - Option 2'!$P$11:$P$412,$D363)&gt;0,"Yes","No"))</x:f>
        <x:v>Yes</x:v>
      </x:c>
    </x:row>
    <x:row r="364">
      <x:c r="A364" s="16" t="str">
        <x:f>'EMA Assurance Employee List'!A365</x:f>
        <x:v>Roselyne Ogutu</x:v>
      </x:c>
      <x:c r="B364" s="16" t="str">
        <x:f>IF(C364="KE","Kenya",IF(C364="UG","Uganda",IF(C364="MU","Mauritius",IF(C364="TZ","Tanzania",IF(C364="RW","Rwanda",IF(C364="ZA","South Africa",IF(C364="ZM","Zambia","")))))))</x:f>
        <x:v>Kenya</x:v>
      </x:c>
      <x:c r="C364" s="16" t="str">
        <x:f>'EMA Assurance Employee List'!B365</x:f>
        <x:v>KE</x:v>
      </x:c>
      <x:c r="D364" s="16" t="str">
        <x:f>'EMA Assurance Employee List'!D365</x:f>
        <x:v>roselyne.ogutu@pwc.com</x:v>
      </x:c>
      <x:c r="E364" s="130" t="n">
        <x:f>IF($D364="",0,SUMIF('Attendance Report - Option 1'!$P$11:$P$315,$D364,'Attendance Report - Option 1'!$Q$11:$Q$315)/86400)</x:f>
        <x:v>0.08618055555555555</x:v>
      </x:c>
      <x:c r="F364" s="131" t="str">
        <x:f>IF(E364=0,"Did not attend",IF(E364&gt;='Read Me'!$E$2/86400,"Fully attended","Partially attended"))</x:f>
        <x:v>Fully attended</x:v>
      </x:c>
      <x:c r="G364" s="130" t="n">
        <x:f>IF($D364="",0,SUMIF('Attendance Report - Option 2'!$P$11:$P$412,$D364,'Attendance Report - Option 2'!$Q$11:$Q$412)/86400)</x:f>
        <x:v>0.09908564814814814</x:v>
      </x:c>
      <x:c r="H364" s="131" t="str">
        <x:f>IF(G364=0,"Did not attend",IF(G364&gt;='Read Me'!$E$2/86400,"Fully attended","Partially attended"))</x:f>
        <x:v>Fully attended</x:v>
      </x:c>
      <x:c r="I364" s="130" t="n">
        <x:f>E364+G364</x:f>
        <x:v>0.1852662037037037</x:v>
      </x:c>
      <x:c r="J364" s="131" t="str">
        <x:f>IF(I364=0,"Did not attend",IF(I364&gt;='Read Me'!$E$2/86400,"Fully attended","Partially attended"))</x:f>
        <x:v>Fully attended</x:v>
      </x:c>
      <x:c r="K364" s="131" t="str">
        <x:f>IF($D364="","No",IF(COUNTIF('Attendance Report - Option 1'!$P$11:$P$315,$D364)&gt;0,"Yes","No"))</x:f>
        <x:v>Yes</x:v>
      </x:c>
      <x:c r="L364" s="131" t="str">
        <x:f>IF($D364="","No",IF(COUNTIF('Attendance Report - Option 2'!$P$11:$P$412,$D364)&gt;0,"Yes","No"))</x:f>
        <x:v>Yes</x:v>
      </x:c>
    </x:row>
    <x:row r="365">
      <x:c r="A365" s="16" t="str">
        <x:f>'EMA Assurance Employee List'!A366</x:f>
        <x:v>Roshik Rughoonauth</x:v>
      </x:c>
      <x:c r="B365" s="16" t="str">
        <x:f>IF(C365="KE","Kenya",IF(C365="UG","Uganda",IF(C365="MU","Mauritius",IF(C365="TZ","Tanzania",IF(C365="RW","Rwanda",IF(C365="ZA","South Africa",IF(C365="ZM","Zambia","")))))))</x:f>
        <x:v>Mauritius</x:v>
      </x:c>
      <x:c r="C365" s="16" t="str">
        <x:f>'EMA Assurance Employee List'!B366</x:f>
        <x:v>MU</x:v>
      </x:c>
      <x:c r="D365" s="16" t="str">
        <x:f>'EMA Assurance Employee List'!D366</x:f>
        <x:v>roshik.r.rughoonauth@pwc.com</x:v>
      </x:c>
      <x:c r="E365" s="130" t="n">
        <x:f>IF($D365="",0,SUMIF('Attendance Report - Option 1'!$P$11:$P$315,$D365,'Attendance Report - Option 1'!$Q$11:$Q$315)/86400)</x:f>
        <x:v>0</x:v>
      </x:c>
      <x:c r="F365" s="131" t="str">
        <x:f>IF(E365=0,"Did not attend",IF(E365&gt;='Read Me'!$E$2/86400,"Fully attended","Partially attended"))</x:f>
        <x:v>Did not attend</x:v>
      </x:c>
      <x:c r="G365" s="130" t="n">
        <x:f>IF($D365="",0,SUMIF('Attendance Report - Option 2'!$P$11:$P$412,$D365,'Attendance Report - Option 2'!$Q$11:$Q$412)/86400)</x:f>
        <x:v>0.08736111111111111</x:v>
      </x:c>
      <x:c r="H365" s="131" t="str">
        <x:f>IF(G365=0,"Did not attend",IF(G365&gt;='Read Me'!$E$2/86400,"Fully attended","Partially attended"))</x:f>
        <x:v>Fully attended</x:v>
      </x:c>
      <x:c r="I365" s="130" t="n">
        <x:f>E365+G365</x:f>
        <x:v>0.08736111111111111</x:v>
      </x:c>
      <x:c r="J365" s="131" t="str">
        <x:f>IF(I365=0,"Did not attend",IF(I365&gt;='Read Me'!$E$2/86400,"Fully attended","Partially attended"))</x:f>
        <x:v>Fully attended</x:v>
      </x:c>
      <x:c r="K365" s="131" t="str">
        <x:f>IF($D365="","No",IF(COUNTIF('Attendance Report - Option 1'!$P$11:$P$315,$D365)&gt;0,"Yes","No"))</x:f>
        <x:v>No</x:v>
      </x:c>
      <x:c r="L365" s="131" t="str">
        <x:f>IF($D365="","No",IF(COUNTIF('Attendance Report - Option 2'!$P$11:$P$412,$D365)&gt;0,"Yes","No"))</x:f>
        <x:v>Yes</x:v>
      </x:c>
    </x:row>
    <x:row r="366">
      <x:c r="A366" s="16" t="str">
        <x:f>'EMA Assurance Employee List'!A367</x:f>
        <x:v>Roumaiy Dookhun</x:v>
      </x:c>
      <x:c r="B366" s="16" t="str">
        <x:f>IF(C366="KE","Kenya",IF(C366="UG","Uganda",IF(C366="MU","Mauritius",IF(C366="TZ","Tanzania",IF(C366="RW","Rwanda",IF(C366="ZA","South Africa",IF(C366="ZM","Zambia","")))))))</x:f>
        <x:v>Mauritius</x:v>
      </x:c>
      <x:c r="C366" s="16" t="str">
        <x:f>'EMA Assurance Employee List'!B367</x:f>
        <x:v>MU</x:v>
      </x:c>
      <x:c r="D366" s="16" t="str">
        <x:f>'EMA Assurance Employee List'!D367</x:f>
        <x:v>roumaiy.dookhun@pwc.com</x:v>
      </x:c>
      <x:c r="E366" s="130" t="n">
        <x:f>IF($D366="",0,SUMIF('Attendance Report - Option 1'!$P$11:$P$315,$D366,'Attendance Report - Option 1'!$Q$11:$Q$315)/86400)</x:f>
        <x:v>0</x:v>
      </x:c>
      <x:c r="F366" s="131" t="str">
        <x:f>IF(E366=0,"Did not attend",IF(E366&gt;='Read Me'!$E$2/86400,"Fully attended","Partially attended"))</x:f>
        <x:v>Did not attend</x:v>
      </x:c>
      <x:c r="G366" s="130" t="n">
        <x:f>IF($D366="",0,SUMIF('Attendance Report - Option 2'!$P$11:$P$412,$D366,'Attendance Report - Option 2'!$Q$11:$Q$412)/86400)</x:f>
        <x:v>0.08711805555555556</x:v>
      </x:c>
      <x:c r="H366" s="131" t="str">
        <x:f>IF(G366=0,"Did not attend",IF(G366&gt;='Read Me'!$E$2/86400,"Fully attended","Partially attended"))</x:f>
        <x:v>Fully attended</x:v>
      </x:c>
      <x:c r="I366" s="130" t="n">
        <x:f>E366+G366</x:f>
        <x:v>0.08711805555555556</x:v>
      </x:c>
      <x:c r="J366" s="131" t="str">
        <x:f>IF(I366=0,"Did not attend",IF(I366&gt;='Read Me'!$E$2/86400,"Fully attended","Partially attended"))</x:f>
        <x:v>Fully attended</x:v>
      </x:c>
      <x:c r="K366" s="131" t="str">
        <x:f>IF($D366="","No",IF(COUNTIF('Attendance Report - Option 1'!$P$11:$P$315,$D366)&gt;0,"Yes","No"))</x:f>
        <x:v>No</x:v>
      </x:c>
      <x:c r="L366" s="131" t="str">
        <x:f>IF($D366="","No",IF(COUNTIF('Attendance Report - Option 2'!$P$11:$P$412,$D366)&gt;0,"Yes","No"))</x:f>
        <x:v>Yes</x:v>
      </x:c>
    </x:row>
    <x:row r="367">
      <x:c r="A367" s="16" t="str">
        <x:f>'EMA Assurance Employee List'!A368</x:f>
        <x:v>Rovena Choytah</x:v>
      </x:c>
      <x:c r="B367" s="16" t="str">
        <x:f>IF(C367="KE","Kenya",IF(C367="UG","Uganda",IF(C367="MU","Mauritius",IF(C367="TZ","Tanzania",IF(C367="RW","Rwanda",IF(C367="ZA","South Africa",IF(C367="ZM","Zambia","")))))))</x:f>
        <x:v>Mauritius</x:v>
      </x:c>
      <x:c r="C367" s="16" t="str">
        <x:f>'EMA Assurance Employee List'!B368</x:f>
        <x:v>MU</x:v>
      </x:c>
      <x:c r="D367" s="16" t="str">
        <x:f>'EMA Assurance Employee List'!D368</x:f>
        <x:v>rovena.c.choytah@pwc.com</x:v>
      </x:c>
      <x:c r="E367" s="130" t="n">
        <x:f>IF($D367="",0,SUMIF('Attendance Report - Option 1'!$P$11:$P$315,$D367,'Attendance Report - Option 1'!$Q$11:$Q$315)/86400)</x:f>
        <x:v>0</x:v>
      </x:c>
      <x:c r="F367" s="131" t="str">
        <x:f>IF(E367=0,"Did not attend",IF(E367&gt;='Read Me'!$E$2/86400,"Fully attended","Partially attended"))</x:f>
        <x:v>Did not attend</x:v>
      </x:c>
      <x:c r="G367" s="130" t="n">
        <x:f>IF($D367="",0,SUMIF('Attendance Report - Option 2'!$P$11:$P$412,$D367,'Attendance Report - Option 2'!$Q$11:$Q$412)/86400)</x:f>
        <x:v>0.06778935185185185</x:v>
      </x:c>
      <x:c r="H367" s="131" t="str">
        <x:f>IF(G367=0,"Did not attend",IF(G367&gt;='Read Me'!$E$2/86400,"Fully attended","Partially attended"))</x:f>
        <x:v>Fully attended</x:v>
      </x:c>
      <x:c r="I367" s="130" t="n">
        <x:f>E367+G367</x:f>
        <x:v>0.06778935185185185</x:v>
      </x:c>
      <x:c r="J367" s="131" t="str">
        <x:f>IF(I367=0,"Did not attend",IF(I367&gt;='Read Me'!$E$2/86400,"Fully attended","Partially attended"))</x:f>
        <x:v>Fully attended</x:v>
      </x:c>
      <x:c r="K367" s="131" t="str">
        <x:f>IF($D367="","No",IF(COUNTIF('Attendance Report - Option 1'!$P$11:$P$315,$D367)&gt;0,"Yes","No"))</x:f>
        <x:v>No</x:v>
      </x:c>
      <x:c r="L367" s="131" t="str">
        <x:f>IF($D367="","No",IF(COUNTIF('Attendance Report - Option 2'!$P$11:$P$412,$D367)&gt;0,"Yes","No"))</x:f>
        <x:v>Yes</x:v>
      </x:c>
    </x:row>
    <x:row r="368">
      <x:c r="A368" s="16" t="str">
        <x:f>'EMA Assurance Employee List'!A369</x:f>
        <x:v>Rune Arnold</x:v>
      </x:c>
      <x:c r="B368" s="16" t="str">
        <x:f>IF(C368="KE","Kenya",IF(C368="UG","Uganda",IF(C368="MU","Mauritius",IF(C368="TZ","Tanzania",IF(C368="RW","Rwanda",IF(C368="ZA","South Africa",IF(C368="ZM","Zambia","")))))))</x:f>
        <x:v>Tanzania</x:v>
      </x:c>
      <x:c r="C368" s="16" t="str">
        <x:f>'EMA Assurance Employee List'!B369</x:f>
        <x:v>TZ</x:v>
      </x:c>
      <x:c r="D368" s="16" t="str">
        <x:f>'EMA Assurance Employee List'!D369</x:f>
        <x:v>rune.arnold@pwc.com</x:v>
      </x:c>
      <x:c r="E368" s="130" t="n">
        <x:f>IF($D368="",0,SUMIF('Attendance Report - Option 1'!$P$11:$P$315,$D368,'Attendance Report - Option 1'!$Q$11:$Q$315)/86400)</x:f>
        <x:v>0</x:v>
      </x:c>
      <x:c r="F368" s="131" t="str">
        <x:f>IF(E368=0,"Did not attend",IF(E368&gt;='Read Me'!$E$2/86400,"Fully attended","Partially attended"))</x:f>
        <x:v>Did not attend</x:v>
      </x:c>
      <x:c r="G368" s="130" t="n">
        <x:f>IF($D368="",0,SUMIF('Attendance Report - Option 2'!$P$11:$P$412,$D368,'Attendance Report - Option 2'!$Q$11:$Q$412)/86400)</x:f>
        <x:v>0.08377314814814815</x:v>
      </x:c>
      <x:c r="H368" s="131" t="str">
        <x:f>IF(G368=0,"Did not attend",IF(G368&gt;='Read Me'!$E$2/86400,"Fully attended","Partially attended"))</x:f>
        <x:v>Fully attended</x:v>
      </x:c>
      <x:c r="I368" s="130" t="n">
        <x:f>E368+G368</x:f>
        <x:v>0.08377314814814815</x:v>
      </x:c>
      <x:c r="J368" s="131" t="str">
        <x:f>IF(I368=0,"Did not attend",IF(I368&gt;='Read Me'!$E$2/86400,"Fully attended","Partially attended"))</x:f>
        <x:v>Fully attended</x:v>
      </x:c>
      <x:c r="K368" s="131" t="str">
        <x:f>IF($D368="","No",IF(COUNTIF('Attendance Report - Option 1'!$P$11:$P$315,$D368)&gt;0,"Yes","No"))</x:f>
        <x:v>No</x:v>
      </x:c>
      <x:c r="L368" s="131" t="str">
        <x:f>IF($D368="","No",IF(COUNTIF('Attendance Report - Option 2'!$P$11:$P$412,$D368)&gt;0,"Yes","No"))</x:f>
        <x:v>Yes</x:v>
      </x:c>
    </x:row>
    <x:row r="369">
      <x:c r="A369" s="16" t="str">
        <x:f>'EMA Assurance Employee List'!A370</x:f>
        <x:v>Ruth Nangiro</x:v>
      </x:c>
      <x:c r="B369" s="16" t="str">
        <x:f>IF(C369="KE","Kenya",IF(C369="UG","Uganda",IF(C369="MU","Mauritius",IF(C369="TZ","Tanzania",IF(C369="RW","Rwanda",IF(C369="ZA","South Africa",IF(C369="ZM","Zambia","")))))))</x:f>
        <x:v>Uganda</x:v>
      </x:c>
      <x:c r="C369" s="16" t="str">
        <x:f>'EMA Assurance Employee List'!B370</x:f>
        <x:v>UG</x:v>
      </x:c>
      <x:c r="D369" s="16" t="str">
        <x:f>'EMA Assurance Employee List'!D370</x:f>
        <x:v>ruth.nangiro@pwc.com</x:v>
      </x:c>
      <x:c r="E369" s="130" t="n">
        <x:f>IF($D369="",0,SUMIF('Attendance Report - Option 1'!$P$11:$P$315,$D369,'Attendance Report - Option 1'!$Q$11:$Q$315)/86400)</x:f>
        <x:v>0</x:v>
      </x:c>
      <x:c r="F369" s="131" t="str">
        <x:f>IF(E369=0,"Did not attend",IF(E369&gt;='Read Me'!$E$2/86400,"Fully attended","Partially attended"))</x:f>
        <x:v>Did not attend</x:v>
      </x:c>
      <x:c r="G369" s="130" t="n">
        <x:f>IF($D369="",0,SUMIF('Attendance Report - Option 2'!$P$11:$P$412,$D369,'Attendance Report - Option 2'!$Q$11:$Q$412)/86400)</x:f>
        <x:v>0.08163194444444444</x:v>
      </x:c>
      <x:c r="H369" s="131" t="str">
        <x:f>IF(G369=0,"Did not attend",IF(G369&gt;='Read Me'!$E$2/86400,"Fully attended","Partially attended"))</x:f>
        <x:v>Fully attended</x:v>
      </x:c>
      <x:c r="I369" s="130" t="n">
        <x:f>E369+G369</x:f>
        <x:v>0.08163194444444444</x:v>
      </x:c>
      <x:c r="J369" s="131" t="str">
        <x:f>IF(I369=0,"Did not attend",IF(I369&gt;='Read Me'!$E$2/86400,"Fully attended","Partially attended"))</x:f>
        <x:v>Fully attended</x:v>
      </x:c>
      <x:c r="K369" s="131" t="str">
        <x:f>IF($D369="","No",IF(COUNTIF('Attendance Report - Option 1'!$P$11:$P$315,$D369)&gt;0,"Yes","No"))</x:f>
        <x:v>No</x:v>
      </x:c>
      <x:c r="L369" s="131" t="str">
        <x:f>IF($D369="","No",IF(COUNTIF('Attendance Report - Option 2'!$P$11:$P$412,$D369)&gt;0,"Yes","No"))</x:f>
        <x:v>Yes</x:v>
      </x:c>
    </x:row>
    <x:row r="370">
      <x:c r="A370" s="16" t="str">
        <x:f>'EMA Assurance Employee List'!A371</x:f>
        <x:v>Said Said</x:v>
      </x:c>
      <x:c r="B370" s="16" t="str">
        <x:f>IF(C370="KE","Kenya",IF(C370="UG","Uganda",IF(C370="MU","Mauritius",IF(C370="TZ","Tanzania",IF(C370="RW","Rwanda",IF(C370="ZA","South Africa",IF(C370="ZM","Zambia","")))))))</x:f>
        <x:v>Tanzania</x:v>
      </x:c>
      <x:c r="C370" s="16" t="str">
        <x:f>'EMA Assurance Employee List'!B371</x:f>
        <x:v>TZ</x:v>
      </x:c>
      <x:c r="D370" s="16" t="str">
        <x:f>'EMA Assurance Employee List'!D371</x:f>
        <x:v>said.h.said@pwc.com</x:v>
      </x:c>
      <x:c r="E370" s="130" t="n">
        <x:f>IF($D370="",0,SUMIF('Attendance Report - Option 1'!$P$11:$P$315,$D370,'Attendance Report - Option 1'!$Q$11:$Q$315)/86400)</x:f>
        <x:v>0.08012731481481482</x:v>
      </x:c>
      <x:c r="F370" s="131" t="str">
        <x:f>IF(E370=0,"Did not attend",IF(E370&gt;='Read Me'!$E$2/86400,"Fully attended","Partially attended"))</x:f>
        <x:v>Fully attended</x:v>
      </x:c>
      <x:c r="G370" s="130" t="n">
        <x:f>IF($D370="",0,SUMIF('Attendance Report - Option 2'!$P$11:$P$412,$D370,'Attendance Report - Option 2'!$Q$11:$Q$412)/86400)</x:f>
        <x:v>0</x:v>
      </x:c>
      <x:c r="H370" s="131" t="str">
        <x:f>IF(G370=0,"Did not attend",IF(G370&gt;='Read Me'!$E$2/86400,"Fully attended","Partially attended"))</x:f>
        <x:v>Did not attend</x:v>
      </x:c>
      <x:c r="I370" s="130" t="n">
        <x:f>E370+G370</x:f>
        <x:v>0.08012731481481482</x:v>
      </x:c>
      <x:c r="J370" s="131" t="str">
        <x:f>IF(I370=0,"Did not attend",IF(I370&gt;='Read Me'!$E$2/86400,"Fully attended","Partially attended"))</x:f>
        <x:v>Fully attended</x:v>
      </x:c>
      <x:c r="K370" s="131" t="str">
        <x:f>IF($D370="","No",IF(COUNTIF('Attendance Report - Option 1'!$P$11:$P$315,$D370)&gt;0,"Yes","No"))</x:f>
        <x:v>Yes</x:v>
      </x:c>
      <x:c r="L370" s="131" t="str">
        <x:f>IF($D370="","No",IF(COUNTIF('Attendance Report - Option 2'!$P$11:$P$412,$D370)&gt;0,"Yes","No"))</x:f>
        <x:v>No</x:v>
      </x:c>
    </x:row>
    <x:row r="371">
      <x:c r="A371" s="16" t="str">
        <x:f>'EMA Assurance Employee List'!A372</x:f>
        <x:v>Samuel Bitwire</x:v>
      </x:c>
      <x:c r="B371" s="16" t="str">
        <x:f>IF(C371="KE","Kenya",IF(C371="UG","Uganda",IF(C371="MU","Mauritius",IF(C371="TZ","Tanzania",IF(C371="RW","Rwanda",IF(C371="ZA","South Africa",IF(C371="ZM","Zambia","")))))))</x:f>
        <x:v>Uganda</x:v>
      </x:c>
      <x:c r="C371" s="16" t="str">
        <x:f>'EMA Assurance Employee List'!B372</x:f>
        <x:v>UG</x:v>
      </x:c>
      <x:c r="D371" s="16" t="str">
        <x:f>'EMA Assurance Employee List'!D372</x:f>
        <x:v>samuel.bitwire@pwc.com</x:v>
      </x:c>
      <x:c r="E371" s="130" t="n">
        <x:f>IF($D371="",0,SUMIF('Attendance Report - Option 1'!$P$11:$P$315,$D371,'Attendance Report - Option 1'!$Q$11:$Q$315)/86400)</x:f>
        <x:v>0</x:v>
      </x:c>
      <x:c r="F371" s="131" t="str">
        <x:f>IF(E371=0,"Did not attend",IF(E371&gt;='Read Me'!$E$2/86400,"Fully attended","Partially attended"))</x:f>
        <x:v>Did not attend</x:v>
      </x:c>
      <x:c r="G371" s="130" t="n">
        <x:f>IF($D371="",0,SUMIF('Attendance Report - Option 2'!$P$11:$P$412,$D371,'Attendance Report - Option 2'!$Q$11:$Q$412)/86400)</x:f>
        <x:v>0.08671296296296296</x:v>
      </x:c>
      <x:c r="H371" s="131" t="str">
        <x:f>IF(G371=0,"Did not attend",IF(G371&gt;='Read Me'!$E$2/86400,"Fully attended","Partially attended"))</x:f>
        <x:v>Fully attended</x:v>
      </x:c>
      <x:c r="I371" s="130" t="n">
        <x:f>E371+G371</x:f>
        <x:v>0.08671296296296296</x:v>
      </x:c>
      <x:c r="J371" s="131" t="str">
        <x:f>IF(I371=0,"Did not attend",IF(I371&gt;='Read Me'!$E$2/86400,"Fully attended","Partially attended"))</x:f>
        <x:v>Fully attended</x:v>
      </x:c>
      <x:c r="K371" s="131" t="str">
        <x:f>IF($D371="","No",IF(COUNTIF('Attendance Report - Option 1'!$P$11:$P$315,$D371)&gt;0,"Yes","No"))</x:f>
        <x:v>No</x:v>
      </x:c>
      <x:c r="L371" s="131" t="str">
        <x:f>IF($D371="","No",IF(COUNTIF('Attendance Report - Option 2'!$P$11:$P$412,$D371)&gt;0,"Yes","No"))</x:f>
        <x:v>Yes</x:v>
      </x:c>
    </x:row>
    <x:row r="372">
      <x:c r="A372" s="16" t="str">
        <x:f>'EMA Assurance Employee List'!A373</x:f>
        <x:v>Samuel Shejamabu</x:v>
      </x:c>
      <x:c r="B372" s="16" t="str">
        <x:f>IF(C372="KE","Kenya",IF(C372="UG","Uganda",IF(C372="MU","Mauritius",IF(C372="TZ","Tanzania",IF(C372="RW","Rwanda",IF(C372="ZA","South Africa",IF(C372="ZM","Zambia","")))))))</x:f>
        <x:v>Tanzania</x:v>
      </x:c>
      <x:c r="C372" s="16" t="str">
        <x:f>'EMA Assurance Employee List'!B373</x:f>
        <x:v>TZ</x:v>
      </x:c>
      <x:c r="D372" s="16" t="str">
        <x:f>'EMA Assurance Employee List'!D373</x:f>
        <x:v>samuel.shejamabu@pwc.com</x:v>
      </x:c>
      <x:c r="E372" s="130" t="n">
        <x:f>IF($D372="",0,SUMIF('Attendance Report - Option 1'!$P$11:$P$315,$D372,'Attendance Report - Option 1'!$Q$11:$Q$315)/86400)</x:f>
        <x:v>0</x:v>
      </x:c>
      <x:c r="F372" s="131" t="str">
        <x:f>IF(E372=0,"Did not attend",IF(E372&gt;='Read Me'!$E$2/86400,"Fully attended","Partially attended"))</x:f>
        <x:v>Did not attend</x:v>
      </x:c>
      <x:c r="G372" s="130" t="n">
        <x:f>IF($D372="",0,SUMIF('Attendance Report - Option 2'!$P$11:$P$412,$D372,'Attendance Report - Option 2'!$Q$11:$Q$412)/86400)</x:f>
        <x:v>0.08935185185185185</x:v>
      </x:c>
      <x:c r="H372" s="131" t="str">
        <x:f>IF(G372=0,"Did not attend",IF(G372&gt;='Read Me'!$E$2/86400,"Fully attended","Partially attended"))</x:f>
        <x:v>Fully attended</x:v>
      </x:c>
      <x:c r="I372" s="130" t="n">
        <x:f>E372+G372</x:f>
        <x:v>0.08935185185185185</x:v>
      </x:c>
      <x:c r="J372" s="131" t="str">
        <x:f>IF(I372=0,"Did not attend",IF(I372&gt;='Read Me'!$E$2/86400,"Fully attended","Partially attended"))</x:f>
        <x:v>Fully attended</x:v>
      </x:c>
      <x:c r="K372" s="131" t="str">
        <x:f>IF($D372="","No",IF(COUNTIF('Attendance Report - Option 1'!$P$11:$P$315,$D372)&gt;0,"Yes","No"))</x:f>
        <x:v>No</x:v>
      </x:c>
      <x:c r="L372" s="131" t="str">
        <x:f>IF($D372="","No",IF(COUNTIF('Attendance Report - Option 2'!$P$11:$P$412,$D372)&gt;0,"Yes","No"))</x:f>
        <x:v>Yes</x:v>
      </x:c>
    </x:row>
    <x:row r="373">
      <x:c r="A373" s="16" t="str">
        <x:f>'EMA Assurance Employee List'!A374</x:f>
        <x:v>Samuel Wanjau</x:v>
      </x:c>
      <x:c r="B373" s="16" t="str">
        <x:f>IF(C373="KE","Kenya",IF(C373="UG","Uganda",IF(C373="MU","Mauritius",IF(C373="TZ","Tanzania",IF(C373="RW","Rwanda",IF(C373="ZA","South Africa",IF(C373="ZM","Zambia","")))))))</x:f>
        <x:v>Kenya</x:v>
      </x:c>
      <x:c r="C373" s="16" t="str">
        <x:f>'EMA Assurance Employee List'!B374</x:f>
        <x:v>KE</x:v>
      </x:c>
      <x:c r="D373" s="16" t="str">
        <x:f>'EMA Assurance Employee List'!D374</x:f>
        <x:v>samuel.wanjau@pwc.com</x:v>
      </x:c>
      <x:c r="E373" s="130" t="n">
        <x:f>IF($D373="",0,SUMIF('Attendance Report - Option 1'!$P$11:$P$315,$D373,'Attendance Report - Option 1'!$Q$11:$Q$315)/86400)</x:f>
        <x:v>0.04493055555555556</x:v>
      </x:c>
      <x:c r="F373" s="131" t="str">
        <x:f>IF(E373=0,"Did not attend",IF(E373&gt;='Read Me'!$E$2/86400,"Fully attended","Partially attended"))</x:f>
        <x:v>Partially attended</x:v>
      </x:c>
      <x:c r="G373" s="130" t="n">
        <x:f>IF($D373="",0,SUMIF('Attendance Report - Option 2'!$P$11:$P$412,$D373,'Attendance Report - Option 2'!$Q$11:$Q$412)/86400)</x:f>
        <x:v>0</x:v>
      </x:c>
      <x:c r="H373" s="131" t="str">
        <x:f>IF(G373=0,"Did not attend",IF(G373&gt;='Read Me'!$E$2/86400,"Fully attended","Partially attended"))</x:f>
        <x:v>Did not attend</x:v>
      </x:c>
      <x:c r="I373" s="130" t="n">
        <x:f>E373+G373</x:f>
        <x:v>0.04493055555555556</x:v>
      </x:c>
      <x:c r="J373" s="131" t="str">
        <x:f>IF(I373=0,"Did not attend",IF(I373&gt;='Read Me'!$E$2/86400,"Fully attended","Partially attended"))</x:f>
        <x:v>Partially attended</x:v>
      </x:c>
      <x:c r="K373" s="131" t="str">
        <x:f>IF($D373="","No",IF(COUNTIF('Attendance Report - Option 1'!$P$11:$P$315,$D373)&gt;0,"Yes","No"))</x:f>
        <x:v>Yes</x:v>
      </x:c>
      <x:c r="L373" s="131" t="str">
        <x:f>IF($D373="","No",IF(COUNTIF('Attendance Report - Option 2'!$P$11:$P$412,$D373)&gt;0,"Yes","No"))</x:f>
        <x:v>No</x:v>
      </x:c>
    </x:row>
    <x:row r="374">
      <x:c r="A374" s="16" t="str">
        <x:f>'EMA Assurance Employee List'!A375</x:f>
        <x:v>Sandra Muriithi</x:v>
      </x:c>
      <x:c r="B374" s="16" t="str">
        <x:f>IF(C374="KE","Kenya",IF(C374="UG","Uganda",IF(C374="MU","Mauritius",IF(C374="TZ","Tanzania",IF(C374="RW","Rwanda",IF(C374="ZA","South Africa",IF(C374="ZM","Zambia","")))))))</x:f>
        <x:v>Kenya</x:v>
      </x:c>
      <x:c r="C374" s="16" t="str">
        <x:f>'EMA Assurance Employee List'!B375</x:f>
        <x:v>KE</x:v>
      </x:c>
      <x:c r="D374" s="16" t="str">
        <x:f>'EMA Assurance Employee List'!D375</x:f>
        <x:v>sandra.muriithi@pwc.com</x:v>
      </x:c>
      <x:c r="E374" s="130" t="n">
        <x:f>IF($D374="",0,SUMIF('Attendance Report - Option 1'!$P$11:$P$315,$D374,'Attendance Report - Option 1'!$Q$11:$Q$315)/86400)</x:f>
        <x:v>0</x:v>
      </x:c>
      <x:c r="F374" s="131" t="str">
        <x:f>IF(E374=0,"Did not attend",IF(E374&gt;='Read Me'!$E$2/86400,"Fully attended","Partially attended"))</x:f>
        <x:v>Did not attend</x:v>
      </x:c>
      <x:c r="G374" s="130" t="n">
        <x:f>IF($D374="",0,SUMIF('Attendance Report - Option 2'!$P$11:$P$412,$D374,'Attendance Report - Option 2'!$Q$11:$Q$412)/86400)</x:f>
        <x:v>0</x:v>
      </x:c>
      <x:c r="H374" s="131" t="str">
        <x:f>IF(G374=0,"Did not attend",IF(G374&gt;='Read Me'!$E$2/86400,"Fully attended","Partially attended"))</x:f>
        <x:v>Did not attend</x:v>
      </x:c>
      <x:c r="I374" s="130" t="n">
        <x:f>E374+G374</x:f>
        <x:v>0</x:v>
      </x:c>
      <x:c r="J374" s="131" t="str">
        <x:f>IF(I374=0,"Did not attend",IF(I374&gt;='Read Me'!$E$2/86400,"Fully attended","Partially attended"))</x:f>
        <x:v>Did not attend</x:v>
      </x:c>
      <x:c r="K374" s="131" t="str">
        <x:f>IF($D374="","No",IF(COUNTIF('Attendance Report - Option 1'!$P$11:$P$315,$D374)&gt;0,"Yes","No"))</x:f>
        <x:v>No</x:v>
      </x:c>
      <x:c r="L374" s="131" t="str">
        <x:f>IF($D374="","No",IF(COUNTIF('Attendance Report - Option 2'!$P$11:$P$412,$D374)&gt;0,"Yes","No"))</x:f>
        <x:v>No</x:v>
      </x:c>
    </x:row>
    <x:row r="375">
      <x:c r="A375" s="16" t="str">
        <x:f>'EMA Assurance Employee List'!A376</x:f>
        <x:v>Sania Pooloo</x:v>
      </x:c>
      <x:c r="B375" s="16" t="str">
        <x:f>IF(C375="KE","Kenya",IF(C375="UG","Uganda",IF(C375="MU","Mauritius",IF(C375="TZ","Tanzania",IF(C375="RW","Rwanda",IF(C375="ZA","South Africa",IF(C375="ZM","Zambia","")))))))</x:f>
        <x:v>Mauritius</x:v>
      </x:c>
      <x:c r="C375" s="16" t="str">
        <x:f>'EMA Assurance Employee List'!B376</x:f>
        <x:v>MU</x:v>
      </x:c>
      <x:c r="D375" s="16" t="str">
        <x:f>'EMA Assurance Employee List'!D376</x:f>
        <x:v>sania.pooloo@pwc.com</x:v>
      </x:c>
      <x:c r="E375" s="130" t="n">
        <x:f>IF($D375="",0,SUMIF('Attendance Report - Option 1'!$P$11:$P$315,$D375,'Attendance Report - Option 1'!$Q$11:$Q$315)/86400)</x:f>
        <x:v>0</x:v>
      </x:c>
      <x:c r="F375" s="131" t="str">
        <x:f>IF(E375=0,"Did not attend",IF(E375&gt;='Read Me'!$E$2/86400,"Fully attended","Partially attended"))</x:f>
        <x:v>Did not attend</x:v>
      </x:c>
      <x:c r="G375" s="130" t="n">
        <x:f>IF($D375="",0,SUMIF('Attendance Report - Option 2'!$P$11:$P$412,$D375,'Attendance Report - Option 2'!$Q$11:$Q$412)/86400)</x:f>
        <x:v>0.08373842592592592</x:v>
      </x:c>
      <x:c r="H375" s="131" t="str">
        <x:f>IF(G375=0,"Did not attend",IF(G375&gt;='Read Me'!$E$2/86400,"Fully attended","Partially attended"))</x:f>
        <x:v>Fully attended</x:v>
      </x:c>
      <x:c r="I375" s="130" t="n">
        <x:f>E375+G375</x:f>
        <x:v>0.08373842592592592</x:v>
      </x:c>
      <x:c r="J375" s="131" t="str">
        <x:f>IF(I375=0,"Did not attend",IF(I375&gt;='Read Me'!$E$2/86400,"Fully attended","Partially attended"))</x:f>
        <x:v>Fully attended</x:v>
      </x:c>
      <x:c r="K375" s="131" t="str">
        <x:f>IF($D375="","No",IF(COUNTIF('Attendance Report - Option 1'!$P$11:$P$315,$D375)&gt;0,"Yes","No"))</x:f>
        <x:v>No</x:v>
      </x:c>
      <x:c r="L375" s="131" t="str">
        <x:f>IF($D375="","No",IF(COUNTIF('Attendance Report - Option 2'!$P$11:$P$412,$D375)&gt;0,"Yes","No"))</x:f>
        <x:v>Yes</x:v>
      </x:c>
    </x:row>
    <x:row r="376">
      <x:c r="A376" s="16" t="str">
        <x:f>'EMA Assurance Employee List'!A377</x:f>
        <x:v>Sanjana Rawoo</x:v>
      </x:c>
      <x:c r="B376" s="16" t="str">
        <x:f>IF(C376="KE","Kenya",IF(C376="UG","Uganda",IF(C376="MU","Mauritius",IF(C376="TZ","Tanzania",IF(C376="RW","Rwanda",IF(C376="ZA","South Africa",IF(C376="ZM","Zambia","")))))))</x:f>
        <x:v>Mauritius</x:v>
      </x:c>
      <x:c r="C376" s="16" t="str">
        <x:f>'EMA Assurance Employee List'!B377</x:f>
        <x:v>MU</x:v>
      </x:c>
      <x:c r="D376" s="16" t="str">
        <x:f>'EMA Assurance Employee List'!D377</x:f>
        <x:v>sanjana.rawoo@pwc.com</x:v>
      </x:c>
      <x:c r="E376" s="130" t="n">
        <x:f>IF($D376="",0,SUMIF('Attendance Report - Option 1'!$P$11:$P$315,$D376,'Attendance Report - Option 1'!$Q$11:$Q$315)/86400)</x:f>
        <x:v>0</x:v>
      </x:c>
      <x:c r="F376" s="131" t="str">
        <x:f>IF(E376=0,"Did not attend",IF(E376&gt;='Read Me'!$E$2/86400,"Fully attended","Partially attended"))</x:f>
        <x:v>Did not attend</x:v>
      </x:c>
      <x:c r="G376" s="130" t="n">
        <x:f>IF($D376="",0,SUMIF('Attendance Report - Option 2'!$P$11:$P$412,$D376,'Attendance Report - Option 2'!$Q$11:$Q$412)/86400)</x:f>
        <x:v>0</x:v>
      </x:c>
      <x:c r="H376" s="131" t="str">
        <x:f>IF(G376=0,"Did not attend",IF(G376&gt;='Read Me'!$E$2/86400,"Fully attended","Partially attended"))</x:f>
        <x:v>Did not attend</x:v>
      </x:c>
      <x:c r="I376" s="130" t="n">
        <x:f>E376+G376</x:f>
        <x:v>0</x:v>
      </x:c>
      <x:c r="J376" s="131" t="str">
        <x:f>IF(I376=0,"Did not attend",IF(I376&gt;='Read Me'!$E$2/86400,"Fully attended","Partially attended"))</x:f>
        <x:v>Did not attend</x:v>
      </x:c>
      <x:c r="K376" s="131" t="str">
        <x:f>IF($D376="","No",IF(COUNTIF('Attendance Report - Option 1'!$P$11:$P$315,$D376)&gt;0,"Yes","No"))</x:f>
        <x:v>No</x:v>
      </x:c>
      <x:c r="L376" s="131" t="str">
        <x:f>IF($D376="","No",IF(COUNTIF('Attendance Report - Option 2'!$P$11:$P$412,$D376)&gt;0,"Yes","No"))</x:f>
        <x:v>No</x:v>
      </x:c>
    </x:row>
    <x:row r="377">
      <x:c r="A377" s="16" t="str">
        <x:f>'EMA Assurance Employee List'!A378</x:f>
        <x:v>Sarah Otindo</x:v>
      </x:c>
      <x:c r="B377" s="16" t="str">
        <x:f>IF(C377="KE","Kenya",IF(C377="UG","Uganda",IF(C377="MU","Mauritius",IF(C377="TZ","Tanzania",IF(C377="RW","Rwanda",IF(C377="ZA","South Africa",IF(C377="ZM","Zambia","")))))))</x:f>
        <x:v>Kenya</x:v>
      </x:c>
      <x:c r="C377" s="16" t="str">
        <x:f>'EMA Assurance Employee List'!B378</x:f>
        <x:v>KE</x:v>
      </x:c>
      <x:c r="D377" s="16" t="str">
        <x:f>'EMA Assurance Employee List'!D378</x:f>
        <x:v>sarah.otindo@pwc.com</x:v>
      </x:c>
      <x:c r="E377" s="130" t="n">
        <x:f>IF($D377="",0,SUMIF('Attendance Report - Option 1'!$P$11:$P$315,$D377,'Attendance Report - Option 1'!$Q$11:$Q$315)/86400)</x:f>
        <x:v>0</x:v>
      </x:c>
      <x:c r="F377" s="131" t="str">
        <x:f>IF(E377=0,"Did not attend",IF(E377&gt;='Read Me'!$E$2/86400,"Fully attended","Partially attended"))</x:f>
        <x:v>Did not attend</x:v>
      </x:c>
      <x:c r="G377" s="130" t="n">
        <x:f>IF($D377="",0,SUMIF('Attendance Report - Option 2'!$P$11:$P$412,$D377,'Attendance Report - Option 2'!$Q$11:$Q$412)/86400)</x:f>
        <x:v>0.08784722222222222</x:v>
      </x:c>
      <x:c r="H377" s="131" t="str">
        <x:f>IF(G377=0,"Did not attend",IF(G377&gt;='Read Me'!$E$2/86400,"Fully attended","Partially attended"))</x:f>
        <x:v>Fully attended</x:v>
      </x:c>
      <x:c r="I377" s="130" t="n">
        <x:f>E377+G377</x:f>
        <x:v>0.08784722222222222</x:v>
      </x:c>
      <x:c r="J377" s="131" t="str">
        <x:f>IF(I377=0,"Did not attend",IF(I377&gt;='Read Me'!$E$2/86400,"Fully attended","Partially attended"))</x:f>
        <x:v>Fully attended</x:v>
      </x:c>
      <x:c r="K377" s="131" t="str">
        <x:f>IF($D377="","No",IF(COUNTIF('Attendance Report - Option 1'!$P$11:$P$315,$D377)&gt;0,"Yes","No"))</x:f>
        <x:v>No</x:v>
      </x:c>
      <x:c r="L377" s="131" t="str">
        <x:f>IF($D377="","No",IF(COUNTIF('Attendance Report - Option 2'!$P$11:$P$412,$D377)&gt;0,"Yes","No"))</x:f>
        <x:v>Yes</x:v>
      </x:c>
    </x:row>
    <x:row r="378">
      <x:c r="A378" s="16" t="str">
        <x:f>'EMA Assurance Employee List'!A379</x:f>
        <x:v>Seline Achieng</x:v>
      </x:c>
      <x:c r="B378" s="16" t="str">
        <x:f>IF(C378="KE","Kenya",IF(C378="UG","Uganda",IF(C378="MU","Mauritius",IF(C378="TZ","Tanzania",IF(C378="RW","Rwanda",IF(C378="ZA","South Africa",IF(C378="ZM","Zambia","")))))))</x:f>
        <x:v>Kenya</x:v>
      </x:c>
      <x:c r="C378" s="16" t="str">
        <x:f>'EMA Assurance Employee List'!B379</x:f>
        <x:v>KE</x:v>
      </x:c>
      <x:c r="D378" s="16" t="str">
        <x:f>'EMA Assurance Employee List'!D379</x:f>
        <x:v>seline.achieng@pwc.com</x:v>
      </x:c>
      <x:c r="E378" s="130" t="n">
        <x:f>IF($D378="",0,SUMIF('Attendance Report - Option 1'!$P$11:$P$315,$D378,'Attendance Report - Option 1'!$Q$11:$Q$315)/86400)</x:f>
        <x:v>0.06871527777777778</x:v>
      </x:c>
      <x:c r="F378" s="131" t="str">
        <x:f>IF(E378=0,"Did not attend",IF(E378&gt;='Read Me'!$E$2/86400,"Fully attended","Partially attended"))</x:f>
        <x:v>Fully attended</x:v>
      </x:c>
      <x:c r="G378" s="130" t="n">
        <x:f>IF($D378="",0,SUMIF('Attendance Report - Option 2'!$P$11:$P$412,$D378,'Attendance Report - Option 2'!$Q$11:$Q$412)/86400)</x:f>
        <x:v>0</x:v>
      </x:c>
      <x:c r="H378" s="131" t="str">
        <x:f>IF(G378=0,"Did not attend",IF(G378&gt;='Read Me'!$E$2/86400,"Fully attended","Partially attended"))</x:f>
        <x:v>Did not attend</x:v>
      </x:c>
      <x:c r="I378" s="130" t="n">
        <x:f>E378+G378</x:f>
        <x:v>0.06871527777777778</x:v>
      </x:c>
      <x:c r="J378" s="131" t="str">
        <x:f>IF(I378=0,"Did not attend",IF(I378&gt;='Read Me'!$E$2/86400,"Fully attended","Partially attended"))</x:f>
        <x:v>Fully attended</x:v>
      </x:c>
      <x:c r="K378" s="131" t="str">
        <x:f>IF($D378="","No",IF(COUNTIF('Attendance Report - Option 1'!$P$11:$P$315,$D378)&gt;0,"Yes","No"))</x:f>
        <x:v>Yes</x:v>
      </x:c>
      <x:c r="L378" s="131" t="str">
        <x:f>IF($D378="","No",IF(COUNTIF('Attendance Report - Option 2'!$P$11:$P$412,$D378)&gt;0,"Yes","No"))</x:f>
        <x:v>No</x:v>
      </x:c>
    </x:row>
    <x:row r="379">
      <x:c r="A379" s="16" t="str">
        <x:f>'EMA Assurance Employee List'!A380</x:f>
        <x:v>Serah Kiprono</x:v>
      </x:c>
      <x:c r="B379" s="16" t="str">
        <x:f>IF(C379="KE","Kenya",IF(C379="UG","Uganda",IF(C379="MU","Mauritius",IF(C379="TZ","Tanzania",IF(C379="RW","Rwanda",IF(C379="ZA","South Africa",IF(C379="ZM","Zambia","")))))))</x:f>
        <x:v>Kenya</x:v>
      </x:c>
      <x:c r="C379" s="16" t="str">
        <x:f>'EMA Assurance Employee List'!B380</x:f>
        <x:v>KE</x:v>
      </x:c>
      <x:c r="D379" s="16" t="str">
        <x:f>'EMA Assurance Employee List'!D380</x:f>
        <x:v>serah.kiprono@pwc.com</x:v>
      </x:c>
      <x:c r="E379" s="130" t="n">
        <x:f>IF($D379="",0,SUMIF('Attendance Report - Option 1'!$P$11:$P$315,$D379,'Attendance Report - Option 1'!$Q$11:$Q$315)/86400)</x:f>
        <x:v>0.08631944444444445</x:v>
      </x:c>
      <x:c r="F379" s="131" t="str">
        <x:f>IF(E379=0,"Did not attend",IF(E379&gt;='Read Me'!$E$2/86400,"Fully attended","Partially attended"))</x:f>
        <x:v>Fully attended</x:v>
      </x:c>
      <x:c r="G379" s="130" t="n">
        <x:f>IF($D379="",0,SUMIF('Attendance Report - Option 2'!$P$11:$P$412,$D379,'Attendance Report - Option 2'!$Q$11:$Q$412)/86400)</x:f>
        <x:v>0.09119212962962962</x:v>
      </x:c>
      <x:c r="H379" s="131" t="str">
        <x:f>IF(G379=0,"Did not attend",IF(G379&gt;='Read Me'!$E$2/86400,"Fully attended","Partially attended"))</x:f>
        <x:v>Fully attended</x:v>
      </x:c>
      <x:c r="I379" s="130" t="n">
        <x:f>E379+G379</x:f>
        <x:v>0.17751157407407409</x:v>
      </x:c>
      <x:c r="J379" s="131" t="str">
        <x:f>IF(I379=0,"Did not attend",IF(I379&gt;='Read Me'!$E$2/86400,"Fully attended","Partially attended"))</x:f>
        <x:v>Fully attended</x:v>
      </x:c>
      <x:c r="K379" s="131" t="str">
        <x:f>IF($D379="","No",IF(COUNTIF('Attendance Report - Option 1'!$P$11:$P$315,$D379)&gt;0,"Yes","No"))</x:f>
        <x:v>Yes</x:v>
      </x:c>
      <x:c r="L379" s="131" t="str">
        <x:f>IF($D379="","No",IF(COUNTIF('Attendance Report - Option 2'!$P$11:$P$412,$D379)&gt;0,"Yes","No"))</x:f>
        <x:v>Yes</x:v>
      </x:c>
    </x:row>
    <x:row r="380">
      <x:c r="A380" s="16" t="str">
        <x:f>'EMA Assurance Employee List'!A381</x:f>
        <x:v>Serah Omwenga</x:v>
      </x:c>
      <x:c r="B380" s="16" t="str">
        <x:f>IF(C380="KE","Kenya",IF(C380="UG","Uganda",IF(C380="MU","Mauritius",IF(C380="TZ","Tanzania",IF(C380="RW","Rwanda",IF(C380="ZA","South Africa",IF(C380="ZM","Zambia","")))))))</x:f>
        <x:v>Kenya</x:v>
      </x:c>
      <x:c r="C380" s="16" t="str">
        <x:f>'EMA Assurance Employee List'!B381</x:f>
        <x:v>KE</x:v>
      </x:c>
      <x:c r="D380" s="16" t="str">
        <x:f>'EMA Assurance Employee List'!D381</x:f>
        <x:v>serah.omwenga@pwc.com</x:v>
      </x:c>
      <x:c r="E380" s="130" t="n">
        <x:f>IF($D380="",0,SUMIF('Attendance Report - Option 1'!$P$11:$P$315,$D380,'Attendance Report - Option 1'!$Q$11:$Q$315)/86400)</x:f>
        <x:v>0</x:v>
      </x:c>
      <x:c r="F380" s="131" t="str">
        <x:f>IF(E380=0,"Did not attend",IF(E380&gt;='Read Me'!$E$2/86400,"Fully attended","Partially attended"))</x:f>
        <x:v>Did not attend</x:v>
      </x:c>
      <x:c r="G380" s="130" t="n">
        <x:f>IF($D380="",0,SUMIF('Attendance Report - Option 2'!$P$11:$P$412,$D380,'Attendance Report - Option 2'!$Q$11:$Q$412)/86400)</x:f>
        <x:v>0.07215277777777777</x:v>
      </x:c>
      <x:c r="H380" s="131" t="str">
        <x:f>IF(G380=0,"Did not attend",IF(G380&gt;='Read Me'!$E$2/86400,"Fully attended","Partially attended"))</x:f>
        <x:v>Fully attended</x:v>
      </x:c>
      <x:c r="I380" s="130" t="n">
        <x:f>E380+G380</x:f>
        <x:v>0.07215277777777777</x:v>
      </x:c>
      <x:c r="J380" s="131" t="str">
        <x:f>IF(I380=0,"Did not attend",IF(I380&gt;='Read Me'!$E$2/86400,"Fully attended","Partially attended"))</x:f>
        <x:v>Fully attended</x:v>
      </x:c>
      <x:c r="K380" s="131" t="str">
        <x:f>IF($D380="","No",IF(COUNTIF('Attendance Report - Option 1'!$P$11:$P$315,$D380)&gt;0,"Yes","No"))</x:f>
        <x:v>No</x:v>
      </x:c>
      <x:c r="L380" s="131" t="str">
        <x:f>IF($D380="","No",IF(COUNTIF('Attendance Report - Option 2'!$P$11:$P$412,$D380)&gt;0,"Yes","No"))</x:f>
        <x:v>Yes</x:v>
      </x:c>
    </x:row>
    <x:row r="381">
      <x:c r="A381" s="16" t="str">
        <x:f>'EMA Assurance Employee List'!A382</x:f>
        <x:v>Seth Adoli</x:v>
      </x:c>
      <x:c r="B381" s="16" t="str">
        <x:f>IF(C381="KE","Kenya",IF(C381="UG","Uganda",IF(C381="MU","Mauritius",IF(C381="TZ","Tanzania",IF(C381="RW","Rwanda",IF(C381="ZA","South Africa",IF(C381="ZM","Zambia","")))))))</x:f>
        <x:v>Kenya</x:v>
      </x:c>
      <x:c r="C381" s="16" t="str">
        <x:f>'EMA Assurance Employee List'!B382</x:f>
        <x:v>KE</x:v>
      </x:c>
      <x:c r="D381" s="16" t="str">
        <x:f>'EMA Assurance Employee List'!D382</x:f>
        <x:v>seth.adoli@pwc.com</x:v>
      </x:c>
      <x:c r="E381" s="130" t="n">
        <x:f>IF($D381="",0,SUMIF('Attendance Report - Option 1'!$P$11:$P$315,$D381,'Attendance Report - Option 1'!$Q$11:$Q$315)/86400)</x:f>
        <x:v>0.06729166666666667</x:v>
      </x:c>
      <x:c r="F381" s="131" t="str">
        <x:f>IF(E381=0,"Did not attend",IF(E381&gt;='Read Me'!$E$2/86400,"Fully attended","Partially attended"))</x:f>
        <x:v>Fully attended</x:v>
      </x:c>
      <x:c r="G381" s="130" t="n">
        <x:f>IF($D381="",0,SUMIF('Attendance Report - Option 2'!$P$11:$P$412,$D381,'Attendance Report - Option 2'!$Q$11:$Q$412)/86400)</x:f>
        <x:v>0</x:v>
      </x:c>
      <x:c r="H381" s="131" t="str">
        <x:f>IF(G381=0,"Did not attend",IF(G381&gt;='Read Me'!$E$2/86400,"Fully attended","Partially attended"))</x:f>
        <x:v>Did not attend</x:v>
      </x:c>
      <x:c r="I381" s="130" t="n">
        <x:f>E381+G381</x:f>
        <x:v>0.06729166666666667</x:v>
      </x:c>
      <x:c r="J381" s="131" t="str">
        <x:f>IF(I381=0,"Did not attend",IF(I381&gt;='Read Me'!$E$2/86400,"Fully attended","Partially attended"))</x:f>
        <x:v>Fully attended</x:v>
      </x:c>
      <x:c r="K381" s="131" t="str">
        <x:f>IF($D381="","No",IF(COUNTIF('Attendance Report - Option 1'!$P$11:$P$315,$D381)&gt;0,"Yes","No"))</x:f>
        <x:v>Yes</x:v>
      </x:c>
      <x:c r="L381" s="131" t="str">
        <x:f>IF($D381="","No",IF(COUNTIF('Attendance Report - Option 2'!$P$11:$P$412,$D381)&gt;0,"Yes","No"))</x:f>
        <x:v>No</x:v>
      </x:c>
    </x:row>
    <x:row r="382">
      <x:c r="A382" s="16" t="str">
        <x:f>'EMA Assurance Employee List'!A383</x:f>
        <x:v>Shaan Seenundun</x:v>
      </x:c>
      <x:c r="B382" s="16" t="str">
        <x:f>IF(C382="KE","Kenya",IF(C382="UG","Uganda",IF(C382="MU","Mauritius",IF(C382="TZ","Tanzania",IF(C382="RW","Rwanda",IF(C382="ZA","South Africa",IF(C382="ZM","Zambia","")))))))</x:f>
        <x:v>Mauritius</x:v>
      </x:c>
      <x:c r="C382" s="16" t="str">
        <x:f>'EMA Assurance Employee List'!B383</x:f>
        <x:v>MU</x:v>
      </x:c>
      <x:c r="D382" s="16" t="str">
        <x:f>'EMA Assurance Employee List'!D383</x:f>
        <x:v>shaan.seenundun@pwc.com</x:v>
      </x:c>
      <x:c r="E382" s="130" t="n">
        <x:f>IF($D382="",0,SUMIF('Attendance Report - Option 1'!$P$11:$P$315,$D382,'Attendance Report - Option 1'!$Q$11:$Q$315)/86400)</x:f>
        <x:v>0</x:v>
      </x:c>
      <x:c r="F382" s="131" t="str">
        <x:f>IF(E382=0,"Did not attend",IF(E382&gt;='Read Me'!$E$2/86400,"Fully attended","Partially attended"))</x:f>
        <x:v>Did not attend</x:v>
      </x:c>
      <x:c r="G382" s="130" t="n">
        <x:f>IF($D382="",0,SUMIF('Attendance Report - Option 2'!$P$11:$P$412,$D382,'Attendance Report - Option 2'!$Q$11:$Q$412)/86400)</x:f>
        <x:v>0.08608796296296296</x:v>
      </x:c>
      <x:c r="H382" s="131" t="str">
        <x:f>IF(G382=0,"Did not attend",IF(G382&gt;='Read Me'!$E$2/86400,"Fully attended","Partially attended"))</x:f>
        <x:v>Fully attended</x:v>
      </x:c>
      <x:c r="I382" s="130" t="n">
        <x:f>E382+G382</x:f>
        <x:v>0.08608796296296296</x:v>
      </x:c>
      <x:c r="J382" s="131" t="str">
        <x:f>IF(I382=0,"Did not attend",IF(I382&gt;='Read Me'!$E$2/86400,"Fully attended","Partially attended"))</x:f>
        <x:v>Fully attended</x:v>
      </x:c>
      <x:c r="K382" s="131" t="str">
        <x:f>IF($D382="","No",IF(COUNTIF('Attendance Report - Option 1'!$P$11:$P$315,$D382)&gt;0,"Yes","No"))</x:f>
        <x:v>No</x:v>
      </x:c>
      <x:c r="L382" s="131" t="str">
        <x:f>IF($D382="","No",IF(COUNTIF('Attendance Report - Option 2'!$P$11:$P$412,$D382)&gt;0,"Yes","No"))</x:f>
        <x:v>Yes</x:v>
      </x:c>
    </x:row>
    <x:row r="383">
      <x:c r="A383" s="16" t="str">
        <x:f>'EMA Assurance Employee List'!A384</x:f>
        <x:v>Shakil Maghun</x:v>
      </x:c>
      <x:c r="B383" s="16" t="str">
        <x:f>IF(C383="KE","Kenya",IF(C383="UG","Uganda",IF(C383="MU","Mauritius",IF(C383="TZ","Tanzania",IF(C383="RW","Rwanda",IF(C383="ZA","South Africa",IF(C383="ZM","Zambia","")))))))</x:f>
        <x:v>Mauritius</x:v>
      </x:c>
      <x:c r="C383" s="16" t="str">
        <x:f>'EMA Assurance Employee List'!B384</x:f>
        <x:v>MU</x:v>
      </x:c>
      <x:c r="D383" s="16" t="str">
        <x:f>'EMA Assurance Employee List'!D384</x:f>
        <x:v>shakil.maghun@pwc.com</x:v>
      </x:c>
      <x:c r="E383" s="130" t="n">
        <x:f>IF($D383="",0,SUMIF('Attendance Report - Option 1'!$P$11:$P$315,$D383,'Attendance Report - Option 1'!$Q$11:$Q$315)/86400)</x:f>
        <x:v>0</x:v>
      </x:c>
      <x:c r="F383" s="131" t="str">
        <x:f>IF(E383=0,"Did not attend",IF(E383&gt;='Read Me'!$E$2/86400,"Fully attended","Partially attended"))</x:f>
        <x:v>Did not attend</x:v>
      </x:c>
      <x:c r="G383" s="130" t="n">
        <x:f>IF($D383="",0,SUMIF('Attendance Report - Option 2'!$P$11:$P$412,$D383,'Attendance Report - Option 2'!$Q$11:$Q$412)/86400)</x:f>
        <x:v>0.08681712962962963</x:v>
      </x:c>
      <x:c r="H383" s="131" t="str">
        <x:f>IF(G383=0,"Did not attend",IF(G383&gt;='Read Me'!$E$2/86400,"Fully attended","Partially attended"))</x:f>
        <x:v>Fully attended</x:v>
      </x:c>
      <x:c r="I383" s="130" t="n">
        <x:f>E383+G383</x:f>
        <x:v>0.08681712962962963</x:v>
      </x:c>
      <x:c r="J383" s="131" t="str">
        <x:f>IF(I383=0,"Did not attend",IF(I383&gt;='Read Me'!$E$2/86400,"Fully attended","Partially attended"))</x:f>
        <x:v>Fully attended</x:v>
      </x:c>
      <x:c r="K383" s="131" t="str">
        <x:f>IF($D383="","No",IF(COUNTIF('Attendance Report - Option 1'!$P$11:$P$315,$D383)&gt;0,"Yes","No"))</x:f>
        <x:v>No</x:v>
      </x:c>
      <x:c r="L383" s="131" t="str">
        <x:f>IF($D383="","No",IF(COUNTIF('Attendance Report - Option 2'!$P$11:$P$412,$D383)&gt;0,"Yes","No"))</x:f>
        <x:v>Yes</x:v>
      </x:c>
    </x:row>
    <x:row r="384">
      <x:c r="A384" s="16" t="str">
        <x:f>'EMA Assurance Employee List'!A385</x:f>
        <x:v>Sharon Nanyonga</x:v>
      </x:c>
      <x:c r="B384" s="16" t="str">
        <x:f>IF(C384="KE","Kenya",IF(C384="UG","Uganda",IF(C384="MU","Mauritius",IF(C384="TZ","Tanzania",IF(C384="RW","Rwanda",IF(C384="ZA","South Africa",IF(C384="ZM","Zambia","")))))))</x:f>
        <x:v>Uganda</x:v>
      </x:c>
      <x:c r="C384" s="16" t="str">
        <x:f>'EMA Assurance Employee List'!B385</x:f>
        <x:v>UG</x:v>
      </x:c>
      <x:c r="D384" s="16" t="str">
        <x:f>'EMA Assurance Employee List'!D385</x:f>
        <x:v>sharon.nanyonga@pwc.com</x:v>
      </x:c>
      <x:c r="E384" s="130" t="n">
        <x:f>IF($D384="",0,SUMIF('Attendance Report - Option 1'!$P$11:$P$315,$D384,'Attendance Report - Option 1'!$Q$11:$Q$315)/86400)</x:f>
        <x:v>0.08226851851851852</x:v>
      </x:c>
      <x:c r="F384" s="131" t="str">
        <x:f>IF(E384=0,"Did not attend",IF(E384&gt;='Read Me'!$E$2/86400,"Fully attended","Partially attended"))</x:f>
        <x:v>Fully attended</x:v>
      </x:c>
      <x:c r="G384" s="130" t="n">
        <x:f>IF($D384="",0,SUMIF('Attendance Report - Option 2'!$P$11:$P$412,$D384,'Attendance Report - Option 2'!$Q$11:$Q$412)/86400)</x:f>
        <x:v>0</x:v>
      </x:c>
      <x:c r="H384" s="131" t="str">
        <x:f>IF(G384=0,"Did not attend",IF(G384&gt;='Read Me'!$E$2/86400,"Fully attended","Partially attended"))</x:f>
        <x:v>Did not attend</x:v>
      </x:c>
      <x:c r="I384" s="130" t="n">
        <x:f>E384+G384</x:f>
        <x:v>0.08226851851851852</x:v>
      </x:c>
      <x:c r="J384" s="131" t="str">
        <x:f>IF(I384=0,"Did not attend",IF(I384&gt;='Read Me'!$E$2/86400,"Fully attended","Partially attended"))</x:f>
        <x:v>Fully attended</x:v>
      </x:c>
      <x:c r="K384" s="131" t="str">
        <x:f>IF($D384="","No",IF(COUNTIF('Attendance Report - Option 1'!$P$11:$P$315,$D384)&gt;0,"Yes","No"))</x:f>
        <x:v>Yes</x:v>
      </x:c>
      <x:c r="L384" s="131" t="str">
        <x:f>IF($D384="","No",IF(COUNTIF('Attendance Report - Option 2'!$P$11:$P$412,$D384)&gt;0,"Yes","No"))</x:f>
        <x:v>No</x:v>
      </x:c>
    </x:row>
    <x:row r="385">
      <x:c r="A385" s="16" t="str">
        <x:f>'EMA Assurance Employee List'!A386</x:f>
        <x:v>Sharon Obiero</x:v>
      </x:c>
      <x:c r="B385" s="16" t="str">
        <x:f>IF(C385="KE","Kenya",IF(C385="UG","Uganda",IF(C385="MU","Mauritius",IF(C385="TZ","Tanzania",IF(C385="RW","Rwanda",IF(C385="ZA","South Africa",IF(C385="ZM","Zambia","")))))))</x:f>
        <x:v>Kenya</x:v>
      </x:c>
      <x:c r="C385" s="16" t="str">
        <x:f>'EMA Assurance Employee List'!B386</x:f>
        <x:v>KE</x:v>
      </x:c>
      <x:c r="D385" s="16" t="str">
        <x:f>'EMA Assurance Employee List'!D386</x:f>
        <x:v>sharon.obiero@pwc.com</x:v>
      </x:c>
      <x:c r="E385" s="130" t="n">
        <x:f>IF($D385="",0,SUMIF('Attendance Report - Option 1'!$P$11:$P$315,$D385,'Attendance Report - Option 1'!$Q$11:$Q$315)/86400)</x:f>
        <x:v>0.07486111111111111</x:v>
      </x:c>
      <x:c r="F385" s="131" t="str">
        <x:f>IF(E385=0,"Did not attend",IF(E385&gt;='Read Me'!$E$2/86400,"Fully attended","Partially attended"))</x:f>
        <x:v>Fully attended</x:v>
      </x:c>
      <x:c r="G385" s="130" t="n">
        <x:f>IF($D385="",0,SUMIF('Attendance Report - Option 2'!$P$11:$P$412,$D385,'Attendance Report - Option 2'!$Q$11:$Q$412)/86400)</x:f>
        <x:v>0</x:v>
      </x:c>
      <x:c r="H385" s="131" t="str">
        <x:f>IF(G385=0,"Did not attend",IF(G385&gt;='Read Me'!$E$2/86400,"Fully attended","Partially attended"))</x:f>
        <x:v>Did not attend</x:v>
      </x:c>
      <x:c r="I385" s="130" t="n">
        <x:f>E385+G385</x:f>
        <x:v>0.07486111111111111</x:v>
      </x:c>
      <x:c r="J385" s="131" t="str">
        <x:f>IF(I385=0,"Did not attend",IF(I385&gt;='Read Me'!$E$2/86400,"Fully attended","Partially attended"))</x:f>
        <x:v>Fully attended</x:v>
      </x:c>
      <x:c r="K385" s="131" t="str">
        <x:f>IF($D385="","No",IF(COUNTIF('Attendance Report - Option 1'!$P$11:$P$315,$D385)&gt;0,"Yes","No"))</x:f>
        <x:v>Yes</x:v>
      </x:c>
      <x:c r="L385" s="131" t="str">
        <x:f>IF($D385="","No",IF(COUNTIF('Attendance Report - Option 2'!$P$11:$P$412,$D385)&gt;0,"Yes","No"))</x:f>
        <x:v>No</x:v>
      </x:c>
    </x:row>
    <x:row r="386">
      <x:c r="A386" s="16" t="str">
        <x:f>'EMA Assurance Employee List'!A387</x:f>
        <x:v>Sharon Sidialo</x:v>
      </x:c>
      <x:c r="B386" s="16" t="str">
        <x:f>IF(C386="KE","Kenya",IF(C386="UG","Uganda",IF(C386="MU","Mauritius",IF(C386="TZ","Tanzania",IF(C386="RW","Rwanda",IF(C386="ZA","South Africa",IF(C386="ZM","Zambia","")))))))</x:f>
        <x:v>Kenya</x:v>
      </x:c>
      <x:c r="C386" s="16" t="str">
        <x:f>'EMA Assurance Employee List'!B387</x:f>
        <x:v>KE</x:v>
      </x:c>
      <x:c r="D386" s="16" t="str">
        <x:f>'EMA Assurance Employee List'!D387</x:f>
        <x:v>sharon.sidialo@pwc.com</x:v>
      </x:c>
      <x:c r="E386" s="130" t="n">
        <x:f>IF($D386="",0,SUMIF('Attendance Report - Option 1'!$P$11:$P$315,$D386,'Attendance Report - Option 1'!$Q$11:$Q$315)/86400)</x:f>
        <x:v>0</x:v>
      </x:c>
      <x:c r="F386" s="131" t="str">
        <x:f>IF(E386=0,"Did not attend",IF(E386&gt;='Read Me'!$E$2/86400,"Fully attended","Partially attended"))</x:f>
        <x:v>Did not attend</x:v>
      </x:c>
      <x:c r="G386" s="130" t="n">
        <x:f>IF($D386="",0,SUMIF('Attendance Report - Option 2'!$P$11:$P$412,$D386,'Attendance Report - Option 2'!$Q$11:$Q$412)/86400)</x:f>
        <x:v>0.04567129629629629</x:v>
      </x:c>
      <x:c r="H386" s="131" t="str">
        <x:f>IF(G386=0,"Did not attend",IF(G386&gt;='Read Me'!$E$2/86400,"Fully attended","Partially attended"))</x:f>
        <x:v>Partially attended</x:v>
      </x:c>
      <x:c r="I386" s="130" t="n">
        <x:f>E386+G386</x:f>
        <x:v>0.04567129629629629</x:v>
      </x:c>
      <x:c r="J386" s="131" t="str">
        <x:f>IF(I386=0,"Did not attend",IF(I386&gt;='Read Me'!$E$2/86400,"Fully attended","Partially attended"))</x:f>
        <x:v>Partially attended</x:v>
      </x:c>
      <x:c r="K386" s="131" t="str">
        <x:f>IF($D386="","No",IF(COUNTIF('Attendance Report - Option 1'!$P$11:$P$315,$D386)&gt;0,"Yes","No"))</x:f>
        <x:v>No</x:v>
      </x:c>
      <x:c r="L386" s="131" t="str">
        <x:f>IF($D386="","No",IF(COUNTIF('Attendance Report - Option 2'!$P$11:$P$412,$D386)&gt;0,"Yes","No"))</x:f>
        <x:v>Yes</x:v>
      </x:c>
    </x:row>
    <x:row r="387">
      <x:c r="A387" s="16" t="str">
        <x:f>'EMA Assurance Employee List'!A388</x:f>
        <x:v>Sharon Wilfred-Kabubi</x:v>
      </x:c>
      <x:c r="B387" s="16" t="str">
        <x:f>IF(C387="KE","Kenya",IF(C387="UG","Uganda",IF(C387="MU","Mauritius",IF(C387="TZ","Tanzania",IF(C387="RW","Rwanda",IF(C387="ZA","South Africa",IF(C387="ZM","Zambia","")))))))</x:f>
        <x:v>Zambia</x:v>
      </x:c>
      <x:c r="C387" s="16" t="str">
        <x:f>'EMA Assurance Employee List'!B388</x:f>
        <x:v>ZM</x:v>
      </x:c>
      <x:c r="D387" s="16" t="str">
        <x:f>'EMA Assurance Employee List'!D388</x:f>
        <x:v>sharon.w.wilfredkabubi@pwc.com</x:v>
      </x:c>
      <x:c r="E387" s="130" t="n">
        <x:f>IF($D387="",0,SUMIF('Attendance Report - Option 1'!$P$11:$P$315,$D387,'Attendance Report - Option 1'!$Q$11:$Q$315)/86400)</x:f>
        <x:v>0.08648148148148148</x:v>
      </x:c>
      <x:c r="F387" s="131" t="str">
        <x:f>IF(E387=0,"Did not attend",IF(E387&gt;='Read Me'!$E$2/86400,"Fully attended","Partially attended"))</x:f>
        <x:v>Fully attended</x:v>
      </x:c>
      <x:c r="G387" s="130" t="n">
        <x:f>IF($D387="",0,SUMIF('Attendance Report - Option 2'!$P$11:$P$412,$D387,'Attendance Report - Option 2'!$Q$11:$Q$412)/86400)</x:f>
        <x:v>0</x:v>
      </x:c>
      <x:c r="H387" s="131" t="str">
        <x:f>IF(G387=0,"Did not attend",IF(G387&gt;='Read Me'!$E$2/86400,"Fully attended","Partially attended"))</x:f>
        <x:v>Did not attend</x:v>
      </x:c>
      <x:c r="I387" s="130" t="n">
        <x:f>E387+G387</x:f>
        <x:v>0.08648148148148148</x:v>
      </x:c>
      <x:c r="J387" s="131" t="str">
        <x:f>IF(I387=0,"Did not attend",IF(I387&gt;='Read Me'!$E$2/86400,"Fully attended","Partially attended"))</x:f>
        <x:v>Fully attended</x:v>
      </x:c>
      <x:c r="K387" s="131" t="str">
        <x:f>IF($D387="","No",IF(COUNTIF('Attendance Report - Option 1'!$P$11:$P$315,$D387)&gt;0,"Yes","No"))</x:f>
        <x:v>Yes</x:v>
      </x:c>
      <x:c r="L387" s="131" t="str">
        <x:f>IF($D387="","No",IF(COUNTIF('Attendance Report - Option 2'!$P$11:$P$412,$D387)&gt;0,"Yes","No"))</x:f>
        <x:v>No</x:v>
      </x:c>
    </x:row>
    <x:row r="388">
      <x:c r="A388" s="16" t="str">
        <x:f>'EMA Assurance Employee List'!A389</x:f>
        <x:v>Sharvin Ballah</x:v>
      </x:c>
      <x:c r="B388" s="16" t="str">
        <x:f>IF(C388="KE","Kenya",IF(C388="UG","Uganda",IF(C388="MU","Mauritius",IF(C388="TZ","Tanzania",IF(C388="RW","Rwanda",IF(C388="ZA","South Africa",IF(C388="ZM","Zambia","")))))))</x:f>
        <x:v>Mauritius</x:v>
      </x:c>
      <x:c r="C388" s="16" t="str">
        <x:f>'EMA Assurance Employee List'!B389</x:f>
        <x:v>MU</x:v>
      </x:c>
      <x:c r="D388" s="16" t="str">
        <x:f>'EMA Assurance Employee List'!D389</x:f>
        <x:v>sharvin.ballah@pwc.com</x:v>
      </x:c>
      <x:c r="E388" s="130" t="n">
        <x:f>IF($D388="",0,SUMIF('Attendance Report - Option 1'!$P$11:$P$315,$D388,'Attendance Report - Option 1'!$Q$11:$Q$315)/86400)</x:f>
        <x:v>0</x:v>
      </x:c>
      <x:c r="F388" s="131" t="str">
        <x:f>IF(E388=0,"Did not attend",IF(E388&gt;='Read Me'!$E$2/86400,"Fully attended","Partially attended"))</x:f>
        <x:v>Did not attend</x:v>
      </x:c>
      <x:c r="G388" s="130" t="n">
        <x:f>IF($D388="",0,SUMIF('Attendance Report - Option 2'!$P$11:$P$412,$D388,'Attendance Report - Option 2'!$Q$11:$Q$412)/86400)</x:f>
        <x:v>0.08686342592592593</x:v>
      </x:c>
      <x:c r="H388" s="131" t="str">
        <x:f>IF(G388=0,"Did not attend",IF(G388&gt;='Read Me'!$E$2/86400,"Fully attended","Partially attended"))</x:f>
        <x:v>Fully attended</x:v>
      </x:c>
      <x:c r="I388" s="130" t="n">
        <x:f>E388+G388</x:f>
        <x:v>0.08686342592592593</x:v>
      </x:c>
      <x:c r="J388" s="131" t="str">
        <x:f>IF(I388=0,"Did not attend",IF(I388&gt;='Read Me'!$E$2/86400,"Fully attended","Partially attended"))</x:f>
        <x:v>Fully attended</x:v>
      </x:c>
      <x:c r="K388" s="131" t="str">
        <x:f>IF($D388="","No",IF(COUNTIF('Attendance Report - Option 1'!$P$11:$P$315,$D388)&gt;0,"Yes","No"))</x:f>
        <x:v>No</x:v>
      </x:c>
      <x:c r="L388" s="131" t="str">
        <x:f>IF($D388="","No",IF(COUNTIF('Attendance Report - Option 2'!$P$11:$P$412,$D388)&gt;0,"Yes","No"))</x:f>
        <x:v>Yes</x:v>
      </x:c>
    </x:row>
    <x:row r="389">
      <x:c r="A389" s="16" t="str">
        <x:f>'EMA Assurance Employee List'!A390</x:f>
        <x:v>Sheila Masaki</x:v>
      </x:c>
      <x:c r="B389" s="16" t="str">
        <x:f>IF(C389="KE","Kenya",IF(C389="UG","Uganda",IF(C389="MU","Mauritius",IF(C389="TZ","Tanzania",IF(C389="RW","Rwanda",IF(C389="ZA","South Africa",IF(C389="ZM","Zambia","")))))))</x:f>
        <x:v>Kenya</x:v>
      </x:c>
      <x:c r="C389" s="16" t="str">
        <x:f>'EMA Assurance Employee List'!B390</x:f>
        <x:v>KE</x:v>
      </x:c>
      <x:c r="D389" s="16" t="str">
        <x:f>'EMA Assurance Employee List'!D390</x:f>
        <x:v>sheila.masaki@pwc.com</x:v>
      </x:c>
      <x:c r="E389" s="130" t="n">
        <x:f>IF($D389="",0,SUMIF('Attendance Report - Option 1'!$P$11:$P$315,$D389,'Attendance Report - Option 1'!$Q$11:$Q$315)/86400)</x:f>
        <x:v>0</x:v>
      </x:c>
      <x:c r="F389" s="131" t="str">
        <x:f>IF(E389=0,"Did not attend",IF(E389&gt;='Read Me'!$E$2/86400,"Fully attended","Partially attended"))</x:f>
        <x:v>Did not attend</x:v>
      </x:c>
      <x:c r="G389" s="130" t="n">
        <x:f>IF($D389="",0,SUMIF('Attendance Report - Option 2'!$P$11:$P$412,$D389,'Attendance Report - Option 2'!$Q$11:$Q$412)/86400)</x:f>
        <x:v>0</x:v>
      </x:c>
      <x:c r="H389" s="131" t="str">
        <x:f>IF(G389=0,"Did not attend",IF(G389&gt;='Read Me'!$E$2/86400,"Fully attended","Partially attended"))</x:f>
        <x:v>Did not attend</x:v>
      </x:c>
      <x:c r="I389" s="130" t="n">
        <x:f>E389+G389</x:f>
        <x:v>0</x:v>
      </x:c>
      <x:c r="J389" s="131" t="str">
        <x:f>IF(I389=0,"Did not attend",IF(I389&gt;='Read Me'!$E$2/86400,"Fully attended","Partially attended"))</x:f>
        <x:v>Did not attend</x:v>
      </x:c>
      <x:c r="K389" s="131" t="str">
        <x:f>IF($D389="","No",IF(COUNTIF('Attendance Report - Option 1'!$P$11:$P$315,$D389)&gt;0,"Yes","No"))</x:f>
        <x:v>No</x:v>
      </x:c>
      <x:c r="L389" s="131" t="str">
        <x:f>IF($D389="","No",IF(COUNTIF('Attendance Report - Option 2'!$P$11:$P$412,$D389)&gt;0,"Yes","No"))</x:f>
        <x:v>No</x:v>
      </x:c>
    </x:row>
    <x:row r="390">
      <x:c r="A390" s="16" t="str">
        <x:f>'EMA Assurance Employee List'!A391</x:f>
        <x:v>Shriya Ragoonundun</x:v>
      </x:c>
      <x:c r="B390" s="16" t="str">
        <x:f>IF(C390="KE","Kenya",IF(C390="UG","Uganda",IF(C390="MU","Mauritius",IF(C390="TZ","Tanzania",IF(C390="RW","Rwanda",IF(C390="ZA","South Africa",IF(C390="ZM","Zambia","")))))))</x:f>
        <x:v>Mauritius</x:v>
      </x:c>
      <x:c r="C390" s="16" t="str">
        <x:f>'EMA Assurance Employee List'!B391</x:f>
        <x:v>MU</x:v>
      </x:c>
      <x:c r="D390" s="16" t="str">
        <x:f>'EMA Assurance Employee List'!D391</x:f>
        <x:v>shriya.r.ragoonundun@pwc.com</x:v>
      </x:c>
      <x:c r="E390" s="130" t="n">
        <x:f>IF($D390="",0,SUMIF('Attendance Report - Option 1'!$P$11:$P$315,$D390,'Attendance Report - Option 1'!$Q$11:$Q$315)/86400)</x:f>
        <x:v>0</x:v>
      </x:c>
      <x:c r="F390" s="131" t="str">
        <x:f>IF(E390=0,"Did not attend",IF(E390&gt;='Read Me'!$E$2/86400,"Fully attended","Partially attended"))</x:f>
        <x:v>Did not attend</x:v>
      </x:c>
      <x:c r="G390" s="130" t="n">
        <x:f>IF($D390="",0,SUMIF('Attendance Report - Option 2'!$P$11:$P$412,$D390,'Attendance Report - Option 2'!$Q$11:$Q$412)/86400)</x:f>
        <x:v>0.07444444444444444</x:v>
      </x:c>
      <x:c r="H390" s="131" t="str">
        <x:f>IF(G390=0,"Did not attend",IF(G390&gt;='Read Me'!$E$2/86400,"Fully attended","Partially attended"))</x:f>
        <x:v>Fully attended</x:v>
      </x:c>
      <x:c r="I390" s="130" t="n">
        <x:f>E390+G390</x:f>
        <x:v>0.07444444444444444</x:v>
      </x:c>
      <x:c r="J390" s="131" t="str">
        <x:f>IF(I390=0,"Did not attend",IF(I390&gt;='Read Me'!$E$2/86400,"Fully attended","Partially attended"))</x:f>
        <x:v>Fully attended</x:v>
      </x:c>
      <x:c r="K390" s="131" t="str">
        <x:f>IF($D390="","No",IF(COUNTIF('Attendance Report - Option 1'!$P$11:$P$315,$D390)&gt;0,"Yes","No"))</x:f>
        <x:v>No</x:v>
      </x:c>
      <x:c r="L390" s="131" t="str">
        <x:f>IF($D390="","No",IF(COUNTIF('Attendance Report - Option 2'!$P$11:$P$412,$D390)&gt;0,"Yes","No"))</x:f>
        <x:v>Yes</x:v>
      </x:c>
    </x:row>
    <x:row r="391">
      <x:c r="A391" s="16" t="str">
        <x:f>'EMA Assurance Employee List'!A392</x:f>
        <x:v>Shriya Seesurrun</x:v>
      </x:c>
      <x:c r="B391" s="16" t="str">
        <x:f>IF(C391="KE","Kenya",IF(C391="UG","Uganda",IF(C391="MU","Mauritius",IF(C391="TZ","Tanzania",IF(C391="RW","Rwanda",IF(C391="ZA","South Africa",IF(C391="ZM","Zambia","")))))))</x:f>
        <x:v>Mauritius</x:v>
      </x:c>
      <x:c r="C391" s="16" t="str">
        <x:f>'EMA Assurance Employee List'!B392</x:f>
        <x:v>MU</x:v>
      </x:c>
      <x:c r="D391" s="16" t="str">
        <x:f>'EMA Assurance Employee List'!D392</x:f>
        <x:v>shriya.seesurrun@pwc.com</x:v>
      </x:c>
      <x:c r="E391" s="130" t="n">
        <x:f>IF($D391="",0,SUMIF('Attendance Report - Option 1'!$P$11:$P$315,$D391,'Attendance Report - Option 1'!$Q$11:$Q$315)/86400)</x:f>
        <x:v>0.015497685185185186</x:v>
      </x:c>
      <x:c r="F391" s="131" t="str">
        <x:f>IF(E391=0,"Did not attend",IF(E391&gt;='Read Me'!$E$2/86400,"Fully attended","Partially attended"))</x:f>
        <x:v>Partially attended</x:v>
      </x:c>
      <x:c r="G391" s="130" t="n">
        <x:f>IF($D391="",0,SUMIF('Attendance Report - Option 2'!$P$11:$P$412,$D391,'Attendance Report - Option 2'!$Q$11:$Q$412)/86400)</x:f>
        <x:v>0.04466435185185185</x:v>
      </x:c>
      <x:c r="H391" s="131" t="str">
        <x:f>IF(G391=0,"Did not attend",IF(G391&gt;='Read Me'!$E$2/86400,"Fully attended","Partially attended"))</x:f>
        <x:v>Partially attended</x:v>
      </x:c>
      <x:c r="I391" s="130" t="n">
        <x:f>E391+G391</x:f>
        <x:v>0.060162037037037035</x:v>
      </x:c>
      <x:c r="J391" s="131" t="str">
        <x:f>IF(I391=0,"Did not attend",IF(I391&gt;='Read Me'!$E$2/86400,"Fully attended","Partially attended"))</x:f>
        <x:v>Partially attended</x:v>
      </x:c>
      <x:c r="K391" s="131" t="str">
        <x:f>IF($D391="","No",IF(COUNTIF('Attendance Report - Option 1'!$P$11:$P$315,$D391)&gt;0,"Yes","No"))</x:f>
        <x:v>Yes</x:v>
      </x:c>
      <x:c r="L391" s="131" t="str">
        <x:f>IF($D391="","No",IF(COUNTIF('Attendance Report - Option 2'!$P$11:$P$412,$D391)&gt;0,"Yes","No"))</x:f>
        <x:v>Yes</x:v>
      </x:c>
    </x:row>
    <x:row r="392">
      <x:c r="A392" s="16" t="str">
        <x:f>'EMA Assurance Employee List'!A393</x:f>
        <x:v>Shruti Ramdahin</x:v>
      </x:c>
      <x:c r="B392" s="16" t="str">
        <x:f>IF(C392="KE","Kenya",IF(C392="UG","Uganda",IF(C392="MU","Mauritius",IF(C392="TZ","Tanzania",IF(C392="RW","Rwanda",IF(C392="ZA","South Africa",IF(C392="ZM","Zambia","")))))))</x:f>
        <x:v>Mauritius</x:v>
      </x:c>
      <x:c r="C392" s="16" t="str">
        <x:f>'EMA Assurance Employee List'!B393</x:f>
        <x:v>MU</x:v>
      </x:c>
      <x:c r="D392" s="16" t="str">
        <x:f>'EMA Assurance Employee List'!D393</x:f>
        <x:v>shruti.ramdahin@pwc.com</x:v>
      </x:c>
      <x:c r="E392" s="130" t="n">
        <x:f>IF($D392="",0,SUMIF('Attendance Report - Option 1'!$P$11:$P$315,$D392,'Attendance Report - Option 1'!$Q$11:$Q$315)/86400)</x:f>
        <x:v>0</x:v>
      </x:c>
      <x:c r="F392" s="131" t="str">
        <x:f>IF(E392=0,"Did not attend",IF(E392&gt;='Read Me'!$E$2/86400,"Fully attended","Partially attended"))</x:f>
        <x:v>Did not attend</x:v>
      </x:c>
      <x:c r="G392" s="130" t="n">
        <x:f>IF($D392="",0,SUMIF('Attendance Report - Option 2'!$P$11:$P$412,$D392,'Attendance Report - Option 2'!$Q$11:$Q$412)/86400)</x:f>
        <x:v>0.08747685185185185</x:v>
      </x:c>
      <x:c r="H392" s="131" t="str">
        <x:f>IF(G392=0,"Did not attend",IF(G392&gt;='Read Me'!$E$2/86400,"Fully attended","Partially attended"))</x:f>
        <x:v>Fully attended</x:v>
      </x:c>
      <x:c r="I392" s="130" t="n">
        <x:f>E392+G392</x:f>
        <x:v>0.08747685185185185</x:v>
      </x:c>
      <x:c r="J392" s="131" t="str">
        <x:f>IF(I392=0,"Did not attend",IF(I392&gt;='Read Me'!$E$2/86400,"Fully attended","Partially attended"))</x:f>
        <x:v>Fully attended</x:v>
      </x:c>
      <x:c r="K392" s="131" t="str">
        <x:f>IF($D392="","No",IF(COUNTIF('Attendance Report - Option 1'!$P$11:$P$315,$D392)&gt;0,"Yes","No"))</x:f>
        <x:v>No</x:v>
      </x:c>
      <x:c r="L392" s="131" t="str">
        <x:f>IF($D392="","No",IF(COUNTIF('Attendance Report - Option 2'!$P$11:$P$412,$D392)&gt;0,"Yes","No"))</x:f>
        <x:v>Yes</x:v>
      </x:c>
    </x:row>
    <x:row r="393">
      <x:c r="A393" s="16" t="str">
        <x:f>'EMA Assurance Employee List'!A394</x:f>
        <x:v>Sian Odhiambo</x:v>
      </x:c>
      <x:c r="B393" s="16" t="str">
        <x:f>IF(C393="KE","Kenya",IF(C393="UG","Uganda",IF(C393="MU","Mauritius",IF(C393="TZ","Tanzania",IF(C393="RW","Rwanda",IF(C393="ZA","South Africa",IF(C393="ZM","Zambia","")))))))</x:f>
        <x:v>Kenya</x:v>
      </x:c>
      <x:c r="C393" s="16" t="str">
        <x:f>'EMA Assurance Employee List'!B394</x:f>
        <x:v>KE</x:v>
      </x:c>
      <x:c r="D393" s="16" t="str">
        <x:f>'EMA Assurance Employee List'!D394</x:f>
        <x:v>sian.odhiambo@pwc.com</x:v>
      </x:c>
      <x:c r="E393" s="130" t="n">
        <x:f>IF($D393="",0,SUMIF('Attendance Report - Option 1'!$P$11:$P$315,$D393,'Attendance Report - Option 1'!$Q$11:$Q$315)/86400)</x:f>
        <x:v>0</x:v>
      </x:c>
      <x:c r="F393" s="131" t="str">
        <x:f>IF(E393=0,"Did not attend",IF(E393&gt;='Read Me'!$E$2/86400,"Fully attended","Partially attended"))</x:f>
        <x:v>Did not attend</x:v>
      </x:c>
      <x:c r="G393" s="130" t="n">
        <x:f>IF($D393="",0,SUMIF('Attendance Report - Option 2'!$P$11:$P$412,$D393,'Attendance Report - Option 2'!$Q$11:$Q$412)/86400)</x:f>
        <x:v>0</x:v>
      </x:c>
      <x:c r="H393" s="131" t="str">
        <x:f>IF(G393=0,"Did not attend",IF(G393&gt;='Read Me'!$E$2/86400,"Fully attended","Partially attended"))</x:f>
        <x:v>Did not attend</x:v>
      </x:c>
      <x:c r="I393" s="130" t="n">
        <x:f>E393+G393</x:f>
        <x:v>0</x:v>
      </x:c>
      <x:c r="J393" s="131" t="str">
        <x:f>IF(I393=0,"Did not attend",IF(I393&gt;='Read Me'!$E$2/86400,"Fully attended","Partially attended"))</x:f>
        <x:v>Did not attend</x:v>
      </x:c>
      <x:c r="K393" s="131" t="str">
        <x:f>IF($D393="","No",IF(COUNTIF('Attendance Report - Option 1'!$P$11:$P$315,$D393)&gt;0,"Yes","No"))</x:f>
        <x:v>No</x:v>
      </x:c>
      <x:c r="L393" s="131" t="str">
        <x:f>IF($D393="","No",IF(COUNTIF('Attendance Report - Option 2'!$P$11:$P$412,$D393)&gt;0,"Yes","No"))</x:f>
        <x:v>No</x:v>
      </x:c>
    </x:row>
    <x:row r="394">
      <x:c r="A394" s="16" t="str">
        <x:f>'EMA Assurance Employee List'!A395</x:f>
        <x:v>Sipiwe Dube</x:v>
      </x:c>
      <x:c r="B394" s="16" t="str">
        <x:f>IF(C394="KE","Kenya",IF(C394="UG","Uganda",IF(C394="MU","Mauritius",IF(C394="TZ","Tanzania",IF(C394="RW","Rwanda",IF(C394="ZA","South Africa",IF(C394="ZM","Zambia","")))))))</x:f>
        <x:v>Zambia</x:v>
      </x:c>
      <x:c r="C394" s="16" t="str">
        <x:f>'EMA Assurance Employee List'!B395</x:f>
        <x:v>ZM</x:v>
      </x:c>
      <x:c r="D394" s="16" t="str">
        <x:f>'EMA Assurance Employee List'!D395</x:f>
        <x:v>sipiwe.dube@pwc.com</x:v>
      </x:c>
      <x:c r="E394" s="130" t="n">
        <x:f>IF($D394="",0,SUMIF('Attendance Report - Option 1'!$P$11:$P$315,$D394,'Attendance Report - Option 1'!$Q$11:$Q$315)/86400)</x:f>
        <x:v>0</x:v>
      </x:c>
      <x:c r="F394" s="131" t="str">
        <x:f>IF(E394=0,"Did not attend",IF(E394&gt;='Read Me'!$E$2/86400,"Fully attended","Partially attended"))</x:f>
        <x:v>Did not attend</x:v>
      </x:c>
      <x:c r="G394" s="130" t="n">
        <x:f>IF($D394="",0,SUMIF('Attendance Report - Option 2'!$P$11:$P$412,$D394,'Attendance Report - Option 2'!$Q$11:$Q$412)/86400)</x:f>
        <x:v>0.08638888888888889</x:v>
      </x:c>
      <x:c r="H394" s="131" t="str">
        <x:f>IF(G394=0,"Did not attend",IF(G394&gt;='Read Me'!$E$2/86400,"Fully attended","Partially attended"))</x:f>
        <x:v>Fully attended</x:v>
      </x:c>
      <x:c r="I394" s="130" t="n">
        <x:f>E394+G394</x:f>
        <x:v>0.08638888888888889</x:v>
      </x:c>
      <x:c r="J394" s="131" t="str">
        <x:f>IF(I394=0,"Did not attend",IF(I394&gt;='Read Me'!$E$2/86400,"Fully attended","Partially attended"))</x:f>
        <x:v>Fully attended</x:v>
      </x:c>
      <x:c r="K394" s="131" t="str">
        <x:f>IF($D394="","No",IF(COUNTIF('Attendance Report - Option 1'!$P$11:$P$315,$D394)&gt;0,"Yes","No"))</x:f>
        <x:v>No</x:v>
      </x:c>
      <x:c r="L394" s="131" t="str">
        <x:f>IF($D394="","No",IF(COUNTIF('Attendance Report - Option 2'!$P$11:$P$412,$D394)&gt;0,"Yes","No"))</x:f>
        <x:v>Yes</x:v>
      </x:c>
    </x:row>
    <x:row r="395">
      <x:c r="A395" s="16" t="str">
        <x:f>'EMA Assurance Employee List'!A396</x:f>
        <x:v>Sneha Sookun</x:v>
      </x:c>
      <x:c r="B395" s="16" t="str">
        <x:f>IF(C395="KE","Kenya",IF(C395="UG","Uganda",IF(C395="MU","Mauritius",IF(C395="TZ","Tanzania",IF(C395="RW","Rwanda",IF(C395="ZA","South Africa",IF(C395="ZM","Zambia","")))))))</x:f>
        <x:v>Mauritius</x:v>
      </x:c>
      <x:c r="C395" s="16" t="str">
        <x:f>'EMA Assurance Employee List'!B396</x:f>
        <x:v>MU</x:v>
      </x:c>
      <x:c r="D395" s="16" t="str">
        <x:f>'EMA Assurance Employee List'!D396</x:f>
        <x:v>sneha.sookun@pwc.com</x:v>
      </x:c>
      <x:c r="E395" s="130" t="n">
        <x:f>IF($D395="",0,SUMIF('Attendance Report - Option 1'!$P$11:$P$315,$D395,'Attendance Report - Option 1'!$Q$11:$Q$315)/86400)</x:f>
        <x:v>0</x:v>
      </x:c>
      <x:c r="F395" s="131" t="str">
        <x:f>IF(E395=0,"Did not attend",IF(E395&gt;='Read Me'!$E$2/86400,"Fully attended","Partially attended"))</x:f>
        <x:v>Did not attend</x:v>
      </x:c>
      <x:c r="G395" s="130" t="n">
        <x:f>IF($D395="",0,SUMIF('Attendance Report - Option 2'!$P$11:$P$412,$D395,'Attendance Report - Option 2'!$Q$11:$Q$412)/86400)</x:f>
        <x:v>0</x:v>
      </x:c>
      <x:c r="H395" s="131" t="str">
        <x:f>IF(G395=0,"Did not attend",IF(G395&gt;='Read Me'!$E$2/86400,"Fully attended","Partially attended"))</x:f>
        <x:v>Did not attend</x:v>
      </x:c>
      <x:c r="I395" s="130" t="n">
        <x:f>E395+G395</x:f>
        <x:v>0</x:v>
      </x:c>
      <x:c r="J395" s="131" t="str">
        <x:f>IF(I395=0,"Did not attend",IF(I395&gt;='Read Me'!$E$2/86400,"Fully attended","Partially attended"))</x:f>
        <x:v>Did not attend</x:v>
      </x:c>
      <x:c r="K395" s="131" t="str">
        <x:f>IF($D395="","No",IF(COUNTIF('Attendance Report - Option 1'!$P$11:$P$315,$D395)&gt;0,"Yes","No"))</x:f>
        <x:v>No</x:v>
      </x:c>
      <x:c r="L395" s="131" t="str">
        <x:f>IF($D395="","No",IF(COUNTIF('Attendance Report - Option 2'!$P$11:$P$412,$D395)&gt;0,"Yes","No"))</x:f>
        <x:v>No</x:v>
      </x:c>
    </x:row>
    <x:row r="396">
      <x:c r="A396" s="16" t="str">
        <x:f>'EMA Assurance Employee List'!A397</x:f>
        <x:v>Spurgeon Chisulo</x:v>
      </x:c>
      <x:c r="B396" s="16" t="str">
        <x:f>IF(C396="KE","Kenya",IF(C396="UG","Uganda",IF(C396="MU","Mauritius",IF(C396="TZ","Tanzania",IF(C396="RW","Rwanda",IF(C396="ZA","South Africa",IF(C396="ZM","Zambia","")))))))</x:f>
        <x:v>Zambia</x:v>
      </x:c>
      <x:c r="C396" s="16" t="str">
        <x:f>'EMA Assurance Employee List'!B397</x:f>
        <x:v>ZM</x:v>
      </x:c>
      <x:c r="D396" s="16" t="str">
        <x:f>'EMA Assurance Employee List'!D397</x:f>
        <x:v>spurgeon.chisulo@pwc.com</x:v>
      </x:c>
      <x:c r="E396" s="130" t="n">
        <x:f>IF($D396="",0,SUMIF('Attendance Report - Option 1'!$P$11:$P$315,$D396,'Attendance Report - Option 1'!$Q$11:$Q$315)/86400)</x:f>
        <x:v>0</x:v>
      </x:c>
      <x:c r="F396" s="131" t="str">
        <x:f>IF(E396=0,"Did not attend",IF(E396&gt;='Read Me'!$E$2/86400,"Fully attended","Partially attended"))</x:f>
        <x:v>Did not attend</x:v>
      </x:c>
      <x:c r="G396" s="130" t="n">
        <x:f>IF($D396="",0,SUMIF('Attendance Report - Option 2'!$P$11:$P$412,$D396,'Attendance Report - Option 2'!$Q$11:$Q$412)/86400)</x:f>
        <x:v>0</x:v>
      </x:c>
      <x:c r="H396" s="131" t="str">
        <x:f>IF(G396=0,"Did not attend",IF(G396&gt;='Read Me'!$E$2/86400,"Fully attended","Partially attended"))</x:f>
        <x:v>Did not attend</x:v>
      </x:c>
      <x:c r="I396" s="130" t="n">
        <x:f>E396+G396</x:f>
        <x:v>0</x:v>
      </x:c>
      <x:c r="J396" s="131" t="str">
        <x:f>IF(I396=0,"Did not attend",IF(I396&gt;='Read Me'!$E$2/86400,"Fully attended","Partially attended"))</x:f>
        <x:v>Did not attend</x:v>
      </x:c>
      <x:c r="K396" s="131" t="str">
        <x:f>IF($D396="","No",IF(COUNTIF('Attendance Report - Option 1'!$P$11:$P$315,$D396)&gt;0,"Yes","No"))</x:f>
        <x:v>No</x:v>
      </x:c>
      <x:c r="L396" s="131" t="str">
        <x:f>IF($D396="","No",IF(COUNTIF('Attendance Report - Option 2'!$P$11:$P$412,$D396)&gt;0,"Yes","No"))</x:f>
        <x:v>No</x:v>
      </x:c>
    </x:row>
    <x:row r="397">
      <x:c r="A397" s="16" t="str">
        <x:f>'EMA Assurance Employee List'!A398</x:f>
        <x:v>Stacey Labuschagne</x:v>
      </x:c>
      <x:c r="B397" s="16" t="str">
        <x:f>IF(C397="KE","Kenya",IF(C397="UG","Uganda",IF(C397="MU","Mauritius",IF(C397="TZ","Tanzania",IF(C397="RW","Rwanda",IF(C397="ZA","South Africa",IF(C397="ZM","Zambia","")))))))</x:f>
        <x:v>Kenya</x:v>
      </x:c>
      <x:c r="C397" s="16" t="str">
        <x:f>'EMA Assurance Employee List'!B398</x:f>
        <x:v>KE</x:v>
      </x:c>
      <x:c r="D397" s="16" t="str">
        <x:f>'EMA Assurance Employee List'!D398</x:f>
        <x:v>stacey.l.labuschagne@pwc.com</x:v>
      </x:c>
      <x:c r="E397" s="130" t="n">
        <x:f>IF($D397="",0,SUMIF('Attendance Report - Option 1'!$P$11:$P$315,$D397,'Attendance Report - Option 1'!$Q$11:$Q$315)/86400)</x:f>
        <x:v>0.07010416666666666</x:v>
      </x:c>
      <x:c r="F397" s="131" t="str">
        <x:f>IF(E397=0,"Did not attend",IF(E397&gt;='Read Me'!$E$2/86400,"Fully attended","Partially attended"))</x:f>
        <x:v>Fully attended</x:v>
      </x:c>
      <x:c r="G397" s="130" t="n">
        <x:f>IF($D397="",0,SUMIF('Attendance Report - Option 2'!$P$11:$P$412,$D397,'Attendance Report - Option 2'!$Q$11:$Q$412)/86400)</x:f>
        <x:v>0</x:v>
      </x:c>
      <x:c r="H397" s="131" t="str">
        <x:f>IF(G397=0,"Did not attend",IF(G397&gt;='Read Me'!$E$2/86400,"Fully attended","Partially attended"))</x:f>
        <x:v>Did not attend</x:v>
      </x:c>
      <x:c r="I397" s="130" t="n">
        <x:f>E397+G397</x:f>
        <x:v>0.07010416666666666</x:v>
      </x:c>
      <x:c r="J397" s="131" t="str">
        <x:f>IF(I397=0,"Did not attend",IF(I397&gt;='Read Me'!$E$2/86400,"Fully attended","Partially attended"))</x:f>
        <x:v>Fully attended</x:v>
      </x:c>
      <x:c r="K397" s="131" t="str">
        <x:f>IF($D397="","No",IF(COUNTIF('Attendance Report - Option 1'!$P$11:$P$315,$D397)&gt;0,"Yes","No"))</x:f>
        <x:v>Yes</x:v>
      </x:c>
      <x:c r="L397" s="131" t="str">
        <x:f>IF($D397="","No",IF(COUNTIF('Attendance Report - Option 2'!$P$11:$P$412,$D397)&gt;0,"Yes","No"))</x:f>
        <x:v>No</x:v>
      </x:c>
    </x:row>
    <x:row r="398">
      <x:c r="A398" s="16" t="str">
        <x:f>'EMA Assurance Employee List'!A399</x:f>
        <x:v>Stacey Mapara</x:v>
      </x:c>
      <x:c r="B398" s="16" t="str">
        <x:f>IF(C398="KE","Kenya",IF(C398="UG","Uganda",IF(C398="MU","Mauritius",IF(C398="TZ","Tanzania",IF(C398="RW","Rwanda",IF(C398="ZA","South Africa",IF(C398="ZM","Zambia","")))))))</x:f>
        <x:v>Mauritius</x:v>
      </x:c>
      <x:c r="C398" s="16" t="str">
        <x:f>'EMA Assurance Employee List'!B399</x:f>
        <x:v>MU</x:v>
      </x:c>
      <x:c r="D398" s="16" t="str">
        <x:f>'EMA Assurance Employee List'!D399</x:f>
        <x:v>mapara.tanyaradzwa@pwc.com</x:v>
      </x:c>
      <x:c r="E398" s="130" t="n">
        <x:f>IF($D398="",0,SUMIF('Attendance Report - Option 1'!$P$11:$P$315,$D398,'Attendance Report - Option 1'!$Q$11:$Q$315)/86400)</x:f>
        <x:v>0</x:v>
      </x:c>
      <x:c r="F398" s="131" t="str">
        <x:f>IF(E398=0,"Did not attend",IF(E398&gt;='Read Me'!$E$2/86400,"Fully attended","Partially attended"))</x:f>
        <x:v>Did not attend</x:v>
      </x:c>
      <x:c r="G398" s="130" t="n">
        <x:f>IF($D398="",0,SUMIF('Attendance Report - Option 2'!$P$11:$P$412,$D398,'Attendance Report - Option 2'!$Q$11:$Q$412)/86400)</x:f>
        <x:v>0</x:v>
      </x:c>
      <x:c r="H398" s="131" t="str">
        <x:f>IF(G398=0,"Did not attend",IF(G398&gt;='Read Me'!$E$2/86400,"Fully attended","Partially attended"))</x:f>
        <x:v>Did not attend</x:v>
      </x:c>
      <x:c r="I398" s="130" t="n">
        <x:f>E398+G398</x:f>
        <x:v>0</x:v>
      </x:c>
      <x:c r="J398" s="131" t="str">
        <x:f>IF(I398=0,"Did not attend",IF(I398&gt;='Read Me'!$E$2/86400,"Fully attended","Partially attended"))</x:f>
        <x:v>Did not attend</x:v>
      </x:c>
      <x:c r="K398" s="131" t="str">
        <x:f>IF($D398="","No",IF(COUNTIF('Attendance Report - Option 1'!$P$11:$P$315,$D398)&gt;0,"Yes","No"))</x:f>
        <x:v>No</x:v>
      </x:c>
      <x:c r="L398" s="131" t="str">
        <x:f>IF($D398="","No",IF(COUNTIF('Attendance Report - Option 2'!$P$11:$P$412,$D398)&gt;0,"Yes","No"))</x:f>
        <x:v>No</x:v>
      </x:c>
    </x:row>
    <x:row r="399">
      <x:c r="A399" s="16" t="str">
        <x:f>'EMA Assurance Employee List'!A400</x:f>
        <x:v>Stacey Nduku</x:v>
      </x:c>
      <x:c r="B399" s="16" t="str">
        <x:f>IF(C399="KE","Kenya",IF(C399="UG","Uganda",IF(C399="MU","Mauritius",IF(C399="TZ","Tanzania",IF(C399="RW","Rwanda",IF(C399="ZA","South Africa",IF(C399="ZM","Zambia","")))))))</x:f>
        <x:v>Kenya</x:v>
      </x:c>
      <x:c r="C399" s="16" t="str">
        <x:f>'EMA Assurance Employee List'!B400</x:f>
        <x:v>KE</x:v>
      </x:c>
      <x:c r="D399" s="16" t="str">
        <x:f>'EMA Assurance Employee List'!D400</x:f>
        <x:v>stacey.nduku@pwc.com</x:v>
      </x:c>
      <x:c r="E399" s="130" t="n">
        <x:f>IF($D399="",0,SUMIF('Attendance Report - Option 1'!$P$11:$P$315,$D399,'Attendance Report - Option 1'!$Q$11:$Q$315)/86400)</x:f>
        <x:v>0.08287037037037037</x:v>
      </x:c>
      <x:c r="F399" s="131" t="str">
        <x:f>IF(E399=0,"Did not attend",IF(E399&gt;='Read Me'!$E$2/86400,"Fully attended","Partially attended"))</x:f>
        <x:v>Fully attended</x:v>
      </x:c>
      <x:c r="G399" s="130" t="n">
        <x:f>IF($D399="",0,SUMIF('Attendance Report - Option 2'!$P$11:$P$412,$D399,'Attendance Report - Option 2'!$Q$11:$Q$412)/86400)</x:f>
        <x:v>0</x:v>
      </x:c>
      <x:c r="H399" s="131" t="str">
        <x:f>IF(G399=0,"Did not attend",IF(G399&gt;='Read Me'!$E$2/86400,"Fully attended","Partially attended"))</x:f>
        <x:v>Did not attend</x:v>
      </x:c>
      <x:c r="I399" s="130" t="n">
        <x:f>E399+G399</x:f>
        <x:v>0.08287037037037037</x:v>
      </x:c>
      <x:c r="J399" s="131" t="str">
        <x:f>IF(I399=0,"Did not attend",IF(I399&gt;='Read Me'!$E$2/86400,"Fully attended","Partially attended"))</x:f>
        <x:v>Fully attended</x:v>
      </x:c>
      <x:c r="K399" s="131" t="str">
        <x:f>IF($D399="","No",IF(COUNTIF('Attendance Report - Option 1'!$P$11:$P$315,$D399)&gt;0,"Yes","No"))</x:f>
        <x:v>Yes</x:v>
      </x:c>
      <x:c r="L399" s="131" t="str">
        <x:f>IF($D399="","No",IF(COUNTIF('Attendance Report - Option 2'!$P$11:$P$412,$D399)&gt;0,"Yes","No"))</x:f>
        <x:v>No</x:v>
      </x:c>
    </x:row>
    <x:row r="400">
      <x:c r="A400" s="16" t="str">
        <x:f>'EMA Assurance Employee List'!A401</x:f>
        <x:v>Steffi-Eugenie Hong Lin</x:v>
      </x:c>
      <x:c r="B400" s="16" t="str">
        <x:f>IF(C400="KE","Kenya",IF(C400="UG","Uganda",IF(C400="MU","Mauritius",IF(C400="TZ","Tanzania",IF(C400="RW","Rwanda",IF(C400="ZA","South Africa",IF(C400="ZM","Zambia","")))))))</x:f>
        <x:v>Mauritius</x:v>
      </x:c>
      <x:c r="C400" s="16" t="str">
        <x:f>'EMA Assurance Employee List'!B401</x:f>
        <x:v>MU</x:v>
      </x:c>
      <x:c r="D400" s="16" t="str">
        <x:f>'EMA Assurance Employee List'!D401</x:f>
        <x:v>steffi.s.hong@pwc.com</x:v>
      </x:c>
      <x:c r="E400" s="130" t="n">
        <x:f>IF($D400="",0,SUMIF('Attendance Report - Option 1'!$P$11:$P$315,$D400,'Attendance Report - Option 1'!$Q$11:$Q$315)/86400)</x:f>
        <x:v>0.00006944444444444444</x:v>
      </x:c>
      <x:c r="F400" s="131" t="str">
        <x:f>IF(E400=0,"Did not attend",IF(E400&gt;='Read Me'!$E$2/86400,"Fully attended","Partially attended"))</x:f>
        <x:v>Partially attended</x:v>
      </x:c>
      <x:c r="G400" s="130" t="n">
        <x:f>IF($D400="",0,SUMIF('Attendance Report - Option 2'!$P$11:$P$412,$D400,'Attendance Report - Option 2'!$Q$11:$Q$412)/86400)</x:f>
        <x:v>0</x:v>
      </x:c>
      <x:c r="H400" s="131" t="str">
        <x:f>IF(G400=0,"Did not attend",IF(G400&gt;='Read Me'!$E$2/86400,"Fully attended","Partially attended"))</x:f>
        <x:v>Did not attend</x:v>
      </x:c>
      <x:c r="I400" s="130" t="n">
        <x:f>E400+G400</x:f>
        <x:v>0.00006944444444444444</x:v>
      </x:c>
      <x:c r="J400" s="131" t="str">
        <x:f>IF(I400=0,"Did not attend",IF(I400&gt;='Read Me'!$E$2/86400,"Fully attended","Partially attended"))</x:f>
        <x:v>Partially attended</x:v>
      </x:c>
      <x:c r="K400" s="131" t="str">
        <x:f>IF($D400="","No",IF(COUNTIF('Attendance Report - Option 1'!$P$11:$P$315,$D400)&gt;0,"Yes","No"))</x:f>
        <x:v>Yes</x:v>
      </x:c>
      <x:c r="L400" s="131" t="str">
        <x:f>IF($D400="","No",IF(COUNTIF('Attendance Report - Option 2'!$P$11:$P$412,$D400)&gt;0,"Yes","No"))</x:f>
        <x:v>No</x:v>
      </x:c>
    </x:row>
    <x:row r="401">
      <x:c r="A401" s="16" t="str">
        <x:f>'EMA Assurance Employee List'!A402</x:f>
        <x:v>Stella Chege</x:v>
      </x:c>
      <x:c r="B401" s="16" t="str">
        <x:f>IF(C401="KE","Kenya",IF(C401="UG","Uganda",IF(C401="MU","Mauritius",IF(C401="TZ","Tanzania",IF(C401="RW","Rwanda",IF(C401="ZA","South Africa",IF(C401="ZM","Zambia","")))))))</x:f>
        <x:v>Kenya</x:v>
      </x:c>
      <x:c r="C401" s="16" t="str">
        <x:f>'EMA Assurance Employee List'!B402</x:f>
        <x:v>KE</x:v>
      </x:c>
      <x:c r="D401" s="16" t="str">
        <x:f>'EMA Assurance Employee List'!D402</x:f>
        <x:v>stella.chege@pwc.com</x:v>
      </x:c>
      <x:c r="E401" s="130" t="n">
        <x:f>IF($D401="",0,SUMIF('Attendance Report - Option 1'!$P$11:$P$315,$D401,'Attendance Report - Option 1'!$Q$11:$Q$315)/86400)</x:f>
        <x:v>0.08622685185185185</x:v>
      </x:c>
      <x:c r="F401" s="131" t="str">
        <x:f>IF(E401=0,"Did not attend",IF(E401&gt;='Read Me'!$E$2/86400,"Fully attended","Partially attended"))</x:f>
        <x:v>Fully attended</x:v>
      </x:c>
      <x:c r="G401" s="130" t="n">
        <x:f>IF($D401="",0,SUMIF('Attendance Report - Option 2'!$P$11:$P$412,$D401,'Attendance Report - Option 2'!$Q$11:$Q$412)/86400)</x:f>
        <x:v>0</x:v>
      </x:c>
      <x:c r="H401" s="131" t="str">
        <x:f>IF(G401=0,"Did not attend",IF(G401&gt;='Read Me'!$E$2/86400,"Fully attended","Partially attended"))</x:f>
        <x:v>Did not attend</x:v>
      </x:c>
      <x:c r="I401" s="130" t="n">
        <x:f>E401+G401</x:f>
        <x:v>0.08622685185185185</x:v>
      </x:c>
      <x:c r="J401" s="131" t="str">
        <x:f>IF(I401=0,"Did not attend",IF(I401&gt;='Read Me'!$E$2/86400,"Fully attended","Partially attended"))</x:f>
        <x:v>Fully attended</x:v>
      </x:c>
      <x:c r="K401" s="131" t="str">
        <x:f>IF($D401="","No",IF(COUNTIF('Attendance Report - Option 1'!$P$11:$P$315,$D401)&gt;0,"Yes","No"))</x:f>
        <x:v>Yes</x:v>
      </x:c>
      <x:c r="L401" s="131" t="str">
        <x:f>IF($D401="","No",IF(COUNTIF('Attendance Report - Option 2'!$P$11:$P$412,$D401)&gt;0,"Yes","No"))</x:f>
        <x:v>No</x:v>
      </x:c>
    </x:row>
    <x:row r="402">
      <x:c r="A402" s="16" t="str">
        <x:f>'EMA Assurance Employee List'!A403</x:f>
        <x:v>Stella Githinji</x:v>
      </x:c>
      <x:c r="B402" s="16" t="str">
        <x:f>IF(C402="KE","Kenya",IF(C402="UG","Uganda",IF(C402="MU","Mauritius",IF(C402="TZ","Tanzania",IF(C402="RW","Rwanda",IF(C402="ZA","South Africa",IF(C402="ZM","Zambia","")))))))</x:f>
        <x:v>Kenya</x:v>
      </x:c>
      <x:c r="C402" s="16" t="str">
        <x:f>'EMA Assurance Employee List'!B403</x:f>
        <x:v>KE</x:v>
      </x:c>
      <x:c r="D402" s="16" t="str">
        <x:f>'EMA Assurance Employee List'!D403</x:f>
        <x:v>stella.githinji@pwc.com</x:v>
      </x:c>
      <x:c r="E402" s="130" t="n">
        <x:f>IF($D402="",0,SUMIF('Attendance Report - Option 1'!$P$11:$P$315,$D402,'Attendance Report - Option 1'!$Q$11:$Q$315)/86400)</x:f>
        <x:v>0</x:v>
      </x:c>
      <x:c r="F402" s="131" t="str">
        <x:f>IF(E402=0,"Did not attend",IF(E402&gt;='Read Me'!$E$2/86400,"Fully attended","Partially attended"))</x:f>
        <x:v>Did not attend</x:v>
      </x:c>
      <x:c r="G402" s="130" t="n">
        <x:f>IF($D402="",0,SUMIF('Attendance Report - Option 2'!$P$11:$P$412,$D402,'Attendance Report - Option 2'!$Q$11:$Q$412)/86400)</x:f>
        <x:v>0.085</x:v>
      </x:c>
      <x:c r="H402" s="131" t="str">
        <x:f>IF(G402=0,"Did not attend",IF(G402&gt;='Read Me'!$E$2/86400,"Fully attended","Partially attended"))</x:f>
        <x:v>Fully attended</x:v>
      </x:c>
      <x:c r="I402" s="130" t="n">
        <x:f>E402+G402</x:f>
        <x:v>0.085</x:v>
      </x:c>
      <x:c r="J402" s="131" t="str">
        <x:f>IF(I402=0,"Did not attend",IF(I402&gt;='Read Me'!$E$2/86400,"Fully attended","Partially attended"))</x:f>
        <x:v>Fully attended</x:v>
      </x:c>
      <x:c r="K402" s="131" t="str">
        <x:f>IF($D402="","No",IF(COUNTIF('Attendance Report - Option 1'!$P$11:$P$315,$D402)&gt;0,"Yes","No"))</x:f>
        <x:v>No</x:v>
      </x:c>
      <x:c r="L402" s="131" t="str">
        <x:f>IF($D402="","No",IF(COUNTIF('Attendance Report - Option 2'!$P$11:$P$412,$D402)&gt;0,"Yes","No"))</x:f>
        <x:v>Yes</x:v>
      </x:c>
    </x:row>
    <x:row r="403">
      <x:c r="A403" s="16" t="str">
        <x:f>'EMA Assurance Employee List'!A404</x:f>
        <x:v>Stephen Ochieng</x:v>
      </x:c>
      <x:c r="B403" s="16" t="str">
        <x:f>IF(C403="KE","Kenya",IF(C403="UG","Uganda",IF(C403="MU","Mauritius",IF(C403="TZ","Tanzania",IF(C403="RW","Rwanda",IF(C403="ZA","South Africa",IF(C403="ZM","Zambia","")))))))</x:f>
        <x:v>Kenya</x:v>
      </x:c>
      <x:c r="C403" s="16" t="str">
        <x:f>'EMA Assurance Employee List'!B404</x:f>
        <x:v>KE</x:v>
      </x:c>
      <x:c r="D403" s="16" t="str">
        <x:f>'EMA Assurance Employee List'!D404</x:f>
        <x:v>stephen.ochieng@pwc.com</x:v>
      </x:c>
      <x:c r="E403" s="130" t="n">
        <x:f>IF($D403="",0,SUMIF('Attendance Report - Option 1'!$P$11:$P$315,$D403,'Attendance Report - Option 1'!$Q$11:$Q$315)/86400)</x:f>
        <x:v>0</x:v>
      </x:c>
      <x:c r="F403" s="131" t="str">
        <x:f>IF(E403=0,"Did not attend",IF(E403&gt;='Read Me'!$E$2/86400,"Fully attended","Partially attended"))</x:f>
        <x:v>Did not attend</x:v>
      </x:c>
      <x:c r="G403" s="130" t="n">
        <x:f>IF($D403="",0,SUMIF('Attendance Report - Option 2'!$P$11:$P$412,$D403,'Attendance Report - Option 2'!$Q$11:$Q$412)/86400)</x:f>
        <x:v>0.07415509259259259</x:v>
      </x:c>
      <x:c r="H403" s="131" t="str">
        <x:f>IF(G403=0,"Did not attend",IF(G403&gt;='Read Me'!$E$2/86400,"Fully attended","Partially attended"))</x:f>
        <x:v>Fully attended</x:v>
      </x:c>
      <x:c r="I403" s="130" t="n">
        <x:f>E403+G403</x:f>
        <x:v>0.07415509259259259</x:v>
      </x:c>
      <x:c r="J403" s="131" t="str">
        <x:f>IF(I403=0,"Did not attend",IF(I403&gt;='Read Me'!$E$2/86400,"Fully attended","Partially attended"))</x:f>
        <x:v>Fully attended</x:v>
      </x:c>
      <x:c r="K403" s="131" t="str">
        <x:f>IF($D403="","No",IF(COUNTIF('Attendance Report - Option 1'!$P$11:$P$315,$D403)&gt;0,"Yes","No"))</x:f>
        <x:v>No</x:v>
      </x:c>
      <x:c r="L403" s="131" t="str">
        <x:f>IF($D403="","No",IF(COUNTIF('Attendance Report - Option 2'!$P$11:$P$412,$D403)&gt;0,"Yes","No"))</x:f>
        <x:v>Yes</x:v>
      </x:c>
    </x:row>
    <x:row r="404">
      <x:c r="A404" s="16" t="str">
        <x:f>'EMA Assurance Employee List'!A405</x:f>
        <x:v>Suhashinee Kawal</x:v>
      </x:c>
      <x:c r="B404" s="16" t="str">
        <x:f>IF(C404="KE","Kenya",IF(C404="UG","Uganda",IF(C404="MU","Mauritius",IF(C404="TZ","Tanzania",IF(C404="RW","Rwanda",IF(C404="ZA","South Africa",IF(C404="ZM","Zambia","")))))))</x:f>
        <x:v>Mauritius</x:v>
      </x:c>
      <x:c r="C404" s="16" t="str">
        <x:f>'EMA Assurance Employee List'!B405</x:f>
        <x:v>MU</x:v>
      </x:c>
      <x:c r="D404" s="16" t="str">
        <x:f>'EMA Assurance Employee List'!D405</x:f>
        <x:v>suhashinee.kawal@pwc.com</x:v>
      </x:c>
      <x:c r="E404" s="130" t="n">
        <x:f>IF($D404="",0,SUMIF('Attendance Report - Option 1'!$P$11:$P$315,$D404,'Attendance Report - Option 1'!$Q$11:$Q$315)/86400)</x:f>
        <x:v>0.0006597222222222222</x:v>
      </x:c>
      <x:c r="F404" s="131" t="str">
        <x:f>IF(E404=0,"Did not attend",IF(E404&gt;='Read Me'!$E$2/86400,"Fully attended","Partially attended"))</x:f>
        <x:v>Partially attended</x:v>
      </x:c>
      <x:c r="G404" s="130" t="n">
        <x:f>IF($D404="",0,SUMIF('Attendance Report - Option 2'!$P$11:$P$412,$D404,'Attendance Report - Option 2'!$Q$11:$Q$412)/86400)</x:f>
        <x:v>0.09260416666666667</x:v>
      </x:c>
      <x:c r="H404" s="131" t="str">
        <x:f>IF(G404=0,"Did not attend",IF(G404&gt;='Read Me'!$E$2/86400,"Fully attended","Partially attended"))</x:f>
        <x:v>Fully attended</x:v>
      </x:c>
      <x:c r="I404" s="130" t="n">
        <x:f>E404+G404</x:f>
        <x:v>0.0932638888888889</x:v>
      </x:c>
      <x:c r="J404" s="131" t="str">
        <x:f>IF(I404=0,"Did not attend",IF(I404&gt;='Read Me'!$E$2/86400,"Fully attended","Partially attended"))</x:f>
        <x:v>Fully attended</x:v>
      </x:c>
      <x:c r="K404" s="131" t="str">
        <x:f>IF($D404="","No",IF(COUNTIF('Attendance Report - Option 1'!$P$11:$P$315,$D404)&gt;0,"Yes","No"))</x:f>
        <x:v>Yes</x:v>
      </x:c>
      <x:c r="L404" s="131" t="str">
        <x:f>IF($D404="","No",IF(COUNTIF('Attendance Report - Option 2'!$P$11:$P$412,$D404)&gt;0,"Yes","No"))</x:f>
        <x:v>Yes</x:v>
      </x:c>
    </x:row>
    <x:row r="405">
      <x:c r="A405" s="16" t="str">
        <x:f>'EMA Assurance Employee List'!A406</x:f>
        <x:v>Susan Namwanje</x:v>
      </x:c>
      <x:c r="B405" s="16" t="str">
        <x:f>IF(C405="KE","Kenya",IF(C405="UG","Uganda",IF(C405="MU","Mauritius",IF(C405="TZ","Tanzania",IF(C405="RW","Rwanda",IF(C405="ZA","South Africa",IF(C405="ZM","Zambia","")))))))</x:f>
        <x:v>Uganda</x:v>
      </x:c>
      <x:c r="C405" s="16" t="str">
        <x:f>'EMA Assurance Employee List'!B406</x:f>
        <x:v>UG</x:v>
      </x:c>
      <x:c r="D405" s="16" t="str">
        <x:f>'EMA Assurance Employee List'!D406</x:f>
        <x:v>susan.namwanje@pwc.com</x:v>
      </x:c>
      <x:c r="E405" s="130" t="n">
        <x:f>IF($D405="",0,SUMIF('Attendance Report - Option 1'!$P$11:$P$315,$D405,'Attendance Report - Option 1'!$Q$11:$Q$315)/86400)</x:f>
        <x:v>0</x:v>
      </x:c>
      <x:c r="F405" s="131" t="str">
        <x:f>IF(E405=0,"Did not attend",IF(E405&gt;='Read Me'!$E$2/86400,"Fully attended","Partially attended"))</x:f>
        <x:v>Did not attend</x:v>
      </x:c>
      <x:c r="G405" s="130" t="n">
        <x:f>IF($D405="",0,SUMIF('Attendance Report - Option 2'!$P$11:$P$412,$D405,'Attendance Report - Option 2'!$Q$11:$Q$412)/86400)</x:f>
        <x:v>0.09203703703703704</x:v>
      </x:c>
      <x:c r="H405" s="131" t="str">
        <x:f>IF(G405=0,"Did not attend",IF(G405&gt;='Read Me'!$E$2/86400,"Fully attended","Partially attended"))</x:f>
        <x:v>Fully attended</x:v>
      </x:c>
      <x:c r="I405" s="130" t="n">
        <x:f>E405+G405</x:f>
        <x:v>0.09203703703703704</x:v>
      </x:c>
      <x:c r="J405" s="131" t="str">
        <x:f>IF(I405=0,"Did not attend",IF(I405&gt;='Read Me'!$E$2/86400,"Fully attended","Partially attended"))</x:f>
        <x:v>Fully attended</x:v>
      </x:c>
      <x:c r="K405" s="131" t="str">
        <x:f>IF($D405="","No",IF(COUNTIF('Attendance Report - Option 1'!$P$11:$P$315,$D405)&gt;0,"Yes","No"))</x:f>
        <x:v>No</x:v>
      </x:c>
      <x:c r="L405" s="131" t="str">
        <x:f>IF($D405="","No",IF(COUNTIF('Attendance Report - Option 2'!$P$11:$P$412,$D405)&gt;0,"Yes","No"))</x:f>
        <x:v>Yes</x:v>
      </x:c>
    </x:row>
    <x:row r="406">
      <x:c r="A406" s="16" t="str">
        <x:f>'EMA Assurance Employee List'!A407</x:f>
        <x:v>Tamandani Mwalusaka</x:v>
      </x:c>
      <x:c r="B406" s="16" t="str">
        <x:f>IF(C406="KE","Kenya",IF(C406="UG","Uganda",IF(C406="MU","Mauritius",IF(C406="TZ","Tanzania",IF(C406="RW","Rwanda",IF(C406="ZA","South Africa",IF(C406="ZM","Zambia","")))))))</x:f>
        <x:v>Zambia</x:v>
      </x:c>
      <x:c r="C406" s="16" t="str">
        <x:f>'EMA Assurance Employee List'!B407</x:f>
        <x:v>ZM</x:v>
      </x:c>
      <x:c r="D406" s="16" t="str">
        <x:f>'EMA Assurance Employee List'!D407</x:f>
        <x:v>tamandani.mwalusaka@pwc.com</x:v>
      </x:c>
      <x:c r="E406" s="130" t="n">
        <x:f>IF($D406="",0,SUMIF('Attendance Report - Option 1'!$P$11:$P$315,$D406,'Attendance Report - Option 1'!$Q$11:$Q$315)/86400)</x:f>
        <x:v>0.006678240740740741</x:v>
      </x:c>
      <x:c r="F406" s="131" t="str">
        <x:f>IF(E406=0,"Did not attend",IF(E406&gt;='Read Me'!$E$2/86400,"Fully attended","Partially attended"))</x:f>
        <x:v>Partially attended</x:v>
      </x:c>
      <x:c r="G406" s="130" t="n">
        <x:f>IF($D406="",0,SUMIF('Attendance Report - Option 2'!$P$11:$P$412,$D406,'Attendance Report - Option 2'!$Q$11:$Q$412)/86400)</x:f>
        <x:v>0.036631944444444446</x:v>
      </x:c>
      <x:c r="H406" s="131" t="str">
        <x:f>IF(G406=0,"Did not attend",IF(G406&gt;='Read Me'!$E$2/86400,"Fully attended","Partially attended"))</x:f>
        <x:v>Partially attended</x:v>
      </x:c>
      <x:c r="I406" s="130" t="n">
        <x:f>E406+G406</x:f>
        <x:v>0.04331018518518519</x:v>
      </x:c>
      <x:c r="J406" s="131" t="str">
        <x:f>IF(I406=0,"Did not attend",IF(I406&gt;='Read Me'!$E$2/86400,"Fully attended","Partially attended"))</x:f>
        <x:v>Partially attended</x:v>
      </x:c>
      <x:c r="K406" s="131" t="str">
        <x:f>IF($D406="","No",IF(COUNTIF('Attendance Report - Option 1'!$P$11:$P$315,$D406)&gt;0,"Yes","No"))</x:f>
        <x:v>Yes</x:v>
      </x:c>
      <x:c r="L406" s="131" t="str">
        <x:f>IF($D406="","No",IF(COUNTIF('Attendance Report - Option 2'!$P$11:$P$412,$D406)&gt;0,"Yes","No"))</x:f>
        <x:v>Yes</x:v>
      </x:c>
    </x:row>
    <x:row r="407">
      <x:c r="A407" s="16" t="str">
        <x:f>'EMA Assurance Employee List'!A408</x:f>
        <x:v>Tarushee Beesoony</x:v>
      </x:c>
      <x:c r="B407" s="16" t="str">
        <x:f>IF(C407="KE","Kenya",IF(C407="UG","Uganda",IF(C407="MU","Mauritius",IF(C407="TZ","Tanzania",IF(C407="RW","Rwanda",IF(C407="ZA","South Africa",IF(C407="ZM","Zambia","")))))))</x:f>
        <x:v>Mauritius</x:v>
      </x:c>
      <x:c r="C407" s="16" t="str">
        <x:f>'EMA Assurance Employee List'!B408</x:f>
        <x:v>MU</x:v>
      </x:c>
      <x:c r="D407" s="16" t="str">
        <x:f>'EMA Assurance Employee List'!D408</x:f>
        <x:v>tarushee.beesoony@pwc.com</x:v>
      </x:c>
      <x:c r="E407" s="130" t="n">
        <x:f>IF($D407="",0,SUMIF('Attendance Report - Option 1'!$P$11:$P$315,$D407,'Attendance Report - Option 1'!$Q$11:$Q$315)/86400)</x:f>
        <x:v>0</x:v>
      </x:c>
      <x:c r="F407" s="131" t="str">
        <x:f>IF(E407=0,"Did not attend",IF(E407&gt;='Read Me'!$E$2/86400,"Fully attended","Partially attended"))</x:f>
        <x:v>Did not attend</x:v>
      </x:c>
      <x:c r="G407" s="130" t="n">
        <x:f>IF($D407="",0,SUMIF('Attendance Report - Option 2'!$P$11:$P$412,$D407,'Attendance Report - Option 2'!$Q$11:$Q$412)/86400)</x:f>
        <x:v>0.0847337962962963</x:v>
      </x:c>
      <x:c r="H407" s="131" t="str">
        <x:f>IF(G407=0,"Did not attend",IF(G407&gt;='Read Me'!$E$2/86400,"Fully attended","Partially attended"))</x:f>
        <x:v>Fully attended</x:v>
      </x:c>
      <x:c r="I407" s="130" t="n">
        <x:f>E407+G407</x:f>
        <x:v>0.0847337962962963</x:v>
      </x:c>
      <x:c r="J407" s="131" t="str">
        <x:f>IF(I407=0,"Did not attend",IF(I407&gt;='Read Me'!$E$2/86400,"Fully attended","Partially attended"))</x:f>
        <x:v>Fully attended</x:v>
      </x:c>
      <x:c r="K407" s="131" t="str">
        <x:f>IF($D407="","No",IF(COUNTIF('Attendance Report - Option 1'!$P$11:$P$315,$D407)&gt;0,"Yes","No"))</x:f>
        <x:v>No</x:v>
      </x:c>
      <x:c r="L407" s="131" t="str">
        <x:f>IF($D407="","No",IF(COUNTIF('Attendance Report - Option 2'!$P$11:$P$412,$D407)&gt;0,"Yes","No"))</x:f>
        <x:v>Yes</x:v>
      </x:c>
    </x:row>
    <x:row r="408">
      <x:c r="A408" s="16" t="str">
        <x:f>'EMA Assurance Employee List'!A409</x:f>
        <x:v>Tasneem Butonkee</x:v>
      </x:c>
      <x:c r="B408" s="16" t="str">
        <x:f>IF(C408="KE","Kenya",IF(C408="UG","Uganda",IF(C408="MU","Mauritius",IF(C408="TZ","Tanzania",IF(C408="RW","Rwanda",IF(C408="ZA","South Africa",IF(C408="ZM","Zambia","")))))))</x:f>
        <x:v>Mauritius</x:v>
      </x:c>
      <x:c r="C408" s="16" t="str">
        <x:f>'EMA Assurance Employee List'!B409</x:f>
        <x:v>MU</x:v>
      </x:c>
      <x:c r="D408" s="16" t="str">
        <x:f>'EMA Assurance Employee List'!D409</x:f>
        <x:v>tasneem.butonkee@pwc.com</x:v>
      </x:c>
      <x:c r="E408" s="130" t="n">
        <x:f>IF($D408="",0,SUMIF('Attendance Report - Option 1'!$P$11:$P$315,$D408,'Attendance Report - Option 1'!$Q$11:$Q$315)/86400)</x:f>
        <x:v>0.08381944444444445</x:v>
      </x:c>
      <x:c r="F408" s="131" t="str">
        <x:f>IF(E408=0,"Did not attend",IF(E408&gt;='Read Me'!$E$2/86400,"Fully attended","Partially attended"))</x:f>
        <x:v>Fully attended</x:v>
      </x:c>
      <x:c r="G408" s="130" t="n">
        <x:f>IF($D408="",0,SUMIF('Attendance Report - Option 2'!$P$11:$P$412,$D408,'Attendance Report - Option 2'!$Q$11:$Q$412)/86400)</x:f>
        <x:v>0</x:v>
      </x:c>
      <x:c r="H408" s="131" t="str">
        <x:f>IF(G408=0,"Did not attend",IF(G408&gt;='Read Me'!$E$2/86400,"Fully attended","Partially attended"))</x:f>
        <x:v>Did not attend</x:v>
      </x:c>
      <x:c r="I408" s="130" t="n">
        <x:f>E408+G408</x:f>
        <x:v>0.08381944444444445</x:v>
      </x:c>
      <x:c r="J408" s="131" t="str">
        <x:f>IF(I408=0,"Did not attend",IF(I408&gt;='Read Me'!$E$2/86400,"Fully attended","Partially attended"))</x:f>
        <x:v>Fully attended</x:v>
      </x:c>
      <x:c r="K408" s="131" t="str">
        <x:f>IF($D408="","No",IF(COUNTIF('Attendance Report - Option 1'!$P$11:$P$315,$D408)&gt;0,"Yes","No"))</x:f>
        <x:v>Yes</x:v>
      </x:c>
      <x:c r="L408" s="131" t="str">
        <x:f>IF($D408="","No",IF(COUNTIF('Attendance Report - Option 2'!$P$11:$P$412,$D408)&gt;0,"Yes","No"))</x:f>
        <x:v>No</x:v>
      </x:c>
    </x:row>
    <x:row r="409">
      <x:c r="A409" s="16" t="str">
        <x:f>'EMA Assurance Employee List'!A410</x:f>
        <x:v>Taufiq Ishimwe</x:v>
      </x:c>
      <x:c r="B409" s="16" t="str">
        <x:f>IF(C409="KE","Kenya",IF(C409="UG","Uganda",IF(C409="MU","Mauritius",IF(C409="TZ","Tanzania",IF(C409="RW","Rwanda",IF(C409="ZA","South Africa",IF(C409="ZM","Zambia","")))))))</x:f>
        <x:v>Rwanda</x:v>
      </x:c>
      <x:c r="C409" s="16" t="str">
        <x:f>'EMA Assurance Employee List'!B410</x:f>
        <x:v>RW</x:v>
      </x:c>
      <x:c r="D409" s="16" t="str">
        <x:f>'EMA Assurance Employee List'!D410</x:f>
        <x:v>taufiq.ishimwe@pwc.com</x:v>
      </x:c>
      <x:c r="E409" s="130" t="n">
        <x:f>IF($D409="",0,SUMIF('Attendance Report - Option 1'!$P$11:$P$315,$D409,'Attendance Report - Option 1'!$Q$11:$Q$315)/86400)</x:f>
        <x:v>0.0630787037037037</x:v>
      </x:c>
      <x:c r="F409" s="131" t="str">
        <x:f>IF(E409=0,"Did not attend",IF(E409&gt;='Read Me'!$E$2/86400,"Fully attended","Partially attended"))</x:f>
        <x:v>Fully attended</x:v>
      </x:c>
      <x:c r="G409" s="130" t="n">
        <x:f>IF($D409="",0,SUMIF('Attendance Report - Option 2'!$P$11:$P$412,$D409,'Attendance Report - Option 2'!$Q$11:$Q$412)/86400)</x:f>
        <x:v>0.03666666666666667</x:v>
      </x:c>
      <x:c r="H409" s="131" t="str">
        <x:f>IF(G409=0,"Did not attend",IF(G409&gt;='Read Me'!$E$2/86400,"Fully attended","Partially attended"))</x:f>
        <x:v>Partially attended</x:v>
      </x:c>
      <x:c r="I409" s="130" t="n">
        <x:f>E409+G409</x:f>
        <x:v>0.09974537037037037</x:v>
      </x:c>
      <x:c r="J409" s="131" t="str">
        <x:f>IF(I409=0,"Did not attend",IF(I409&gt;='Read Me'!$E$2/86400,"Fully attended","Partially attended"))</x:f>
        <x:v>Fully attended</x:v>
      </x:c>
      <x:c r="K409" s="131" t="str">
        <x:f>IF($D409="","No",IF(COUNTIF('Attendance Report - Option 1'!$P$11:$P$315,$D409)&gt;0,"Yes","No"))</x:f>
        <x:v>Yes</x:v>
      </x:c>
      <x:c r="L409" s="131" t="str">
        <x:f>IF($D409="","No",IF(COUNTIF('Attendance Report - Option 2'!$P$11:$P$412,$D409)&gt;0,"Yes","No"))</x:f>
        <x:v>Yes</x:v>
      </x:c>
    </x:row>
    <x:row r="410">
      <x:c r="A410" s="16" t="str">
        <x:f>'EMA Assurance Employee List'!A411</x:f>
        <x:v>Tecla Kibor</x:v>
      </x:c>
      <x:c r="B410" s="16" t="str">
        <x:f>IF(C410="KE","Kenya",IF(C410="UG","Uganda",IF(C410="MU","Mauritius",IF(C410="TZ","Tanzania",IF(C410="RW","Rwanda",IF(C410="ZA","South Africa",IF(C410="ZM","Zambia","")))))))</x:f>
        <x:v>Kenya</x:v>
      </x:c>
      <x:c r="C410" s="16" t="str">
        <x:f>'EMA Assurance Employee List'!B411</x:f>
        <x:v>KE</x:v>
      </x:c>
      <x:c r="D410" s="16" t="str">
        <x:f>'EMA Assurance Employee List'!D411</x:f>
        <x:v>tecla.kibor@pwc.com</x:v>
      </x:c>
      <x:c r="E410" s="130" t="n">
        <x:f>IF($D410="",0,SUMIF('Attendance Report - Option 1'!$P$11:$P$315,$D410,'Attendance Report - Option 1'!$Q$11:$Q$315)/86400)</x:f>
        <x:v>0.08699074074074074</x:v>
      </x:c>
      <x:c r="F410" s="131" t="str">
        <x:f>IF(E410=0,"Did not attend",IF(E410&gt;='Read Me'!$E$2/86400,"Fully attended","Partially attended"))</x:f>
        <x:v>Fully attended</x:v>
      </x:c>
      <x:c r="G410" s="130" t="n">
        <x:f>IF($D410="",0,SUMIF('Attendance Report - Option 2'!$P$11:$P$412,$D410,'Attendance Report - Option 2'!$Q$11:$Q$412)/86400)</x:f>
        <x:v>0</x:v>
      </x:c>
      <x:c r="H410" s="131" t="str">
        <x:f>IF(G410=0,"Did not attend",IF(G410&gt;='Read Me'!$E$2/86400,"Fully attended","Partially attended"))</x:f>
        <x:v>Did not attend</x:v>
      </x:c>
      <x:c r="I410" s="130" t="n">
        <x:f>E410+G410</x:f>
        <x:v>0.08699074074074074</x:v>
      </x:c>
      <x:c r="J410" s="131" t="str">
        <x:f>IF(I410=0,"Did not attend",IF(I410&gt;='Read Me'!$E$2/86400,"Fully attended","Partially attended"))</x:f>
        <x:v>Fully attended</x:v>
      </x:c>
      <x:c r="K410" s="131" t="str">
        <x:f>IF($D410="","No",IF(COUNTIF('Attendance Report - Option 1'!$P$11:$P$315,$D410)&gt;0,"Yes","No"))</x:f>
        <x:v>Yes</x:v>
      </x:c>
      <x:c r="L410" s="131" t="str">
        <x:f>IF($D410="","No",IF(COUNTIF('Attendance Report - Option 2'!$P$11:$P$412,$D410)&gt;0,"Yes","No"))</x:f>
        <x:v>No</x:v>
      </x:c>
    </x:row>
    <x:row r="411">
      <x:c r="A411" s="16" t="str">
        <x:f>'EMA Assurance Employee List'!A412</x:f>
        <x:v>Teddy Mbore</x:v>
      </x:c>
      <x:c r="B411" s="16" t="str">
        <x:f>IF(C411="KE","Kenya",IF(C411="UG","Uganda",IF(C411="MU","Mauritius",IF(C411="TZ","Tanzania",IF(C411="RW","Rwanda",IF(C411="ZA","South Africa",IF(C411="ZM","Zambia","")))))))</x:f>
        <x:v>Tanzania</x:v>
      </x:c>
      <x:c r="C411" s="16" t="str">
        <x:f>'EMA Assurance Employee List'!B412</x:f>
        <x:v>TZ</x:v>
      </x:c>
      <x:c r="D411" s="16" t="str">
        <x:f>'EMA Assurance Employee List'!D412</x:f>
        <x:v>teddy.mbore@pwc.com</x:v>
      </x:c>
      <x:c r="E411" s="130" t="n">
        <x:f>IF($D411="",0,SUMIF('Attendance Report - Option 1'!$P$11:$P$315,$D411,'Attendance Report - Option 1'!$Q$11:$Q$315)/86400)</x:f>
        <x:v>0.06253472222222223</x:v>
      </x:c>
      <x:c r="F411" s="131" t="str">
        <x:f>IF(E411=0,"Did not attend",IF(E411&gt;='Read Me'!$E$2/86400,"Fully attended","Partially attended"))</x:f>
        <x:v>Fully attended</x:v>
      </x:c>
      <x:c r="G411" s="130" t="n">
        <x:f>IF($D411="",0,SUMIF('Attendance Report - Option 2'!$P$11:$P$412,$D411,'Attendance Report - Option 2'!$Q$11:$Q$412)/86400)</x:f>
        <x:v>0</x:v>
      </x:c>
      <x:c r="H411" s="131" t="str">
        <x:f>IF(G411=0,"Did not attend",IF(G411&gt;='Read Me'!$E$2/86400,"Fully attended","Partially attended"))</x:f>
        <x:v>Did not attend</x:v>
      </x:c>
      <x:c r="I411" s="130" t="n">
        <x:f>E411+G411</x:f>
        <x:v>0.06253472222222223</x:v>
      </x:c>
      <x:c r="J411" s="131" t="str">
        <x:f>IF(I411=0,"Did not attend",IF(I411&gt;='Read Me'!$E$2/86400,"Fully attended","Partially attended"))</x:f>
        <x:v>Fully attended</x:v>
      </x:c>
      <x:c r="K411" s="131" t="str">
        <x:f>IF($D411="","No",IF(COUNTIF('Attendance Report - Option 1'!$P$11:$P$315,$D411)&gt;0,"Yes","No"))</x:f>
        <x:v>Yes</x:v>
      </x:c>
      <x:c r="L411" s="131" t="str">
        <x:f>IF($D411="","No",IF(COUNTIF('Attendance Report - Option 2'!$P$11:$P$412,$D411)&gt;0,"Yes","No"))</x:f>
        <x:v>No</x:v>
      </x:c>
    </x:row>
    <x:row r="412">
      <x:c r="A412" s="16" t="str">
        <x:f>'EMA Assurance Employee List'!A413</x:f>
        <x:v>Teeleswarsing Sookhy</x:v>
      </x:c>
      <x:c r="B412" s="16" t="str">
        <x:f>IF(C412="KE","Kenya",IF(C412="UG","Uganda",IF(C412="MU","Mauritius",IF(C412="TZ","Tanzania",IF(C412="RW","Rwanda",IF(C412="ZA","South Africa",IF(C412="ZM","Zambia","")))))))</x:f>
        <x:v>Mauritius</x:v>
      </x:c>
      <x:c r="C412" s="16" t="str">
        <x:f>'EMA Assurance Employee List'!B413</x:f>
        <x:v>MU</x:v>
      </x:c>
      <x:c r="D412" s="16" t="str">
        <x:f>'EMA Assurance Employee List'!D413</x:f>
        <x:v>teeleswarsing.sookhy@pwc.com</x:v>
      </x:c>
      <x:c r="E412" s="130" t="n">
        <x:f>IF($D412="",0,SUMIF('Attendance Report - Option 1'!$P$11:$P$315,$D412,'Attendance Report - Option 1'!$Q$11:$Q$315)/86400)</x:f>
        <x:v>0</x:v>
      </x:c>
      <x:c r="F412" s="131" t="str">
        <x:f>IF(E412=0,"Did not attend",IF(E412&gt;='Read Me'!$E$2/86400,"Fully attended","Partially attended"))</x:f>
        <x:v>Did not attend</x:v>
      </x:c>
      <x:c r="G412" s="130" t="n">
        <x:f>IF($D412="",0,SUMIF('Attendance Report - Option 2'!$P$11:$P$412,$D412,'Attendance Report - Option 2'!$Q$11:$Q$412)/86400)</x:f>
        <x:v>0.0778125</x:v>
      </x:c>
      <x:c r="H412" s="131" t="str">
        <x:f>IF(G412=0,"Did not attend",IF(G412&gt;='Read Me'!$E$2/86400,"Fully attended","Partially attended"))</x:f>
        <x:v>Fully attended</x:v>
      </x:c>
      <x:c r="I412" s="130" t="n">
        <x:f>E412+G412</x:f>
        <x:v>0.0778125</x:v>
      </x:c>
      <x:c r="J412" s="131" t="str">
        <x:f>IF(I412=0,"Did not attend",IF(I412&gt;='Read Me'!$E$2/86400,"Fully attended","Partially attended"))</x:f>
        <x:v>Fully attended</x:v>
      </x:c>
      <x:c r="K412" s="131" t="str">
        <x:f>IF($D412="","No",IF(COUNTIF('Attendance Report - Option 1'!$P$11:$P$315,$D412)&gt;0,"Yes","No"))</x:f>
        <x:v>No</x:v>
      </x:c>
      <x:c r="L412" s="131" t="str">
        <x:f>IF($D412="","No",IF(COUNTIF('Attendance Report - Option 2'!$P$11:$P$412,$D412)&gt;0,"Yes","No"))</x:f>
        <x:v>Yes</x:v>
      </x:c>
    </x:row>
    <x:row r="413">
      <x:c r="A413" s="16" t="str">
        <x:f>'EMA Assurance Employee List'!A414</x:f>
        <x:v>Teresiah Maina</x:v>
      </x:c>
      <x:c r="B413" s="16" t="str">
        <x:f>IF(C413="KE","Kenya",IF(C413="UG","Uganda",IF(C413="MU","Mauritius",IF(C413="TZ","Tanzania",IF(C413="RW","Rwanda",IF(C413="ZA","South Africa",IF(C413="ZM","Zambia","")))))))</x:f>
        <x:v>Kenya</x:v>
      </x:c>
      <x:c r="C413" s="16" t="str">
        <x:f>'EMA Assurance Employee List'!B414</x:f>
        <x:v>KE</x:v>
      </x:c>
      <x:c r="D413" s="16" t="str">
        <x:f>'EMA Assurance Employee List'!D414</x:f>
        <x:v>teresiah.maina@pwc.com</x:v>
      </x:c>
      <x:c r="E413" s="130" t="n">
        <x:f>IF($D413="",0,SUMIF('Attendance Report - Option 1'!$P$11:$P$315,$D413,'Attendance Report - Option 1'!$Q$11:$Q$315)/86400)</x:f>
        <x:v>0</x:v>
      </x:c>
      <x:c r="F413" s="131" t="str">
        <x:f>IF(E413=0,"Did not attend",IF(E413&gt;='Read Me'!$E$2/86400,"Fully attended","Partially attended"))</x:f>
        <x:v>Did not attend</x:v>
      </x:c>
      <x:c r="G413" s="130" t="n">
        <x:f>IF($D413="",0,SUMIF('Attendance Report - Option 2'!$P$11:$P$412,$D413,'Attendance Report - Option 2'!$Q$11:$Q$412)/86400)</x:f>
        <x:v>0.07309027777777778</x:v>
      </x:c>
      <x:c r="H413" s="131" t="str">
        <x:f>IF(G413=0,"Did not attend",IF(G413&gt;='Read Me'!$E$2/86400,"Fully attended","Partially attended"))</x:f>
        <x:v>Fully attended</x:v>
      </x:c>
      <x:c r="I413" s="130" t="n">
        <x:f>E413+G413</x:f>
        <x:v>0.07309027777777778</x:v>
      </x:c>
      <x:c r="J413" s="131" t="str">
        <x:f>IF(I413=0,"Did not attend",IF(I413&gt;='Read Me'!$E$2/86400,"Fully attended","Partially attended"))</x:f>
        <x:v>Fully attended</x:v>
      </x:c>
      <x:c r="K413" s="131" t="str">
        <x:f>IF($D413="","No",IF(COUNTIF('Attendance Report - Option 1'!$P$11:$P$315,$D413)&gt;0,"Yes","No"))</x:f>
        <x:v>No</x:v>
      </x:c>
      <x:c r="L413" s="131" t="str">
        <x:f>IF($D413="","No",IF(COUNTIF('Attendance Report - Option 2'!$P$11:$P$412,$D413)&gt;0,"Yes","No"))</x:f>
        <x:v>Yes</x:v>
      </x:c>
    </x:row>
    <x:row r="414">
      <x:c r="A414" s="16" t="str">
        <x:f>'EMA Assurance Employee List'!A415</x:f>
        <x:v>Theresa Namakula</x:v>
      </x:c>
      <x:c r="B414" s="16" t="str">
        <x:f>IF(C414="KE","Kenya",IF(C414="UG","Uganda",IF(C414="MU","Mauritius",IF(C414="TZ","Tanzania",IF(C414="RW","Rwanda",IF(C414="ZA","South Africa",IF(C414="ZM","Zambia","")))))))</x:f>
        <x:v>Uganda</x:v>
      </x:c>
      <x:c r="C414" s="16" t="str">
        <x:f>'EMA Assurance Employee List'!B415</x:f>
        <x:v>UG</x:v>
      </x:c>
      <x:c r="D414" s="16" t="str">
        <x:f>'EMA Assurance Employee List'!D415</x:f>
        <x:v>theresa.k.namakula@pwc.com</x:v>
      </x:c>
      <x:c r="E414" s="130" t="n">
        <x:f>IF($D414="",0,SUMIF('Attendance Report - Option 1'!$P$11:$P$315,$D414,'Attendance Report - Option 1'!$Q$11:$Q$315)/86400)</x:f>
        <x:v>0.0862962962962963</x:v>
      </x:c>
      <x:c r="F414" s="131" t="str">
        <x:f>IF(E414=0,"Did not attend",IF(E414&gt;='Read Me'!$E$2/86400,"Fully attended","Partially attended"))</x:f>
        <x:v>Fully attended</x:v>
      </x:c>
      <x:c r="G414" s="130" t="n">
        <x:f>IF($D414="",0,SUMIF('Attendance Report - Option 2'!$P$11:$P$412,$D414,'Attendance Report - Option 2'!$Q$11:$Q$412)/86400)</x:f>
        <x:v>0</x:v>
      </x:c>
      <x:c r="H414" s="131" t="str">
        <x:f>IF(G414=0,"Did not attend",IF(G414&gt;='Read Me'!$E$2/86400,"Fully attended","Partially attended"))</x:f>
        <x:v>Did not attend</x:v>
      </x:c>
      <x:c r="I414" s="130" t="n">
        <x:f>E414+G414</x:f>
        <x:v>0.0862962962962963</x:v>
      </x:c>
      <x:c r="J414" s="131" t="str">
        <x:f>IF(I414=0,"Did not attend",IF(I414&gt;='Read Me'!$E$2/86400,"Fully attended","Partially attended"))</x:f>
        <x:v>Fully attended</x:v>
      </x:c>
      <x:c r="K414" s="131" t="str">
        <x:f>IF($D414="","No",IF(COUNTIF('Attendance Report - Option 1'!$P$11:$P$315,$D414)&gt;0,"Yes","No"))</x:f>
        <x:v>Yes</x:v>
      </x:c>
      <x:c r="L414" s="131" t="str">
        <x:f>IF($D414="","No",IF(COUNTIF('Attendance Report - Option 2'!$P$11:$P$412,$D414)&gt;0,"Yes","No"))</x:f>
        <x:v>No</x:v>
      </x:c>
    </x:row>
    <x:row r="415">
      <x:c r="A415" s="16" t="str">
        <x:f>'EMA Assurance Employee List'!A416</x:f>
        <x:v>Titus Rotich</x:v>
      </x:c>
      <x:c r="B415" s="16" t="str">
        <x:f>IF(C415="KE","Kenya",IF(C415="UG","Uganda",IF(C415="MU","Mauritius",IF(C415="TZ","Tanzania",IF(C415="RW","Rwanda",IF(C415="ZA","South Africa",IF(C415="ZM","Zambia","")))))))</x:f>
        <x:v>Kenya</x:v>
      </x:c>
      <x:c r="C415" s="16" t="str">
        <x:f>'EMA Assurance Employee List'!B416</x:f>
        <x:v>KE</x:v>
      </x:c>
      <x:c r="D415" s="16" t="str">
        <x:f>'EMA Assurance Employee List'!D416</x:f>
        <x:v>titus.rotich@pwc.com</x:v>
      </x:c>
      <x:c r="E415" s="130" t="n">
        <x:f>IF($D415="",0,SUMIF('Attendance Report - Option 1'!$P$11:$P$315,$D415,'Attendance Report - Option 1'!$Q$11:$Q$315)/86400)</x:f>
        <x:v>0</x:v>
      </x:c>
      <x:c r="F415" s="131" t="str">
        <x:f>IF(E415=0,"Did not attend",IF(E415&gt;='Read Me'!$E$2/86400,"Fully attended","Partially attended"))</x:f>
        <x:v>Did not attend</x:v>
      </x:c>
      <x:c r="G415" s="130" t="n">
        <x:f>IF($D415="",0,SUMIF('Attendance Report - Option 2'!$P$11:$P$412,$D415,'Attendance Report - Option 2'!$Q$11:$Q$412)/86400)</x:f>
        <x:v>0.08765046296296296</x:v>
      </x:c>
      <x:c r="H415" s="131" t="str">
        <x:f>IF(G415=0,"Did not attend",IF(G415&gt;='Read Me'!$E$2/86400,"Fully attended","Partially attended"))</x:f>
        <x:v>Fully attended</x:v>
      </x:c>
      <x:c r="I415" s="130" t="n">
        <x:f>E415+G415</x:f>
        <x:v>0.08765046296296296</x:v>
      </x:c>
      <x:c r="J415" s="131" t="str">
        <x:f>IF(I415=0,"Did not attend",IF(I415&gt;='Read Me'!$E$2/86400,"Fully attended","Partially attended"))</x:f>
        <x:v>Fully attended</x:v>
      </x:c>
      <x:c r="K415" s="131" t="str">
        <x:f>IF($D415="","No",IF(COUNTIF('Attendance Report - Option 1'!$P$11:$P$315,$D415)&gt;0,"Yes","No"))</x:f>
        <x:v>No</x:v>
      </x:c>
      <x:c r="L415" s="131" t="str">
        <x:f>IF($D415="","No",IF(COUNTIF('Attendance Report - Option 2'!$P$11:$P$412,$D415)&gt;0,"Yes","No"))</x:f>
        <x:v>Yes</x:v>
      </x:c>
    </x:row>
    <x:row r="416">
      <x:c r="A416" s="16" t="str">
        <x:f>'EMA Assurance Employee List'!A417</x:f>
        <x:v>Tonny Odindo</x:v>
      </x:c>
      <x:c r="B416" s="16" t="str">
        <x:f>IF(C416="KE","Kenya",IF(C416="UG","Uganda",IF(C416="MU","Mauritius",IF(C416="TZ","Tanzania",IF(C416="RW","Rwanda",IF(C416="ZA","South Africa",IF(C416="ZM","Zambia","")))))))</x:f>
        <x:v>Kenya</x:v>
      </x:c>
      <x:c r="C416" s="16" t="str">
        <x:f>'EMA Assurance Employee List'!B417</x:f>
        <x:v>KE</x:v>
      </x:c>
      <x:c r="D416" s="16" t="str">
        <x:f>'EMA Assurance Employee List'!D417</x:f>
        <x:v>tonny.odindo@pwc.com</x:v>
      </x:c>
      <x:c r="E416" s="130" t="n">
        <x:f>IF($D416="",0,SUMIF('Attendance Report - Option 1'!$P$11:$P$315,$D416,'Attendance Report - Option 1'!$Q$11:$Q$315)/86400)</x:f>
        <x:v>0</x:v>
      </x:c>
      <x:c r="F416" s="131" t="str">
        <x:f>IF(E416=0,"Did not attend",IF(E416&gt;='Read Me'!$E$2/86400,"Fully attended","Partially attended"))</x:f>
        <x:v>Did not attend</x:v>
      </x:c>
      <x:c r="G416" s="130" t="n">
        <x:f>IF($D416="",0,SUMIF('Attendance Report - Option 2'!$P$11:$P$412,$D416,'Attendance Report - Option 2'!$Q$11:$Q$412)/86400)</x:f>
        <x:v>0.07752314814814815</x:v>
      </x:c>
      <x:c r="H416" s="131" t="str">
        <x:f>IF(G416=0,"Did not attend",IF(G416&gt;='Read Me'!$E$2/86400,"Fully attended","Partially attended"))</x:f>
        <x:v>Fully attended</x:v>
      </x:c>
      <x:c r="I416" s="130" t="n">
        <x:f>E416+G416</x:f>
        <x:v>0.07752314814814815</x:v>
      </x:c>
      <x:c r="J416" s="131" t="str">
        <x:f>IF(I416=0,"Did not attend",IF(I416&gt;='Read Me'!$E$2/86400,"Fully attended","Partially attended"))</x:f>
        <x:v>Fully attended</x:v>
      </x:c>
      <x:c r="K416" s="131" t="str">
        <x:f>IF($D416="","No",IF(COUNTIF('Attendance Report - Option 1'!$P$11:$P$315,$D416)&gt;0,"Yes","No"))</x:f>
        <x:v>No</x:v>
      </x:c>
      <x:c r="L416" s="131" t="str">
        <x:f>IF($D416="","No",IF(COUNTIF('Attendance Report - Option 2'!$P$11:$P$412,$D416)&gt;0,"Yes","No"))</x:f>
        <x:v>Yes</x:v>
      </x:c>
    </x:row>
    <x:row r="417">
      <x:c r="A417" s="16" t="str">
        <x:f>'EMA Assurance Employee List'!A418</x:f>
        <x:v>Trishtee Gopeechund</x:v>
      </x:c>
      <x:c r="B417" s="16" t="str">
        <x:f>IF(C417="KE","Kenya",IF(C417="UG","Uganda",IF(C417="MU","Mauritius",IF(C417="TZ","Tanzania",IF(C417="RW","Rwanda",IF(C417="ZA","South Africa",IF(C417="ZM","Zambia","")))))))</x:f>
        <x:v>Mauritius</x:v>
      </x:c>
      <x:c r="C417" s="16" t="str">
        <x:f>'EMA Assurance Employee List'!B418</x:f>
        <x:v>MU</x:v>
      </x:c>
      <x:c r="D417" s="16" t="str">
        <x:f>'EMA Assurance Employee List'!D418</x:f>
        <x:v>trishtee.gopeechund@pwc.com</x:v>
      </x:c>
      <x:c r="E417" s="130" t="n">
        <x:f>IF($D417="",0,SUMIF('Attendance Report - Option 1'!$P$11:$P$315,$D417,'Attendance Report - Option 1'!$Q$11:$Q$315)/86400)</x:f>
        <x:v>0.07481481481481482</x:v>
      </x:c>
      <x:c r="F417" s="131" t="str">
        <x:f>IF(E417=0,"Did not attend",IF(E417&gt;='Read Me'!$E$2/86400,"Fully attended","Partially attended"))</x:f>
        <x:v>Fully attended</x:v>
      </x:c>
      <x:c r="G417" s="130" t="n">
        <x:f>IF($D417="",0,SUMIF('Attendance Report - Option 2'!$P$11:$P$412,$D417,'Attendance Report - Option 2'!$Q$11:$Q$412)/86400)</x:f>
        <x:v>0</x:v>
      </x:c>
      <x:c r="H417" s="131" t="str">
        <x:f>IF(G417=0,"Did not attend",IF(G417&gt;='Read Me'!$E$2/86400,"Fully attended","Partially attended"))</x:f>
        <x:v>Did not attend</x:v>
      </x:c>
      <x:c r="I417" s="130" t="n">
        <x:f>E417+G417</x:f>
        <x:v>0.07481481481481482</x:v>
      </x:c>
      <x:c r="J417" s="131" t="str">
        <x:f>IF(I417=0,"Did not attend",IF(I417&gt;='Read Me'!$E$2/86400,"Fully attended","Partially attended"))</x:f>
        <x:v>Fully attended</x:v>
      </x:c>
      <x:c r="K417" s="131" t="str">
        <x:f>IF($D417="","No",IF(COUNTIF('Attendance Report - Option 1'!$P$11:$P$315,$D417)&gt;0,"Yes","No"))</x:f>
        <x:v>Yes</x:v>
      </x:c>
      <x:c r="L417" s="131" t="str">
        <x:f>IF($D417="","No",IF(COUNTIF('Attendance Report - Option 2'!$P$11:$P$412,$D417)&gt;0,"Yes","No"))</x:f>
        <x:v>No</x:v>
      </x:c>
    </x:row>
    <x:row r="418">
      <x:c r="A418" s="16" t="str">
        <x:f>'EMA Assurance Employee List'!A419</x:f>
        <x:v>Trivedi Dabypersad</x:v>
      </x:c>
      <x:c r="B418" s="16" t="str">
        <x:f>IF(C418="KE","Kenya",IF(C418="UG","Uganda",IF(C418="MU","Mauritius",IF(C418="TZ","Tanzania",IF(C418="RW","Rwanda",IF(C418="ZA","South Africa",IF(C418="ZM","Zambia","")))))))</x:f>
        <x:v>Mauritius</x:v>
      </x:c>
      <x:c r="C418" s="16" t="str">
        <x:f>'EMA Assurance Employee List'!B419</x:f>
        <x:v>MU</x:v>
      </x:c>
      <x:c r="D418" s="16" t="str">
        <x:f>'EMA Assurance Employee List'!D419</x:f>
        <x:v>trivedi.dabypersad@pwc.com</x:v>
      </x:c>
      <x:c r="E418" s="130" t="n">
        <x:f>IF($D418="",0,SUMIF('Attendance Report - Option 1'!$P$11:$P$315,$D418,'Attendance Report - Option 1'!$Q$11:$Q$315)/86400)</x:f>
        <x:v>0.0725462962962963</x:v>
      </x:c>
      <x:c r="F418" s="131" t="str">
        <x:f>IF(E418=0,"Did not attend",IF(E418&gt;='Read Me'!$E$2/86400,"Fully attended","Partially attended"))</x:f>
        <x:v>Fully attended</x:v>
      </x:c>
      <x:c r="G418" s="130" t="n">
        <x:f>IF($D418="",0,SUMIF('Attendance Report - Option 2'!$P$11:$P$412,$D418,'Attendance Report - Option 2'!$Q$11:$Q$412)/86400)</x:f>
        <x:v>0</x:v>
      </x:c>
      <x:c r="H418" s="131" t="str">
        <x:f>IF(G418=0,"Did not attend",IF(G418&gt;='Read Me'!$E$2/86400,"Fully attended","Partially attended"))</x:f>
        <x:v>Did not attend</x:v>
      </x:c>
      <x:c r="I418" s="130" t="n">
        <x:f>E418+G418</x:f>
        <x:v>0.0725462962962963</x:v>
      </x:c>
      <x:c r="J418" s="131" t="str">
        <x:f>IF(I418=0,"Did not attend",IF(I418&gt;='Read Me'!$E$2/86400,"Fully attended","Partially attended"))</x:f>
        <x:v>Fully attended</x:v>
      </x:c>
      <x:c r="K418" s="131" t="str">
        <x:f>IF($D418="","No",IF(COUNTIF('Attendance Report - Option 1'!$P$11:$P$315,$D418)&gt;0,"Yes","No"))</x:f>
        <x:v>Yes</x:v>
      </x:c>
      <x:c r="L418" s="131" t="str">
        <x:f>IF($D418="","No",IF(COUNTIF('Attendance Report - Option 2'!$P$11:$P$412,$D418)&gt;0,"Yes","No"))</x:f>
        <x:v>No</x:v>
      </x:c>
    </x:row>
    <x:row r="419">
      <x:c r="A419" s="16" t="str">
        <x:f>'EMA Assurance Employee List'!A420</x:f>
        <x:v>Twaambo Milimo</x:v>
      </x:c>
      <x:c r="B419" s="16" t="str">
        <x:f>IF(C419="KE","Kenya",IF(C419="UG","Uganda",IF(C419="MU","Mauritius",IF(C419="TZ","Tanzania",IF(C419="RW","Rwanda",IF(C419="ZA","South Africa",IF(C419="ZM","Zambia","")))))))</x:f>
        <x:v>Zambia</x:v>
      </x:c>
      <x:c r="C419" s="16" t="str">
        <x:f>'EMA Assurance Employee List'!B420</x:f>
        <x:v>ZM</x:v>
      </x:c>
      <x:c r="D419" s="16" t="str">
        <x:f>'EMA Assurance Employee List'!D420</x:f>
        <x:v>twaambo.m.milimo@pwc.com</x:v>
      </x:c>
      <x:c r="E419" s="130" t="n">
        <x:f>IF($D419="",0,SUMIF('Attendance Report - Option 1'!$P$11:$P$315,$D419,'Attendance Report - Option 1'!$Q$11:$Q$315)/86400)</x:f>
        <x:v>0.08409722222222223</x:v>
      </x:c>
      <x:c r="F419" s="131" t="str">
        <x:f>IF(E419=0,"Did not attend",IF(E419&gt;='Read Me'!$E$2/86400,"Fully attended","Partially attended"))</x:f>
        <x:v>Fully attended</x:v>
      </x:c>
      <x:c r="G419" s="130" t="n">
        <x:f>IF($D419="",0,SUMIF('Attendance Report - Option 2'!$P$11:$P$412,$D419,'Attendance Report - Option 2'!$Q$11:$Q$412)/86400)</x:f>
        <x:v>0</x:v>
      </x:c>
      <x:c r="H419" s="131" t="str">
        <x:f>IF(G419=0,"Did not attend",IF(G419&gt;='Read Me'!$E$2/86400,"Fully attended","Partially attended"))</x:f>
        <x:v>Did not attend</x:v>
      </x:c>
      <x:c r="I419" s="130" t="n">
        <x:f>E419+G419</x:f>
        <x:v>0.08409722222222223</x:v>
      </x:c>
      <x:c r="J419" s="131" t="str">
        <x:f>IF(I419=0,"Did not attend",IF(I419&gt;='Read Me'!$E$2/86400,"Fully attended","Partially attended"))</x:f>
        <x:v>Fully attended</x:v>
      </x:c>
      <x:c r="K419" s="131" t="str">
        <x:f>IF($D419="","No",IF(COUNTIF('Attendance Report - Option 1'!$P$11:$P$315,$D419)&gt;0,"Yes","No"))</x:f>
        <x:v>Yes</x:v>
      </x:c>
      <x:c r="L419" s="131" t="str">
        <x:f>IF($D419="","No",IF(COUNTIF('Attendance Report - Option 2'!$P$11:$P$412,$D419)&gt;0,"Yes","No"))</x:f>
        <x:v>No</x:v>
      </x:c>
    </x:row>
    <x:row r="420">
      <x:c r="A420" s="16" t="str">
        <x:f>'EMA Assurance Employee List'!A421</x:f>
        <x:v>Twesha Nuckecheddy</x:v>
      </x:c>
      <x:c r="B420" s="16" t="str">
        <x:f>IF(C420="KE","Kenya",IF(C420="UG","Uganda",IF(C420="MU","Mauritius",IF(C420="TZ","Tanzania",IF(C420="RW","Rwanda",IF(C420="ZA","South Africa",IF(C420="ZM","Zambia","")))))))</x:f>
        <x:v>Mauritius</x:v>
      </x:c>
      <x:c r="C420" s="16" t="str">
        <x:f>'EMA Assurance Employee List'!B421</x:f>
        <x:v>MU</x:v>
      </x:c>
      <x:c r="D420" s="16" t="str">
        <x:f>'EMA Assurance Employee List'!D421</x:f>
        <x:v>twesha.nuckecheddy@pwc.com</x:v>
      </x:c>
      <x:c r="E420" s="130" t="n">
        <x:f>IF($D420="",0,SUMIF('Attendance Report - Option 1'!$P$11:$P$315,$D420,'Attendance Report - Option 1'!$Q$11:$Q$315)/86400)</x:f>
        <x:v>0</x:v>
      </x:c>
      <x:c r="F420" s="131" t="str">
        <x:f>IF(E420=0,"Did not attend",IF(E420&gt;='Read Me'!$E$2/86400,"Fully attended","Partially attended"))</x:f>
        <x:v>Did not attend</x:v>
      </x:c>
      <x:c r="G420" s="130" t="n">
        <x:f>IF($D420="",0,SUMIF('Attendance Report - Option 2'!$P$11:$P$412,$D420,'Attendance Report - Option 2'!$Q$11:$Q$412)/86400)</x:f>
        <x:v>0.07378472222222222</x:v>
      </x:c>
      <x:c r="H420" s="131" t="str">
        <x:f>IF(G420=0,"Did not attend",IF(G420&gt;='Read Me'!$E$2/86400,"Fully attended","Partially attended"))</x:f>
        <x:v>Fully attended</x:v>
      </x:c>
      <x:c r="I420" s="130" t="n">
        <x:f>E420+G420</x:f>
        <x:v>0.07378472222222222</x:v>
      </x:c>
      <x:c r="J420" s="131" t="str">
        <x:f>IF(I420=0,"Did not attend",IF(I420&gt;='Read Me'!$E$2/86400,"Fully attended","Partially attended"))</x:f>
        <x:v>Fully attended</x:v>
      </x:c>
      <x:c r="K420" s="131" t="str">
        <x:f>IF($D420="","No",IF(COUNTIF('Attendance Report - Option 1'!$P$11:$P$315,$D420)&gt;0,"Yes","No"))</x:f>
        <x:v>No</x:v>
      </x:c>
      <x:c r="L420" s="131" t="str">
        <x:f>IF($D420="","No",IF(COUNTIF('Attendance Report - Option 2'!$P$11:$P$412,$D420)&gt;0,"Yes","No"))</x:f>
        <x:v>Yes</x:v>
      </x:c>
    </x:row>
    <x:row r="421">
      <x:c r="A421" s="16" t="str">
        <x:f>'EMA Assurance Employee List'!A422</x:f>
        <x:v>Ubaid Rasmally</x:v>
      </x:c>
      <x:c r="B421" s="16" t="str">
        <x:f>IF(C421="KE","Kenya",IF(C421="UG","Uganda",IF(C421="MU","Mauritius",IF(C421="TZ","Tanzania",IF(C421="RW","Rwanda",IF(C421="ZA","South Africa",IF(C421="ZM","Zambia","")))))))</x:f>
        <x:v>Mauritius</x:v>
      </x:c>
      <x:c r="C421" s="16" t="str">
        <x:f>'EMA Assurance Employee List'!B422</x:f>
        <x:v>MU</x:v>
      </x:c>
      <x:c r="D421" s="16" t="str">
        <x:f>'EMA Assurance Employee List'!D422</x:f>
        <x:v>ubaidullah.r.rasmally@pwc.com</x:v>
      </x:c>
      <x:c r="E421" s="130" t="n">
        <x:f>IF($D421="",0,SUMIF('Attendance Report - Option 1'!$P$11:$P$315,$D421,'Attendance Report - Option 1'!$Q$11:$Q$315)/86400)</x:f>
        <x:v>0</x:v>
      </x:c>
      <x:c r="F421" s="131" t="str">
        <x:f>IF(E421=0,"Did not attend",IF(E421&gt;='Read Me'!$E$2/86400,"Fully attended","Partially attended"))</x:f>
        <x:v>Did not attend</x:v>
      </x:c>
      <x:c r="G421" s="130" t="n">
        <x:f>IF($D421="",0,SUMIF('Attendance Report - Option 2'!$P$11:$P$412,$D421,'Attendance Report - Option 2'!$Q$11:$Q$412)/86400)</x:f>
        <x:v>0.07125</x:v>
      </x:c>
      <x:c r="H421" s="131" t="str">
        <x:f>IF(G421=0,"Did not attend",IF(G421&gt;='Read Me'!$E$2/86400,"Fully attended","Partially attended"))</x:f>
        <x:v>Fully attended</x:v>
      </x:c>
      <x:c r="I421" s="130" t="n">
        <x:f>E421+G421</x:f>
        <x:v>0.07125</x:v>
      </x:c>
      <x:c r="J421" s="131" t="str">
        <x:f>IF(I421=0,"Did not attend",IF(I421&gt;='Read Me'!$E$2/86400,"Fully attended","Partially attended"))</x:f>
        <x:v>Fully attended</x:v>
      </x:c>
      <x:c r="K421" s="131" t="str">
        <x:f>IF($D421="","No",IF(COUNTIF('Attendance Report - Option 1'!$P$11:$P$315,$D421)&gt;0,"Yes","No"))</x:f>
        <x:v>No</x:v>
      </x:c>
      <x:c r="L421" s="131" t="str">
        <x:f>IF($D421="","No",IF(COUNTIF('Attendance Report - Option 2'!$P$11:$P$412,$D421)&gt;0,"Yes","No"))</x:f>
        <x:v>Yes</x:v>
      </x:c>
    </x:row>
    <x:row r="422">
      <x:c r="A422" s="16" t="str">
        <x:f>'EMA Assurance Employee List'!A423</x:f>
        <x:v>Umair Chaudhry</x:v>
      </x:c>
      <x:c r="B422" s="16" t="str">
        <x:f>IF(C422="KE","Kenya",IF(C422="UG","Uganda",IF(C422="MU","Mauritius",IF(C422="TZ","Tanzania",IF(C422="RW","Rwanda",IF(C422="ZA","South Africa",IF(C422="ZM","Zambia","")))))))</x:f>
        <x:v>Kenya</x:v>
      </x:c>
      <x:c r="C422" s="16" t="str">
        <x:f>'EMA Assurance Employee List'!B423</x:f>
        <x:v>KE</x:v>
      </x:c>
      <x:c r="D422" s="16" t="str">
        <x:f>'EMA Assurance Employee List'!D423</x:f>
        <x:v>umair.chaudhry@pwc.com</x:v>
      </x:c>
      <x:c r="E422" s="130" t="n">
        <x:f>IF($D422="",0,SUMIF('Attendance Report - Option 1'!$P$11:$P$315,$D422,'Attendance Report - Option 1'!$Q$11:$Q$315)/86400)</x:f>
        <x:v>0</x:v>
      </x:c>
      <x:c r="F422" s="131" t="str">
        <x:f>IF(E422=0,"Did not attend",IF(E422&gt;='Read Me'!$E$2/86400,"Fully attended","Partially attended"))</x:f>
        <x:v>Did not attend</x:v>
      </x:c>
      <x:c r="G422" s="130" t="n">
        <x:f>IF($D422="",0,SUMIF('Attendance Report - Option 2'!$P$11:$P$412,$D422,'Attendance Report - Option 2'!$Q$11:$Q$412)/86400)</x:f>
        <x:v>0.09329861111111111</x:v>
      </x:c>
      <x:c r="H422" s="131" t="str">
        <x:f>IF(G422=0,"Did not attend",IF(G422&gt;='Read Me'!$E$2/86400,"Fully attended","Partially attended"))</x:f>
        <x:v>Fully attended</x:v>
      </x:c>
      <x:c r="I422" s="130" t="n">
        <x:f>E422+G422</x:f>
        <x:v>0.09329861111111111</x:v>
      </x:c>
      <x:c r="J422" s="131" t="str">
        <x:f>IF(I422=0,"Did not attend",IF(I422&gt;='Read Me'!$E$2/86400,"Fully attended","Partially attended"))</x:f>
        <x:v>Fully attended</x:v>
      </x:c>
      <x:c r="K422" s="131" t="str">
        <x:f>IF($D422="","No",IF(COUNTIF('Attendance Report - Option 1'!$P$11:$P$315,$D422)&gt;0,"Yes","No"))</x:f>
        <x:v>No</x:v>
      </x:c>
      <x:c r="L422" s="131" t="str">
        <x:f>IF($D422="","No",IF(COUNTIF('Attendance Report - Option 2'!$P$11:$P$412,$D422)&gt;0,"Yes","No"))</x:f>
        <x:v>Yes</x:v>
      </x:c>
    </x:row>
    <x:row r="423">
      <x:c r="A423" s="16" t="str">
        <x:f>'EMA Assurance Employee List'!A424</x:f>
        <x:v>Uthman Mayanja</x:v>
      </x:c>
      <x:c r="B423" s="16" t="str">
        <x:f>IF(C423="KE","Kenya",IF(C423="UG","Uganda",IF(C423="MU","Mauritius",IF(C423="TZ","Tanzania",IF(C423="RW","Rwanda",IF(C423="ZA","South Africa",IF(C423="ZM","Zambia","")))))))</x:f>
        <x:v>Uganda</x:v>
      </x:c>
      <x:c r="C423" s="16" t="str">
        <x:f>'EMA Assurance Employee List'!B424</x:f>
        <x:v>UG</x:v>
      </x:c>
      <x:c r="D423" s="16" t="str">
        <x:f>'EMA Assurance Employee List'!D424</x:f>
        <x:v>uthman.mayanja@pwc.com</x:v>
      </x:c>
      <x:c r="E423" s="130" t="n">
        <x:f>IF($D423="",0,SUMIF('Attendance Report - Option 1'!$P$11:$P$315,$D423,'Attendance Report - Option 1'!$Q$11:$Q$315)/86400)</x:f>
        <x:v>0</x:v>
      </x:c>
      <x:c r="F423" s="131" t="str">
        <x:f>IF(E423=0,"Did not attend",IF(E423&gt;='Read Me'!$E$2/86400,"Fully attended","Partially attended"))</x:f>
        <x:v>Did not attend</x:v>
      </x:c>
      <x:c r="G423" s="130" t="n">
        <x:f>IF($D423="",0,SUMIF('Attendance Report - Option 2'!$P$11:$P$412,$D423,'Attendance Report - Option 2'!$Q$11:$Q$412)/86400)</x:f>
        <x:v>0.10216435185185185</x:v>
      </x:c>
      <x:c r="H423" s="131" t="str">
        <x:f>IF(G423=0,"Did not attend",IF(G423&gt;='Read Me'!$E$2/86400,"Fully attended","Partially attended"))</x:f>
        <x:v>Fully attended</x:v>
      </x:c>
      <x:c r="I423" s="130" t="n">
        <x:f>E423+G423</x:f>
        <x:v>0.10216435185185185</x:v>
      </x:c>
      <x:c r="J423" s="131" t="str">
        <x:f>IF(I423=0,"Did not attend",IF(I423&gt;='Read Me'!$E$2/86400,"Fully attended","Partially attended"))</x:f>
        <x:v>Fully attended</x:v>
      </x:c>
      <x:c r="K423" s="131" t="str">
        <x:f>IF($D423="","No",IF(COUNTIF('Attendance Report - Option 1'!$P$11:$P$315,$D423)&gt;0,"Yes","No"))</x:f>
        <x:v>No</x:v>
      </x:c>
      <x:c r="L423" s="131" t="str">
        <x:f>IF($D423="","No",IF(COUNTIF('Attendance Report - Option 2'!$P$11:$P$412,$D423)&gt;0,"Yes","No"))</x:f>
        <x:v>Yes</x:v>
      </x:c>
    </x:row>
    <x:row r="424">
      <x:c r="A424" s="16" t="str">
        <x:f>'EMA Assurance Employee List'!A425</x:f>
        <x:v>Vaishnavi Gungaram</x:v>
      </x:c>
      <x:c r="B424" s="16" t="str">
        <x:f>IF(C424="KE","Kenya",IF(C424="UG","Uganda",IF(C424="MU","Mauritius",IF(C424="TZ","Tanzania",IF(C424="RW","Rwanda",IF(C424="ZA","South Africa",IF(C424="ZM","Zambia","")))))))</x:f>
        <x:v>Mauritius</x:v>
      </x:c>
      <x:c r="C424" s="16" t="str">
        <x:f>'EMA Assurance Employee List'!B425</x:f>
        <x:v>MU</x:v>
      </x:c>
      <x:c r="D424" s="16" t="str">
        <x:f>'EMA Assurance Employee List'!D425</x:f>
        <x:v>vaishnavi.gungaram@pwc.com</x:v>
      </x:c>
      <x:c r="E424" s="130" t="n">
        <x:f>IF($D424="",0,SUMIF('Attendance Report - Option 1'!$P$11:$P$315,$D424,'Attendance Report - Option 1'!$Q$11:$Q$315)/86400)</x:f>
        <x:v>0</x:v>
      </x:c>
      <x:c r="F424" s="131" t="str">
        <x:f>IF(E424=0,"Did not attend",IF(E424&gt;='Read Me'!$E$2/86400,"Fully attended","Partially attended"))</x:f>
        <x:v>Did not attend</x:v>
      </x:c>
      <x:c r="G424" s="130" t="n">
        <x:f>IF($D424="",0,SUMIF('Attendance Report - Option 2'!$P$11:$P$412,$D424,'Attendance Report - Option 2'!$Q$11:$Q$412)/86400)</x:f>
        <x:v>0.08337962962962962</x:v>
      </x:c>
      <x:c r="H424" s="131" t="str">
        <x:f>IF(G424=0,"Did not attend",IF(G424&gt;='Read Me'!$E$2/86400,"Fully attended","Partially attended"))</x:f>
        <x:v>Fully attended</x:v>
      </x:c>
      <x:c r="I424" s="130" t="n">
        <x:f>E424+G424</x:f>
        <x:v>0.08337962962962962</x:v>
      </x:c>
      <x:c r="J424" s="131" t="str">
        <x:f>IF(I424=0,"Did not attend",IF(I424&gt;='Read Me'!$E$2/86400,"Fully attended","Partially attended"))</x:f>
        <x:v>Fully attended</x:v>
      </x:c>
      <x:c r="K424" s="131" t="str">
        <x:f>IF($D424="","No",IF(COUNTIF('Attendance Report - Option 1'!$P$11:$P$315,$D424)&gt;0,"Yes","No"))</x:f>
        <x:v>No</x:v>
      </x:c>
      <x:c r="L424" s="131" t="str">
        <x:f>IF($D424="","No",IF(COUNTIF('Attendance Report - Option 2'!$P$11:$P$412,$D424)&gt;0,"Yes","No"))</x:f>
        <x:v>Yes</x:v>
      </x:c>
    </x:row>
    <x:row r="425">
      <x:c r="A425" s="16" t="str">
        <x:f>'EMA Assurance Employee List'!A426</x:f>
        <x:v>Valentine Njeri</x:v>
      </x:c>
      <x:c r="B425" s="16" t="str">
        <x:f>IF(C425="KE","Kenya",IF(C425="UG","Uganda",IF(C425="MU","Mauritius",IF(C425="TZ","Tanzania",IF(C425="RW","Rwanda",IF(C425="ZA","South Africa",IF(C425="ZM","Zambia","")))))))</x:f>
        <x:v>Kenya</x:v>
      </x:c>
      <x:c r="C425" s="16" t="str">
        <x:f>'EMA Assurance Employee List'!B426</x:f>
        <x:v>KE</x:v>
      </x:c>
      <x:c r="D425" s="16" t="str">
        <x:f>'EMA Assurance Employee List'!D426</x:f>
        <x:v>valentine.n.njeri@pwc.com</x:v>
      </x:c>
      <x:c r="E425" s="130" t="n">
        <x:f>IF($D425="",0,SUMIF('Attendance Report - Option 1'!$P$11:$P$315,$D425,'Attendance Report - Option 1'!$Q$11:$Q$315)/86400)</x:f>
        <x:v>0</x:v>
      </x:c>
      <x:c r="F425" s="131" t="str">
        <x:f>IF(E425=0,"Did not attend",IF(E425&gt;='Read Me'!$E$2/86400,"Fully attended","Partially attended"))</x:f>
        <x:v>Did not attend</x:v>
      </x:c>
      <x:c r="G425" s="130" t="n">
        <x:f>IF($D425="",0,SUMIF('Attendance Report - Option 2'!$P$11:$P$412,$D425,'Attendance Report - Option 2'!$Q$11:$Q$412)/86400)</x:f>
        <x:v>0.08694444444444445</x:v>
      </x:c>
      <x:c r="H425" s="131" t="str">
        <x:f>IF(G425=0,"Did not attend",IF(G425&gt;='Read Me'!$E$2/86400,"Fully attended","Partially attended"))</x:f>
        <x:v>Fully attended</x:v>
      </x:c>
      <x:c r="I425" s="130" t="n">
        <x:f>E425+G425</x:f>
        <x:v>0.08694444444444445</x:v>
      </x:c>
      <x:c r="J425" s="131" t="str">
        <x:f>IF(I425=0,"Did not attend",IF(I425&gt;='Read Me'!$E$2/86400,"Fully attended","Partially attended"))</x:f>
        <x:v>Fully attended</x:v>
      </x:c>
      <x:c r="K425" s="131" t="str">
        <x:f>IF($D425="","No",IF(COUNTIF('Attendance Report - Option 1'!$P$11:$P$315,$D425)&gt;0,"Yes","No"))</x:f>
        <x:v>No</x:v>
      </x:c>
      <x:c r="L425" s="131" t="str">
        <x:f>IF($D425="","No",IF(COUNTIF('Attendance Report - Option 2'!$P$11:$P$412,$D425)&gt;0,"Yes","No"))</x:f>
        <x:v>Yes</x:v>
      </x:c>
    </x:row>
    <x:row r="426">
      <x:c r="A426" s="16" t="str">
        <x:f>'EMA Assurance Employee List'!A427</x:f>
        <x:v>Vanshika Akkooloo</x:v>
      </x:c>
      <x:c r="B426" s="16" t="str">
        <x:f>IF(C426="KE","Kenya",IF(C426="UG","Uganda",IF(C426="MU","Mauritius",IF(C426="TZ","Tanzania",IF(C426="RW","Rwanda",IF(C426="ZA","South Africa",IF(C426="ZM","Zambia","")))))))</x:f>
        <x:v>Mauritius</x:v>
      </x:c>
      <x:c r="C426" s="16" t="str">
        <x:f>'EMA Assurance Employee List'!B427</x:f>
        <x:v>MU</x:v>
      </x:c>
      <x:c r="D426" s="16" t="str">
        <x:f>'EMA Assurance Employee List'!D427</x:f>
        <x:v>vanshika.akkooloo@pwc.com</x:v>
      </x:c>
      <x:c r="E426" s="130" t="n">
        <x:f>IF($D426="",0,SUMIF('Attendance Report - Option 1'!$P$11:$P$315,$D426,'Attendance Report - Option 1'!$Q$11:$Q$315)/86400)</x:f>
        <x:v>0.08418981481481481</x:v>
      </x:c>
      <x:c r="F426" s="131" t="str">
        <x:f>IF(E426=0,"Did not attend",IF(E426&gt;='Read Me'!$E$2/86400,"Fully attended","Partially attended"))</x:f>
        <x:v>Fully attended</x:v>
      </x:c>
      <x:c r="G426" s="130" t="n">
        <x:f>IF($D426="",0,SUMIF('Attendance Report - Option 2'!$P$11:$P$412,$D426,'Attendance Report - Option 2'!$Q$11:$Q$412)/86400)</x:f>
        <x:v>0</x:v>
      </x:c>
      <x:c r="H426" s="131" t="str">
        <x:f>IF(G426=0,"Did not attend",IF(G426&gt;='Read Me'!$E$2/86400,"Fully attended","Partially attended"))</x:f>
        <x:v>Did not attend</x:v>
      </x:c>
      <x:c r="I426" s="130" t="n">
        <x:f>E426+G426</x:f>
        <x:v>0.08418981481481481</x:v>
      </x:c>
      <x:c r="J426" s="131" t="str">
        <x:f>IF(I426=0,"Did not attend",IF(I426&gt;='Read Me'!$E$2/86400,"Fully attended","Partially attended"))</x:f>
        <x:v>Fully attended</x:v>
      </x:c>
      <x:c r="K426" s="131" t="str">
        <x:f>IF($D426="","No",IF(COUNTIF('Attendance Report - Option 1'!$P$11:$P$315,$D426)&gt;0,"Yes","No"))</x:f>
        <x:v>Yes</x:v>
      </x:c>
      <x:c r="L426" s="131" t="str">
        <x:f>IF($D426="","No",IF(COUNTIF('Attendance Report - Option 2'!$P$11:$P$412,$D426)&gt;0,"Yes","No"))</x:f>
        <x:v>No</x:v>
      </x:c>
    </x:row>
    <x:row r="427">
      <x:c r="A427" s="16" t="str">
        <x:f>'EMA Assurance Employee List'!A428</x:f>
        <x:v>Vasty Nkhoma</x:v>
      </x:c>
      <x:c r="B427" s="16" t="str">
        <x:f>IF(C427="KE","Kenya",IF(C427="UG","Uganda",IF(C427="MU","Mauritius",IF(C427="TZ","Tanzania",IF(C427="RW","Rwanda",IF(C427="ZA","South Africa",IF(C427="ZM","Zambia","")))))))</x:f>
        <x:v>Zambia</x:v>
      </x:c>
      <x:c r="C427" s="16" t="str">
        <x:f>'EMA Assurance Employee List'!B428</x:f>
        <x:v>ZM</x:v>
      </x:c>
      <x:c r="D427" s="16" t="str">
        <x:f>'EMA Assurance Employee List'!D428</x:f>
        <x:v>vasty.nkhoma@pwc.com</x:v>
      </x:c>
      <x:c r="E427" s="130" t="n">
        <x:f>IF($D427="",0,SUMIF('Attendance Report - Option 1'!$P$11:$P$315,$D427,'Attendance Report - Option 1'!$Q$11:$Q$315)/86400)</x:f>
        <x:v>0.08001157407407407</x:v>
      </x:c>
      <x:c r="F427" s="131" t="str">
        <x:f>IF(E427=0,"Did not attend",IF(E427&gt;='Read Me'!$E$2/86400,"Fully attended","Partially attended"))</x:f>
        <x:v>Fully attended</x:v>
      </x:c>
      <x:c r="G427" s="130" t="n">
        <x:f>IF($D427="",0,SUMIF('Attendance Report - Option 2'!$P$11:$P$412,$D427,'Attendance Report - Option 2'!$Q$11:$Q$412)/86400)</x:f>
        <x:v>0</x:v>
      </x:c>
      <x:c r="H427" s="131" t="str">
        <x:f>IF(G427=0,"Did not attend",IF(G427&gt;='Read Me'!$E$2/86400,"Fully attended","Partially attended"))</x:f>
        <x:v>Did not attend</x:v>
      </x:c>
      <x:c r="I427" s="130" t="n">
        <x:f>E427+G427</x:f>
        <x:v>0.08001157407407407</x:v>
      </x:c>
      <x:c r="J427" s="131" t="str">
        <x:f>IF(I427=0,"Did not attend",IF(I427&gt;='Read Me'!$E$2/86400,"Fully attended","Partially attended"))</x:f>
        <x:v>Fully attended</x:v>
      </x:c>
      <x:c r="K427" s="131" t="str">
        <x:f>IF($D427="","No",IF(COUNTIF('Attendance Report - Option 1'!$P$11:$P$315,$D427)&gt;0,"Yes","No"))</x:f>
        <x:v>Yes</x:v>
      </x:c>
      <x:c r="L427" s="131" t="str">
        <x:f>IF($D427="","No",IF(COUNTIF('Attendance Report - Option 2'!$P$11:$P$412,$D427)&gt;0,"Yes","No"))</x:f>
        <x:v>No</x:v>
      </x:c>
    </x:row>
    <x:row r="428">
      <x:c r="A428" s="16" t="str">
        <x:f>'EMA Assurance Employee List'!A429</x:f>
        <x:v>Ved Bishundat</x:v>
      </x:c>
      <x:c r="B428" s="16" t="str">
        <x:f>IF(C428="KE","Kenya",IF(C428="UG","Uganda",IF(C428="MU","Mauritius",IF(C428="TZ","Tanzania",IF(C428="RW","Rwanda",IF(C428="ZA","South Africa",IF(C428="ZM","Zambia","")))))))</x:f>
        <x:v>Mauritius</x:v>
      </x:c>
      <x:c r="C428" s="16" t="str">
        <x:f>'EMA Assurance Employee List'!B429</x:f>
        <x:v>MU</x:v>
      </x:c>
      <x:c r="D428" s="16" t="str">
        <x:f>'EMA Assurance Employee List'!D429</x:f>
        <x:v>ved.bishundat@pwc.com</x:v>
      </x:c>
      <x:c r="E428" s="130" t="n">
        <x:f>IF($D428="",0,SUMIF('Attendance Report - Option 1'!$P$11:$P$315,$D428,'Attendance Report - Option 1'!$Q$11:$Q$315)/86400)</x:f>
        <x:v>0</x:v>
      </x:c>
      <x:c r="F428" s="131" t="str">
        <x:f>IF(E428=0,"Did not attend",IF(E428&gt;='Read Me'!$E$2/86400,"Fully attended","Partially attended"))</x:f>
        <x:v>Did not attend</x:v>
      </x:c>
      <x:c r="G428" s="130" t="n">
        <x:f>IF($D428="",0,SUMIF('Attendance Report - Option 2'!$P$11:$P$412,$D428,'Attendance Report - Option 2'!$Q$11:$Q$412)/86400)</x:f>
        <x:v>0.026886574074074073</x:v>
      </x:c>
      <x:c r="H428" s="131" t="str">
        <x:f>IF(G428=0,"Did not attend",IF(G428&gt;='Read Me'!$E$2/86400,"Fully attended","Partially attended"))</x:f>
        <x:v>Partially attended</x:v>
      </x:c>
      <x:c r="I428" s="130" t="n">
        <x:f>E428+G428</x:f>
        <x:v>0.026886574074074073</x:v>
      </x:c>
      <x:c r="J428" s="131" t="str">
        <x:f>IF(I428=0,"Did not attend",IF(I428&gt;='Read Me'!$E$2/86400,"Fully attended","Partially attended"))</x:f>
        <x:v>Partially attended</x:v>
      </x:c>
      <x:c r="K428" s="131" t="str">
        <x:f>IF($D428="","No",IF(COUNTIF('Attendance Report - Option 1'!$P$11:$P$315,$D428)&gt;0,"Yes","No"))</x:f>
        <x:v>No</x:v>
      </x:c>
      <x:c r="L428" s="131" t="str">
        <x:f>IF($D428="","No",IF(COUNTIF('Attendance Report - Option 2'!$P$11:$P$412,$D428)&gt;0,"Yes","No"))</x:f>
        <x:v>Yes</x:v>
      </x:c>
    </x:row>
    <x:row r="429">
      <x:c r="A429" s="16" t="str">
        <x:f>'EMA Assurance Employee List'!A430</x:f>
        <x:v>Veeloshini Kisto</x:v>
      </x:c>
      <x:c r="B429" s="16" t="str">
        <x:f>IF(C429="KE","Kenya",IF(C429="UG","Uganda",IF(C429="MU","Mauritius",IF(C429="TZ","Tanzania",IF(C429="RW","Rwanda",IF(C429="ZA","South Africa",IF(C429="ZM","Zambia","")))))))</x:f>
        <x:v>Mauritius</x:v>
      </x:c>
      <x:c r="C429" s="16" t="str">
        <x:f>'EMA Assurance Employee List'!B430</x:f>
        <x:v>MU</x:v>
      </x:c>
      <x:c r="D429" s="16" t="str">
        <x:f>'EMA Assurance Employee List'!D430</x:f>
        <x:v>veeloshini.kisto@pwc.com</x:v>
      </x:c>
      <x:c r="E429" s="130" t="n">
        <x:f>IF($D429="",0,SUMIF('Attendance Report - Option 1'!$P$11:$P$315,$D429,'Attendance Report - Option 1'!$Q$11:$Q$315)/86400)</x:f>
        <x:v>0</x:v>
      </x:c>
      <x:c r="F429" s="131" t="str">
        <x:f>IF(E429=0,"Did not attend",IF(E429&gt;='Read Me'!$E$2/86400,"Fully attended","Partially attended"))</x:f>
        <x:v>Did not attend</x:v>
      </x:c>
      <x:c r="G429" s="130" t="n">
        <x:f>IF($D429="",0,SUMIF('Attendance Report - Option 2'!$P$11:$P$412,$D429,'Attendance Report - Option 2'!$Q$11:$Q$412)/86400)</x:f>
        <x:v>0.08333333333333333</x:v>
      </x:c>
      <x:c r="H429" s="131" t="str">
        <x:f>IF(G429=0,"Did not attend",IF(G429&gt;='Read Me'!$E$2/86400,"Fully attended","Partially attended"))</x:f>
        <x:v>Fully attended</x:v>
      </x:c>
      <x:c r="I429" s="130" t="n">
        <x:f>E429+G429</x:f>
        <x:v>0.08333333333333333</x:v>
      </x:c>
      <x:c r="J429" s="131" t="str">
        <x:f>IF(I429=0,"Did not attend",IF(I429&gt;='Read Me'!$E$2/86400,"Fully attended","Partially attended"))</x:f>
        <x:v>Fully attended</x:v>
      </x:c>
      <x:c r="K429" s="131" t="str">
        <x:f>IF($D429="","No",IF(COUNTIF('Attendance Report - Option 1'!$P$11:$P$315,$D429)&gt;0,"Yes","No"))</x:f>
        <x:v>No</x:v>
      </x:c>
      <x:c r="L429" s="131" t="str">
        <x:f>IF($D429="","No",IF(COUNTIF('Attendance Report - Option 2'!$P$11:$P$412,$D429)&gt;0,"Yes","No"))</x:f>
        <x:v>Yes</x:v>
      </x:c>
    </x:row>
    <x:row r="430">
      <x:c r="A430" s="16" t="str">
        <x:f>'EMA Assurance Employee List'!A431</x:f>
        <x:v>Veronica Biswalo</x:v>
      </x:c>
      <x:c r="B430" s="16" t="str">
        <x:f>IF(C430="KE","Kenya",IF(C430="UG","Uganda",IF(C430="MU","Mauritius",IF(C430="TZ","Tanzania",IF(C430="RW","Rwanda",IF(C430="ZA","South Africa",IF(C430="ZM","Zambia","")))))))</x:f>
        <x:v>Tanzania</x:v>
      </x:c>
      <x:c r="C430" s="16" t="str">
        <x:f>'EMA Assurance Employee List'!B431</x:f>
        <x:v>TZ</x:v>
      </x:c>
      <x:c r="D430" s="16" t="str">
        <x:f>'EMA Assurance Employee List'!D431</x:f>
        <x:v>veronica.biswalo@pwc.com</x:v>
      </x:c>
      <x:c r="E430" s="130" t="n">
        <x:f>IF($D430="",0,SUMIF('Attendance Report - Option 1'!$P$11:$P$315,$D430,'Attendance Report - Option 1'!$Q$11:$Q$315)/86400)</x:f>
        <x:v>0.07987268518518519</x:v>
      </x:c>
      <x:c r="F430" s="131" t="str">
        <x:f>IF(E430=0,"Did not attend",IF(E430&gt;='Read Me'!$E$2/86400,"Fully attended","Partially attended"))</x:f>
        <x:v>Fully attended</x:v>
      </x:c>
      <x:c r="G430" s="130" t="n">
        <x:f>IF($D430="",0,SUMIF('Attendance Report - Option 2'!$P$11:$P$412,$D430,'Attendance Report - Option 2'!$Q$11:$Q$412)/86400)</x:f>
        <x:v>0</x:v>
      </x:c>
      <x:c r="H430" s="131" t="str">
        <x:f>IF(G430=0,"Did not attend",IF(G430&gt;='Read Me'!$E$2/86400,"Fully attended","Partially attended"))</x:f>
        <x:v>Did not attend</x:v>
      </x:c>
      <x:c r="I430" s="130" t="n">
        <x:f>E430+G430</x:f>
        <x:v>0.07987268518518519</x:v>
      </x:c>
      <x:c r="J430" s="131" t="str">
        <x:f>IF(I430=0,"Did not attend",IF(I430&gt;='Read Me'!$E$2/86400,"Fully attended","Partially attended"))</x:f>
        <x:v>Fully attended</x:v>
      </x:c>
      <x:c r="K430" s="131" t="str">
        <x:f>IF($D430="","No",IF(COUNTIF('Attendance Report - Option 1'!$P$11:$P$315,$D430)&gt;0,"Yes","No"))</x:f>
        <x:v>Yes</x:v>
      </x:c>
      <x:c r="L430" s="131" t="str">
        <x:f>IF($D430="","No",IF(COUNTIF('Attendance Report - Option 2'!$P$11:$P$412,$D430)&gt;0,"Yes","No"))</x:f>
        <x:v>No</x:v>
      </x:c>
    </x:row>
    <x:row r="431">
      <x:c r="A431" s="16" t="str">
        <x:f>'EMA Assurance Employee List'!A432</x:f>
        <x:v>Victor Kibet</x:v>
      </x:c>
      <x:c r="B431" s="16" t="str">
        <x:f>IF(C431="KE","Kenya",IF(C431="UG","Uganda",IF(C431="MU","Mauritius",IF(C431="TZ","Tanzania",IF(C431="RW","Rwanda",IF(C431="ZA","South Africa",IF(C431="ZM","Zambia","")))))))</x:f>
        <x:v>Kenya</x:v>
      </x:c>
      <x:c r="C431" s="16" t="str">
        <x:f>'EMA Assurance Employee List'!B432</x:f>
        <x:v>KE</x:v>
      </x:c>
      <x:c r="D431" s="16" t="str">
        <x:f>'EMA Assurance Employee List'!D432</x:f>
        <x:v>victor.kibet@pwc.com</x:v>
      </x:c>
      <x:c r="E431" s="130" t="n">
        <x:f>IF($D431="",0,SUMIF('Attendance Report - Option 1'!$P$11:$P$315,$D431,'Attendance Report - Option 1'!$Q$11:$Q$315)/86400)</x:f>
        <x:v>0.03615740740740741</x:v>
      </x:c>
      <x:c r="F431" s="131" t="str">
        <x:f>IF(E431=0,"Did not attend",IF(E431&gt;='Read Me'!$E$2/86400,"Fully attended","Partially attended"))</x:f>
        <x:v>Partially attended</x:v>
      </x:c>
      <x:c r="G431" s="130" t="n">
        <x:f>IF($D431="",0,SUMIF('Attendance Report - Option 2'!$P$11:$P$412,$D431,'Attendance Report - Option 2'!$Q$11:$Q$412)/86400)</x:f>
        <x:v>0</x:v>
      </x:c>
      <x:c r="H431" s="131" t="str">
        <x:f>IF(G431=0,"Did not attend",IF(G431&gt;='Read Me'!$E$2/86400,"Fully attended","Partially attended"))</x:f>
        <x:v>Did not attend</x:v>
      </x:c>
      <x:c r="I431" s="130" t="n">
        <x:f>E431+G431</x:f>
        <x:v>0.03615740740740741</x:v>
      </x:c>
      <x:c r="J431" s="131" t="str">
        <x:f>IF(I431=0,"Did not attend",IF(I431&gt;='Read Me'!$E$2/86400,"Fully attended","Partially attended"))</x:f>
        <x:v>Partially attended</x:v>
      </x:c>
      <x:c r="K431" s="131" t="str">
        <x:f>IF($D431="","No",IF(COUNTIF('Attendance Report - Option 1'!$P$11:$P$315,$D431)&gt;0,"Yes","No"))</x:f>
        <x:v>Yes</x:v>
      </x:c>
      <x:c r="L431" s="131" t="str">
        <x:f>IF($D431="","No",IF(COUNTIF('Attendance Report - Option 2'!$P$11:$P$412,$D431)&gt;0,"Yes","No"))</x:f>
        <x:v>No</x:v>
      </x:c>
    </x:row>
    <x:row r="432">
      <x:c r="A432" s="16" t="str">
        <x:f>'EMA Assurance Employee List'!A433</x:f>
        <x:v>Victor Rotich</x:v>
      </x:c>
      <x:c r="B432" s="16" t="str">
        <x:f>IF(C432="KE","Kenya",IF(C432="UG","Uganda",IF(C432="MU","Mauritius",IF(C432="TZ","Tanzania",IF(C432="RW","Rwanda",IF(C432="ZA","South Africa",IF(C432="ZM","Zambia","")))))))</x:f>
        <x:v>Kenya</x:v>
      </x:c>
      <x:c r="C432" s="16" t="str">
        <x:f>'EMA Assurance Employee List'!B433</x:f>
        <x:v>KE</x:v>
      </x:c>
      <x:c r="D432" s="16" t="str">
        <x:f>'EMA Assurance Employee List'!D433</x:f>
        <x:v>victor.rotich@pwc.com</x:v>
      </x:c>
      <x:c r="E432" s="130" t="n">
        <x:f>IF($D432="",0,SUMIF('Attendance Report - Option 1'!$P$11:$P$315,$D432,'Attendance Report - Option 1'!$Q$11:$Q$315)/86400)</x:f>
        <x:v>0.11216435185185185</x:v>
      </x:c>
      <x:c r="F432" s="131" t="str">
        <x:f>IF(E432=0,"Did not attend",IF(E432&gt;='Read Me'!$E$2/86400,"Fully attended","Partially attended"))</x:f>
        <x:v>Fully attended</x:v>
      </x:c>
      <x:c r="G432" s="130" t="n">
        <x:f>IF($D432="",0,SUMIF('Attendance Report - Option 2'!$P$11:$P$412,$D432,'Attendance Report - Option 2'!$Q$11:$Q$412)/86400)</x:f>
        <x:v>0</x:v>
      </x:c>
      <x:c r="H432" s="131" t="str">
        <x:f>IF(G432=0,"Did not attend",IF(G432&gt;='Read Me'!$E$2/86400,"Fully attended","Partially attended"))</x:f>
        <x:v>Did not attend</x:v>
      </x:c>
      <x:c r="I432" s="130" t="n">
        <x:f>E432+G432</x:f>
        <x:v>0.11216435185185185</x:v>
      </x:c>
      <x:c r="J432" s="131" t="str">
        <x:f>IF(I432=0,"Did not attend",IF(I432&gt;='Read Me'!$E$2/86400,"Fully attended","Partially attended"))</x:f>
        <x:v>Fully attended</x:v>
      </x:c>
      <x:c r="K432" s="131" t="str">
        <x:f>IF($D432="","No",IF(COUNTIF('Attendance Report - Option 1'!$P$11:$P$315,$D432)&gt;0,"Yes","No"))</x:f>
        <x:v>Yes</x:v>
      </x:c>
      <x:c r="L432" s="131" t="str">
        <x:f>IF($D432="","No",IF(COUNTIF('Attendance Report - Option 2'!$P$11:$P$412,$D432)&gt;0,"Yes","No"))</x:f>
        <x:v>No</x:v>
      </x:c>
    </x:row>
    <x:row r="433">
      <x:c r="A433" s="16" t="str">
        <x:f>'EMA Assurance Employee List'!A434</x:f>
        <x:v>Victoria Makori</x:v>
      </x:c>
      <x:c r="B433" s="16" t="str">
        <x:f>IF(C433="KE","Kenya",IF(C433="UG","Uganda",IF(C433="MU","Mauritius",IF(C433="TZ","Tanzania",IF(C433="RW","Rwanda",IF(C433="ZA","South Africa",IF(C433="ZM","Zambia","")))))))</x:f>
        <x:v>Kenya</x:v>
      </x:c>
      <x:c r="C433" s="16" t="str">
        <x:f>'EMA Assurance Employee List'!B434</x:f>
        <x:v>KE</x:v>
      </x:c>
      <x:c r="D433" s="16" t="str">
        <x:f>'EMA Assurance Employee List'!D434</x:f>
        <x:v>victoria.makori@pwc.com</x:v>
      </x:c>
      <x:c r="E433" s="130" t="n">
        <x:f>IF($D433="",0,SUMIF('Attendance Report - Option 1'!$P$11:$P$315,$D433,'Attendance Report - Option 1'!$Q$11:$Q$315)/86400)</x:f>
        <x:v>0.08606481481481482</x:v>
      </x:c>
      <x:c r="F433" s="131" t="str">
        <x:f>IF(E433=0,"Did not attend",IF(E433&gt;='Read Me'!$E$2/86400,"Fully attended","Partially attended"))</x:f>
        <x:v>Fully attended</x:v>
      </x:c>
      <x:c r="G433" s="130" t="n">
        <x:f>IF($D433="",0,SUMIF('Attendance Report - Option 2'!$P$11:$P$412,$D433,'Attendance Report - Option 2'!$Q$11:$Q$412)/86400)</x:f>
        <x:v>0</x:v>
      </x:c>
      <x:c r="H433" s="131" t="str">
        <x:f>IF(G433=0,"Did not attend",IF(G433&gt;='Read Me'!$E$2/86400,"Fully attended","Partially attended"))</x:f>
        <x:v>Did not attend</x:v>
      </x:c>
      <x:c r="I433" s="130" t="n">
        <x:f>E433+G433</x:f>
        <x:v>0.08606481481481482</x:v>
      </x:c>
      <x:c r="J433" s="131" t="str">
        <x:f>IF(I433=0,"Did not attend",IF(I433&gt;='Read Me'!$E$2/86400,"Fully attended","Partially attended"))</x:f>
        <x:v>Fully attended</x:v>
      </x:c>
      <x:c r="K433" s="131" t="str">
        <x:f>IF($D433="","No",IF(COUNTIF('Attendance Report - Option 1'!$P$11:$P$315,$D433)&gt;0,"Yes","No"))</x:f>
        <x:v>Yes</x:v>
      </x:c>
      <x:c r="L433" s="131" t="str">
        <x:f>IF($D433="","No",IF(COUNTIF('Attendance Report - Option 2'!$P$11:$P$412,$D433)&gt;0,"Yes","No"))</x:f>
        <x:v>No</x:v>
      </x:c>
    </x:row>
    <x:row r="434">
      <x:c r="A434" s="16" t="str">
        <x:f>'EMA Assurance Employee List'!A435</x:f>
        <x:v>Wandia Gitonga</x:v>
      </x:c>
      <x:c r="B434" s="16" t="str">
        <x:f>IF(C434="KE","Kenya",IF(C434="UG","Uganda",IF(C434="MU","Mauritius",IF(C434="TZ","Tanzania",IF(C434="RW","Rwanda",IF(C434="ZA","South Africa",IF(C434="ZM","Zambia","")))))))</x:f>
        <x:v>Kenya</x:v>
      </x:c>
      <x:c r="C434" s="16" t="str">
        <x:f>'EMA Assurance Employee List'!B435</x:f>
        <x:v>KE</x:v>
      </x:c>
      <x:c r="D434" s="16" t="str">
        <x:f>'EMA Assurance Employee List'!D435</x:f>
        <x:v>wandia.gitonga@pwc.com</x:v>
      </x:c>
      <x:c r="E434" s="130" t="n">
        <x:f>IF($D434="",0,SUMIF('Attendance Report - Option 1'!$P$11:$P$315,$D434,'Attendance Report - Option 1'!$Q$11:$Q$315)/86400)</x:f>
        <x:v>0.08157407407407408</x:v>
      </x:c>
      <x:c r="F434" s="131" t="str">
        <x:f>IF(E434=0,"Did not attend",IF(E434&gt;='Read Me'!$E$2/86400,"Fully attended","Partially attended"))</x:f>
        <x:v>Fully attended</x:v>
      </x:c>
      <x:c r="G434" s="130" t="n">
        <x:f>IF($D434="",0,SUMIF('Attendance Report - Option 2'!$P$11:$P$412,$D434,'Attendance Report - Option 2'!$Q$11:$Q$412)/86400)</x:f>
        <x:v>0</x:v>
      </x:c>
      <x:c r="H434" s="131" t="str">
        <x:f>IF(G434=0,"Did not attend",IF(G434&gt;='Read Me'!$E$2/86400,"Fully attended","Partially attended"))</x:f>
        <x:v>Did not attend</x:v>
      </x:c>
      <x:c r="I434" s="130" t="n">
        <x:f>E434+G434</x:f>
        <x:v>0.08157407407407408</x:v>
      </x:c>
      <x:c r="J434" s="131" t="str">
        <x:f>IF(I434=0,"Did not attend",IF(I434&gt;='Read Me'!$E$2/86400,"Fully attended","Partially attended"))</x:f>
        <x:v>Fully attended</x:v>
      </x:c>
      <x:c r="K434" s="131" t="str">
        <x:f>IF($D434="","No",IF(COUNTIF('Attendance Report - Option 1'!$P$11:$P$315,$D434)&gt;0,"Yes","No"))</x:f>
        <x:v>Yes</x:v>
      </x:c>
      <x:c r="L434" s="131" t="str">
        <x:f>IF($D434="","No",IF(COUNTIF('Attendance Report - Option 2'!$P$11:$P$412,$D434)&gt;0,"Yes","No"))</x:f>
        <x:v>No</x:v>
      </x:c>
    </x:row>
    <x:row r="435">
      <x:c r="A435" s="16" t="str">
        <x:f>'EMA Assurance Employee List'!A436</x:f>
        <x:v>Warren Atugonza</x:v>
      </x:c>
      <x:c r="B435" s="16" t="str">
        <x:f>IF(C435="KE","Kenya",IF(C435="UG","Uganda",IF(C435="MU","Mauritius",IF(C435="TZ","Tanzania",IF(C435="RW","Rwanda",IF(C435="ZA","South Africa",IF(C435="ZM","Zambia","")))))))</x:f>
        <x:v>Uganda</x:v>
      </x:c>
      <x:c r="C435" s="16" t="str">
        <x:f>'EMA Assurance Employee List'!B436</x:f>
        <x:v>UG</x:v>
      </x:c>
      <x:c r="D435" s="16" t="str">
        <x:f>'EMA Assurance Employee List'!D436</x:f>
        <x:v>warren.atugonza@pwc.com</x:v>
      </x:c>
      <x:c r="E435" s="130" t="n">
        <x:f>IF($D435="",0,SUMIF('Attendance Report - Option 1'!$P$11:$P$315,$D435,'Attendance Report - Option 1'!$Q$11:$Q$315)/86400)</x:f>
        <x:v>0.0859837962962963</x:v>
      </x:c>
      <x:c r="F435" s="131" t="str">
        <x:f>IF(E435=0,"Did not attend",IF(E435&gt;='Read Me'!$E$2/86400,"Fully attended","Partially attended"))</x:f>
        <x:v>Fully attended</x:v>
      </x:c>
      <x:c r="G435" s="130" t="n">
        <x:f>IF($D435="",0,SUMIF('Attendance Report - Option 2'!$P$11:$P$412,$D435,'Attendance Report - Option 2'!$Q$11:$Q$412)/86400)</x:f>
        <x:v>0</x:v>
      </x:c>
      <x:c r="H435" s="131" t="str">
        <x:f>IF(G435=0,"Did not attend",IF(G435&gt;='Read Me'!$E$2/86400,"Fully attended","Partially attended"))</x:f>
        <x:v>Did not attend</x:v>
      </x:c>
      <x:c r="I435" s="130" t="n">
        <x:f>E435+G435</x:f>
        <x:v>0.0859837962962963</x:v>
      </x:c>
      <x:c r="J435" s="131" t="str">
        <x:f>IF(I435=0,"Did not attend",IF(I435&gt;='Read Me'!$E$2/86400,"Fully attended","Partially attended"))</x:f>
        <x:v>Fully attended</x:v>
      </x:c>
      <x:c r="K435" s="131" t="str">
        <x:f>IF($D435="","No",IF(COUNTIF('Attendance Report - Option 1'!$P$11:$P$315,$D435)&gt;0,"Yes","No"))</x:f>
        <x:v>Yes</x:v>
      </x:c>
      <x:c r="L435" s="131" t="str">
        <x:f>IF($D435="","No",IF(COUNTIF('Attendance Report - Option 2'!$P$11:$P$412,$D435)&gt;0,"Yes","No"))</x:f>
        <x:v>No</x:v>
      </x:c>
    </x:row>
    <x:row r="436">
      <x:c r="A436" s="16" t="str">
        <x:f>'EMA Assurance Employee List'!A437</x:f>
        <x:v>Washington Ochako</x:v>
      </x:c>
      <x:c r="B436" s="16" t="str">
        <x:f>IF(C436="KE","Kenya",IF(C436="UG","Uganda",IF(C436="MU","Mauritius",IF(C436="TZ","Tanzania",IF(C436="RW","Rwanda",IF(C436="ZA","South Africa",IF(C436="ZM","Zambia","")))))))</x:f>
        <x:v>Kenya</x:v>
      </x:c>
      <x:c r="C436" s="16" t="str">
        <x:f>'EMA Assurance Employee List'!B437</x:f>
        <x:v>KE</x:v>
      </x:c>
      <x:c r="D436" s="16" t="str">
        <x:f>'EMA Assurance Employee List'!D437</x:f>
        <x:v>washington.ochako@pwc.com</x:v>
      </x:c>
      <x:c r="E436" s="130" t="n">
        <x:f>IF($D436="",0,SUMIF('Attendance Report - Option 1'!$P$11:$P$315,$D436,'Attendance Report - Option 1'!$Q$11:$Q$315)/86400)</x:f>
        <x:v>0</x:v>
      </x:c>
      <x:c r="F436" s="131" t="str">
        <x:f>IF(E436=0,"Did not attend",IF(E436&gt;='Read Me'!$E$2/86400,"Fully attended","Partially attended"))</x:f>
        <x:v>Did not attend</x:v>
      </x:c>
      <x:c r="G436" s="130" t="n">
        <x:f>IF($D436="",0,SUMIF('Attendance Report - Option 2'!$P$11:$P$412,$D436,'Attendance Report - Option 2'!$Q$11:$Q$412)/86400)</x:f>
        <x:v>0.03601851851851852</x:v>
      </x:c>
      <x:c r="H436" s="131" t="str">
        <x:f>IF(G436=0,"Did not attend",IF(G436&gt;='Read Me'!$E$2/86400,"Fully attended","Partially attended"))</x:f>
        <x:v>Partially attended</x:v>
      </x:c>
      <x:c r="I436" s="130" t="n">
        <x:f>E436+G436</x:f>
        <x:v>0.03601851851851852</x:v>
      </x:c>
      <x:c r="J436" s="131" t="str">
        <x:f>IF(I436=0,"Did not attend",IF(I436&gt;='Read Me'!$E$2/86400,"Fully attended","Partially attended"))</x:f>
        <x:v>Partially attended</x:v>
      </x:c>
      <x:c r="K436" s="131" t="str">
        <x:f>IF($D436="","No",IF(COUNTIF('Attendance Report - Option 1'!$P$11:$P$315,$D436)&gt;0,"Yes","No"))</x:f>
        <x:v>No</x:v>
      </x:c>
      <x:c r="L436" s="131" t="str">
        <x:f>IF($D436="","No",IF(COUNTIF('Attendance Report - Option 2'!$P$11:$P$412,$D436)&gt;0,"Yes","No"))</x:f>
        <x:v>Yes</x:v>
      </x:c>
    </x:row>
    <x:row r="437">
      <x:c r="A437" s="16" t="str">
        <x:f>'EMA Assurance Employee List'!A438</x:f>
        <x:v>Wendy Mwiti</x:v>
      </x:c>
      <x:c r="B437" s="16" t="str">
        <x:f>IF(C437="KE","Kenya",IF(C437="UG","Uganda",IF(C437="MU","Mauritius",IF(C437="TZ","Tanzania",IF(C437="RW","Rwanda",IF(C437="ZA","South Africa",IF(C437="ZM","Zambia","")))))))</x:f>
        <x:v>Kenya</x:v>
      </x:c>
      <x:c r="C437" s="16" t="str">
        <x:f>'EMA Assurance Employee List'!B438</x:f>
        <x:v>KE</x:v>
      </x:c>
      <x:c r="D437" s="16" t="str">
        <x:f>'EMA Assurance Employee List'!D438</x:f>
        <x:v>wendy.mwiti@pwc.com</x:v>
      </x:c>
      <x:c r="E437" s="130" t="n">
        <x:f>IF($D437="",0,SUMIF('Attendance Report - Option 1'!$P$11:$P$315,$D437,'Attendance Report - Option 1'!$Q$11:$Q$315)/86400)</x:f>
        <x:v>0.07704861111111111</x:v>
      </x:c>
      <x:c r="F437" s="131" t="str">
        <x:f>IF(E437=0,"Did not attend",IF(E437&gt;='Read Me'!$E$2/86400,"Fully attended","Partially attended"))</x:f>
        <x:v>Fully attended</x:v>
      </x:c>
      <x:c r="G437" s="130" t="n">
        <x:f>IF($D437="",0,SUMIF('Attendance Report - Option 2'!$P$11:$P$412,$D437,'Attendance Report - Option 2'!$Q$11:$Q$412)/86400)</x:f>
        <x:v>0</x:v>
      </x:c>
      <x:c r="H437" s="131" t="str">
        <x:f>IF(G437=0,"Did not attend",IF(G437&gt;='Read Me'!$E$2/86400,"Fully attended","Partially attended"))</x:f>
        <x:v>Did not attend</x:v>
      </x:c>
      <x:c r="I437" s="130" t="n">
        <x:f>E437+G437</x:f>
        <x:v>0.07704861111111111</x:v>
      </x:c>
      <x:c r="J437" s="131" t="str">
        <x:f>IF(I437=0,"Did not attend",IF(I437&gt;='Read Me'!$E$2/86400,"Fully attended","Partially attended"))</x:f>
        <x:v>Fully attended</x:v>
      </x:c>
      <x:c r="K437" s="131" t="str">
        <x:f>IF($D437="","No",IF(COUNTIF('Attendance Report - Option 1'!$P$11:$P$315,$D437)&gt;0,"Yes","No"))</x:f>
        <x:v>Yes</x:v>
      </x:c>
      <x:c r="L437" s="131" t="str">
        <x:f>IF($D437="","No",IF(COUNTIF('Attendance Report - Option 2'!$P$11:$P$412,$D437)&gt;0,"Yes","No"))</x:f>
        <x:v>No</x:v>
      </x:c>
    </x:row>
    <x:row r="438">
      <x:c r="A438" s="16" t="str">
        <x:f>'EMA Assurance Employee List'!A439</x:f>
        <x:v>Wezi Gondwe</x:v>
      </x:c>
      <x:c r="B438" s="16" t="str">
        <x:f>IF(C438="KE","Kenya",IF(C438="UG","Uganda",IF(C438="MU","Mauritius",IF(C438="TZ","Tanzania",IF(C438="RW","Rwanda",IF(C438="ZA","South Africa",IF(C438="ZM","Zambia","")))))))</x:f>
        <x:v>Zambia</x:v>
      </x:c>
      <x:c r="C438" s="16" t="str">
        <x:f>'EMA Assurance Employee List'!B439</x:f>
        <x:v>ZM</x:v>
      </x:c>
      <x:c r="D438" s="16" t="str">
        <x:f>'EMA Assurance Employee List'!D439</x:f>
        <x:v>wezi.gondwe@pwc.com</x:v>
      </x:c>
      <x:c r="E438" s="130" t="n">
        <x:f>IF($D438="",0,SUMIF('Attendance Report - Option 1'!$P$11:$P$315,$D438,'Attendance Report - Option 1'!$Q$11:$Q$315)/86400)</x:f>
        <x:v>0</x:v>
      </x:c>
      <x:c r="F438" s="131" t="str">
        <x:f>IF(E438=0,"Did not attend",IF(E438&gt;='Read Me'!$E$2/86400,"Fully attended","Partially attended"))</x:f>
        <x:v>Did not attend</x:v>
      </x:c>
      <x:c r="G438" s="130" t="n">
        <x:f>IF($D438="",0,SUMIF('Attendance Report - Option 2'!$P$11:$P$412,$D438,'Attendance Report - Option 2'!$Q$11:$Q$412)/86400)</x:f>
        <x:v>0.022581018518518518</x:v>
      </x:c>
      <x:c r="H438" s="131" t="str">
        <x:f>IF(G438=0,"Did not attend",IF(G438&gt;='Read Me'!$E$2/86400,"Fully attended","Partially attended"))</x:f>
        <x:v>Partially attended</x:v>
      </x:c>
      <x:c r="I438" s="130" t="n">
        <x:f>E438+G438</x:f>
        <x:v>0.022581018518518518</x:v>
      </x:c>
      <x:c r="J438" s="131" t="str">
        <x:f>IF(I438=0,"Did not attend",IF(I438&gt;='Read Me'!$E$2/86400,"Fully attended","Partially attended"))</x:f>
        <x:v>Partially attended</x:v>
      </x:c>
      <x:c r="K438" s="131" t="str">
        <x:f>IF($D438="","No",IF(COUNTIF('Attendance Report - Option 1'!$P$11:$P$315,$D438)&gt;0,"Yes","No"))</x:f>
        <x:v>No</x:v>
      </x:c>
      <x:c r="L438" s="131" t="str">
        <x:f>IF($D438="","No",IF(COUNTIF('Attendance Report - Option 2'!$P$11:$P$412,$D438)&gt;0,"Yes","No"))</x:f>
        <x:v>Yes</x:v>
      </x:c>
    </x:row>
    <x:row r="439">
      <x:c r="A439" s="16" t="str">
        <x:f>'EMA Assurance Employee List'!A440</x:f>
        <x:v>Willie Kimaro</x:v>
      </x:c>
      <x:c r="B439" s="16" t="str">
        <x:f>IF(C439="KE","Kenya",IF(C439="UG","Uganda",IF(C439="MU","Mauritius",IF(C439="TZ","Tanzania",IF(C439="RW","Rwanda",IF(C439="ZA","South Africa",IF(C439="ZM","Zambia","")))))))</x:f>
        <x:v>Tanzania</x:v>
      </x:c>
      <x:c r="C439" s="16" t="str">
        <x:f>'EMA Assurance Employee List'!B440</x:f>
        <x:v>TZ</x:v>
      </x:c>
      <x:c r="D439" s="16" t="str">
        <x:f>'EMA Assurance Employee List'!D440</x:f>
        <x:v>willie.w.kimaro@pwc.com</x:v>
      </x:c>
      <x:c r="E439" s="130" t="n">
        <x:f>IF($D439="",0,SUMIF('Attendance Report - Option 1'!$P$11:$P$315,$D439,'Attendance Report - Option 1'!$Q$11:$Q$315)/86400)</x:f>
        <x:v>0.0817361111111111</x:v>
      </x:c>
      <x:c r="F439" s="131" t="str">
        <x:f>IF(E439=0,"Did not attend",IF(E439&gt;='Read Me'!$E$2/86400,"Fully attended","Partially attended"))</x:f>
        <x:v>Fully attended</x:v>
      </x:c>
      <x:c r="G439" s="130" t="n">
        <x:f>IF($D439="",0,SUMIF('Attendance Report - Option 2'!$P$11:$P$412,$D439,'Attendance Report - Option 2'!$Q$11:$Q$412)/86400)</x:f>
        <x:v>0</x:v>
      </x:c>
      <x:c r="H439" s="131" t="str">
        <x:f>IF(G439=0,"Did not attend",IF(G439&gt;='Read Me'!$E$2/86400,"Fully attended","Partially attended"))</x:f>
        <x:v>Did not attend</x:v>
      </x:c>
      <x:c r="I439" s="130" t="n">
        <x:f>E439+G439</x:f>
        <x:v>0.0817361111111111</x:v>
      </x:c>
      <x:c r="J439" s="131" t="str">
        <x:f>IF(I439=0,"Did not attend",IF(I439&gt;='Read Me'!$E$2/86400,"Fully attended","Partially attended"))</x:f>
        <x:v>Fully attended</x:v>
      </x:c>
      <x:c r="K439" s="131" t="str">
        <x:f>IF($D439="","No",IF(COUNTIF('Attendance Report - Option 1'!$P$11:$P$315,$D439)&gt;0,"Yes","No"))</x:f>
        <x:v>Yes</x:v>
      </x:c>
      <x:c r="L439" s="131" t="str">
        <x:f>IF($D439="","No",IF(COUNTIF('Attendance Report - Option 2'!$P$11:$P$412,$D439)&gt;0,"Yes","No"))</x:f>
        <x:v>No</x:v>
      </x:c>
    </x:row>
    <x:row r="440">
      <x:c r="A440" s="16" t="str">
        <x:f>'EMA Assurance Employee List'!A441</x:f>
        <x:v>Yavish Yallappa</x:v>
      </x:c>
      <x:c r="B440" s="16" t="str">
        <x:f>IF(C440="KE","Kenya",IF(C440="UG","Uganda",IF(C440="MU","Mauritius",IF(C440="TZ","Tanzania",IF(C440="RW","Rwanda",IF(C440="ZA","South Africa",IF(C440="ZM","Zambia","")))))))</x:f>
        <x:v>Mauritius</x:v>
      </x:c>
      <x:c r="C440" s="16" t="str">
        <x:f>'EMA Assurance Employee List'!B441</x:f>
        <x:v>MU</x:v>
      </x:c>
      <x:c r="D440" s="16" t="str">
        <x:f>'EMA Assurance Employee List'!D441</x:f>
        <x:v>yavish.yallappa@pwc.com</x:v>
      </x:c>
      <x:c r="E440" s="130" t="n">
        <x:f>IF($D440="",0,SUMIF('Attendance Report - Option 1'!$P$11:$P$315,$D440,'Attendance Report - Option 1'!$Q$11:$Q$315)/86400)</x:f>
        <x:v>0</x:v>
      </x:c>
      <x:c r="F440" s="131" t="str">
        <x:f>IF(E440=0,"Did not attend",IF(E440&gt;='Read Me'!$E$2/86400,"Fully attended","Partially attended"))</x:f>
        <x:v>Did not attend</x:v>
      </x:c>
      <x:c r="G440" s="130" t="n">
        <x:f>IF($D440="",0,SUMIF('Attendance Report - Option 2'!$P$11:$P$412,$D440,'Attendance Report - Option 2'!$Q$11:$Q$412)/86400)</x:f>
        <x:v>0.0712037037037037</x:v>
      </x:c>
      <x:c r="H440" s="131" t="str">
        <x:f>IF(G440=0,"Did not attend",IF(G440&gt;='Read Me'!$E$2/86400,"Fully attended","Partially attended"))</x:f>
        <x:v>Fully attended</x:v>
      </x:c>
      <x:c r="I440" s="130" t="n">
        <x:f>E440+G440</x:f>
        <x:v>0.0712037037037037</x:v>
      </x:c>
      <x:c r="J440" s="131" t="str">
        <x:f>IF(I440=0,"Did not attend",IF(I440&gt;='Read Me'!$E$2/86400,"Fully attended","Partially attended"))</x:f>
        <x:v>Fully attended</x:v>
      </x:c>
      <x:c r="K440" s="131" t="str">
        <x:f>IF($D440="","No",IF(COUNTIF('Attendance Report - Option 1'!$P$11:$P$315,$D440)&gt;0,"Yes","No"))</x:f>
        <x:v>No</x:v>
      </x:c>
      <x:c r="L440" s="131" t="str">
        <x:f>IF($D440="","No",IF(COUNTIF('Attendance Report - Option 2'!$P$11:$P$412,$D440)&gt;0,"Yes","No"))</x:f>
        <x:v>Yes</x:v>
      </x:c>
    </x:row>
    <x:row r="441">
      <x:c r="A441" s="16" t="str">
        <x:f>'EMA Assurance Employee List'!A442</x:f>
        <x:v>Yesha Dwarka</x:v>
      </x:c>
      <x:c r="B441" s="16" t="str">
        <x:f>IF(C441="KE","Kenya",IF(C441="UG","Uganda",IF(C441="MU","Mauritius",IF(C441="TZ","Tanzania",IF(C441="RW","Rwanda",IF(C441="ZA","South Africa",IF(C441="ZM","Zambia","")))))))</x:f>
        <x:v>Mauritius</x:v>
      </x:c>
      <x:c r="C441" s="16" t="str">
        <x:f>'EMA Assurance Employee List'!B442</x:f>
        <x:v>MU</x:v>
      </x:c>
      <x:c r="D441" s="16" t="str">
        <x:f>'EMA Assurance Employee List'!D442</x:f>
        <x:v>yesha.dwarka@pwc.com</x:v>
      </x:c>
      <x:c r="E441" s="130" t="n">
        <x:f>IF($D441="",0,SUMIF('Attendance Report - Option 1'!$P$11:$P$315,$D441,'Attendance Report - Option 1'!$Q$11:$Q$315)/86400)</x:f>
        <x:v>0</x:v>
      </x:c>
      <x:c r="F441" s="131" t="str">
        <x:f>IF(E441=0,"Did not attend",IF(E441&gt;='Read Me'!$E$2/86400,"Fully attended","Partially attended"))</x:f>
        <x:v>Did not attend</x:v>
      </x:c>
      <x:c r="G441" s="130" t="n">
        <x:f>IF($D441="",0,SUMIF('Attendance Report - Option 2'!$P$11:$P$412,$D441,'Attendance Report - Option 2'!$Q$11:$Q$412)/86400)</x:f>
        <x:v>0.060405092592592594</x:v>
      </x:c>
      <x:c r="H441" s="131" t="str">
        <x:f>IF(G441=0,"Did not attend",IF(G441&gt;='Read Me'!$E$2/86400,"Fully attended","Partially attended"))</x:f>
        <x:v>Partially attended</x:v>
      </x:c>
      <x:c r="I441" s="130" t="n">
        <x:f>E441+G441</x:f>
        <x:v>0.060405092592592594</x:v>
      </x:c>
      <x:c r="J441" s="131" t="str">
        <x:f>IF(I441=0,"Did not attend",IF(I441&gt;='Read Me'!$E$2/86400,"Fully attended","Partially attended"))</x:f>
        <x:v>Partially attended</x:v>
      </x:c>
      <x:c r="K441" s="131" t="str">
        <x:f>IF($D441="","No",IF(COUNTIF('Attendance Report - Option 1'!$P$11:$P$315,$D441)&gt;0,"Yes","No"))</x:f>
        <x:v>No</x:v>
      </x:c>
      <x:c r="L441" s="131" t="str">
        <x:f>IF($D441="","No",IF(COUNTIF('Attendance Report - Option 2'!$P$11:$P$412,$D441)&gt;0,"Yes","No"))</x:f>
        <x:v>Yes</x:v>
      </x:c>
    </x:row>
    <x:row r="442">
      <x:c r="A442" s="16" t="str">
        <x:f>'EMA Assurance Employee List'!A443</x:f>
        <x:v>Yeshlin Govender</x:v>
      </x:c>
      <x:c r="B442" s="16" t="str">
        <x:f>IF(C442="KE","Kenya",IF(C442="UG","Uganda",IF(C442="MU","Mauritius",IF(C442="TZ","Tanzania",IF(C442="RW","Rwanda",IF(C442="ZA","South Africa",IF(C442="ZM","Zambia","")))))))</x:f>
        <x:v>South Africa</x:v>
      </x:c>
      <x:c r="C442" s="16" t="str">
        <x:f>'EMA Assurance Employee List'!B443</x:f>
        <x:v>ZA</x:v>
      </x:c>
      <x:c r="D442" s="16" t="str">
        <x:f>'EMA Assurance Employee List'!D443</x:f>
        <x:v>yeshlin.govender@pwc.com</x:v>
      </x:c>
      <x:c r="E442" s="130" t="n">
        <x:f>IF($D442="",0,SUMIF('Attendance Report - Option 1'!$P$11:$P$315,$D442,'Attendance Report - Option 1'!$Q$11:$Q$315)/86400)</x:f>
        <x:v>0</x:v>
      </x:c>
      <x:c r="F442" s="131" t="str">
        <x:f>IF(E442=0,"Did not attend",IF(E442&gt;='Read Me'!$E$2/86400,"Fully attended","Partially attended"))</x:f>
        <x:v>Did not attend</x:v>
      </x:c>
      <x:c r="G442" s="130" t="n">
        <x:f>IF($D442="",0,SUMIF('Attendance Report - Option 2'!$P$11:$P$412,$D442,'Attendance Report - Option 2'!$Q$11:$Q$412)/86400)</x:f>
        <x:v>0.06163194444444445</x:v>
      </x:c>
      <x:c r="H442" s="131" t="str">
        <x:f>IF(G442=0,"Did not attend",IF(G442&gt;='Read Me'!$E$2/86400,"Fully attended","Partially attended"))</x:f>
        <x:v>Partially attended</x:v>
      </x:c>
      <x:c r="I442" s="130" t="n">
        <x:f>E442+G442</x:f>
        <x:v>0.06163194444444445</x:v>
      </x:c>
      <x:c r="J442" s="131" t="str">
        <x:f>IF(I442=0,"Did not attend",IF(I442&gt;='Read Me'!$E$2/86400,"Fully attended","Partially attended"))</x:f>
        <x:v>Partially attended</x:v>
      </x:c>
      <x:c r="K442" s="131" t="str">
        <x:f>IF($D442="","No",IF(COUNTIF('Attendance Report - Option 1'!$P$11:$P$315,$D442)&gt;0,"Yes","No"))</x:f>
        <x:v>No</x:v>
      </x:c>
      <x:c r="L442" s="131" t="str">
        <x:f>IF($D442="","No",IF(COUNTIF('Attendance Report - Option 2'!$P$11:$P$412,$D442)&gt;0,"Yes","No"))</x:f>
        <x:v>Yes</x:v>
      </x:c>
    </x:row>
    <x:row r="443">
      <x:c r="A443" s="16" t="str">
        <x:f>'EMA Assurance Employee List'!A444</x:f>
        <x:v>Yeshwant Seebaluck</x:v>
      </x:c>
      <x:c r="B443" s="16" t="str">
        <x:f>IF(C443="KE","Kenya",IF(C443="UG","Uganda",IF(C443="MU","Mauritius",IF(C443="TZ","Tanzania",IF(C443="RW","Rwanda",IF(C443="ZA","South Africa",IF(C443="ZM","Zambia","")))))))</x:f>
        <x:v>Mauritius</x:v>
      </x:c>
      <x:c r="C443" s="16" t="str">
        <x:f>'EMA Assurance Employee List'!B444</x:f>
        <x:v>MU</x:v>
      </x:c>
      <x:c r="D443" s="16" t="str">
        <x:f>'EMA Assurance Employee List'!D444</x:f>
        <x:v>yeshwant.seebaluck@pwc.com</x:v>
      </x:c>
      <x:c r="E443" s="130" t="n">
        <x:f>IF($D443="",0,SUMIF('Attendance Report - Option 1'!$P$11:$P$315,$D443,'Attendance Report - Option 1'!$Q$11:$Q$315)/86400)</x:f>
        <x:v>0</x:v>
      </x:c>
      <x:c r="F443" s="131" t="str">
        <x:f>IF(E443=0,"Did not attend",IF(E443&gt;='Read Me'!$E$2/86400,"Fully attended","Partially attended"))</x:f>
        <x:v>Did not attend</x:v>
      </x:c>
      <x:c r="G443" s="130" t="n">
        <x:f>IF($D443="",0,SUMIF('Attendance Report - Option 2'!$P$11:$P$412,$D443,'Attendance Report - Option 2'!$Q$11:$Q$412)/86400)</x:f>
        <x:v>0.08282407407407408</x:v>
      </x:c>
      <x:c r="H443" s="131" t="str">
        <x:f>IF(G443=0,"Did not attend",IF(G443&gt;='Read Me'!$E$2/86400,"Fully attended","Partially attended"))</x:f>
        <x:v>Fully attended</x:v>
      </x:c>
      <x:c r="I443" s="130" t="n">
        <x:f>E443+G443</x:f>
        <x:v>0.08282407407407408</x:v>
      </x:c>
      <x:c r="J443" s="131" t="str">
        <x:f>IF(I443=0,"Did not attend",IF(I443&gt;='Read Me'!$E$2/86400,"Fully attended","Partially attended"))</x:f>
        <x:v>Fully attended</x:v>
      </x:c>
      <x:c r="K443" s="131" t="str">
        <x:f>IF($D443="","No",IF(COUNTIF('Attendance Report - Option 1'!$P$11:$P$315,$D443)&gt;0,"Yes","No"))</x:f>
        <x:v>No</x:v>
      </x:c>
      <x:c r="L443" s="131" t="str">
        <x:f>IF($D443="","No",IF(COUNTIF('Attendance Report - Option 2'!$P$11:$P$412,$D443)&gt;0,"Yes","No"))</x:f>
        <x:v>Yes</x:v>
      </x:c>
    </x:row>
    <x:row r="444">
      <x:c r="A444" s="16" t="str">
        <x:f>'EMA Assurance Employee List'!A445</x:f>
        <x:v>Zahrah Bocus</x:v>
      </x:c>
      <x:c r="B444" s="16" t="str">
        <x:f>IF(C444="KE","Kenya",IF(C444="UG","Uganda",IF(C444="MU","Mauritius",IF(C444="TZ","Tanzania",IF(C444="RW","Rwanda",IF(C444="ZA","South Africa",IF(C444="ZM","Zambia","")))))))</x:f>
        <x:v>Mauritius</x:v>
      </x:c>
      <x:c r="C444" s="16" t="str">
        <x:f>'EMA Assurance Employee List'!B445</x:f>
        <x:v>MU</x:v>
      </x:c>
      <x:c r="D444" s="16" t="str">
        <x:f>'EMA Assurance Employee List'!D445</x:f>
        <x:v>zahrah.bocus@pwc.com</x:v>
      </x:c>
      <x:c r="E444" s="130" t="n">
        <x:f>IF($D444="",0,SUMIF('Attendance Report - Option 1'!$P$11:$P$315,$D444,'Attendance Report - Option 1'!$Q$11:$Q$315)/86400)</x:f>
        <x:v>0</x:v>
      </x:c>
      <x:c r="F444" s="131" t="str">
        <x:f>IF(E444=0,"Did not attend",IF(E444&gt;='Read Me'!$E$2/86400,"Fully attended","Partially attended"))</x:f>
        <x:v>Did not attend</x:v>
      </x:c>
      <x:c r="G444" s="130" t="n">
        <x:f>IF($D444="",0,SUMIF('Attendance Report - Option 2'!$P$11:$P$412,$D444,'Attendance Report - Option 2'!$Q$11:$Q$412)/86400)</x:f>
        <x:v>0</x:v>
      </x:c>
      <x:c r="H444" s="131" t="str">
        <x:f>IF(G444=0,"Did not attend",IF(G444&gt;='Read Me'!$E$2/86400,"Fully attended","Partially attended"))</x:f>
        <x:v>Did not attend</x:v>
      </x:c>
      <x:c r="I444" s="130" t="n">
        <x:f>E444+G444</x:f>
        <x:v>0</x:v>
      </x:c>
      <x:c r="J444" s="131" t="str">
        <x:f>IF(I444=0,"Did not attend",IF(I444&gt;='Read Me'!$E$2/86400,"Fully attended","Partially attended"))</x:f>
        <x:v>Did not attend</x:v>
      </x:c>
      <x:c r="K444" s="131" t="str">
        <x:f>IF($D444="","No",IF(COUNTIF('Attendance Report - Option 1'!$P$11:$P$315,$D444)&gt;0,"Yes","No"))</x:f>
        <x:v>No</x:v>
      </x:c>
      <x:c r="L444" s="131" t="str">
        <x:f>IF($D444="","No",IF(COUNTIF('Attendance Report - Option 2'!$P$11:$P$412,$D444)&gt;0,"Yes","No"))</x:f>
        <x:v>No</x:v>
      </x:c>
    </x:row>
    <x:row r="445">
      <x:c r="A445" s="16" t="str">
        <x:f>'EMA Assurance Employee List'!A446</x:f>
        <x:v>Zainab Msimbe</x:v>
      </x:c>
      <x:c r="B445" s="16" t="str">
        <x:f>IF(C445="KE","Kenya",IF(C445="UG","Uganda",IF(C445="MU","Mauritius",IF(C445="TZ","Tanzania",IF(C445="RW","Rwanda",IF(C445="ZA","South Africa",IF(C445="ZM","Zambia","")))))))</x:f>
        <x:v>Tanzania</x:v>
      </x:c>
      <x:c r="C445" s="16" t="str">
        <x:f>'EMA Assurance Employee List'!B446</x:f>
        <x:v>TZ</x:v>
      </x:c>
      <x:c r="D445" s="16" t="str">
        <x:f>'EMA Assurance Employee List'!D446</x:f>
        <x:v>zainab.msimbe@pwc.com</x:v>
      </x:c>
      <x:c r="E445" s="130" t="n">
        <x:f>IF($D445="",0,SUMIF('Attendance Report - Option 1'!$P$11:$P$315,$D445,'Attendance Report - Option 1'!$Q$11:$Q$315)/86400)</x:f>
        <x:v>0</x:v>
      </x:c>
      <x:c r="F445" s="131" t="str">
        <x:f>IF(E445=0,"Did not attend",IF(E445&gt;='Read Me'!$E$2/86400,"Fully attended","Partially attended"))</x:f>
        <x:v>Did not attend</x:v>
      </x:c>
      <x:c r="G445" s="130" t="n">
        <x:f>IF($D445="",0,SUMIF('Attendance Report - Option 2'!$P$11:$P$412,$D445,'Attendance Report - Option 2'!$Q$11:$Q$412)/86400)</x:f>
        <x:v>0</x:v>
      </x:c>
      <x:c r="H445" s="131" t="str">
        <x:f>IF(G445=0,"Did not attend",IF(G445&gt;='Read Me'!$E$2/86400,"Fully attended","Partially attended"))</x:f>
        <x:v>Did not attend</x:v>
      </x:c>
      <x:c r="I445" s="130" t="n">
        <x:f>E445+G445</x:f>
        <x:v>0</x:v>
      </x:c>
      <x:c r="J445" s="131" t="str">
        <x:f>IF(I445=0,"Did not attend",IF(I445&gt;='Read Me'!$E$2/86400,"Fully attended","Partially attended"))</x:f>
        <x:v>Did not attend</x:v>
      </x:c>
      <x:c r="K445" s="131" t="str">
        <x:f>IF($D445="","No",IF(COUNTIF('Attendance Report - Option 1'!$P$11:$P$315,$D445)&gt;0,"Yes","No"))</x:f>
        <x:v>No</x:v>
      </x:c>
      <x:c r="L445" s="131" t="str">
        <x:f>IF($D445="","No",IF(COUNTIF('Attendance Report - Option 2'!$P$11:$P$412,$D445)&gt;0,"Yes","No"))</x:f>
        <x:v>No</x:v>
      </x:c>
    </x:row>
    <x:row r="446">
      <x:c r="A446" s="16" t="str">
        <x:f>'EMA Assurance Employee List'!A447</x:f>
        <x:v>Zuhura Mnyamuru</x:v>
      </x:c>
      <x:c r="B446" s="16" t="str">
        <x:f>IF(C446="KE","Kenya",IF(C446="UG","Uganda",IF(C446="MU","Mauritius",IF(C446="TZ","Tanzania",IF(C446="RW","Rwanda",IF(C446="ZA","South Africa",IF(C446="ZM","Zambia","")))))))</x:f>
        <x:v>Tanzania</x:v>
      </x:c>
      <x:c r="C446" s="16" t="str">
        <x:f>'EMA Assurance Employee List'!B447</x:f>
        <x:v>TZ</x:v>
      </x:c>
      <x:c r="D446" s="16" t="str">
        <x:f>'EMA Assurance Employee List'!D447</x:f>
        <x:v>zuhura.z.mnyamuru@pwc.com</x:v>
      </x:c>
      <x:c r="E446" s="130" t="n">
        <x:f>IF($D446="",0,SUMIF('Attendance Report - Option 1'!$P$11:$P$315,$D446,'Attendance Report - Option 1'!$Q$11:$Q$315)/86400)</x:f>
        <x:v>0</x:v>
      </x:c>
      <x:c r="F446" s="131" t="str">
        <x:f>IF(E446=0,"Did not attend",IF(E446&gt;='Read Me'!$E$2/86400,"Fully attended","Partially attended"))</x:f>
        <x:v>Did not attend</x:v>
      </x:c>
      <x:c r="G446" s="130" t="n">
        <x:f>IF($D446="",0,SUMIF('Attendance Report - Option 2'!$P$11:$P$412,$D446,'Attendance Report - Option 2'!$Q$11:$Q$412)/86400)</x:f>
        <x:v>0.08885416666666666</x:v>
      </x:c>
      <x:c r="H446" s="131" t="str">
        <x:f>IF(G446=0,"Did not attend",IF(G446&gt;='Read Me'!$E$2/86400,"Fully attended","Partially attended"))</x:f>
        <x:v>Fully attended</x:v>
      </x:c>
      <x:c r="I446" s="130" t="n">
        <x:f>E446+G446</x:f>
        <x:v>0.08885416666666666</x:v>
      </x:c>
      <x:c r="J446" s="131" t="str">
        <x:f>IF(I446=0,"Did not attend",IF(I446&gt;='Read Me'!$E$2/86400,"Fully attended","Partially attended"))</x:f>
        <x:v>Fully attended</x:v>
      </x:c>
      <x:c r="K446" s="131" t="str">
        <x:f>IF($D446="","No",IF(COUNTIF('Attendance Report - Option 1'!$P$11:$P$315,$D446)&gt;0,"Yes","No"))</x:f>
        <x:v>No</x:v>
      </x:c>
      <x:c r="L446" s="131" t="str">
        <x:f>IF($D446="","No",IF(COUNTIF('Attendance Report - Option 2'!$P$11:$P$412,$D446)&gt;0,"Yes","No"))</x:f>
        <x:v>Yes</x:v>
      </x:c>
    </x:row>
    <x:row r="447">
      <x:c r="A447" t="str">
        <x:f>'EMA Assurance Employee List'!A448</x:f>
        <x:v>Abel Maiga</x:v>
      </x:c>
      <x:c r="B447" t="str">
        <x:f>IF(C447="KE","Kenya",IF(C447="UG","Uganda",IF(C447="MU","Mauritius",IF(C447="TZ","Tanzania",IF(C447="RW","Rwanda",IF(C447="ZA","South Africa",IF(C447="ZM","Zambia","")))))))</x:f>
        <x:v>Tanzania</x:v>
      </x:c>
      <x:c r="C447" t="str">
        <x:f>'EMA Assurance Employee List'!B448</x:f>
        <x:v>TZ</x:v>
      </x:c>
      <x:c r="D447" t="str">
        <x:f>'EMA Assurance Employee List'!D448</x:f>
        <x:v>abel.maiga@pwc.com</x:v>
      </x:c>
      <x:c r="E447" t="n">
        <x:f>IF($D447="",0,SUMIF('Attendance Report - Option 1'!$P$11:$P$315,$D447,'Attendance Report - Option 1'!$Q$11:$Q$315)/86400)</x:f>
        <x:v>0.05291666666666667</x:v>
      </x:c>
      <x:c r="F447" t="str">
        <x:f>IF(E447=0,"Did not attend",IF(E447&gt;='Read Me'!$E$2/86400,"Fully attended","Partially attended"))</x:f>
        <x:v>Partially attended</x:v>
      </x:c>
      <x:c r="G447" t="n">
        <x:f>IF($D447="",0,SUMIF('Attendance Report - Option 2'!$P$11:$P$412,$D447,'Attendance Report - Option 2'!$Q$11:$Q$412)/86400)</x:f>
        <x:v>0</x:v>
      </x:c>
      <x:c r="H447" t="str">
        <x:f>IF(G447=0,"Did not attend",IF(G447&gt;='Read Me'!$E$2/86400,"Fully attended","Partially attended"))</x:f>
        <x:v>Did not attend</x:v>
      </x:c>
      <x:c r="I447" t="n">
        <x:f>E447+G447</x:f>
        <x:v>0.05291666666666667</x:v>
      </x:c>
      <x:c r="J447" t="str">
        <x:f>IF(I447=0,"Did not attend",IF(I447&gt;='Read Me'!$E$2/86400,"Fully attended","Partially attended"))</x:f>
        <x:v>Partially attended</x:v>
      </x:c>
      <x:c r="K447" t="str">
        <x:f>IF($D447="","No",IF(COUNTIF('Attendance Report - Option 1'!$P$11:$P$315,$D447)&gt;0,"Yes","No"))</x:f>
        <x:v>Yes</x:v>
      </x:c>
      <x:c r="L447" t="str">
        <x:f>IF($D447="","No",IF(COUNTIF('Attendance Report - Option 2'!$P$11:$P$412,$D447)&gt;0,"Yes","No"))</x:f>
        <x:v>No</x:v>
      </x:c>
    </x:row>
    <x:row r="448">
      <x:c r="A448" t="str">
        <x:f>'EMA Assurance Employee List'!A449</x:f>
        <x:v>Aderick Bajunana</x:v>
      </x:c>
      <x:c r="B448" t="str">
        <x:f>IF(C448="KE","Kenya",IF(C448="UG","Uganda",IF(C448="MU","Mauritius",IF(C448="TZ","Tanzania",IF(C448="RW","Rwanda",IF(C448="ZA","South Africa",IF(C448="ZM","Zambia","")))))))</x:f>
        <x:v>Tanzania</x:v>
      </x:c>
      <x:c r="C448" t="str">
        <x:f>'EMA Assurance Employee List'!B449</x:f>
        <x:v>TZ</x:v>
      </x:c>
      <x:c r="D448" t="str">
        <x:f>'EMA Assurance Employee List'!D449</x:f>
        <x:v>aderick.bajunana@pwc.com</x:v>
      </x:c>
      <x:c r="E448" t="n">
        <x:f>IF($D448="",0,SUMIF('Attendance Report - Option 1'!$P$11:$P$315,$D448,'Attendance Report - Option 1'!$Q$11:$Q$315)/86400)</x:f>
        <x:v>0.06098379629629629</x:v>
      </x:c>
      <x:c r="F448" t="str">
        <x:f>IF(E448=0,"Did not attend",IF(E448&gt;='Read Me'!$E$2/86400,"Fully attended","Partially attended"))</x:f>
        <x:v>Partially attended</x:v>
      </x:c>
      <x:c r="G448" t="n">
        <x:f>IF($D448="",0,SUMIF('Attendance Report - Option 2'!$P$11:$P$412,$D448,'Attendance Report - Option 2'!$Q$11:$Q$412)/86400)</x:f>
        <x:v>0</x:v>
      </x:c>
      <x:c r="H448" t="str">
        <x:f>IF(G448=0,"Did not attend",IF(G448&gt;='Read Me'!$E$2/86400,"Fully attended","Partially attended"))</x:f>
        <x:v>Did not attend</x:v>
      </x:c>
      <x:c r="I448" t="n">
        <x:f>E448+G448</x:f>
        <x:v>0.06098379629629629</x:v>
      </x:c>
      <x:c r="J448" t="str">
        <x:f>IF(I448=0,"Did not attend",IF(I448&gt;='Read Me'!$E$2/86400,"Fully attended","Partially attended"))</x:f>
        <x:v>Partially attended</x:v>
      </x:c>
      <x:c r="K448" t="str">
        <x:f>IF($D448="","No",IF(COUNTIF('Attendance Report - Option 1'!$P$11:$P$315,$D448)&gt;0,"Yes","No"))</x:f>
        <x:v>Yes</x:v>
      </x:c>
      <x:c r="L448" t="str">
        <x:f>IF($D448="","No",IF(COUNTIF('Attendance Report - Option 2'!$P$11:$P$412,$D448)&gt;0,"Yes","No"))</x:f>
        <x:v>No</x:v>
      </x:c>
    </x:row>
    <x:row r="449">
      <x:c r="A449" t="str">
        <x:f>'EMA Assurance Employee List'!A450</x:f>
        <x:v>Ahmed Kayungilo</x:v>
      </x:c>
      <x:c r="B449" t="str">
        <x:f>IF(C449="KE","Kenya",IF(C449="UG","Uganda",IF(C449="MU","Mauritius",IF(C449="TZ","Tanzania",IF(C449="RW","Rwanda",IF(C449="ZA","South Africa",IF(C449="ZM","Zambia","")))))))</x:f>
        <x:v>Tanzania</x:v>
      </x:c>
      <x:c r="C449" t="str">
        <x:f>'EMA Assurance Employee List'!B450</x:f>
        <x:v>TZ</x:v>
      </x:c>
      <x:c r="D449" t="str">
        <x:f>'EMA Assurance Employee List'!D450</x:f>
        <x:v>ahmed.kayungilo@pwc.com</x:v>
      </x:c>
      <x:c r="E449" t="n">
        <x:f>IF($D449="",0,SUMIF('Attendance Report - Option 1'!$P$11:$P$315,$D449,'Attendance Report - Option 1'!$Q$11:$Q$315)/86400)</x:f>
        <x:v>0.000625</x:v>
      </x:c>
      <x:c r="F449" t="str">
        <x:f>IF(E449=0,"Did not attend",IF(E449&gt;='Read Me'!$E$2/86400,"Fully attended","Partially attended"))</x:f>
        <x:v>Partially attended</x:v>
      </x:c>
      <x:c r="G449" t="n">
        <x:f>IF($D449="",0,SUMIF('Attendance Report - Option 2'!$P$11:$P$412,$D449,'Attendance Report - Option 2'!$Q$11:$Q$412)/86400)</x:f>
        <x:v>0</x:v>
      </x:c>
      <x:c r="H449" t="str">
        <x:f>IF(G449=0,"Did not attend",IF(G449&gt;='Read Me'!$E$2/86400,"Fully attended","Partially attended"))</x:f>
        <x:v>Did not attend</x:v>
      </x:c>
      <x:c r="I449" t="n">
        <x:f>E449+G449</x:f>
        <x:v>0.000625</x:v>
      </x:c>
      <x:c r="J449" t="str">
        <x:f>IF(I449=0,"Did not attend",IF(I449&gt;='Read Me'!$E$2/86400,"Fully attended","Partially attended"))</x:f>
        <x:v>Partially attended</x:v>
      </x:c>
      <x:c r="K449" t="str">
        <x:f>IF($D449="","No",IF(COUNTIF('Attendance Report - Option 1'!$P$11:$P$315,$D449)&gt;0,"Yes","No"))</x:f>
        <x:v>Yes</x:v>
      </x:c>
      <x:c r="L449" t="str">
        <x:f>IF($D449="","No",IF(COUNTIF('Attendance Report - Option 2'!$P$11:$P$412,$D449)&gt;0,"Yes","No"))</x:f>
        <x:v>No</x:v>
      </x:c>
    </x:row>
    <x:row r="450">
      <x:c r="A450" t="str">
        <x:f>'EMA Assurance Employee List'!A451</x:f>
        <x:v>Aisha Kilonda</x:v>
      </x:c>
      <x:c r="B450" t="str">
        <x:f>IF(C450="KE","Kenya",IF(C450="UG","Uganda",IF(C450="MU","Mauritius",IF(C450="TZ","Tanzania",IF(C450="RW","Rwanda",IF(C450="ZA","South Africa",IF(C450="ZM","Zambia","")))))))</x:f>
        <x:v>Tanzania</x:v>
      </x:c>
      <x:c r="C450" t="str">
        <x:f>'EMA Assurance Employee List'!B451</x:f>
        <x:v>TZ</x:v>
      </x:c>
      <x:c r="D450" t="str">
        <x:f>'EMA Assurance Employee List'!D451</x:f>
        <x:v>aisha.kilonda@pwc.com</x:v>
      </x:c>
      <x:c r="E450" t="n">
        <x:f>IF($D450="",0,SUMIF('Attendance Report - Option 1'!$P$11:$P$315,$D450,'Attendance Report - Option 1'!$Q$11:$Q$315)/86400)</x:f>
        <x:v>0.10733796296296297</x:v>
      </x:c>
      <x:c r="F450" t="str">
        <x:f>IF(E450=0,"Did not attend",IF(E450&gt;='Read Me'!$E$2/86400,"Fully attended","Partially attended"))</x:f>
        <x:v>Fully attended</x:v>
      </x:c>
      <x:c r="G450" t="n">
        <x:f>IF($D450="",0,SUMIF('Attendance Report - Option 2'!$P$11:$P$412,$D450,'Attendance Report - Option 2'!$Q$11:$Q$412)/86400)</x:f>
        <x:v>0</x:v>
      </x:c>
      <x:c r="H450" t="str">
        <x:f>IF(G450=0,"Did not attend",IF(G450&gt;='Read Me'!$E$2/86400,"Fully attended","Partially attended"))</x:f>
        <x:v>Did not attend</x:v>
      </x:c>
      <x:c r="I450" t="n">
        <x:f>E450+G450</x:f>
        <x:v>0.10733796296296297</x:v>
      </x:c>
      <x:c r="J450" t="str">
        <x:f>IF(I450=0,"Did not attend",IF(I450&gt;='Read Me'!$E$2/86400,"Fully attended","Partially attended"))</x:f>
        <x:v>Fully attended</x:v>
      </x:c>
      <x:c r="K450" t="str">
        <x:f>IF($D450="","No",IF(COUNTIF('Attendance Report - Option 1'!$P$11:$P$315,$D450)&gt;0,"Yes","No"))</x:f>
        <x:v>Yes</x:v>
      </x:c>
      <x:c r="L450" t="str">
        <x:f>IF($D450="","No",IF(COUNTIF('Attendance Report - Option 2'!$P$11:$P$412,$D450)&gt;0,"Yes","No"))</x:f>
        <x:v>No</x:v>
      </x:c>
    </x:row>
    <x:row r="451">
      <x:c r="A451" t="str">
        <x:f>'EMA Assurance Employee List'!A452</x:f>
        <x:v>Amelie Fanfan</x:v>
      </x:c>
      <x:c r="B451" t="str">
        <x:f>IF(C451="KE","Kenya",IF(C451="UG","Uganda",IF(C451="MU","Mauritius",IF(C451="TZ","Tanzania",IF(C451="RW","Rwanda",IF(C451="ZA","South Africa",IF(C451="ZM","Zambia","")))))))</x:f>
        <x:v>Mauritius</x:v>
      </x:c>
      <x:c r="C451" t="str">
        <x:f>'EMA Assurance Employee List'!B452</x:f>
        <x:v>MU</x:v>
      </x:c>
      <x:c r="D451" t="str">
        <x:f>'EMA Assurance Employee List'!D452</x:f>
        <x:v>amelie.fanfan@pwc.com</x:v>
      </x:c>
      <x:c r="E451" t="n">
        <x:f>IF($D451="",0,SUMIF('Attendance Report - Option 1'!$P$11:$P$315,$D451,'Attendance Report - Option 1'!$Q$11:$Q$315)/86400)</x:f>
        <x:v>0</x:v>
      </x:c>
      <x:c r="F451" t="str">
        <x:f>IF(E451=0,"Did not attend",IF(E451&gt;='Read Me'!$E$2/86400,"Fully attended","Partially attended"))</x:f>
        <x:v>Did not attend</x:v>
      </x:c>
      <x:c r="G451" t="n">
        <x:f>IF($D451="",0,SUMIF('Attendance Report - Option 2'!$P$11:$P$412,$D451,'Attendance Report - Option 2'!$Q$11:$Q$412)/86400)</x:f>
        <x:v>0.05550925925925926</x:v>
      </x:c>
      <x:c r="H451" t="str">
        <x:f>IF(G451=0,"Did not attend",IF(G451&gt;='Read Me'!$E$2/86400,"Fully attended","Partially attended"))</x:f>
        <x:v>Partially attended</x:v>
      </x:c>
      <x:c r="I451" t="n">
        <x:f>E451+G451</x:f>
        <x:v>0.05550925925925926</x:v>
      </x:c>
      <x:c r="J451" t="str">
        <x:f>IF(I451=0,"Did not attend",IF(I451&gt;='Read Me'!$E$2/86400,"Fully attended","Partially attended"))</x:f>
        <x:v>Partially attended</x:v>
      </x:c>
      <x:c r="K451" t="str">
        <x:f>IF($D451="","No",IF(COUNTIF('Attendance Report - Option 1'!$P$11:$P$315,$D451)&gt;0,"Yes","No"))</x:f>
        <x:v>No</x:v>
      </x:c>
      <x:c r="L451" t="str">
        <x:f>IF($D451="","No",IF(COUNTIF('Attendance Report - Option 2'!$P$11:$P$412,$D451)&gt;0,"Yes","No"))</x:f>
        <x:v>Yes</x:v>
      </x:c>
    </x:row>
    <x:row r="452">
      <x:c r="A452" t="str">
        <x:f>'EMA Assurance Employee List'!A453</x:f>
        <x:v>Amisha Gunputh</x:v>
      </x:c>
      <x:c r="B452" t="str">
        <x:f>IF(C452="KE","Kenya",IF(C452="UG","Uganda",IF(C452="MU","Mauritius",IF(C452="TZ","Tanzania",IF(C452="RW","Rwanda",IF(C452="ZA","South Africa",IF(C452="ZM","Zambia","")))))))</x:f>
        <x:v>Mauritius</x:v>
      </x:c>
      <x:c r="C452" t="str">
        <x:f>'EMA Assurance Employee List'!B453</x:f>
        <x:v>MU</x:v>
      </x:c>
      <x:c r="D452" t="str">
        <x:f>'EMA Assurance Employee List'!D453</x:f>
        <x:v>amisha.gunputh@pwc.com</x:v>
      </x:c>
      <x:c r="E452" t="n">
        <x:f>IF($D452="",0,SUMIF('Attendance Report - Option 1'!$P$11:$P$315,$D452,'Attendance Report - Option 1'!$Q$11:$Q$315)/86400)</x:f>
        <x:v>0</x:v>
      </x:c>
      <x:c r="F452" t="str">
        <x:f>IF(E452=0,"Did not attend",IF(E452&gt;='Read Me'!$E$2/86400,"Fully attended","Partially attended"))</x:f>
        <x:v>Did not attend</x:v>
      </x:c>
      <x:c r="G452" t="n">
        <x:f>IF($D452="",0,SUMIF('Attendance Report - Option 2'!$P$11:$P$412,$D452,'Attendance Report - Option 2'!$Q$11:$Q$412)/86400)</x:f>
        <x:v>0.08627314814814815</x:v>
      </x:c>
      <x:c r="H452" t="str">
        <x:f>IF(G452=0,"Did not attend",IF(G452&gt;='Read Me'!$E$2/86400,"Fully attended","Partially attended"))</x:f>
        <x:v>Fully attended</x:v>
      </x:c>
      <x:c r="I452" t="n">
        <x:f>E452+G452</x:f>
        <x:v>0.08627314814814815</x:v>
      </x:c>
      <x:c r="J452" t="str">
        <x:f>IF(I452=0,"Did not attend",IF(I452&gt;='Read Me'!$E$2/86400,"Fully attended","Partially attended"))</x:f>
        <x:v>Fully attended</x:v>
      </x:c>
      <x:c r="K452" t="str">
        <x:f>IF($D452="","No",IF(COUNTIF('Attendance Report - Option 1'!$P$11:$P$315,$D452)&gt;0,"Yes","No"))</x:f>
        <x:v>No</x:v>
      </x:c>
      <x:c r="L452" t="str">
        <x:f>IF($D452="","No",IF(COUNTIF('Attendance Report - Option 2'!$P$11:$P$412,$D452)&gt;0,"Yes","No"))</x:f>
        <x:v>Yes</x:v>
      </x:c>
    </x:row>
    <x:row r="453">
      <x:c r="A453" t="str">
        <x:f>'EMA Assurance Employee List'!A454</x:f>
        <x:v>Ampumuza Mmukunda</x:v>
      </x:c>
      <x:c r="B453" t="str">
        <x:f>IF(C453="KE","Kenya",IF(C453="UG","Uganda",IF(C453="MU","Mauritius",IF(C453="TZ","Tanzania",IF(C453="RW","Rwanda",IF(C453="ZA","South Africa",IF(C453="ZM","Zambia","")))))))</x:f>
        <x:v>Uganda</x:v>
      </x:c>
      <x:c r="C453" t="str">
        <x:f>'EMA Assurance Employee List'!B454</x:f>
        <x:v>UG</x:v>
      </x:c>
      <x:c r="D453" t="str">
        <x:f>'EMA Assurance Employee List'!D454</x:f>
        <x:v>ampumuza.mmukunda@pwc.com</x:v>
      </x:c>
      <x:c r="E453" t="n">
        <x:f>IF($D453="",0,SUMIF('Attendance Report - Option 1'!$P$11:$P$315,$D453,'Attendance Report - Option 1'!$Q$11:$Q$315)/86400)</x:f>
        <x:v>0</x:v>
      </x:c>
      <x:c r="F453" t="str">
        <x:f>IF(E453=0,"Did not attend",IF(E453&gt;='Read Me'!$E$2/86400,"Fully attended","Partially attended"))</x:f>
        <x:v>Did not attend</x:v>
      </x:c>
      <x:c r="G453" t="n">
        <x:f>IF($D453="",0,SUMIF('Attendance Report - Option 2'!$P$11:$P$412,$D453,'Attendance Report - Option 2'!$Q$11:$Q$412)/86400)</x:f>
        <x:v>0.08368055555555555</x:v>
      </x:c>
      <x:c r="H453" t="str">
        <x:f>IF(G453=0,"Did not attend",IF(G453&gt;='Read Me'!$E$2/86400,"Fully attended","Partially attended"))</x:f>
        <x:v>Fully attended</x:v>
      </x:c>
      <x:c r="I453" t="n">
        <x:f>E453+G453</x:f>
        <x:v>0.08368055555555555</x:v>
      </x:c>
      <x:c r="J453" t="str">
        <x:f>IF(I453=0,"Did not attend",IF(I453&gt;='Read Me'!$E$2/86400,"Fully attended","Partially attended"))</x:f>
        <x:v>Fully attended</x:v>
      </x:c>
      <x:c r="K453" t="str">
        <x:f>IF($D453="","No",IF(COUNTIF('Attendance Report - Option 1'!$P$11:$P$315,$D453)&gt;0,"Yes","No"))</x:f>
        <x:v>No</x:v>
      </x:c>
      <x:c r="L453" t="str">
        <x:f>IF($D453="","No",IF(COUNTIF('Attendance Report - Option 2'!$P$11:$P$412,$D453)&gt;0,"Yes","No"))</x:f>
        <x:v>Yes</x:v>
      </x:c>
    </x:row>
    <x:row r="454">
      <x:c r="A454" t="str">
        <x:f>'EMA Assurance Employee List'!A455</x:f>
        <x:v>Angel Kwaye</x:v>
      </x:c>
      <x:c r="B454" t="str">
        <x:f>IF(C454="KE","Kenya",IF(C454="UG","Uganda",IF(C454="MU","Mauritius",IF(C454="TZ","Tanzania",IF(C454="RW","Rwanda",IF(C454="ZA","South Africa",IF(C454="ZM","Zambia","")))))))</x:f>
        <x:v>Tanzania</x:v>
      </x:c>
      <x:c r="C454" t="str">
        <x:f>'EMA Assurance Employee List'!B455</x:f>
        <x:v>TZ</x:v>
      </x:c>
      <x:c r="D454" t="str">
        <x:f>'EMA Assurance Employee List'!D455</x:f>
        <x:v>angel.kwaye@pwc.com</x:v>
      </x:c>
      <x:c r="E454" t="n">
        <x:f>IF($D454="",0,SUMIF('Attendance Report - Option 1'!$P$11:$P$315,$D454,'Attendance Report - Option 1'!$Q$11:$Q$315)/86400)</x:f>
        <x:v>0.07708333333333334</x:v>
      </x:c>
      <x:c r="F454" t="str">
        <x:f>IF(E454=0,"Did not attend",IF(E454&gt;='Read Me'!$E$2/86400,"Fully attended","Partially attended"))</x:f>
        <x:v>Fully attended</x:v>
      </x:c>
      <x:c r="G454" t="n">
        <x:f>IF($D454="",0,SUMIF('Attendance Report - Option 2'!$P$11:$P$412,$D454,'Attendance Report - Option 2'!$Q$11:$Q$412)/86400)</x:f>
        <x:v>0.010289351851851852</x:v>
      </x:c>
      <x:c r="H454" t="str">
        <x:f>IF(G454=0,"Did not attend",IF(G454&gt;='Read Me'!$E$2/86400,"Fully attended","Partially attended"))</x:f>
        <x:v>Partially attended</x:v>
      </x:c>
      <x:c r="I454" t="n">
        <x:f>E454+G454</x:f>
        <x:v>0.08737268518518519</x:v>
      </x:c>
      <x:c r="J454" t="str">
        <x:f>IF(I454=0,"Did not attend",IF(I454&gt;='Read Me'!$E$2/86400,"Fully attended","Partially attended"))</x:f>
        <x:v>Fully attended</x:v>
      </x:c>
      <x:c r="K454" t="str">
        <x:f>IF($D454="","No",IF(COUNTIF('Attendance Report - Option 1'!$P$11:$P$315,$D454)&gt;0,"Yes","No"))</x:f>
        <x:v>Yes</x:v>
      </x:c>
      <x:c r="L454" t="str">
        <x:f>IF($D454="","No",IF(COUNTIF('Attendance Report - Option 2'!$P$11:$P$412,$D454)&gt;0,"Yes","No"))</x:f>
        <x:v>Yes</x:v>
      </x:c>
    </x:row>
    <x:row r="455">
      <x:c r="A455" t="str">
        <x:f>'EMA Assurance Employee List'!A456</x:f>
        <x:v>Angelayeyoo Mosha</x:v>
      </x:c>
      <x:c r="B455" t="str">
        <x:f>IF(C455="KE","Kenya",IF(C455="UG","Uganda",IF(C455="MU","Mauritius",IF(C455="TZ","Tanzania",IF(C455="RW","Rwanda",IF(C455="ZA","South Africa",IF(C455="ZM","Zambia","")))))))</x:f>
        <x:v>Tanzania</x:v>
      </x:c>
      <x:c r="C455" t="str">
        <x:f>'EMA Assurance Employee List'!B456</x:f>
        <x:v>TZ</x:v>
      </x:c>
      <x:c r="D455" t="str">
        <x:f>'EMA Assurance Employee List'!D456</x:f>
        <x:v>angelayeyoo.mosha@pwc.com</x:v>
      </x:c>
      <x:c r="E455" t="n">
        <x:f>IF($D455="",0,SUMIF('Attendance Report - Option 1'!$P$11:$P$315,$D455,'Attendance Report - Option 1'!$Q$11:$Q$315)/86400)</x:f>
        <x:v>0</x:v>
      </x:c>
      <x:c r="F455" t="str">
        <x:f>IF(E455=0,"Did not attend",IF(E455&gt;='Read Me'!$E$2/86400,"Fully attended","Partially attended"))</x:f>
        <x:v>Did not attend</x:v>
      </x:c>
      <x:c r="G455" t="n">
        <x:f>IF($D455="",0,SUMIF('Attendance Report - Option 2'!$P$11:$P$412,$D455,'Attendance Report - Option 2'!$Q$11:$Q$412)/86400)</x:f>
        <x:v>0.07172453703703703</x:v>
      </x:c>
      <x:c r="H455" t="str">
        <x:f>IF(G455=0,"Did not attend",IF(G455&gt;='Read Me'!$E$2/86400,"Fully attended","Partially attended"))</x:f>
        <x:v>Fully attended</x:v>
      </x:c>
      <x:c r="I455" t="n">
        <x:f>E455+G455</x:f>
        <x:v>0.07172453703703703</x:v>
      </x:c>
      <x:c r="J455" t="str">
        <x:f>IF(I455=0,"Did not attend",IF(I455&gt;='Read Me'!$E$2/86400,"Fully attended","Partially attended"))</x:f>
        <x:v>Fully attended</x:v>
      </x:c>
      <x:c r="K455" t="str">
        <x:f>IF($D455="","No",IF(COUNTIF('Attendance Report - Option 1'!$P$11:$P$315,$D455)&gt;0,"Yes","No"))</x:f>
        <x:v>No</x:v>
      </x:c>
      <x:c r="L455" t="str">
        <x:f>IF($D455="","No",IF(COUNTIF('Attendance Report - Option 2'!$P$11:$P$412,$D455)&gt;0,"Yes","No"))</x:f>
        <x:v>Yes</x:v>
      </x:c>
    </x:row>
    <x:row r="456">
      <x:c r="A456" t="str">
        <x:f>'EMA Assurance Employee List'!A457</x:f>
        <x:v>Angelique Mugwaneza</x:v>
      </x:c>
      <x:c r="B456" t="str">
        <x:f>IF(C456="KE","Kenya",IF(C456="UG","Uganda",IF(C456="MU","Mauritius",IF(C456="TZ","Tanzania",IF(C456="RW","Rwanda",IF(C456="ZA","South Africa",IF(C456="ZM","Zambia","")))))))</x:f>
        <x:v>Rwanda</x:v>
      </x:c>
      <x:c r="C456" t="str">
        <x:f>'EMA Assurance Employee List'!B457</x:f>
        <x:v>RW</x:v>
      </x:c>
      <x:c r="D456" t="str">
        <x:f>'EMA Assurance Employee List'!D457</x:f>
        <x:v>angelique.mugwaneza@pwc.com</x:v>
      </x:c>
      <x:c r="E456" t="n">
        <x:f>IF($D456="",0,SUMIF('Attendance Report - Option 1'!$P$11:$P$315,$D456,'Attendance Report - Option 1'!$Q$11:$Q$315)/86400)</x:f>
        <x:v>0</x:v>
      </x:c>
      <x:c r="F456" t="str">
        <x:f>IF(E456=0,"Did not attend",IF(E456&gt;='Read Me'!$E$2/86400,"Fully attended","Partially attended"))</x:f>
        <x:v>Did not attend</x:v>
      </x:c>
      <x:c r="G456" t="n">
        <x:f>IF($D456="",0,SUMIF('Attendance Report - Option 2'!$P$11:$P$412,$D456,'Attendance Report - Option 2'!$Q$11:$Q$412)/86400)</x:f>
        <x:v>0.000462962962962963</x:v>
      </x:c>
      <x:c r="H456" t="str">
        <x:f>IF(G456=0,"Did not attend",IF(G456&gt;='Read Me'!$E$2/86400,"Fully attended","Partially attended"))</x:f>
        <x:v>Partially attended</x:v>
      </x:c>
      <x:c r="I456" t="n">
        <x:f>E456+G456</x:f>
        <x:v>0.000462962962962963</x:v>
      </x:c>
      <x:c r="J456" t="str">
        <x:f>IF(I456=0,"Did not attend",IF(I456&gt;='Read Me'!$E$2/86400,"Fully attended","Partially attended"))</x:f>
        <x:v>Partially attended</x:v>
      </x:c>
      <x:c r="K456" t="str">
        <x:f>IF($D456="","No",IF(COUNTIF('Attendance Report - Option 1'!$P$11:$P$315,$D456)&gt;0,"Yes","No"))</x:f>
        <x:v>No</x:v>
      </x:c>
      <x:c r="L456" t="str">
        <x:f>IF($D456="","No",IF(COUNTIF('Attendance Report - Option 2'!$P$11:$P$412,$D456)&gt;0,"Yes","No"))</x:f>
        <x:v>Yes</x:v>
      </x:c>
    </x:row>
    <x:row r="457">
      <x:c r="A457" t="str">
        <x:f>'EMA Assurance Employee List'!A458</x:f>
        <x:v>Anne Okwera</x:v>
      </x:c>
      <x:c r="B457" t="str">
        <x:f>IF(C457="KE","Kenya",IF(C457="UG","Uganda",IF(C457="MU","Mauritius",IF(C457="TZ","Tanzania",IF(C457="RW","Rwanda",IF(C457="ZA","South Africa",IF(C457="ZM","Zambia","")))))))</x:f>
        <x:v>Kenya</x:v>
      </x:c>
      <x:c r="C457" t="str">
        <x:f>'EMA Assurance Employee List'!B458</x:f>
        <x:v>KE</x:v>
      </x:c>
      <x:c r="D457" t="str">
        <x:f>'EMA Assurance Employee List'!D458</x:f>
        <x:v>anne.okwera@pwc.com</x:v>
      </x:c>
      <x:c r="E457" t="n">
        <x:f>IF($D457="",0,SUMIF('Attendance Report - Option 1'!$P$11:$P$315,$D457,'Attendance Report - Option 1'!$Q$11:$Q$315)/86400)</x:f>
        <x:v>0.0802199074074074</x:v>
      </x:c>
      <x:c r="F457" t="str">
        <x:f>IF(E457=0,"Did not attend",IF(E457&gt;='Read Me'!$E$2/86400,"Fully attended","Partially attended"))</x:f>
        <x:v>Fully attended</x:v>
      </x:c>
      <x:c r="G457" t="n">
        <x:f>IF($D457="",0,SUMIF('Attendance Report - Option 2'!$P$11:$P$412,$D457,'Attendance Report - Option 2'!$Q$11:$Q$412)/86400)</x:f>
        <x:v>0</x:v>
      </x:c>
      <x:c r="H457" t="str">
        <x:f>IF(G457=0,"Did not attend",IF(G457&gt;='Read Me'!$E$2/86400,"Fully attended","Partially attended"))</x:f>
        <x:v>Did not attend</x:v>
      </x:c>
      <x:c r="I457" t="n">
        <x:f>E457+G457</x:f>
        <x:v>0.0802199074074074</x:v>
      </x:c>
      <x:c r="J457" t="str">
        <x:f>IF(I457=0,"Did not attend",IF(I457&gt;='Read Me'!$E$2/86400,"Fully attended","Partially attended"))</x:f>
        <x:v>Fully attended</x:v>
      </x:c>
      <x:c r="K457" t="str">
        <x:f>IF($D457="","No",IF(COUNTIF('Attendance Report - Option 1'!$P$11:$P$315,$D457)&gt;0,"Yes","No"))</x:f>
        <x:v>Yes</x:v>
      </x:c>
      <x:c r="L457" t="str">
        <x:f>IF($D457="","No",IF(COUNTIF('Attendance Report - Option 2'!$P$11:$P$412,$D457)&gt;0,"Yes","No"))</x:f>
        <x:v>No</x:v>
      </x:c>
    </x:row>
    <x:row r="458">
      <x:c r="A458" t="str">
        <x:f>'EMA Assurance Employee List'!A459</x:f>
        <x:v>Anold Ngoli</x:v>
      </x:c>
      <x:c r="B458" t="str">
        <x:f>IF(C458="KE","Kenya",IF(C458="UG","Uganda",IF(C458="MU","Mauritius",IF(C458="TZ","Tanzania",IF(C458="RW","Rwanda",IF(C458="ZA","South Africa",IF(C458="ZM","Zambia","")))))))</x:f>
        <x:v>Tanzania</x:v>
      </x:c>
      <x:c r="C458" t="str">
        <x:f>'EMA Assurance Employee List'!B459</x:f>
        <x:v>TZ</x:v>
      </x:c>
      <x:c r="D458" t="str">
        <x:f>'EMA Assurance Employee List'!D459</x:f>
        <x:v>anold.ngoli@pwc.com</x:v>
      </x:c>
      <x:c r="E458" t="n">
        <x:f>IF($D458="",0,SUMIF('Attendance Report - Option 1'!$P$11:$P$315,$D458,'Attendance Report - Option 1'!$Q$11:$Q$315)/86400)</x:f>
        <x:v>0</x:v>
      </x:c>
      <x:c r="F458" t="str">
        <x:f>IF(E458=0,"Did not attend",IF(E458&gt;='Read Me'!$E$2/86400,"Fully attended","Partially attended"))</x:f>
        <x:v>Did not attend</x:v>
      </x:c>
      <x:c r="G458" t="n">
        <x:f>IF($D458="",0,SUMIF('Attendance Report - Option 2'!$P$11:$P$412,$D458,'Attendance Report - Option 2'!$Q$11:$Q$412)/86400)</x:f>
        <x:v>0.03295138888888889</x:v>
      </x:c>
      <x:c r="H458" t="str">
        <x:f>IF(G458=0,"Did not attend",IF(G458&gt;='Read Me'!$E$2/86400,"Fully attended","Partially attended"))</x:f>
        <x:v>Partially attended</x:v>
      </x:c>
      <x:c r="I458" t="n">
        <x:f>E458+G458</x:f>
        <x:v>0.03295138888888889</x:v>
      </x:c>
      <x:c r="J458" t="str">
        <x:f>IF(I458=0,"Did not attend",IF(I458&gt;='Read Me'!$E$2/86400,"Fully attended","Partially attended"))</x:f>
        <x:v>Partially attended</x:v>
      </x:c>
      <x:c r="K458" t="str">
        <x:f>IF($D458="","No",IF(COUNTIF('Attendance Report - Option 1'!$P$11:$P$315,$D458)&gt;0,"Yes","No"))</x:f>
        <x:v>No</x:v>
      </x:c>
      <x:c r="L458" t="str">
        <x:f>IF($D458="","No",IF(COUNTIF('Attendance Report - Option 2'!$P$11:$P$412,$D458)&gt;0,"Yes","No"))</x:f>
        <x:v>Yes</x:v>
      </x:c>
    </x:row>
    <x:row r="459">
      <x:c r="A459" t="str">
        <x:f>'EMA Assurance Employee List'!A460</x:f>
        <x:v>Asha Shekimweri</x:v>
      </x:c>
      <x:c r="B459" t="str">
        <x:f>IF(C459="KE","Kenya",IF(C459="UG","Uganda",IF(C459="MU","Mauritius",IF(C459="TZ","Tanzania",IF(C459="RW","Rwanda",IF(C459="ZA","South Africa",IF(C459="ZM","Zambia","")))))))</x:f>
        <x:v>Tanzania</x:v>
      </x:c>
      <x:c r="C459" t="str">
        <x:f>'EMA Assurance Employee List'!B460</x:f>
        <x:v>TZ</x:v>
      </x:c>
      <x:c r="D459" t="str">
        <x:f>'EMA Assurance Employee List'!D460</x:f>
        <x:v>asha.shekimweri@pwc.com</x:v>
      </x:c>
      <x:c r="E459" t="n">
        <x:f>IF($D459="",0,SUMIF('Attendance Report - Option 1'!$P$11:$P$315,$D459,'Attendance Report - Option 1'!$Q$11:$Q$315)/86400)</x:f>
        <x:v>0</x:v>
      </x:c>
      <x:c r="F459" t="str">
        <x:f>IF(E459=0,"Did not attend",IF(E459&gt;='Read Me'!$E$2/86400,"Fully attended","Partially attended"))</x:f>
        <x:v>Did not attend</x:v>
      </x:c>
      <x:c r="G459" t="n">
        <x:f>IF($D459="",0,SUMIF('Attendance Report - Option 2'!$P$11:$P$412,$D459,'Attendance Report - Option 2'!$Q$11:$Q$412)/86400)</x:f>
        <x:v>0.04335648148148148</x:v>
      </x:c>
      <x:c r="H459" t="str">
        <x:f>IF(G459=0,"Did not attend",IF(G459&gt;='Read Me'!$E$2/86400,"Fully attended","Partially attended"))</x:f>
        <x:v>Partially attended</x:v>
      </x:c>
      <x:c r="I459" t="n">
        <x:f>E459+G459</x:f>
        <x:v>0.04335648148148148</x:v>
      </x:c>
      <x:c r="J459" t="str">
        <x:f>IF(I459=0,"Did not attend",IF(I459&gt;='Read Me'!$E$2/86400,"Fully attended","Partially attended"))</x:f>
        <x:v>Partially attended</x:v>
      </x:c>
      <x:c r="K459" t="str">
        <x:f>IF($D459="","No",IF(COUNTIF('Attendance Report - Option 1'!$P$11:$P$315,$D459)&gt;0,"Yes","No"))</x:f>
        <x:v>No</x:v>
      </x:c>
      <x:c r="L459" t="str">
        <x:f>IF($D459="","No",IF(COUNTIF('Attendance Report - Option 2'!$P$11:$P$412,$D459)&gt;0,"Yes","No"))</x:f>
        <x:v>Yes</x:v>
      </x:c>
    </x:row>
    <x:row r="460">
      <x:c r="A460" t="str">
        <x:f>'EMA Assurance Employee List'!A461</x:f>
        <x:v>Ashven Rayapen</x:v>
      </x:c>
      <x:c r="B460" t="str">
        <x:f>IF(C460="KE","Kenya",IF(C460="UG","Uganda",IF(C460="MU","Mauritius",IF(C460="TZ","Tanzania",IF(C460="RW","Rwanda",IF(C460="ZA","South Africa",IF(C460="ZM","Zambia","")))))))</x:f>
        <x:v>Mauritius</x:v>
      </x:c>
      <x:c r="C460" t="str">
        <x:f>'EMA Assurance Employee List'!B461</x:f>
        <x:v>MU</x:v>
      </x:c>
      <x:c r="D460" t="str">
        <x:f>'EMA Assurance Employee List'!D461</x:f>
        <x:v>ashven.rayapen@pwc.com</x:v>
      </x:c>
      <x:c r="E460" t="n">
        <x:f>IF($D460="",0,SUMIF('Attendance Report - Option 1'!$P$11:$P$315,$D460,'Attendance Report - Option 1'!$Q$11:$Q$315)/86400)</x:f>
        <x:v>0</x:v>
      </x:c>
      <x:c r="F460" t="str">
        <x:f>IF(E460=0,"Did not attend",IF(E460&gt;='Read Me'!$E$2/86400,"Fully attended","Partially attended"))</x:f>
        <x:v>Did not attend</x:v>
      </x:c>
      <x:c r="G460" t="n">
        <x:f>IF($D460="",0,SUMIF('Attendance Report - Option 2'!$P$11:$P$412,$D460,'Attendance Report - Option 2'!$Q$11:$Q$412)/86400)</x:f>
        <x:v>0.08541666666666667</x:v>
      </x:c>
      <x:c r="H460" t="str">
        <x:f>IF(G460=0,"Did not attend",IF(G460&gt;='Read Me'!$E$2/86400,"Fully attended","Partially attended"))</x:f>
        <x:v>Fully attended</x:v>
      </x:c>
      <x:c r="I460" t="n">
        <x:f>E460+G460</x:f>
        <x:v>0.08541666666666667</x:v>
      </x:c>
      <x:c r="J460" t="str">
        <x:f>IF(I460=0,"Did not attend",IF(I460&gt;='Read Me'!$E$2/86400,"Fully attended","Partially attended"))</x:f>
        <x:v>Fully attended</x:v>
      </x:c>
      <x:c r="K460" t="str">
        <x:f>IF($D460="","No",IF(COUNTIF('Attendance Report - Option 1'!$P$11:$P$315,$D460)&gt;0,"Yes","No"))</x:f>
        <x:v>No</x:v>
      </x:c>
      <x:c r="L460" t="str">
        <x:f>IF($D460="","No",IF(COUNTIF('Attendance Report - Option 2'!$P$11:$P$412,$D460)&gt;0,"Yes","No"))</x:f>
        <x:v>Yes</x:v>
      </x:c>
    </x:row>
    <x:row r="461">
      <x:c r="A461" t="str">
        <x:f>'EMA Assurance Employee List'!A462</x:f>
        <x:v>Asmamaw Tamiru</x:v>
      </x:c>
      <x:c r="B461" t="str">
        <x:f>IF(C461="KE","Kenya",IF(C461="UG","Uganda",IF(C461="MU","Mauritius",IF(C461="TZ","Tanzania",IF(C461="RW","Rwanda",IF(C461="ZA","South Africa",IF(C461="ZM","Zambia","")))))))</x:f>
        <x:v>Kenya</x:v>
      </x:c>
      <x:c r="C461" t="str">
        <x:f>'EMA Assurance Employee List'!B462</x:f>
        <x:v>KE</x:v>
      </x:c>
      <x:c r="D461" t="str">
        <x:f>'EMA Assurance Employee List'!D462</x:f>
        <x:v>asmamaw.tamiru@pwc.com</x:v>
      </x:c>
      <x:c r="E461" t="n">
        <x:f>IF($D461="",0,SUMIF('Attendance Report - Option 1'!$P$11:$P$315,$D461,'Attendance Report - Option 1'!$Q$11:$Q$315)/86400)</x:f>
        <x:v>0.09299768518518518</x:v>
      </x:c>
      <x:c r="F461" t="str">
        <x:f>IF(E461=0,"Did not attend",IF(E461&gt;='Read Me'!$E$2/86400,"Fully attended","Partially attended"))</x:f>
        <x:v>Fully attended</x:v>
      </x:c>
      <x:c r="G461" t="n">
        <x:f>IF($D461="",0,SUMIF('Attendance Report - Option 2'!$P$11:$P$412,$D461,'Attendance Report - Option 2'!$Q$11:$Q$412)/86400)</x:f>
        <x:v>0</x:v>
      </x:c>
      <x:c r="H461" t="str">
        <x:f>IF(G461=0,"Did not attend",IF(G461&gt;='Read Me'!$E$2/86400,"Fully attended","Partially attended"))</x:f>
        <x:v>Did not attend</x:v>
      </x:c>
      <x:c r="I461" t="n">
        <x:f>E461+G461</x:f>
        <x:v>0.09299768518518518</x:v>
      </x:c>
      <x:c r="J461" t="str">
        <x:f>IF(I461=0,"Did not attend",IF(I461&gt;='Read Me'!$E$2/86400,"Fully attended","Partially attended"))</x:f>
        <x:v>Fully attended</x:v>
      </x:c>
      <x:c r="K461" t="str">
        <x:f>IF($D461="","No",IF(COUNTIF('Attendance Report - Option 1'!$P$11:$P$315,$D461)&gt;0,"Yes","No"))</x:f>
        <x:v>Yes</x:v>
      </x:c>
      <x:c r="L461" t="str">
        <x:f>IF($D461="","No",IF(COUNTIF('Attendance Report - Option 2'!$P$11:$P$412,$D461)&gt;0,"Yes","No"))</x:f>
        <x:v>No</x:v>
      </x:c>
    </x:row>
    <x:row r="462">
      <x:c r="A462" t="str">
        <x:f>'EMA Assurance Employee List'!A463</x:f>
        <x:v>Avish Bhurtah</x:v>
      </x:c>
      <x:c r="B462" t="str">
        <x:f>IF(C462="KE","Kenya",IF(C462="UG","Uganda",IF(C462="MU","Mauritius",IF(C462="TZ","Tanzania",IF(C462="RW","Rwanda",IF(C462="ZA","South Africa",IF(C462="ZM","Zambia","")))))))</x:f>
        <x:v>Mauritius</x:v>
      </x:c>
      <x:c r="C462" t="str">
        <x:f>'EMA Assurance Employee List'!B463</x:f>
        <x:v>MU</x:v>
      </x:c>
      <x:c r="D462" t="str">
        <x:f>'EMA Assurance Employee List'!D463</x:f>
        <x:v>avish.b.bhurtah@pwc.com</x:v>
      </x:c>
      <x:c r="E462" t="n">
        <x:f>IF($D462="",0,SUMIF('Attendance Report - Option 1'!$P$11:$P$315,$D462,'Attendance Report - Option 1'!$Q$11:$Q$315)/86400)</x:f>
        <x:v>0</x:v>
      </x:c>
      <x:c r="F462" t="str">
        <x:f>IF(E462=0,"Did not attend",IF(E462&gt;='Read Me'!$E$2/86400,"Fully attended","Partially attended"))</x:f>
        <x:v>Did not attend</x:v>
      </x:c>
      <x:c r="G462" t="n">
        <x:f>IF($D462="",0,SUMIF('Attendance Report - Option 2'!$P$11:$P$412,$D462,'Attendance Report - Option 2'!$Q$11:$Q$412)/86400)</x:f>
        <x:v>0.08202546296296297</x:v>
      </x:c>
      <x:c r="H462" t="str">
        <x:f>IF(G462=0,"Did not attend",IF(G462&gt;='Read Me'!$E$2/86400,"Fully attended","Partially attended"))</x:f>
        <x:v>Fully attended</x:v>
      </x:c>
      <x:c r="I462" t="n">
        <x:f>E462+G462</x:f>
        <x:v>0.08202546296296297</x:v>
      </x:c>
      <x:c r="J462" t="str">
        <x:f>IF(I462=0,"Did not attend",IF(I462&gt;='Read Me'!$E$2/86400,"Fully attended","Partially attended"))</x:f>
        <x:v>Fully attended</x:v>
      </x:c>
      <x:c r="K462" t="str">
        <x:f>IF($D462="","No",IF(COUNTIF('Attendance Report - Option 1'!$P$11:$P$315,$D462)&gt;0,"Yes","No"))</x:f>
        <x:v>No</x:v>
      </x:c>
      <x:c r="L462" t="str">
        <x:f>IF($D462="","No",IF(COUNTIF('Attendance Report - Option 2'!$P$11:$P$412,$D462)&gt;0,"Yes","No"))</x:f>
        <x:v>Yes</x:v>
      </x:c>
    </x:row>
    <x:row r="463">
      <x:c r="A463" t="str">
        <x:f>'EMA Assurance Employee List'!A464</x:f>
        <x:v>Barry Muindi</x:v>
      </x:c>
      <x:c r="B463" t="str">
        <x:f>IF(C463="KE","Kenya",IF(C463="UG","Uganda",IF(C463="MU","Mauritius",IF(C463="TZ","Tanzania",IF(C463="RW","Rwanda",IF(C463="ZA","South Africa",IF(C463="ZM","Zambia","")))))))</x:f>
        <x:v>Kenya</x:v>
      </x:c>
      <x:c r="C463" t="str">
        <x:f>'EMA Assurance Employee List'!B464</x:f>
        <x:v>KE</x:v>
      </x:c>
      <x:c r="D463" t="str">
        <x:f>'EMA Assurance Employee List'!D464</x:f>
        <x:v>barry.muindi@pwc.com</x:v>
      </x:c>
      <x:c r="E463" t="n">
        <x:f>IF($D463="",0,SUMIF('Attendance Report - Option 1'!$P$11:$P$315,$D463,'Attendance Report - Option 1'!$Q$11:$Q$315)/86400)</x:f>
        <x:v>0.110625</x:v>
      </x:c>
      <x:c r="F463" t="str">
        <x:f>IF(E463=0,"Did not attend",IF(E463&gt;='Read Me'!$E$2/86400,"Fully attended","Partially attended"))</x:f>
        <x:v>Fully attended</x:v>
      </x:c>
      <x:c r="G463" t="n">
        <x:f>IF($D463="",0,SUMIF('Attendance Report - Option 2'!$P$11:$P$412,$D463,'Attendance Report - Option 2'!$Q$11:$Q$412)/86400)</x:f>
        <x:v>0</x:v>
      </x:c>
      <x:c r="H463" t="str">
        <x:f>IF(G463=0,"Did not attend",IF(G463&gt;='Read Me'!$E$2/86400,"Fully attended","Partially attended"))</x:f>
        <x:v>Did not attend</x:v>
      </x:c>
      <x:c r="I463" t="n">
        <x:f>E463+G463</x:f>
        <x:v>0.110625</x:v>
      </x:c>
      <x:c r="J463" t="str">
        <x:f>IF(I463=0,"Did not attend",IF(I463&gt;='Read Me'!$E$2/86400,"Fully attended","Partially attended"))</x:f>
        <x:v>Fully attended</x:v>
      </x:c>
      <x:c r="K463" t="str">
        <x:f>IF($D463="","No",IF(COUNTIF('Attendance Report - Option 1'!$P$11:$P$315,$D463)&gt;0,"Yes","No"))</x:f>
        <x:v>Yes</x:v>
      </x:c>
      <x:c r="L463" t="str">
        <x:f>IF($D463="","No",IF(COUNTIF('Attendance Report - Option 2'!$P$11:$P$412,$D463)&gt;0,"Yes","No"))</x:f>
        <x:v>No</x:v>
      </x:c>
    </x:row>
    <x:row r="464">
      <x:c r="A464" t="str">
        <x:f>'EMA Assurance Employee List'!A465</x:f>
        <x:v>Beatrice Owino</x:v>
      </x:c>
      <x:c r="B464" t="str">
        <x:f>IF(C464="KE","Kenya",IF(C464="UG","Uganda",IF(C464="MU","Mauritius",IF(C464="TZ","Tanzania",IF(C464="RW","Rwanda",IF(C464="ZA","South Africa",IF(C464="ZM","Zambia","")))))))</x:f>
        <x:v>Kenya</x:v>
      </x:c>
      <x:c r="C464" t="str">
        <x:f>'EMA Assurance Employee List'!B465</x:f>
        <x:v>KE</x:v>
      </x:c>
      <x:c r="D464" t="str">
        <x:f>'EMA Assurance Employee List'!D465</x:f>
        <x:v>beatrice.owino@pwc.com</x:v>
      </x:c>
      <x:c r="E464" t="n">
        <x:f>IF($D464="",0,SUMIF('Attendance Report - Option 1'!$P$11:$P$315,$D464,'Attendance Report - Option 1'!$Q$11:$Q$315)/86400)</x:f>
        <x:v>0.06958333333333333</x:v>
      </x:c>
      <x:c r="F464" t="str">
        <x:f>IF(E464=0,"Did not attend",IF(E464&gt;='Read Me'!$E$2/86400,"Fully attended","Partially attended"))</x:f>
        <x:v>Fully attended</x:v>
      </x:c>
      <x:c r="G464" t="n">
        <x:f>IF($D464="",0,SUMIF('Attendance Report - Option 2'!$P$11:$P$412,$D464,'Attendance Report - Option 2'!$Q$11:$Q$412)/86400)</x:f>
        <x:v>0</x:v>
      </x:c>
      <x:c r="H464" t="str">
        <x:f>IF(G464=0,"Did not attend",IF(G464&gt;='Read Me'!$E$2/86400,"Fully attended","Partially attended"))</x:f>
        <x:v>Did not attend</x:v>
      </x:c>
      <x:c r="I464" t="n">
        <x:f>E464+G464</x:f>
        <x:v>0.06958333333333333</x:v>
      </x:c>
      <x:c r="J464" t="str">
        <x:f>IF(I464=0,"Did not attend",IF(I464&gt;='Read Me'!$E$2/86400,"Fully attended","Partially attended"))</x:f>
        <x:v>Fully attended</x:v>
      </x:c>
      <x:c r="K464" t="str">
        <x:f>IF($D464="","No",IF(COUNTIF('Attendance Report - Option 1'!$P$11:$P$315,$D464)&gt;0,"Yes","No"))</x:f>
        <x:v>Yes</x:v>
      </x:c>
      <x:c r="L464" t="str">
        <x:f>IF($D464="","No",IF(COUNTIF('Attendance Report - Option 2'!$P$11:$P$412,$D464)&gt;0,"Yes","No"))</x:f>
        <x:v>No</x:v>
      </x:c>
    </x:row>
    <x:row r="465">
      <x:c r="A465" t="str">
        <x:f>'EMA Assurance Employee List'!A466</x:f>
        <x:v>Belinda Ngowo</x:v>
      </x:c>
      <x:c r="B465" t="str">
        <x:f>IF(C465="KE","Kenya",IF(C465="UG","Uganda",IF(C465="MU","Mauritius",IF(C465="TZ","Tanzania",IF(C465="RW","Rwanda",IF(C465="ZA","South Africa",IF(C465="ZM","Zambia","")))))))</x:f>
        <x:v>Tanzania</x:v>
      </x:c>
      <x:c r="C465" t="str">
        <x:f>'EMA Assurance Employee List'!B466</x:f>
        <x:v>TZ</x:v>
      </x:c>
      <x:c r="D465" t="str">
        <x:f>'EMA Assurance Employee List'!D466</x:f>
        <x:v>belinda.ngowo@pwc.com</x:v>
      </x:c>
      <x:c r="E465" t="n">
        <x:f>IF($D465="",0,SUMIF('Attendance Report - Option 1'!$P$11:$P$315,$D465,'Attendance Report - Option 1'!$Q$11:$Q$315)/86400)</x:f>
        <x:v>0.0809375</x:v>
      </x:c>
      <x:c r="F465" t="str">
        <x:f>IF(E465=0,"Did not attend",IF(E465&gt;='Read Me'!$E$2/86400,"Fully attended","Partially attended"))</x:f>
        <x:v>Fully attended</x:v>
      </x:c>
      <x:c r="G465" t="n">
        <x:f>IF($D465="",0,SUMIF('Attendance Report - Option 2'!$P$11:$P$412,$D465,'Attendance Report - Option 2'!$Q$11:$Q$412)/86400)</x:f>
        <x:v>0</x:v>
      </x:c>
      <x:c r="H465" t="str">
        <x:f>IF(G465=0,"Did not attend",IF(G465&gt;='Read Me'!$E$2/86400,"Fully attended","Partially attended"))</x:f>
        <x:v>Did not attend</x:v>
      </x:c>
      <x:c r="I465" t="n">
        <x:f>E465+G465</x:f>
        <x:v>0.0809375</x:v>
      </x:c>
      <x:c r="J465" t="str">
        <x:f>IF(I465=0,"Did not attend",IF(I465&gt;='Read Me'!$E$2/86400,"Fully attended","Partially attended"))</x:f>
        <x:v>Fully attended</x:v>
      </x:c>
      <x:c r="K465" t="str">
        <x:f>IF($D465="","No",IF(COUNTIF('Attendance Report - Option 1'!$P$11:$P$315,$D465)&gt;0,"Yes","No"))</x:f>
        <x:v>Yes</x:v>
      </x:c>
      <x:c r="L465" t="str">
        <x:f>IF($D465="","No",IF(COUNTIF('Attendance Report - Option 2'!$P$11:$P$412,$D465)&gt;0,"Yes","No"))</x:f>
        <x:v>No</x:v>
      </x:c>
    </x:row>
    <x:row r="466">
      <x:c r="A466" t="str">
        <x:f>'EMA Assurance Employee List'!A467</x:f>
        <x:v>Benita Ndakebuka</x:v>
      </x:c>
      <x:c r="B466" t="str">
        <x:f>IF(C466="KE","Kenya",IF(C466="UG","Uganda",IF(C466="MU","Mauritius",IF(C466="TZ","Tanzania",IF(C466="RW","Rwanda",IF(C466="ZA","South Africa",IF(C466="ZM","Zambia","")))))))</x:f>
        <x:v>Rwanda</x:v>
      </x:c>
      <x:c r="C466" t="str">
        <x:f>'EMA Assurance Employee List'!B467</x:f>
        <x:v>RW</x:v>
      </x:c>
      <x:c r="D466" t="str">
        <x:f>'EMA Assurance Employee List'!D467</x:f>
        <x:v>benita.ndakebuka@pwc.com</x:v>
      </x:c>
      <x:c r="E466" t="n">
        <x:f>IF($D466="",0,SUMIF('Attendance Report - Option 1'!$P$11:$P$315,$D466,'Attendance Report - Option 1'!$Q$11:$Q$315)/86400)</x:f>
        <x:v>0.04293981481481481</x:v>
      </x:c>
      <x:c r="F466" t="str">
        <x:f>IF(E466=0,"Did not attend",IF(E466&gt;='Read Me'!$E$2/86400,"Fully attended","Partially attended"))</x:f>
        <x:v>Partially attended</x:v>
      </x:c>
      <x:c r="G466" t="n">
        <x:f>IF($D466="",0,SUMIF('Attendance Report - Option 2'!$P$11:$P$412,$D466,'Attendance Report - Option 2'!$Q$11:$Q$412)/86400)</x:f>
        <x:v>0</x:v>
      </x:c>
      <x:c r="H466" t="str">
        <x:f>IF(G466=0,"Did not attend",IF(G466&gt;='Read Me'!$E$2/86400,"Fully attended","Partially attended"))</x:f>
        <x:v>Did not attend</x:v>
      </x:c>
      <x:c r="I466" t="n">
        <x:f>E466+G466</x:f>
        <x:v>0.04293981481481481</x:v>
      </x:c>
      <x:c r="J466" t="str">
        <x:f>IF(I466=0,"Did not attend",IF(I466&gt;='Read Me'!$E$2/86400,"Fully attended","Partially attended"))</x:f>
        <x:v>Partially attended</x:v>
      </x:c>
      <x:c r="K466" t="str">
        <x:f>IF($D466="","No",IF(COUNTIF('Attendance Report - Option 1'!$P$11:$P$315,$D466)&gt;0,"Yes","No"))</x:f>
        <x:v>Yes</x:v>
      </x:c>
      <x:c r="L466" t="str">
        <x:f>IF($D466="","No",IF(COUNTIF('Attendance Report - Option 2'!$P$11:$P$412,$D466)&gt;0,"Yes","No"))</x:f>
        <x:v>No</x:v>
      </x:c>
    </x:row>
    <x:row r="467">
      <x:c r="A467" t="str">
        <x:f>'EMA Assurance Employee List'!A468</x:f>
        <x:v>Bertha Chenga</x:v>
      </x:c>
      <x:c r="B467" t="str">
        <x:f>IF(C467="KE","Kenya",IF(C467="UG","Uganda",IF(C467="MU","Mauritius",IF(C467="TZ","Tanzania",IF(C467="RW","Rwanda",IF(C467="ZA","South Africa",IF(C467="ZM","Zambia","")))))))</x:f>
        <x:v>Tanzania</x:v>
      </x:c>
      <x:c r="C467" t="str">
        <x:f>'EMA Assurance Employee List'!B468</x:f>
        <x:v>TZ</x:v>
      </x:c>
      <x:c r="D467" t="str">
        <x:f>'EMA Assurance Employee List'!D468</x:f>
        <x:v>bertha.chenga@pwc.com</x:v>
      </x:c>
      <x:c r="E467" t="n">
        <x:f>IF($D467="",0,SUMIF('Attendance Report - Option 1'!$P$11:$P$315,$D467,'Attendance Report - Option 1'!$Q$11:$Q$315)/86400)</x:f>
        <x:v>0.07333333333333333</x:v>
      </x:c>
      <x:c r="F467" t="str">
        <x:f>IF(E467=0,"Did not attend",IF(E467&gt;='Read Me'!$E$2/86400,"Fully attended","Partially attended"))</x:f>
        <x:v>Fully attended</x:v>
      </x:c>
      <x:c r="G467" t="n">
        <x:f>IF($D467="",0,SUMIF('Attendance Report - Option 2'!$P$11:$P$412,$D467,'Attendance Report - Option 2'!$Q$11:$Q$412)/86400)</x:f>
        <x:v>0</x:v>
      </x:c>
      <x:c r="H467" t="str">
        <x:f>IF(G467=0,"Did not attend",IF(G467&gt;='Read Me'!$E$2/86400,"Fully attended","Partially attended"))</x:f>
        <x:v>Did not attend</x:v>
      </x:c>
      <x:c r="I467" t="n">
        <x:f>E467+G467</x:f>
        <x:v>0.07333333333333333</x:v>
      </x:c>
      <x:c r="J467" t="str">
        <x:f>IF(I467=0,"Did not attend",IF(I467&gt;='Read Me'!$E$2/86400,"Fully attended","Partially attended"))</x:f>
        <x:v>Fully attended</x:v>
      </x:c>
      <x:c r="K467" t="str">
        <x:f>IF($D467="","No",IF(COUNTIF('Attendance Report - Option 1'!$P$11:$P$315,$D467)&gt;0,"Yes","No"))</x:f>
        <x:v>Yes</x:v>
      </x:c>
      <x:c r="L467" t="str">
        <x:f>IF($D467="","No",IF(COUNTIF('Attendance Report - Option 2'!$P$11:$P$412,$D467)&gt;0,"Yes","No"))</x:f>
        <x:v>No</x:v>
      </x:c>
    </x:row>
    <x:row r="468">
      <x:c r="A468" t="str">
        <x:f>'EMA Assurance Employee List'!A469</x:f>
        <x:v>Bhavish Bhunjun</x:v>
      </x:c>
      <x:c r="B468" t="str">
        <x:f>IF(C468="KE","Kenya",IF(C468="UG","Uganda",IF(C468="MU","Mauritius",IF(C468="TZ","Tanzania",IF(C468="RW","Rwanda",IF(C468="ZA","South Africa",IF(C468="ZM","Zambia","")))))))</x:f>
        <x:v>Mauritius</x:v>
      </x:c>
      <x:c r="C468" t="str">
        <x:f>'EMA Assurance Employee List'!B469</x:f>
        <x:v>MU</x:v>
      </x:c>
      <x:c r="D468" t="str">
        <x:f>'EMA Assurance Employee List'!D469</x:f>
        <x:v>bhavish.bhunjun@pwc.com</x:v>
      </x:c>
      <x:c r="E468" t="n">
        <x:f>IF($D468="",0,SUMIF('Attendance Report - Option 1'!$P$11:$P$315,$D468,'Attendance Report - Option 1'!$Q$11:$Q$315)/86400)</x:f>
        <x:v>0.03591435185185185</x:v>
      </x:c>
      <x:c r="F468" t="str">
        <x:f>IF(E468=0,"Did not attend",IF(E468&gt;='Read Me'!$E$2/86400,"Fully attended","Partially attended"))</x:f>
        <x:v>Partially attended</x:v>
      </x:c>
      <x:c r="G468" t="n">
        <x:f>IF($D468="",0,SUMIF('Attendance Report - Option 2'!$P$11:$P$412,$D468,'Attendance Report - Option 2'!$Q$11:$Q$412)/86400)</x:f>
        <x:v>0</x:v>
      </x:c>
      <x:c r="H468" t="str">
        <x:f>IF(G468=0,"Did not attend",IF(G468&gt;='Read Me'!$E$2/86400,"Fully attended","Partially attended"))</x:f>
        <x:v>Did not attend</x:v>
      </x:c>
      <x:c r="I468" t="n">
        <x:f>E468+G468</x:f>
        <x:v>0.03591435185185185</x:v>
      </x:c>
      <x:c r="J468" t="str">
        <x:f>IF(I468=0,"Did not attend",IF(I468&gt;='Read Me'!$E$2/86400,"Fully attended","Partially attended"))</x:f>
        <x:v>Partially attended</x:v>
      </x:c>
      <x:c r="K468" t="str">
        <x:f>IF($D468="","No",IF(COUNTIF('Attendance Report - Option 1'!$P$11:$P$315,$D468)&gt;0,"Yes","No"))</x:f>
        <x:v>Yes</x:v>
      </x:c>
      <x:c r="L468" t="str">
        <x:f>IF($D468="","No",IF(COUNTIF('Attendance Report - Option 2'!$P$11:$P$412,$D468)&gt;0,"Yes","No"))</x:f>
        <x:v>No</x:v>
      </x:c>
    </x:row>
    <x:row r="469">
      <x:c r="A469" t="str">
        <x:f>'EMA Assurance Employee List'!A470</x:f>
        <x:v>Blessed Moinket</x:v>
      </x:c>
      <x:c r="B469" t="str">
        <x:f>IF(C469="KE","Kenya",IF(C469="UG","Uganda",IF(C469="MU","Mauritius",IF(C469="TZ","Tanzania",IF(C469="RW","Rwanda",IF(C469="ZA","South Africa",IF(C469="ZM","Zambia","")))))))</x:f>
        <x:v>Kenya</x:v>
      </x:c>
      <x:c r="C469" t="str">
        <x:f>'EMA Assurance Employee List'!B470</x:f>
        <x:v>KE</x:v>
      </x:c>
      <x:c r="D469" t="str">
        <x:f>'EMA Assurance Employee List'!D470</x:f>
        <x:v>blessed.moinket@pwc.com</x:v>
      </x:c>
      <x:c r="E469" t="n">
        <x:f>IF($D469="",0,SUMIF('Attendance Report - Option 1'!$P$11:$P$315,$D469,'Attendance Report - Option 1'!$Q$11:$Q$315)/86400)</x:f>
        <x:v>0</x:v>
      </x:c>
      <x:c r="F469" t="str">
        <x:f>IF(E469=0,"Did not attend",IF(E469&gt;='Read Me'!$E$2/86400,"Fully attended","Partially attended"))</x:f>
        <x:v>Did not attend</x:v>
      </x:c>
      <x:c r="G469" t="n">
        <x:f>IF($D469="",0,SUMIF('Attendance Report - Option 2'!$P$11:$P$412,$D469,'Attendance Report - Option 2'!$Q$11:$Q$412)/86400)</x:f>
        <x:v>0.028668981481481483</x:v>
      </x:c>
      <x:c r="H469" t="str">
        <x:f>IF(G469=0,"Did not attend",IF(G469&gt;='Read Me'!$E$2/86400,"Fully attended","Partially attended"))</x:f>
        <x:v>Partially attended</x:v>
      </x:c>
      <x:c r="I469" t="n">
        <x:f>E469+G469</x:f>
        <x:v>0.028668981481481483</x:v>
      </x:c>
      <x:c r="J469" t="str">
        <x:f>IF(I469=0,"Did not attend",IF(I469&gt;='Read Me'!$E$2/86400,"Fully attended","Partially attended"))</x:f>
        <x:v>Partially attended</x:v>
      </x:c>
      <x:c r="K469" t="str">
        <x:f>IF($D469="","No",IF(COUNTIF('Attendance Report - Option 1'!$P$11:$P$315,$D469)&gt;0,"Yes","No"))</x:f>
        <x:v>No</x:v>
      </x:c>
      <x:c r="L469" t="str">
        <x:f>IF($D469="","No",IF(COUNTIF('Attendance Report - Option 2'!$P$11:$P$412,$D469)&gt;0,"Yes","No"))</x:f>
        <x:v>Yes</x:v>
      </x:c>
    </x:row>
    <x:row r="470">
      <x:c r="A470" t="str">
        <x:f>'EMA Assurance Employee List'!A471</x:f>
        <x:v>Bonita Kilama</x:v>
      </x:c>
      <x:c r="B470" t="str">
        <x:f>IF(C470="KE","Kenya",IF(C470="UG","Uganda",IF(C470="MU","Mauritius",IF(C470="TZ","Tanzania",IF(C470="RW","Rwanda",IF(C470="ZA","South Africa",IF(C470="ZM","Zambia","")))))))</x:f>
        <x:v>Tanzania</x:v>
      </x:c>
      <x:c r="C470" t="str">
        <x:f>'EMA Assurance Employee List'!B471</x:f>
        <x:v>TZ</x:v>
      </x:c>
      <x:c r="D470" t="str">
        <x:f>'EMA Assurance Employee List'!D471</x:f>
        <x:v>bonita.kilama@pwc.com</x:v>
      </x:c>
      <x:c r="E470" t="n">
        <x:f>IF($D470="",0,SUMIF('Attendance Report - Option 1'!$P$11:$P$315,$D470,'Attendance Report - Option 1'!$Q$11:$Q$315)/86400)</x:f>
        <x:v>0</x:v>
      </x:c>
      <x:c r="F470" t="str">
        <x:f>IF(E470=0,"Did not attend",IF(E470&gt;='Read Me'!$E$2/86400,"Fully attended","Partially attended"))</x:f>
        <x:v>Did not attend</x:v>
      </x:c>
      <x:c r="G470" t="n">
        <x:f>IF($D470="",0,SUMIF('Attendance Report - Option 2'!$P$11:$P$412,$D470,'Attendance Report - Option 2'!$Q$11:$Q$412)/86400)</x:f>
        <x:v>0.08866898148148149</x:v>
      </x:c>
      <x:c r="H470" t="str">
        <x:f>IF(G470=0,"Did not attend",IF(G470&gt;='Read Me'!$E$2/86400,"Fully attended","Partially attended"))</x:f>
        <x:v>Fully attended</x:v>
      </x:c>
      <x:c r="I470" t="n">
        <x:f>E470+G470</x:f>
        <x:v>0.08866898148148149</x:v>
      </x:c>
      <x:c r="J470" t="str">
        <x:f>IF(I470=0,"Did not attend",IF(I470&gt;='Read Me'!$E$2/86400,"Fully attended","Partially attended"))</x:f>
        <x:v>Fully attended</x:v>
      </x:c>
      <x:c r="K470" t="str">
        <x:f>IF($D470="","No",IF(COUNTIF('Attendance Report - Option 1'!$P$11:$P$315,$D470)&gt;0,"Yes","No"))</x:f>
        <x:v>No</x:v>
      </x:c>
      <x:c r="L470" t="str">
        <x:f>IF($D470="","No",IF(COUNTIF('Attendance Report - Option 2'!$P$11:$P$412,$D470)&gt;0,"Yes","No"))</x:f>
        <x:v>Yes</x:v>
      </x:c>
    </x:row>
    <x:row r="471">
      <x:c r="A471" t="str">
        <x:f>'EMA Assurance Employee List'!A472</x:f>
        <x:v>Brenda Awuor</x:v>
      </x:c>
      <x:c r="B471" t="str">
        <x:f>IF(C471="KE","Kenya",IF(C471="UG","Uganda",IF(C471="MU","Mauritius",IF(C471="TZ","Tanzania",IF(C471="RW","Rwanda",IF(C471="ZA","South Africa",IF(C471="ZM","Zambia","")))))))</x:f>
        <x:v>Kenya</x:v>
      </x:c>
      <x:c r="C471" t="str">
        <x:f>'EMA Assurance Employee List'!B472</x:f>
        <x:v>KE</x:v>
      </x:c>
      <x:c r="D471" t="str">
        <x:f>'EMA Assurance Employee List'!D472</x:f>
        <x:v>brenda.awuor@pwc.com</x:v>
      </x:c>
      <x:c r="E471" t="n">
        <x:f>IF($D471="",0,SUMIF('Attendance Report - Option 1'!$P$11:$P$315,$D471,'Attendance Report - Option 1'!$Q$11:$Q$315)/86400)</x:f>
        <x:v>0</x:v>
      </x:c>
      <x:c r="F471" t="str">
        <x:f>IF(E471=0,"Did not attend",IF(E471&gt;='Read Me'!$E$2/86400,"Fully attended","Partially attended"))</x:f>
        <x:v>Did not attend</x:v>
      </x:c>
      <x:c r="G471" t="n">
        <x:f>IF($D471="",0,SUMIF('Attendance Report - Option 2'!$P$11:$P$412,$D471,'Attendance Report - Option 2'!$Q$11:$Q$412)/86400)</x:f>
        <x:v>0.07947916666666667</x:v>
      </x:c>
      <x:c r="H471" t="str">
        <x:f>IF(G471=0,"Did not attend",IF(G471&gt;='Read Me'!$E$2/86400,"Fully attended","Partially attended"))</x:f>
        <x:v>Fully attended</x:v>
      </x:c>
      <x:c r="I471" t="n">
        <x:f>E471+G471</x:f>
        <x:v>0.07947916666666667</x:v>
      </x:c>
      <x:c r="J471" t="str">
        <x:f>IF(I471=0,"Did not attend",IF(I471&gt;='Read Me'!$E$2/86400,"Fully attended","Partially attended"))</x:f>
        <x:v>Fully attended</x:v>
      </x:c>
      <x:c r="K471" t="str">
        <x:f>IF($D471="","No",IF(COUNTIF('Attendance Report - Option 1'!$P$11:$P$315,$D471)&gt;0,"Yes","No"))</x:f>
        <x:v>No</x:v>
      </x:c>
      <x:c r="L471" t="str">
        <x:f>IF($D471="","No",IF(COUNTIF('Attendance Report - Option 2'!$P$11:$P$412,$D471)&gt;0,"Yes","No"))</x:f>
        <x:v>Yes</x:v>
      </x:c>
    </x:row>
    <x:row r="472">
      <x:c r="A472" t="str">
        <x:f>'EMA Assurance Employee List'!A473</x:f>
        <x:v>Brenda Nabatanzi</x:v>
      </x:c>
      <x:c r="B472" t="str">
        <x:f>IF(C472="KE","Kenya",IF(C472="UG","Uganda",IF(C472="MU","Mauritius",IF(C472="TZ","Tanzania",IF(C472="RW","Rwanda",IF(C472="ZA","South Africa",IF(C472="ZM","Zambia","")))))))</x:f>
        <x:v>Uganda</x:v>
      </x:c>
      <x:c r="C472" t="str">
        <x:f>'EMA Assurance Employee List'!B473</x:f>
        <x:v>UG</x:v>
      </x:c>
      <x:c r="D472" t="str">
        <x:f>'EMA Assurance Employee List'!D473</x:f>
        <x:v>brenda.nabatanzi@pwc.com</x:v>
      </x:c>
      <x:c r="E472" t="n">
        <x:f>IF($D472="",0,SUMIF('Attendance Report - Option 1'!$P$11:$P$315,$D472,'Attendance Report - Option 1'!$Q$11:$Q$315)/86400)</x:f>
        <x:v>0</x:v>
      </x:c>
      <x:c r="F472" t="str">
        <x:f>IF(E472=0,"Did not attend",IF(E472&gt;='Read Me'!$E$2/86400,"Fully attended","Partially attended"))</x:f>
        <x:v>Did not attend</x:v>
      </x:c>
      <x:c r="G472" t="n">
        <x:f>IF($D472="",0,SUMIF('Attendance Report - Option 2'!$P$11:$P$412,$D472,'Attendance Report - Option 2'!$Q$11:$Q$412)/86400)</x:f>
        <x:v>0.08515046296296297</x:v>
      </x:c>
      <x:c r="H472" t="str">
        <x:f>IF(G472=0,"Did not attend",IF(G472&gt;='Read Me'!$E$2/86400,"Fully attended","Partially attended"))</x:f>
        <x:v>Fully attended</x:v>
      </x:c>
      <x:c r="I472" t="n">
        <x:f>E472+G472</x:f>
        <x:v>0.08515046296296297</x:v>
      </x:c>
      <x:c r="J472" t="str">
        <x:f>IF(I472=0,"Did not attend",IF(I472&gt;='Read Me'!$E$2/86400,"Fully attended","Partially attended"))</x:f>
        <x:v>Fully attended</x:v>
      </x:c>
      <x:c r="K472" t="str">
        <x:f>IF($D472="","No",IF(COUNTIF('Attendance Report - Option 1'!$P$11:$P$315,$D472)&gt;0,"Yes","No"))</x:f>
        <x:v>No</x:v>
      </x:c>
      <x:c r="L472" t="str">
        <x:f>IF($D472="","No",IF(COUNTIF('Attendance Report - Option 2'!$P$11:$P$412,$D472)&gt;0,"Yes","No"))</x:f>
        <x:v>Yes</x:v>
      </x:c>
    </x:row>
    <x:row r="473">
      <x:c r="A473" t="str">
        <x:f>'EMA Assurance Employee List'!A474</x:f>
        <x:v>Candy Kida</x:v>
      </x:c>
      <x:c r="B473" t="str">
        <x:f>IF(C473="KE","Kenya",IF(C473="UG","Uganda",IF(C473="MU","Mauritius",IF(C473="TZ","Tanzania",IF(C473="RW","Rwanda",IF(C473="ZA","South Africa",IF(C473="ZM","Zambia","")))))))</x:f>
        <x:v>Tanzania</x:v>
      </x:c>
      <x:c r="C473" t="str">
        <x:f>'EMA Assurance Employee List'!B474</x:f>
        <x:v>TZ</x:v>
      </x:c>
      <x:c r="D473" t="str">
        <x:f>'EMA Assurance Employee List'!D474</x:f>
        <x:v>candy.kida@pwc.com</x:v>
      </x:c>
      <x:c r="E473" t="n">
        <x:f>IF($D473="",0,SUMIF('Attendance Report - Option 1'!$P$11:$P$315,$D473,'Attendance Report - Option 1'!$Q$11:$Q$315)/86400)</x:f>
        <x:v>0.08623842592592593</x:v>
      </x:c>
      <x:c r="F473" t="str">
        <x:f>IF(E473=0,"Did not attend",IF(E473&gt;='Read Me'!$E$2/86400,"Fully attended","Partially attended"))</x:f>
        <x:v>Fully attended</x:v>
      </x:c>
      <x:c r="G473" t="n">
        <x:f>IF($D473="",0,SUMIF('Attendance Report - Option 2'!$P$11:$P$412,$D473,'Attendance Report - Option 2'!$Q$11:$Q$412)/86400)</x:f>
        <x:v>0.03788194444444445</x:v>
      </x:c>
      <x:c r="H473" t="str">
        <x:f>IF(G473=0,"Did not attend",IF(G473&gt;='Read Me'!$E$2/86400,"Fully attended","Partially attended"))</x:f>
        <x:v>Partially attended</x:v>
      </x:c>
      <x:c r="I473" t="n">
        <x:f>E473+G473</x:f>
        <x:v>0.12412037037037038</x:v>
      </x:c>
      <x:c r="J473" t="str">
        <x:f>IF(I473=0,"Did not attend",IF(I473&gt;='Read Me'!$E$2/86400,"Fully attended","Partially attended"))</x:f>
        <x:v>Fully attended</x:v>
      </x:c>
      <x:c r="K473" t="str">
        <x:f>IF($D473="","No",IF(COUNTIF('Attendance Report - Option 1'!$P$11:$P$315,$D473)&gt;0,"Yes","No"))</x:f>
        <x:v>Yes</x:v>
      </x:c>
      <x:c r="L473" t="str">
        <x:f>IF($D473="","No",IF(COUNTIF('Attendance Report - Option 2'!$P$11:$P$412,$D473)&gt;0,"Yes","No"))</x:f>
        <x:v>Yes</x:v>
      </x:c>
    </x:row>
    <x:row r="474">
      <x:c r="A474" t="str">
        <x:f>'EMA Assurance Employee List'!A475</x:f>
        <x:v>Careen Mndolwa</x:v>
      </x:c>
      <x:c r="B474" t="str">
        <x:f>IF(C474="KE","Kenya",IF(C474="UG","Uganda",IF(C474="MU","Mauritius",IF(C474="TZ","Tanzania",IF(C474="RW","Rwanda",IF(C474="ZA","South Africa",IF(C474="ZM","Zambia","")))))))</x:f>
        <x:v>Tanzania</x:v>
      </x:c>
      <x:c r="C474" t="str">
        <x:f>'EMA Assurance Employee List'!B475</x:f>
        <x:v>TZ</x:v>
      </x:c>
      <x:c r="D474" t="str">
        <x:f>'EMA Assurance Employee List'!D475</x:f>
        <x:v>careen.mndolwa@pwc.com</x:v>
      </x:c>
      <x:c r="E474" t="n">
        <x:f>IF($D474="",0,SUMIF('Attendance Report - Option 1'!$P$11:$P$315,$D474,'Attendance Report - Option 1'!$Q$11:$Q$315)/86400)</x:f>
        <x:v>0.011400462962962963</x:v>
      </x:c>
      <x:c r="F474" t="str">
        <x:f>IF(E474=0,"Did not attend",IF(E474&gt;='Read Me'!$E$2/86400,"Fully attended","Partially attended"))</x:f>
        <x:v>Partially attended</x:v>
      </x:c>
      <x:c r="G474" t="n">
        <x:f>IF($D474="",0,SUMIF('Attendance Report - Option 2'!$P$11:$P$412,$D474,'Attendance Report - Option 2'!$Q$11:$Q$412)/86400)</x:f>
        <x:v>0</x:v>
      </x:c>
      <x:c r="H474" t="str">
        <x:f>IF(G474=0,"Did not attend",IF(G474&gt;='Read Me'!$E$2/86400,"Fully attended","Partially attended"))</x:f>
        <x:v>Did not attend</x:v>
      </x:c>
      <x:c r="I474" t="n">
        <x:f>E474+G474</x:f>
        <x:v>0.011400462962962963</x:v>
      </x:c>
      <x:c r="J474" t="str">
        <x:f>IF(I474=0,"Did not attend",IF(I474&gt;='Read Me'!$E$2/86400,"Fully attended","Partially attended"))</x:f>
        <x:v>Partially attended</x:v>
      </x:c>
      <x:c r="K474" t="str">
        <x:f>IF($D474="","No",IF(COUNTIF('Attendance Report - Option 1'!$P$11:$P$315,$D474)&gt;0,"Yes","No"))</x:f>
        <x:v>Yes</x:v>
      </x:c>
      <x:c r="L474" t="str">
        <x:f>IF($D474="","No",IF(COUNTIF('Attendance Report - Option 2'!$P$11:$P$412,$D474)&gt;0,"Yes","No"))</x:f>
        <x:v>No</x:v>
      </x:c>
    </x:row>
    <x:row r="475">
      <x:c r="A475" t="str">
        <x:f>'EMA Assurance Employee List'!A476</x:f>
        <x:v>Catherine Hyagila</x:v>
      </x:c>
      <x:c r="B475" t="str">
        <x:f>IF(C475="KE","Kenya",IF(C475="UG","Uganda",IF(C475="MU","Mauritius",IF(C475="TZ","Tanzania",IF(C475="RW","Rwanda",IF(C475="ZA","South Africa",IF(C475="ZM","Zambia","")))))))</x:f>
        <x:v>Tanzania</x:v>
      </x:c>
      <x:c r="C475" t="str">
        <x:f>'EMA Assurance Employee List'!B476</x:f>
        <x:v>TZ</x:v>
      </x:c>
      <x:c r="D475" t="str">
        <x:f>'EMA Assurance Employee List'!D476</x:f>
        <x:v>catherine.hyagila@pwc.com</x:v>
      </x:c>
      <x:c r="E475" t="n">
        <x:f>IF($D475="",0,SUMIF('Attendance Report - Option 1'!$P$11:$P$315,$D475,'Attendance Report - Option 1'!$Q$11:$Q$315)/86400)</x:f>
        <x:v>0</x:v>
      </x:c>
      <x:c r="F475" t="str">
        <x:f>IF(E475=0,"Did not attend",IF(E475&gt;='Read Me'!$E$2/86400,"Fully attended","Partially attended"))</x:f>
        <x:v>Did not attend</x:v>
      </x:c>
      <x:c r="G475" t="n">
        <x:f>IF($D475="",0,SUMIF('Attendance Report - Option 2'!$P$11:$P$412,$D475,'Attendance Report - Option 2'!$Q$11:$Q$412)/86400)</x:f>
        <x:v>0.05193287037037037</x:v>
      </x:c>
      <x:c r="H475" t="str">
        <x:f>IF(G475=0,"Did not attend",IF(G475&gt;='Read Me'!$E$2/86400,"Fully attended","Partially attended"))</x:f>
        <x:v>Partially attended</x:v>
      </x:c>
      <x:c r="I475" t="n">
        <x:f>E475+G475</x:f>
        <x:v>0.05193287037037037</x:v>
      </x:c>
      <x:c r="J475" t="str">
        <x:f>IF(I475=0,"Did not attend",IF(I475&gt;='Read Me'!$E$2/86400,"Fully attended","Partially attended"))</x:f>
        <x:v>Partially attended</x:v>
      </x:c>
      <x:c r="K475" t="str">
        <x:f>IF($D475="","No",IF(COUNTIF('Attendance Report - Option 1'!$P$11:$P$315,$D475)&gt;0,"Yes","No"))</x:f>
        <x:v>No</x:v>
      </x:c>
      <x:c r="L475" t="str">
        <x:f>IF($D475="","No",IF(COUNTIF('Attendance Report - Option 2'!$P$11:$P$412,$D475)&gt;0,"Yes","No"))</x:f>
        <x:v>Yes</x:v>
      </x:c>
    </x:row>
    <x:row r="476">
      <x:c r="A476" t="str">
        <x:f>'EMA Assurance Employee List'!A477</x:f>
        <x:v>Chali Ngulube</x:v>
      </x:c>
      <x:c r="B476" t="str">
        <x:f>IF(C476="KE","Kenya",IF(C476="UG","Uganda",IF(C476="MU","Mauritius",IF(C476="TZ","Tanzania",IF(C476="RW","Rwanda",IF(C476="ZA","South Africa",IF(C476="ZM","Zambia","")))))))</x:f>
        <x:v>Zambia</x:v>
      </x:c>
      <x:c r="C476" t="str">
        <x:f>'EMA Assurance Employee List'!B477</x:f>
        <x:v>ZM</x:v>
      </x:c>
      <x:c r="D476" t="str">
        <x:f>'EMA Assurance Employee List'!D477</x:f>
        <x:v>chali.ngulube@pwc.com</x:v>
      </x:c>
      <x:c r="E476" t="n">
        <x:f>IF($D476="",0,SUMIF('Attendance Report - Option 1'!$P$11:$P$315,$D476,'Attendance Report - Option 1'!$Q$11:$Q$315)/86400)</x:f>
        <x:v>0.01474537037037037</x:v>
      </x:c>
      <x:c r="F476" t="str">
        <x:f>IF(E476=0,"Did not attend",IF(E476&gt;='Read Me'!$E$2/86400,"Fully attended","Partially attended"))</x:f>
        <x:v>Partially attended</x:v>
      </x:c>
      <x:c r="G476" t="n">
        <x:f>IF($D476="",0,SUMIF('Attendance Report - Option 2'!$P$11:$P$412,$D476,'Attendance Report - Option 2'!$Q$11:$Q$412)/86400)</x:f>
        <x:v>0.08042824074074074</x:v>
      </x:c>
      <x:c r="H476" t="str">
        <x:f>IF(G476=0,"Did not attend",IF(G476&gt;='Read Me'!$E$2/86400,"Fully attended","Partially attended"))</x:f>
        <x:v>Fully attended</x:v>
      </x:c>
      <x:c r="I476" t="n">
        <x:f>E476+G476</x:f>
        <x:v>0.09517361111111111</x:v>
      </x:c>
      <x:c r="J476" t="str">
        <x:f>IF(I476=0,"Did not attend",IF(I476&gt;='Read Me'!$E$2/86400,"Fully attended","Partially attended"))</x:f>
        <x:v>Fully attended</x:v>
      </x:c>
      <x:c r="K476" t="str">
        <x:f>IF($D476="","No",IF(COUNTIF('Attendance Report - Option 1'!$P$11:$P$315,$D476)&gt;0,"Yes","No"))</x:f>
        <x:v>Yes</x:v>
      </x:c>
      <x:c r="L476" t="str">
        <x:f>IF($D476="","No",IF(COUNTIF('Attendance Report - Option 2'!$P$11:$P$412,$D476)&gt;0,"Yes","No"))</x:f>
        <x:v>Yes</x:v>
      </x:c>
    </x:row>
    <x:row r="477">
      <x:c r="A477" t="str">
        <x:f>'EMA Assurance Employee List'!A478</x:f>
        <x:v>Charvi Dowtal</x:v>
      </x:c>
      <x:c r="B477" t="str">
        <x:f>IF(C477="KE","Kenya",IF(C477="UG","Uganda",IF(C477="MU","Mauritius",IF(C477="TZ","Tanzania",IF(C477="RW","Rwanda",IF(C477="ZA","South Africa",IF(C477="ZM","Zambia","")))))))</x:f>
        <x:v>Mauritius</x:v>
      </x:c>
      <x:c r="C477" t="str">
        <x:f>'EMA Assurance Employee List'!B478</x:f>
        <x:v>MU</x:v>
      </x:c>
      <x:c r="D477" t="str">
        <x:f>'EMA Assurance Employee List'!D478</x:f>
        <x:v>charvi.dowtal@pwc.com</x:v>
      </x:c>
      <x:c r="E477" t="n">
        <x:f>IF($D477="",0,SUMIF('Attendance Report - Option 1'!$P$11:$P$315,$D477,'Attendance Report - Option 1'!$Q$11:$Q$315)/86400)</x:f>
        <x:v>0</x:v>
      </x:c>
      <x:c r="F477" t="str">
        <x:f>IF(E477=0,"Did not attend",IF(E477&gt;='Read Me'!$E$2/86400,"Fully attended","Partially attended"))</x:f>
        <x:v>Did not attend</x:v>
      </x:c>
      <x:c r="G477" t="n">
        <x:f>IF($D477="",0,SUMIF('Attendance Report - Option 2'!$P$11:$P$412,$D477,'Attendance Report - Option 2'!$Q$11:$Q$412)/86400)</x:f>
        <x:v>0.0600462962962963</x:v>
      </x:c>
      <x:c r="H477" t="str">
        <x:f>IF(G477=0,"Did not attend",IF(G477&gt;='Read Me'!$E$2/86400,"Fully attended","Partially attended"))</x:f>
        <x:v>Partially attended</x:v>
      </x:c>
      <x:c r="I477" t="n">
        <x:f>E477+G477</x:f>
        <x:v>0.0600462962962963</x:v>
      </x:c>
      <x:c r="J477" t="str">
        <x:f>IF(I477=0,"Did not attend",IF(I477&gt;='Read Me'!$E$2/86400,"Fully attended","Partially attended"))</x:f>
        <x:v>Partially attended</x:v>
      </x:c>
      <x:c r="K477" t="str">
        <x:f>IF($D477="","No",IF(COUNTIF('Attendance Report - Option 1'!$P$11:$P$315,$D477)&gt;0,"Yes","No"))</x:f>
        <x:v>No</x:v>
      </x:c>
      <x:c r="L477" t="str">
        <x:f>IF($D477="","No",IF(COUNTIF('Attendance Report - Option 2'!$P$11:$P$412,$D477)&gt;0,"Yes","No"))</x:f>
        <x:v>Yes</x:v>
      </x:c>
    </x:row>
    <x:row r="478">
      <x:c r="A478" t="str">
        <x:f>'EMA Assurance Employee List'!A479</x:f>
        <x:v>Chengetai Choopa</x:v>
      </x:c>
      <x:c r="B478" t="str">
        <x:f>IF(C478="KE","Kenya",IF(C478="UG","Uganda",IF(C478="MU","Mauritius",IF(C478="TZ","Tanzania",IF(C478="RW","Rwanda",IF(C478="ZA","South Africa",IF(C478="ZM","Zambia","")))))))</x:f>
        <x:v>Zambia</x:v>
      </x:c>
      <x:c r="C478" t="str">
        <x:f>'EMA Assurance Employee List'!B479</x:f>
        <x:v>ZM</x:v>
      </x:c>
      <x:c r="D478" t="str">
        <x:f>'EMA Assurance Employee List'!D479</x:f>
        <x:v>chengetai.choopa@pwc.com</x:v>
      </x:c>
      <x:c r="E478" t="n">
        <x:f>IF($D478="",0,SUMIF('Attendance Report - Option 1'!$P$11:$P$315,$D478,'Attendance Report - Option 1'!$Q$11:$Q$315)/86400)</x:f>
        <x:v>0.037395833333333336</x:v>
      </x:c>
      <x:c r="F478" t="str">
        <x:f>IF(E478=0,"Did not attend",IF(E478&gt;='Read Me'!$E$2/86400,"Fully attended","Partially attended"))</x:f>
        <x:v>Partially attended</x:v>
      </x:c>
      <x:c r="G478" t="n">
        <x:f>IF($D478="",0,SUMIF('Attendance Report - Option 2'!$P$11:$P$412,$D478,'Attendance Report - Option 2'!$Q$11:$Q$412)/86400)</x:f>
        <x:v>0</x:v>
      </x:c>
      <x:c r="H478" t="str">
        <x:f>IF(G478=0,"Did not attend",IF(G478&gt;='Read Me'!$E$2/86400,"Fully attended","Partially attended"))</x:f>
        <x:v>Did not attend</x:v>
      </x:c>
      <x:c r="I478" t="n">
        <x:f>E478+G478</x:f>
        <x:v>0.037395833333333336</x:v>
      </x:c>
      <x:c r="J478" t="str">
        <x:f>IF(I478=0,"Did not attend",IF(I478&gt;='Read Me'!$E$2/86400,"Fully attended","Partially attended"))</x:f>
        <x:v>Partially attended</x:v>
      </x:c>
      <x:c r="K478" t="str">
        <x:f>IF($D478="","No",IF(COUNTIF('Attendance Report - Option 1'!$P$11:$P$315,$D478)&gt;0,"Yes","No"))</x:f>
        <x:v>Yes</x:v>
      </x:c>
      <x:c r="L478" t="str">
        <x:f>IF($D478="","No",IF(COUNTIF('Attendance Report - Option 2'!$P$11:$P$412,$D478)&gt;0,"Yes","No"))</x:f>
        <x:v>No</x:v>
      </x:c>
    </x:row>
    <x:row r="479">
      <x:c r="A479" t="str">
        <x:f>'EMA Assurance Employee List'!A480</x:f>
        <x:v>Cheshta Nothoo</x:v>
      </x:c>
      <x:c r="B479" t="str">
        <x:f>IF(C479="KE","Kenya",IF(C479="UG","Uganda",IF(C479="MU","Mauritius",IF(C479="TZ","Tanzania",IF(C479="RW","Rwanda",IF(C479="ZA","South Africa",IF(C479="ZM","Zambia","")))))))</x:f>
        <x:v>Mauritius</x:v>
      </x:c>
      <x:c r="C479" t="str">
        <x:f>'EMA Assurance Employee List'!B480</x:f>
        <x:v>MU</x:v>
      </x:c>
      <x:c r="D479" t="str">
        <x:f>'EMA Assurance Employee List'!D480</x:f>
        <x:v>cheshta.nothoo@pwc.com</x:v>
      </x:c>
      <x:c r="E479" t="n">
        <x:f>IF($D479="",0,SUMIF('Attendance Report - Option 1'!$P$11:$P$315,$D479,'Attendance Report - Option 1'!$Q$11:$Q$315)/86400)</x:f>
        <x:v>0</x:v>
      </x:c>
      <x:c r="F479" t="str">
        <x:f>IF(E479=0,"Did not attend",IF(E479&gt;='Read Me'!$E$2/86400,"Fully attended","Partially attended"))</x:f>
        <x:v>Did not attend</x:v>
      </x:c>
      <x:c r="G479" t="n">
        <x:f>IF($D479="",0,SUMIF('Attendance Report - Option 2'!$P$11:$P$412,$D479,'Attendance Report - Option 2'!$Q$11:$Q$412)/86400)</x:f>
        <x:v>0.08175925925925925</x:v>
      </x:c>
      <x:c r="H479" t="str">
        <x:f>IF(G479=0,"Did not attend",IF(G479&gt;='Read Me'!$E$2/86400,"Fully attended","Partially attended"))</x:f>
        <x:v>Fully attended</x:v>
      </x:c>
      <x:c r="I479" t="n">
        <x:f>E479+G479</x:f>
        <x:v>0.08175925925925925</x:v>
      </x:c>
      <x:c r="J479" t="str">
        <x:f>IF(I479=0,"Did not attend",IF(I479&gt;='Read Me'!$E$2/86400,"Fully attended","Partially attended"))</x:f>
        <x:v>Fully attended</x:v>
      </x:c>
      <x:c r="K479" t="str">
        <x:f>IF($D479="","No",IF(COUNTIF('Attendance Report - Option 1'!$P$11:$P$315,$D479)&gt;0,"Yes","No"))</x:f>
        <x:v>No</x:v>
      </x:c>
      <x:c r="L479" t="str">
        <x:f>IF($D479="","No",IF(COUNTIF('Attendance Report - Option 2'!$P$11:$P$412,$D479)&gt;0,"Yes","No"))</x:f>
        <x:v>Yes</x:v>
      </x:c>
    </x:row>
    <x:row r="480">
      <x:c r="A480" t="str">
        <x:f>'EMA Assurance Employee List'!A481</x:f>
        <x:v>Chiteta Katungu</x:v>
      </x:c>
      <x:c r="B480" t="str">
        <x:f>IF(C480="KE","Kenya",IF(C480="UG","Uganda",IF(C480="MU","Mauritius",IF(C480="TZ","Tanzania",IF(C480="RW","Rwanda",IF(C480="ZA","South Africa",IF(C480="ZM","Zambia","")))))))</x:f>
        <x:v>Zambia</x:v>
      </x:c>
      <x:c r="C480" t="str">
        <x:f>'EMA Assurance Employee List'!B481</x:f>
        <x:v>ZM</x:v>
      </x:c>
      <x:c r="D480" t="str">
        <x:f>'EMA Assurance Employee List'!D481</x:f>
        <x:v>chiteta.katungu@pwc.com</x:v>
      </x:c>
      <x:c r="E480" t="n">
        <x:f>IF($D480="",0,SUMIF('Attendance Report - Option 1'!$P$11:$P$315,$D480,'Attendance Report - Option 1'!$Q$11:$Q$315)/86400)</x:f>
        <x:v>0</x:v>
      </x:c>
      <x:c r="F480" t="str">
        <x:f>IF(E480=0,"Did not attend",IF(E480&gt;='Read Me'!$E$2/86400,"Fully attended","Partially attended"))</x:f>
        <x:v>Did not attend</x:v>
      </x:c>
      <x:c r="G480" t="n">
        <x:f>IF($D480="",0,SUMIF('Attendance Report - Option 2'!$P$11:$P$412,$D480,'Attendance Report - Option 2'!$Q$11:$Q$412)/86400)</x:f>
        <x:v>0.04311342592592592</x:v>
      </x:c>
      <x:c r="H480" t="str">
        <x:f>IF(G480=0,"Did not attend",IF(G480&gt;='Read Me'!$E$2/86400,"Fully attended","Partially attended"))</x:f>
        <x:v>Partially attended</x:v>
      </x:c>
      <x:c r="I480" t="n">
        <x:f>E480+G480</x:f>
        <x:v>0.04311342592592592</x:v>
      </x:c>
      <x:c r="J480" t="str">
        <x:f>IF(I480=0,"Did not attend",IF(I480&gt;='Read Me'!$E$2/86400,"Fully attended","Partially attended"))</x:f>
        <x:v>Partially attended</x:v>
      </x:c>
      <x:c r="K480" t="str">
        <x:f>IF($D480="","No",IF(COUNTIF('Attendance Report - Option 1'!$P$11:$P$315,$D480)&gt;0,"Yes","No"))</x:f>
        <x:v>No</x:v>
      </x:c>
      <x:c r="L480" t="str">
        <x:f>IF($D480="","No",IF(COUNTIF('Attendance Report - Option 2'!$P$11:$P$412,$D480)&gt;0,"Yes","No"))</x:f>
        <x:v>Yes</x:v>
      </x:c>
    </x:row>
    <x:row r="481">
      <x:c r="A481" t="str">
        <x:f>'EMA Assurance Employee List'!A482</x:f>
        <x:v>Christina Dinala</x:v>
      </x:c>
      <x:c r="B481" t="str">
        <x:f>IF(C481="KE","Kenya",IF(C481="UG","Uganda",IF(C481="MU","Mauritius",IF(C481="TZ","Tanzania",IF(C481="RW","Rwanda",IF(C481="ZA","South Africa",IF(C481="ZM","Zambia","")))))))</x:f>
        <x:v>Zambia</x:v>
      </x:c>
      <x:c r="C481" t="str">
        <x:f>'EMA Assurance Employee List'!B482</x:f>
        <x:v>ZM</x:v>
      </x:c>
      <x:c r="D481" t="str">
        <x:f>'EMA Assurance Employee List'!D482</x:f>
        <x:v>christina.dinala@pwc.com</x:v>
      </x:c>
      <x:c r="E481" t="n">
        <x:f>IF($D481="",0,SUMIF('Attendance Report - Option 1'!$P$11:$P$315,$D481,'Attendance Report - Option 1'!$Q$11:$Q$315)/86400)</x:f>
        <x:v>0</x:v>
      </x:c>
      <x:c r="F481" t="str">
        <x:f>IF(E481=0,"Did not attend",IF(E481&gt;='Read Me'!$E$2/86400,"Fully attended","Partially attended"))</x:f>
        <x:v>Did not attend</x:v>
      </x:c>
      <x:c r="G481" t="n">
        <x:f>IF($D481="",0,SUMIF('Attendance Report - Option 2'!$P$11:$P$412,$D481,'Attendance Report - Option 2'!$Q$11:$Q$412)/86400)</x:f>
        <x:v>0.036828703703703704</x:v>
      </x:c>
      <x:c r="H481" t="str">
        <x:f>IF(G481=0,"Did not attend",IF(G481&gt;='Read Me'!$E$2/86400,"Fully attended","Partially attended"))</x:f>
        <x:v>Partially attended</x:v>
      </x:c>
      <x:c r="I481" t="n">
        <x:f>E481+G481</x:f>
        <x:v>0.036828703703703704</x:v>
      </x:c>
      <x:c r="J481" t="str">
        <x:f>IF(I481=0,"Did not attend",IF(I481&gt;='Read Me'!$E$2/86400,"Fully attended","Partially attended"))</x:f>
        <x:v>Partially attended</x:v>
      </x:c>
      <x:c r="K481" t="str">
        <x:f>IF($D481="","No",IF(COUNTIF('Attendance Report - Option 1'!$P$11:$P$315,$D481)&gt;0,"Yes","No"))</x:f>
        <x:v>No</x:v>
      </x:c>
      <x:c r="L481" t="str">
        <x:f>IF($D481="","No",IF(COUNTIF('Attendance Report - Option 2'!$P$11:$P$412,$D481)&gt;0,"Yes","No"))</x:f>
        <x:v>Yes</x:v>
      </x:c>
    </x:row>
    <x:row r="482">
      <x:c r="A482" t="str">
        <x:f>'EMA Assurance Employee List'!A483</x:f>
        <x:v>Christophe Fok King</x:v>
      </x:c>
      <x:c r="B482" t="str">
        <x:f>IF(C482="KE","Kenya",IF(C482="UG","Uganda",IF(C482="MU","Mauritius",IF(C482="TZ","Tanzania",IF(C482="RW","Rwanda",IF(C482="ZA","South Africa",IF(C482="ZM","Zambia","")))))))</x:f>
        <x:v>Mauritius</x:v>
      </x:c>
      <x:c r="C482" t="str">
        <x:f>'EMA Assurance Employee List'!B483</x:f>
        <x:v>MU</x:v>
      </x:c>
      <x:c r="D482" t="str">
        <x:f>'EMA Assurance Employee List'!D483</x:f>
        <x:v>christophe.fok.king@pwc.com</x:v>
      </x:c>
      <x:c r="E482" t="n">
        <x:f>IF($D482="",0,SUMIF('Attendance Report - Option 1'!$P$11:$P$315,$D482,'Attendance Report - Option 1'!$Q$11:$Q$315)/86400)</x:f>
        <x:v>0</x:v>
      </x:c>
      <x:c r="F482" t="str">
        <x:f>IF(E482=0,"Did not attend",IF(E482&gt;='Read Me'!$E$2/86400,"Fully attended","Partially attended"))</x:f>
        <x:v>Did not attend</x:v>
      </x:c>
      <x:c r="G482" t="n">
        <x:f>IF($D482="",0,SUMIF('Attendance Report - Option 2'!$P$11:$P$412,$D482,'Attendance Report - Option 2'!$Q$11:$Q$412)/86400)</x:f>
        <x:v>0.08457175925925926</x:v>
      </x:c>
      <x:c r="H482" t="str">
        <x:f>IF(G482=0,"Did not attend",IF(G482&gt;='Read Me'!$E$2/86400,"Fully attended","Partially attended"))</x:f>
        <x:v>Fully attended</x:v>
      </x:c>
      <x:c r="I482" t="n">
        <x:f>E482+G482</x:f>
        <x:v>0.08457175925925926</x:v>
      </x:c>
      <x:c r="J482" t="str">
        <x:f>IF(I482=0,"Did not attend",IF(I482&gt;='Read Me'!$E$2/86400,"Fully attended","Partially attended"))</x:f>
        <x:v>Fully attended</x:v>
      </x:c>
      <x:c r="K482" t="str">
        <x:f>IF($D482="","No",IF(COUNTIF('Attendance Report - Option 1'!$P$11:$P$315,$D482)&gt;0,"Yes","No"))</x:f>
        <x:v>No</x:v>
      </x:c>
      <x:c r="L482" t="str">
        <x:f>IF($D482="","No",IF(COUNTIF('Attendance Report - Option 2'!$P$11:$P$412,$D482)&gt;0,"Yes","No"))</x:f>
        <x:v>Yes</x:v>
      </x:c>
    </x:row>
    <x:row r="483">
      <x:c r="A483" t="str">
        <x:f>'EMA Assurance Employee List'!A484</x:f>
        <x:v>Christopher Ng'angala</x:v>
      </x:c>
      <x:c r="B483" t="str">
        <x:f>IF(C483="KE","Kenya",IF(C483="UG","Uganda",IF(C483="MU","Mauritius",IF(C483="TZ","Tanzania",IF(C483="RW","Rwanda",IF(C483="ZA","South Africa",IF(C483="ZM","Zambia","")))))))</x:f>
        <x:v>Tanzania</x:v>
      </x:c>
      <x:c r="C483" t="str">
        <x:f>'EMA Assurance Employee List'!B484</x:f>
        <x:v>TZ</x:v>
      </x:c>
      <x:c r="D483" t="str">
        <x:f>'EMA Assurance Employee List'!D484</x:f>
        <x:v>christopher.ngangala@pwc.com</x:v>
      </x:c>
      <x:c r="E483" t="n">
        <x:f>IF($D483="",0,SUMIF('Attendance Report - Option 1'!$P$11:$P$315,$D483,'Attendance Report - Option 1'!$Q$11:$Q$315)/86400)</x:f>
        <x:v>0.08060185185185186</x:v>
      </x:c>
      <x:c r="F483" t="str">
        <x:f>IF(E483=0,"Did not attend",IF(E483&gt;='Read Me'!$E$2/86400,"Fully attended","Partially attended"))</x:f>
        <x:v>Fully attended</x:v>
      </x:c>
      <x:c r="G483" t="n">
        <x:f>IF($D483="",0,SUMIF('Attendance Report - Option 2'!$P$11:$P$412,$D483,'Attendance Report - Option 2'!$Q$11:$Q$412)/86400)</x:f>
        <x:v>0</x:v>
      </x:c>
      <x:c r="H483" t="str">
        <x:f>IF(G483=0,"Did not attend",IF(G483&gt;='Read Me'!$E$2/86400,"Fully attended","Partially attended"))</x:f>
        <x:v>Did not attend</x:v>
      </x:c>
      <x:c r="I483" t="n">
        <x:f>E483+G483</x:f>
        <x:v>0.08060185185185186</x:v>
      </x:c>
      <x:c r="J483" t="str">
        <x:f>IF(I483=0,"Did not attend",IF(I483&gt;='Read Me'!$E$2/86400,"Fully attended","Partially attended"))</x:f>
        <x:v>Fully attended</x:v>
      </x:c>
      <x:c r="K483" t="str">
        <x:f>IF($D483="","No",IF(COUNTIF('Attendance Report - Option 1'!$P$11:$P$315,$D483)&gt;0,"Yes","No"))</x:f>
        <x:v>Yes</x:v>
      </x:c>
      <x:c r="L483" t="str">
        <x:f>IF($D483="","No",IF(COUNTIF('Attendance Report - Option 2'!$P$11:$P$412,$D483)&gt;0,"Yes","No"))</x:f>
        <x:v>No</x:v>
      </x:c>
    </x:row>
    <x:row r="484">
      <x:c r="A484" t="str">
        <x:f>'EMA Assurance Employee List'!A485</x:f>
        <x:v>Cynthia Waithaka</x:v>
      </x:c>
      <x:c r="B484" t="str">
        <x:f>IF(C484="KE","Kenya",IF(C484="UG","Uganda",IF(C484="MU","Mauritius",IF(C484="TZ","Tanzania",IF(C484="RW","Rwanda",IF(C484="ZA","South Africa",IF(C484="ZM","Zambia","")))))))</x:f>
        <x:v>Kenya</x:v>
      </x:c>
      <x:c r="C484" t="str">
        <x:f>'EMA Assurance Employee List'!B485</x:f>
        <x:v>KE</x:v>
      </x:c>
      <x:c r="D484" t="str">
        <x:f>'EMA Assurance Employee List'!D485</x:f>
        <x:v>cynthia.waithaka@pwc.com</x:v>
      </x:c>
      <x:c r="E484" t="n">
        <x:f>IF($D484="",0,SUMIF('Attendance Report - Option 1'!$P$11:$P$315,$D484,'Attendance Report - Option 1'!$Q$11:$Q$315)/86400)</x:f>
        <x:v>0</x:v>
      </x:c>
      <x:c r="F484" t="str">
        <x:f>IF(E484=0,"Did not attend",IF(E484&gt;='Read Me'!$E$2/86400,"Fully attended","Partially attended"))</x:f>
        <x:v>Did not attend</x:v>
      </x:c>
      <x:c r="G484" t="n">
        <x:f>IF($D484="",0,SUMIF('Attendance Report - Option 2'!$P$11:$P$412,$D484,'Attendance Report - Option 2'!$Q$11:$Q$412)/86400)</x:f>
        <x:v>0.04721064814814815</x:v>
      </x:c>
      <x:c r="H484" t="str">
        <x:f>IF(G484=0,"Did not attend",IF(G484&gt;='Read Me'!$E$2/86400,"Fully attended","Partially attended"))</x:f>
        <x:v>Partially attended</x:v>
      </x:c>
      <x:c r="I484" t="n">
        <x:f>E484+G484</x:f>
        <x:v>0.04721064814814815</x:v>
      </x:c>
      <x:c r="J484" t="str">
        <x:f>IF(I484=0,"Did not attend",IF(I484&gt;='Read Me'!$E$2/86400,"Fully attended","Partially attended"))</x:f>
        <x:v>Partially attended</x:v>
      </x:c>
      <x:c r="K484" t="str">
        <x:f>IF($D484="","No",IF(COUNTIF('Attendance Report - Option 1'!$P$11:$P$315,$D484)&gt;0,"Yes","No"))</x:f>
        <x:v>No</x:v>
      </x:c>
      <x:c r="L484" t="str">
        <x:f>IF($D484="","No",IF(COUNTIF('Attendance Report - Option 2'!$P$11:$P$412,$D484)&gt;0,"Yes","No"))</x:f>
        <x:v>Yes</x:v>
      </x:c>
    </x:row>
    <x:row r="485">
      <x:c r="A485" t="str">
        <x:f>'EMA Assurance Employee List'!A486</x:f>
        <x:v>Dabria Ringo</x:v>
      </x:c>
      <x:c r="B485" t="str">
        <x:f>IF(C485="KE","Kenya",IF(C485="UG","Uganda",IF(C485="MU","Mauritius",IF(C485="TZ","Tanzania",IF(C485="RW","Rwanda",IF(C485="ZA","South Africa",IF(C485="ZM","Zambia","")))))))</x:f>
        <x:v>Tanzania</x:v>
      </x:c>
      <x:c r="C485" t="str">
        <x:f>'EMA Assurance Employee List'!B486</x:f>
        <x:v>TZ</x:v>
      </x:c>
      <x:c r="D485" t="str">
        <x:f>'EMA Assurance Employee List'!D486</x:f>
        <x:v>dabria.ringo@pwc.com</x:v>
      </x:c>
      <x:c r="E485" t="n">
        <x:f>IF($D485="",0,SUMIF('Attendance Report - Option 1'!$P$11:$P$315,$D485,'Attendance Report - Option 1'!$Q$11:$Q$315)/86400)</x:f>
        <x:v>0.06482638888888889</x:v>
      </x:c>
      <x:c r="F485" t="str">
        <x:f>IF(E485=0,"Did not attend",IF(E485&gt;='Read Me'!$E$2/86400,"Fully attended","Partially attended"))</x:f>
        <x:v>Fully attended</x:v>
      </x:c>
      <x:c r="G485" t="n">
        <x:f>IF($D485="",0,SUMIF('Attendance Report - Option 2'!$P$11:$P$412,$D485,'Attendance Report - Option 2'!$Q$11:$Q$412)/86400)</x:f>
        <x:v>0</x:v>
      </x:c>
      <x:c r="H485" t="str">
        <x:f>IF(G485=0,"Did not attend",IF(G485&gt;='Read Me'!$E$2/86400,"Fully attended","Partially attended"))</x:f>
        <x:v>Did not attend</x:v>
      </x:c>
      <x:c r="I485" t="n">
        <x:f>E485+G485</x:f>
        <x:v>0.06482638888888889</x:v>
      </x:c>
      <x:c r="J485" t="str">
        <x:f>IF(I485=0,"Did not attend",IF(I485&gt;='Read Me'!$E$2/86400,"Fully attended","Partially attended"))</x:f>
        <x:v>Fully attended</x:v>
      </x:c>
      <x:c r="K485" t="str">
        <x:f>IF($D485="","No",IF(COUNTIF('Attendance Report - Option 1'!$P$11:$P$315,$D485)&gt;0,"Yes","No"))</x:f>
        <x:v>Yes</x:v>
      </x:c>
      <x:c r="L485" t="str">
        <x:f>IF($D485="","No",IF(COUNTIF('Attendance Report - Option 2'!$P$11:$P$412,$D485)&gt;0,"Yes","No"))</x:f>
        <x:v>No</x:v>
      </x:c>
    </x:row>
    <x:row r="486">
      <x:c r="A486" t="str">
        <x:f>'EMA Assurance Employee List'!A487</x:f>
        <x:v>Daniella Sardes</x:v>
      </x:c>
      <x:c r="B486" t="str">
        <x:f>IF(C486="KE","Kenya",IF(C486="UG","Uganda",IF(C486="MU","Mauritius",IF(C486="TZ","Tanzania",IF(C486="RW","Rwanda",IF(C486="ZA","South Africa",IF(C486="ZM","Zambia","")))))))</x:f>
        <x:v>Mauritius</x:v>
      </x:c>
      <x:c r="C486" t="str">
        <x:f>'EMA Assurance Employee List'!B487</x:f>
        <x:v>MU</x:v>
      </x:c>
      <x:c r="D486" t="str">
        <x:f>'EMA Assurance Employee List'!D487</x:f>
        <x:v>perday.sardes@pwc.com</x:v>
      </x:c>
      <x:c r="E486" t="n">
        <x:f>IF($D486="",0,SUMIF('Attendance Report - Option 1'!$P$11:$P$315,$D486,'Attendance Report - Option 1'!$Q$11:$Q$315)/86400)</x:f>
        <x:v>0</x:v>
      </x:c>
      <x:c r="F486" t="str">
        <x:f>IF(E486=0,"Did not attend",IF(E486&gt;='Read Me'!$E$2/86400,"Fully attended","Partially attended"))</x:f>
        <x:v>Did not attend</x:v>
      </x:c>
      <x:c r="G486" t="n">
        <x:f>IF($D486="",0,SUMIF('Attendance Report - Option 2'!$P$11:$P$412,$D486,'Attendance Report - Option 2'!$Q$11:$Q$412)/86400)</x:f>
        <x:v>0.03365740740740741</x:v>
      </x:c>
      <x:c r="H486" t="str">
        <x:f>IF(G486=0,"Did not attend",IF(G486&gt;='Read Me'!$E$2/86400,"Fully attended","Partially attended"))</x:f>
        <x:v>Partially attended</x:v>
      </x:c>
      <x:c r="I486" t="n">
        <x:f>E486+G486</x:f>
        <x:v>0.03365740740740741</x:v>
      </x:c>
      <x:c r="J486" t="str">
        <x:f>IF(I486=0,"Did not attend",IF(I486&gt;='Read Me'!$E$2/86400,"Fully attended","Partially attended"))</x:f>
        <x:v>Partially attended</x:v>
      </x:c>
      <x:c r="K486" t="str">
        <x:f>IF($D486="","No",IF(COUNTIF('Attendance Report - Option 1'!$P$11:$P$315,$D486)&gt;0,"Yes","No"))</x:f>
        <x:v>No</x:v>
      </x:c>
      <x:c r="L486" t="str">
        <x:f>IF($D486="","No",IF(COUNTIF('Attendance Report - Option 2'!$P$11:$P$412,$D486)&gt;0,"Yes","No"))</x:f>
        <x:v>Yes</x:v>
      </x:c>
    </x:row>
    <x:row r="487">
      <x:c r="A487" t="str">
        <x:f>'EMA Assurance Employee List'!A488</x:f>
        <x:v>David Kalumbu</x:v>
      </x:c>
      <x:c r="B487" t="str">
        <x:f>IF(C487="KE","Kenya",IF(C487="UG","Uganda",IF(C487="MU","Mauritius",IF(C487="TZ","Tanzania",IF(C487="RW","Rwanda",IF(C487="ZA","South Africa",IF(C487="ZM","Zambia","")))))))</x:f>
        <x:v>Zambia</x:v>
      </x:c>
      <x:c r="C487" t="str">
        <x:f>'EMA Assurance Employee List'!B488</x:f>
        <x:v>ZM</x:v>
      </x:c>
      <x:c r="D487" t="str">
        <x:f>'EMA Assurance Employee List'!D488</x:f>
        <x:v>david.kalumbu@pwc.com</x:v>
      </x:c>
      <x:c r="E487" t="n">
        <x:f>IF($D487="",0,SUMIF('Attendance Report - Option 1'!$P$11:$P$315,$D487,'Attendance Report - Option 1'!$Q$11:$Q$315)/86400)</x:f>
        <x:v>0</x:v>
      </x:c>
      <x:c r="F487" t="str">
        <x:f>IF(E487=0,"Did not attend",IF(E487&gt;='Read Me'!$E$2/86400,"Fully attended","Partially attended"))</x:f>
        <x:v>Did not attend</x:v>
      </x:c>
      <x:c r="G487" t="n">
        <x:f>IF($D487="",0,SUMIF('Attendance Report - Option 2'!$P$11:$P$412,$D487,'Attendance Report - Option 2'!$Q$11:$Q$412)/86400)</x:f>
        <x:v>0.06119212962962963</x:v>
      </x:c>
      <x:c r="H487" t="str">
        <x:f>IF(G487=0,"Did not attend",IF(G487&gt;='Read Me'!$E$2/86400,"Fully attended","Partially attended"))</x:f>
        <x:v>Partially attended</x:v>
      </x:c>
      <x:c r="I487" t="n">
        <x:f>E487+G487</x:f>
        <x:v>0.06119212962962963</x:v>
      </x:c>
      <x:c r="J487" t="str">
        <x:f>IF(I487=0,"Did not attend",IF(I487&gt;='Read Me'!$E$2/86400,"Fully attended","Partially attended"))</x:f>
        <x:v>Partially attended</x:v>
      </x:c>
      <x:c r="K487" t="str">
        <x:f>IF($D487="","No",IF(COUNTIF('Attendance Report - Option 1'!$P$11:$P$315,$D487)&gt;0,"Yes","No"))</x:f>
        <x:v>No</x:v>
      </x:c>
      <x:c r="L487" t="str">
        <x:f>IF($D487="","No",IF(COUNTIF('Attendance Report - Option 2'!$P$11:$P$412,$D487)&gt;0,"Yes","No"))</x:f>
        <x:v>Yes</x:v>
      </x:c>
    </x:row>
    <x:row r="488">
      <x:c r="A488" t="str">
        <x:f>'EMA Assurance Employee List'!A489</x:f>
        <x:v>Dennis Ongeri</x:v>
      </x:c>
      <x:c r="B488" t="str">
        <x:f>IF(C488="KE","Kenya",IF(C488="UG","Uganda",IF(C488="MU","Mauritius",IF(C488="TZ","Tanzania",IF(C488="RW","Rwanda",IF(C488="ZA","South Africa",IF(C488="ZM","Zambia","")))))))</x:f>
        <x:v>Kenya</x:v>
      </x:c>
      <x:c r="C488" t="str">
        <x:f>'EMA Assurance Employee List'!B489</x:f>
        <x:v>KE</x:v>
      </x:c>
      <x:c r="D488" t="str">
        <x:f>'EMA Assurance Employee List'!D489</x:f>
        <x:v>dennis.ongeri@pwc.com</x:v>
      </x:c>
      <x:c r="E488" t="n">
        <x:f>IF($D488="",0,SUMIF('Attendance Report - Option 1'!$P$11:$P$315,$D488,'Attendance Report - Option 1'!$Q$11:$Q$315)/86400)</x:f>
        <x:v>0</x:v>
      </x:c>
      <x:c r="F488" t="str">
        <x:f>IF(E488=0,"Did not attend",IF(E488&gt;='Read Me'!$E$2/86400,"Fully attended","Partially attended"))</x:f>
        <x:v>Did not attend</x:v>
      </x:c>
      <x:c r="G488" t="n">
        <x:f>IF($D488="",0,SUMIF('Attendance Report - Option 2'!$P$11:$P$412,$D488,'Attendance Report - Option 2'!$Q$11:$Q$412)/86400)</x:f>
        <x:v>0.07693287037037037</x:v>
      </x:c>
      <x:c r="H488" t="str">
        <x:f>IF(G488=0,"Did not attend",IF(G488&gt;='Read Me'!$E$2/86400,"Fully attended","Partially attended"))</x:f>
        <x:v>Fully attended</x:v>
      </x:c>
      <x:c r="I488" t="n">
        <x:f>E488+G488</x:f>
        <x:v>0.07693287037037037</x:v>
      </x:c>
      <x:c r="J488" t="str">
        <x:f>IF(I488=0,"Did not attend",IF(I488&gt;='Read Me'!$E$2/86400,"Fully attended","Partially attended"))</x:f>
        <x:v>Fully attended</x:v>
      </x:c>
      <x:c r="K488" t="str">
        <x:f>IF($D488="","No",IF(COUNTIF('Attendance Report - Option 1'!$P$11:$P$315,$D488)&gt;0,"Yes","No"))</x:f>
        <x:v>No</x:v>
      </x:c>
      <x:c r="L488" t="str">
        <x:f>IF($D488="","No",IF(COUNTIF('Attendance Report - Option 2'!$P$11:$P$412,$D488)&gt;0,"Yes","No"))</x:f>
        <x:v>Yes</x:v>
      </x:c>
    </x:row>
    <x:row r="489">
      <x:c r="A489" t="str">
        <x:f>'EMA Assurance Employee List'!A490</x:f>
        <x:v>Derrick Muhire</x:v>
      </x:c>
      <x:c r="B489" t="str">
        <x:f>IF(C489="KE","Kenya",IF(C489="UG","Uganda",IF(C489="MU","Mauritius",IF(C489="TZ","Tanzania",IF(C489="RW","Rwanda",IF(C489="ZA","South Africa",IF(C489="ZM","Zambia","")))))))</x:f>
        <x:v>Rwanda</x:v>
      </x:c>
      <x:c r="C489" t="str">
        <x:f>'EMA Assurance Employee List'!B490</x:f>
        <x:v>RW</x:v>
      </x:c>
      <x:c r="D489" t="str">
        <x:f>'EMA Assurance Employee List'!D490</x:f>
        <x:v>derick.muhire@pwc.com</x:v>
      </x:c>
      <x:c r="E489" t="n">
        <x:f>IF($D489="",0,SUMIF('Attendance Report - Option 1'!$P$11:$P$315,$D489,'Attendance Report - Option 1'!$Q$11:$Q$315)/86400)</x:f>
        <x:v>0.04590277777777778</x:v>
      </x:c>
      <x:c r="F489" t="str">
        <x:f>IF(E489=0,"Did not attend",IF(E489&gt;='Read Me'!$E$2/86400,"Fully attended","Partially attended"))</x:f>
        <x:v>Partially attended</x:v>
      </x:c>
      <x:c r="G489" t="n">
        <x:f>IF($D489="",0,SUMIF('Attendance Report - Option 2'!$P$11:$P$412,$D489,'Attendance Report - Option 2'!$Q$11:$Q$412)/86400)</x:f>
        <x:v>0</x:v>
      </x:c>
      <x:c r="H489" t="str">
        <x:f>IF(G489=0,"Did not attend",IF(G489&gt;='Read Me'!$E$2/86400,"Fully attended","Partially attended"))</x:f>
        <x:v>Did not attend</x:v>
      </x:c>
      <x:c r="I489" t="n">
        <x:f>E489+G489</x:f>
        <x:v>0.04590277777777778</x:v>
      </x:c>
      <x:c r="J489" t="str">
        <x:f>IF(I489=0,"Did not attend",IF(I489&gt;='Read Me'!$E$2/86400,"Fully attended","Partially attended"))</x:f>
        <x:v>Partially attended</x:v>
      </x:c>
      <x:c r="K489" t="str">
        <x:f>IF($D489="","No",IF(COUNTIF('Attendance Report - Option 1'!$P$11:$P$315,$D489)&gt;0,"Yes","No"))</x:f>
        <x:v>Yes</x:v>
      </x:c>
      <x:c r="L489" t="str">
        <x:f>IF($D489="","No",IF(COUNTIF('Attendance Report - Option 2'!$P$11:$P$412,$D489)&gt;0,"Yes","No"))</x:f>
        <x:v>No</x:v>
      </x:c>
    </x:row>
    <x:row r="490">
      <x:c r="A490" t="str">
        <x:f>'EMA Assurance Employee List'!A491</x:f>
        <x:v>Diana Chege</x:v>
      </x:c>
      <x:c r="B490" t="str">
        <x:f>IF(C490="KE","Kenya",IF(C490="UG","Uganda",IF(C490="MU","Mauritius",IF(C490="TZ","Tanzania",IF(C490="RW","Rwanda",IF(C490="ZA","South Africa",IF(C490="ZM","Zambia","")))))))</x:f>
        <x:v>Rwanda</x:v>
      </x:c>
      <x:c r="C490" t="str">
        <x:f>'EMA Assurance Employee List'!B491</x:f>
        <x:v>RW</x:v>
      </x:c>
      <x:c r="D490" t="str">
        <x:f>'EMA Assurance Employee List'!D491</x:f>
        <x:v>diana.c.chege@pwc.com</x:v>
      </x:c>
      <x:c r="E490" t="n">
        <x:f>IF($D490="",0,SUMIF('Attendance Report - Option 1'!$P$11:$P$315,$D490,'Attendance Report - Option 1'!$Q$11:$Q$315)/86400)</x:f>
        <x:v>0.015694444444444445</x:v>
      </x:c>
      <x:c r="F490" t="str">
        <x:f>IF(E490=0,"Did not attend",IF(E490&gt;='Read Me'!$E$2/86400,"Fully attended","Partially attended"))</x:f>
        <x:v>Partially attended</x:v>
      </x:c>
      <x:c r="G490" t="n">
        <x:f>IF($D490="",0,SUMIF('Attendance Report - Option 2'!$P$11:$P$412,$D490,'Attendance Report - Option 2'!$Q$11:$Q$412)/86400)</x:f>
        <x:v>0</x:v>
      </x:c>
      <x:c r="H490" t="str">
        <x:f>IF(G490=0,"Did not attend",IF(G490&gt;='Read Me'!$E$2/86400,"Fully attended","Partially attended"))</x:f>
        <x:v>Did not attend</x:v>
      </x:c>
      <x:c r="I490" t="n">
        <x:f>E490+G490</x:f>
        <x:v>0.015694444444444445</x:v>
      </x:c>
      <x:c r="J490" t="str">
        <x:f>IF(I490=0,"Did not attend",IF(I490&gt;='Read Me'!$E$2/86400,"Fully attended","Partially attended"))</x:f>
        <x:v>Partially attended</x:v>
      </x:c>
      <x:c r="K490" t="str">
        <x:f>IF($D490="","No",IF(COUNTIF('Attendance Report - Option 1'!$P$11:$P$315,$D490)&gt;0,"Yes","No"))</x:f>
        <x:v>Yes</x:v>
      </x:c>
      <x:c r="L490" t="str">
        <x:f>IF($D490="","No",IF(COUNTIF('Attendance Report - Option 2'!$P$11:$P$412,$D490)&gt;0,"Yes","No"))</x:f>
        <x:v>No</x:v>
      </x:c>
    </x:row>
    <x:row r="491">
      <x:c r="A491" t="str">
        <x:f>'EMA Assurance Employee List'!A492</x:f>
        <x:v>Dickson Banda</x:v>
      </x:c>
      <x:c r="B491" t="str">
        <x:f>IF(C491="KE","Kenya",IF(C491="UG","Uganda",IF(C491="MU","Mauritius",IF(C491="TZ","Tanzania",IF(C491="RW","Rwanda",IF(C491="ZA","South Africa",IF(C491="ZM","Zambia","")))))))</x:f>
        <x:v>Zambia</x:v>
      </x:c>
      <x:c r="C491" t="str">
        <x:f>'EMA Assurance Employee List'!B492</x:f>
        <x:v>ZM</x:v>
      </x:c>
      <x:c r="D491" t="str">
        <x:f>'EMA Assurance Employee List'!D492</x:f>
        <x:v>dickson.banda@pwc.com</x:v>
      </x:c>
      <x:c r="E491" t="n">
        <x:f>IF($D491="",0,SUMIF('Attendance Report - Option 1'!$P$11:$P$315,$D491,'Attendance Report - Option 1'!$Q$11:$Q$315)/86400)</x:f>
        <x:v>0</x:v>
      </x:c>
      <x:c r="F491" t="str">
        <x:f>IF(E491=0,"Did not attend",IF(E491&gt;='Read Me'!$E$2/86400,"Fully attended","Partially attended"))</x:f>
        <x:v>Did not attend</x:v>
      </x:c>
      <x:c r="G491" t="n">
        <x:f>IF($D491="",0,SUMIF('Attendance Report - Option 2'!$P$11:$P$412,$D491,'Attendance Report - Option 2'!$Q$11:$Q$412)/86400)</x:f>
        <x:v>0.005208333333333333</x:v>
      </x:c>
      <x:c r="H491" t="str">
        <x:f>IF(G491=0,"Did not attend",IF(G491&gt;='Read Me'!$E$2/86400,"Fully attended","Partially attended"))</x:f>
        <x:v>Partially attended</x:v>
      </x:c>
      <x:c r="I491" t="n">
        <x:f>E491+G491</x:f>
        <x:v>0.005208333333333333</x:v>
      </x:c>
      <x:c r="J491" t="str">
        <x:f>IF(I491=0,"Did not attend",IF(I491&gt;='Read Me'!$E$2/86400,"Fully attended","Partially attended"))</x:f>
        <x:v>Partially attended</x:v>
      </x:c>
      <x:c r="K491" t="str">
        <x:f>IF($D491="","No",IF(COUNTIF('Attendance Report - Option 1'!$P$11:$P$315,$D491)&gt;0,"Yes","No"))</x:f>
        <x:v>No</x:v>
      </x:c>
      <x:c r="L491" t="str">
        <x:f>IF($D491="","No",IF(COUNTIF('Attendance Report - Option 2'!$P$11:$P$412,$D491)&gt;0,"Yes","No"))</x:f>
        <x:v>Yes</x:v>
      </x:c>
    </x:row>
    <x:row r="492">
      <x:c r="A492" t="str">
        <x:f>'EMA Assurance Employee List'!A493</x:f>
        <x:v>Doroth Mushi</x:v>
      </x:c>
      <x:c r="B492" t="str">
        <x:f>IF(C492="KE","Kenya",IF(C492="UG","Uganda",IF(C492="MU","Mauritius",IF(C492="TZ","Tanzania",IF(C492="RW","Rwanda",IF(C492="ZA","South Africa",IF(C492="ZM","Zambia","")))))))</x:f>
        <x:v>Tanzania</x:v>
      </x:c>
      <x:c r="C492" t="str">
        <x:f>'EMA Assurance Employee List'!B493</x:f>
        <x:v>TZ</x:v>
      </x:c>
      <x:c r="D492" t="str">
        <x:f>'EMA Assurance Employee List'!D493</x:f>
        <x:v>doroth.mushi@pwc.com</x:v>
      </x:c>
      <x:c r="E492" t="n">
        <x:f>IF($D492="",0,SUMIF('Attendance Report - Option 1'!$P$11:$P$315,$D492,'Attendance Report - Option 1'!$Q$11:$Q$315)/86400)</x:f>
        <x:v>0.014050925925925927</x:v>
      </x:c>
      <x:c r="F492" t="str">
        <x:f>IF(E492=0,"Did not attend",IF(E492&gt;='Read Me'!$E$2/86400,"Fully attended","Partially attended"))</x:f>
        <x:v>Partially attended</x:v>
      </x:c>
      <x:c r="G492" t="n">
        <x:f>IF($D492="",0,SUMIF('Attendance Report - Option 2'!$P$11:$P$412,$D492,'Attendance Report - Option 2'!$Q$11:$Q$412)/86400)</x:f>
        <x:v>0</x:v>
      </x:c>
      <x:c r="H492" t="str">
        <x:f>IF(G492=0,"Did not attend",IF(G492&gt;='Read Me'!$E$2/86400,"Fully attended","Partially attended"))</x:f>
        <x:v>Did not attend</x:v>
      </x:c>
      <x:c r="I492" t="n">
        <x:f>E492+G492</x:f>
        <x:v>0.014050925925925927</x:v>
      </x:c>
      <x:c r="J492" t="str">
        <x:f>IF(I492=0,"Did not attend",IF(I492&gt;='Read Me'!$E$2/86400,"Fully attended","Partially attended"))</x:f>
        <x:v>Partially attended</x:v>
      </x:c>
      <x:c r="K492" t="str">
        <x:f>IF($D492="","No",IF(COUNTIF('Attendance Report - Option 1'!$P$11:$P$315,$D492)&gt;0,"Yes","No"))</x:f>
        <x:v>Yes</x:v>
      </x:c>
      <x:c r="L492" t="str">
        <x:f>IF($D492="","No",IF(COUNTIF('Attendance Report - Option 2'!$P$11:$P$412,$D492)&gt;0,"Yes","No"))</x:f>
        <x:v>No</x:v>
      </x:c>
    </x:row>
    <x:row r="493">
      <x:c r="A493" t="str">
        <x:f>'EMA Assurance Employee List'!A494</x:f>
        <x:v>Douglas Kunda</x:v>
      </x:c>
      <x:c r="B493" t="str">
        <x:f>IF(C493="KE","Kenya",IF(C493="UG","Uganda",IF(C493="MU","Mauritius",IF(C493="TZ","Tanzania",IF(C493="RW","Rwanda",IF(C493="ZA","South Africa",IF(C493="ZM","Zambia","")))))))</x:f>
        <x:v>Zambia</x:v>
      </x:c>
      <x:c r="C493" t="str">
        <x:f>'EMA Assurance Employee List'!B494</x:f>
        <x:v>ZM</x:v>
      </x:c>
      <x:c r="D493" t="str">
        <x:f>'EMA Assurance Employee List'!D494</x:f>
        <x:v>douglas.kunda@pwc.com</x:v>
      </x:c>
      <x:c r="E493" t="n">
        <x:f>IF($D493="",0,SUMIF('Attendance Report - Option 1'!$P$11:$P$315,$D493,'Attendance Report - Option 1'!$Q$11:$Q$315)/86400)</x:f>
        <x:v>0</x:v>
      </x:c>
      <x:c r="F493" t="str">
        <x:f>IF(E493=0,"Did not attend",IF(E493&gt;='Read Me'!$E$2/86400,"Fully attended","Partially attended"))</x:f>
        <x:v>Did not attend</x:v>
      </x:c>
      <x:c r="G493" t="n">
        <x:f>IF($D493="",0,SUMIF('Attendance Report - Option 2'!$P$11:$P$412,$D493,'Attendance Report - Option 2'!$Q$11:$Q$412)/86400)</x:f>
        <x:v>0.008888888888888889</x:v>
      </x:c>
      <x:c r="H493" t="str">
        <x:f>IF(G493=0,"Did not attend",IF(G493&gt;='Read Me'!$E$2/86400,"Fully attended","Partially attended"))</x:f>
        <x:v>Partially attended</x:v>
      </x:c>
      <x:c r="I493" t="n">
        <x:f>E493+G493</x:f>
        <x:v>0.008888888888888889</x:v>
      </x:c>
      <x:c r="J493" t="str">
        <x:f>IF(I493=0,"Did not attend",IF(I493&gt;='Read Me'!$E$2/86400,"Fully attended","Partially attended"))</x:f>
        <x:v>Partially attended</x:v>
      </x:c>
      <x:c r="K493" t="str">
        <x:f>IF($D493="","No",IF(COUNTIF('Attendance Report - Option 1'!$P$11:$P$315,$D493)&gt;0,"Yes","No"))</x:f>
        <x:v>No</x:v>
      </x:c>
      <x:c r="L493" t="str">
        <x:f>IF($D493="","No",IF(COUNTIF('Attendance Report - Option 2'!$P$11:$P$412,$D493)&gt;0,"Yes","No"))</x:f>
        <x:v>Yes</x:v>
      </x:c>
    </x:row>
    <x:row r="494">
      <x:c r="A494" t="str">
        <x:f>'EMA Assurance Employee List'!A495</x:f>
        <x:v>Dylan How Nee Hee Hafee</x:v>
      </x:c>
      <x:c r="B494" t="str">
        <x:f>IF(C494="KE","Kenya",IF(C494="UG","Uganda",IF(C494="MU","Mauritius",IF(C494="TZ","Tanzania",IF(C494="RW","Rwanda",IF(C494="ZA","South Africa",IF(C494="ZM","Zambia","")))))))</x:f>
        <x:v>Mauritius</x:v>
      </x:c>
      <x:c r="C494" t="str">
        <x:f>'EMA Assurance Employee List'!B495</x:f>
        <x:v>MU</x:v>
      </x:c>
      <x:c r="D494" t="str">
        <x:f>'EMA Assurance Employee List'!D495</x:f>
        <x:v>dylan.how.nee.hee.hafee@pwc.com</x:v>
      </x:c>
      <x:c r="E494" t="n">
        <x:f>IF($D494="",0,SUMIF('Attendance Report - Option 1'!$P$11:$P$315,$D494,'Attendance Report - Option 1'!$Q$11:$Q$315)/86400)</x:f>
        <x:v>0</x:v>
      </x:c>
      <x:c r="F494" t="str">
        <x:f>IF(E494=0,"Did not attend",IF(E494&gt;='Read Me'!$E$2/86400,"Fully attended","Partially attended"))</x:f>
        <x:v>Did not attend</x:v>
      </x:c>
      <x:c r="G494" t="n">
        <x:f>IF($D494="",0,SUMIF('Attendance Report - Option 2'!$P$11:$P$412,$D494,'Attendance Report - Option 2'!$Q$11:$Q$412)/86400)</x:f>
        <x:v>0.04693287037037037</x:v>
      </x:c>
      <x:c r="H494" t="str">
        <x:f>IF(G494=0,"Did not attend",IF(G494&gt;='Read Me'!$E$2/86400,"Fully attended","Partially attended"))</x:f>
        <x:v>Partially attended</x:v>
      </x:c>
      <x:c r="I494" t="n">
        <x:f>E494+G494</x:f>
        <x:v>0.04693287037037037</x:v>
      </x:c>
      <x:c r="J494" t="str">
        <x:f>IF(I494=0,"Did not attend",IF(I494&gt;='Read Me'!$E$2/86400,"Fully attended","Partially attended"))</x:f>
        <x:v>Partially attended</x:v>
      </x:c>
      <x:c r="K494" t="str">
        <x:f>IF($D494="","No",IF(COUNTIF('Attendance Report - Option 1'!$P$11:$P$315,$D494)&gt;0,"Yes","No"))</x:f>
        <x:v>No</x:v>
      </x:c>
      <x:c r="L494" t="str">
        <x:f>IF($D494="","No",IF(COUNTIF('Attendance Report - Option 2'!$P$11:$P$412,$D494)&gt;0,"Yes","No"))</x:f>
        <x:v>Yes</x:v>
      </x:c>
    </x:row>
    <x:row r="495">
      <x:c r="A495" t="str">
        <x:f>'EMA Assurance Employee List'!A496</x:f>
        <x:v>Ebby Syombua</x:v>
      </x:c>
      <x:c r="B495" t="str">
        <x:f>IF(C495="KE","Kenya",IF(C495="UG","Uganda",IF(C495="MU","Mauritius",IF(C495="TZ","Tanzania",IF(C495="RW","Rwanda",IF(C495="ZA","South Africa",IF(C495="ZM","Zambia","")))))))</x:f>
        <x:v>Kenya</x:v>
      </x:c>
      <x:c r="C495" t="str">
        <x:f>'EMA Assurance Employee List'!B496</x:f>
        <x:v>KE</x:v>
      </x:c>
      <x:c r="D495" t="str">
        <x:f>'EMA Assurance Employee List'!D496</x:f>
        <x:v>ebby.syombua@pwc.com</x:v>
      </x:c>
      <x:c r="E495" t="n">
        <x:f>IF($D495="",0,SUMIF('Attendance Report - Option 1'!$P$11:$P$315,$D495,'Attendance Report - Option 1'!$Q$11:$Q$315)/86400)</x:f>
        <x:v>0</x:v>
      </x:c>
      <x:c r="F495" t="str">
        <x:f>IF(E495=0,"Did not attend",IF(E495&gt;='Read Me'!$E$2/86400,"Fully attended","Partially attended"))</x:f>
        <x:v>Did not attend</x:v>
      </x:c>
      <x:c r="G495" t="n">
        <x:f>IF($D495="",0,SUMIF('Attendance Report - Option 2'!$P$11:$P$412,$D495,'Attendance Report - Option 2'!$Q$11:$Q$412)/86400)</x:f>
        <x:v>0.0019560185185185184</x:v>
      </x:c>
      <x:c r="H495" t="str">
        <x:f>IF(G495=0,"Did not attend",IF(G495&gt;='Read Me'!$E$2/86400,"Fully attended","Partially attended"))</x:f>
        <x:v>Partially attended</x:v>
      </x:c>
      <x:c r="I495" t="n">
        <x:f>E495+G495</x:f>
        <x:v>0.0019560185185185184</x:v>
      </x:c>
      <x:c r="J495" t="str">
        <x:f>IF(I495=0,"Did not attend",IF(I495&gt;='Read Me'!$E$2/86400,"Fully attended","Partially attended"))</x:f>
        <x:v>Partially attended</x:v>
      </x:c>
      <x:c r="K495" t="str">
        <x:f>IF($D495="","No",IF(COUNTIF('Attendance Report - Option 1'!$P$11:$P$315,$D495)&gt;0,"Yes","No"))</x:f>
        <x:v>No</x:v>
      </x:c>
      <x:c r="L495" t="str">
        <x:f>IF($D495="","No",IF(COUNTIF('Attendance Report - Option 2'!$P$11:$P$412,$D495)&gt;0,"Yes","No"))</x:f>
        <x:v>Yes</x:v>
      </x:c>
    </x:row>
    <x:row r="496">
      <x:c r="A496" t="str">
        <x:f>'EMA Assurance Employee List'!A497</x:f>
        <x:v>Eddie Wachira</x:v>
      </x:c>
      <x:c r="B496" t="str">
        <x:f>IF(C496="KE","Kenya",IF(C496="UG","Uganda",IF(C496="MU","Mauritius",IF(C496="TZ","Tanzania",IF(C496="RW","Rwanda",IF(C496="ZA","South Africa",IF(C496="ZM","Zambia","")))))))</x:f>
        <x:v>Kenya</x:v>
      </x:c>
      <x:c r="C496" t="str">
        <x:f>'EMA Assurance Employee List'!B497</x:f>
        <x:v>KE</x:v>
      </x:c>
      <x:c r="D496" t="str">
        <x:f>'EMA Assurance Employee List'!D497</x:f>
        <x:v>eddie.wachira@pwc.com</x:v>
      </x:c>
      <x:c r="E496" t="n">
        <x:f>IF($D496="",0,SUMIF('Attendance Report - Option 1'!$P$11:$P$315,$D496,'Attendance Report - Option 1'!$Q$11:$Q$315)/86400)</x:f>
        <x:v>0.0427662037037037</x:v>
      </x:c>
      <x:c r="F496" t="str">
        <x:f>IF(E496=0,"Did not attend",IF(E496&gt;='Read Me'!$E$2/86400,"Fully attended","Partially attended"))</x:f>
        <x:v>Partially attended</x:v>
      </x:c>
      <x:c r="G496" t="n">
        <x:f>IF($D496="",0,SUMIF('Attendance Report - Option 2'!$P$11:$P$412,$D496,'Attendance Report - Option 2'!$Q$11:$Q$412)/86400)</x:f>
        <x:v>0</x:v>
      </x:c>
      <x:c r="H496" t="str">
        <x:f>IF(G496=0,"Did not attend",IF(G496&gt;='Read Me'!$E$2/86400,"Fully attended","Partially attended"))</x:f>
        <x:v>Did not attend</x:v>
      </x:c>
      <x:c r="I496" t="n">
        <x:f>E496+G496</x:f>
        <x:v>0.0427662037037037</x:v>
      </x:c>
      <x:c r="J496" t="str">
        <x:f>IF(I496=0,"Did not attend",IF(I496&gt;='Read Me'!$E$2/86400,"Fully attended","Partially attended"))</x:f>
        <x:v>Partially attended</x:v>
      </x:c>
      <x:c r="K496" t="str">
        <x:f>IF($D496="","No",IF(COUNTIF('Attendance Report - Option 1'!$P$11:$P$315,$D496)&gt;0,"Yes","No"))</x:f>
        <x:v>Yes</x:v>
      </x:c>
      <x:c r="L496" t="str">
        <x:f>IF($D496="","No",IF(COUNTIF('Attendance Report - Option 2'!$P$11:$P$412,$D496)&gt;0,"Yes","No"))</x:f>
        <x:v>No</x:v>
      </x:c>
    </x:row>
    <x:row r="497">
      <x:c r="A497" t="str">
        <x:f>'EMA Assurance Employee List'!A498</x:f>
        <x:v>Edmond Oluoch</x:v>
      </x:c>
      <x:c r="B497" t="str">
        <x:f>IF(C497="KE","Kenya",IF(C497="UG","Uganda",IF(C497="MU","Mauritius",IF(C497="TZ","Tanzania",IF(C497="RW","Rwanda",IF(C497="ZA","South Africa",IF(C497="ZM","Zambia","")))))))</x:f>
        <x:v>Kenya</x:v>
      </x:c>
      <x:c r="C497" t="str">
        <x:f>'EMA Assurance Employee List'!B498</x:f>
        <x:v>KE</x:v>
      </x:c>
      <x:c r="D497" t="str">
        <x:f>'EMA Assurance Employee List'!D498</x:f>
        <x:v>edmond.oluoch@pwc.com</x:v>
      </x:c>
      <x:c r="E497" t="n">
        <x:f>IF($D497="",0,SUMIF('Attendance Report - Option 1'!$P$11:$P$315,$D497,'Attendance Report - Option 1'!$Q$11:$Q$315)/86400)</x:f>
        <x:v>0</x:v>
      </x:c>
      <x:c r="F497" t="str">
        <x:f>IF(E497=0,"Did not attend",IF(E497&gt;='Read Me'!$E$2/86400,"Fully attended","Partially attended"))</x:f>
        <x:v>Did not attend</x:v>
      </x:c>
      <x:c r="G497" t="n">
        <x:f>IF($D497="",0,SUMIF('Attendance Report - Option 2'!$P$11:$P$412,$D497,'Attendance Report - Option 2'!$Q$11:$Q$412)/86400)</x:f>
        <x:v>0.0378125</x:v>
      </x:c>
      <x:c r="H497" t="str">
        <x:f>IF(G497=0,"Did not attend",IF(G497&gt;='Read Me'!$E$2/86400,"Fully attended","Partially attended"))</x:f>
        <x:v>Partially attended</x:v>
      </x:c>
      <x:c r="I497" t="n">
        <x:f>E497+G497</x:f>
        <x:v>0.0378125</x:v>
      </x:c>
      <x:c r="J497" t="str">
        <x:f>IF(I497=0,"Did not attend",IF(I497&gt;='Read Me'!$E$2/86400,"Fully attended","Partially attended"))</x:f>
        <x:v>Partially attended</x:v>
      </x:c>
      <x:c r="K497" t="str">
        <x:f>IF($D497="","No",IF(COUNTIF('Attendance Report - Option 1'!$P$11:$P$315,$D497)&gt;0,"Yes","No"))</x:f>
        <x:v>No</x:v>
      </x:c>
      <x:c r="L497" t="str">
        <x:f>IF($D497="","No",IF(COUNTIF('Attendance Report - Option 2'!$P$11:$P$412,$D497)&gt;0,"Yes","No"))</x:f>
        <x:v>Yes</x:v>
      </x:c>
    </x:row>
    <x:row r="498">
      <x:c r="A498" t="str">
        <x:f>'EMA Assurance Employee List'!A499</x:f>
        <x:v>Edna Kimenju</x:v>
      </x:c>
      <x:c r="B498" t="str">
        <x:f>IF(C498="KE","Kenya",IF(C498="UG","Uganda",IF(C498="MU","Mauritius",IF(C498="TZ","Tanzania",IF(C498="RW","Rwanda",IF(C498="ZA","South Africa",IF(C498="ZM","Zambia","")))))))</x:f>
        <x:v>Kenya</x:v>
      </x:c>
      <x:c r="C498" t="str">
        <x:f>'EMA Assurance Employee List'!B499</x:f>
        <x:v>KE</x:v>
      </x:c>
      <x:c r="D498" t="str">
        <x:f>'EMA Assurance Employee List'!D499</x:f>
        <x:v>edna.kimenju@pwc.com</x:v>
      </x:c>
      <x:c r="E498" t="n">
        <x:f>IF($D498="",0,SUMIF('Attendance Report - Option 1'!$P$11:$P$315,$D498,'Attendance Report - Option 1'!$Q$11:$Q$315)/86400)</x:f>
        <x:v>0.08136574074074074</x:v>
      </x:c>
      <x:c r="F498" t="str">
        <x:f>IF(E498=0,"Did not attend",IF(E498&gt;='Read Me'!$E$2/86400,"Fully attended","Partially attended"))</x:f>
        <x:v>Fully attended</x:v>
      </x:c>
      <x:c r="G498" t="n">
        <x:f>IF($D498="",0,SUMIF('Attendance Report - Option 2'!$P$11:$P$412,$D498,'Attendance Report - Option 2'!$Q$11:$Q$412)/86400)</x:f>
        <x:v>0</x:v>
      </x:c>
      <x:c r="H498" t="str">
        <x:f>IF(G498=0,"Did not attend",IF(G498&gt;='Read Me'!$E$2/86400,"Fully attended","Partially attended"))</x:f>
        <x:v>Did not attend</x:v>
      </x:c>
      <x:c r="I498" t="n">
        <x:f>E498+G498</x:f>
        <x:v>0.08136574074074074</x:v>
      </x:c>
      <x:c r="J498" t="str">
        <x:f>IF(I498=0,"Did not attend",IF(I498&gt;='Read Me'!$E$2/86400,"Fully attended","Partially attended"))</x:f>
        <x:v>Fully attended</x:v>
      </x:c>
      <x:c r="K498" t="str">
        <x:f>IF($D498="","No",IF(COUNTIF('Attendance Report - Option 1'!$P$11:$P$315,$D498)&gt;0,"Yes","No"))</x:f>
        <x:v>Yes</x:v>
      </x:c>
      <x:c r="L498" t="str">
        <x:f>IF($D498="","No",IF(COUNTIF('Attendance Report - Option 2'!$P$11:$P$412,$D498)&gt;0,"Yes","No"))</x:f>
        <x:v>No</x:v>
      </x:c>
    </x:row>
    <x:row r="499">
      <x:c r="A499" t="str">
        <x:f>'EMA Assurance Employee List'!A500</x:f>
        <x:v>Elisha Jairo</x:v>
      </x:c>
      <x:c r="B499" t="str">
        <x:f>IF(C499="KE","Kenya",IF(C499="UG","Uganda",IF(C499="MU","Mauritius",IF(C499="TZ","Tanzania",IF(C499="RW","Rwanda",IF(C499="ZA","South Africa",IF(C499="ZM","Zambia","")))))))</x:f>
        <x:v>Tanzania</x:v>
      </x:c>
      <x:c r="C499" t="str">
        <x:f>'EMA Assurance Employee List'!B500</x:f>
        <x:v>TZ</x:v>
      </x:c>
      <x:c r="D499" t="str">
        <x:f>'EMA Assurance Employee List'!D500</x:f>
        <x:v>elisha.jairo@pwc.com</x:v>
      </x:c>
      <x:c r="E499" t="n">
        <x:f>IF($D499="",0,SUMIF('Attendance Report - Option 1'!$P$11:$P$315,$D499,'Attendance Report - Option 1'!$Q$11:$Q$315)/86400)</x:f>
        <x:v>0</x:v>
      </x:c>
      <x:c r="F499" t="str">
        <x:f>IF(E499=0,"Did not attend",IF(E499&gt;='Read Me'!$E$2/86400,"Fully attended","Partially attended"))</x:f>
        <x:v>Did not attend</x:v>
      </x:c>
      <x:c r="G499" t="n">
        <x:f>IF($D499="",0,SUMIF('Attendance Report - Option 2'!$P$11:$P$412,$D499,'Attendance Report - Option 2'!$Q$11:$Q$412)/86400)</x:f>
        <x:v>0.08057870370370371</x:v>
      </x:c>
      <x:c r="H499" t="str">
        <x:f>IF(G499=0,"Did not attend",IF(G499&gt;='Read Me'!$E$2/86400,"Fully attended","Partially attended"))</x:f>
        <x:v>Fully attended</x:v>
      </x:c>
      <x:c r="I499" t="n">
        <x:f>E499+G499</x:f>
        <x:v>0.08057870370370371</x:v>
      </x:c>
      <x:c r="J499" t="str">
        <x:f>IF(I499=0,"Did not attend",IF(I499&gt;='Read Me'!$E$2/86400,"Fully attended","Partially attended"))</x:f>
        <x:v>Fully attended</x:v>
      </x:c>
      <x:c r="K499" t="str">
        <x:f>IF($D499="","No",IF(COUNTIF('Attendance Report - Option 1'!$P$11:$P$315,$D499)&gt;0,"Yes","No"))</x:f>
        <x:v>No</x:v>
      </x:c>
      <x:c r="L499" t="str">
        <x:f>IF($D499="","No",IF(COUNTIF('Attendance Report - Option 2'!$P$11:$P$412,$D499)&gt;0,"Yes","No"))</x:f>
        <x:v>Yes</x:v>
      </x:c>
    </x:row>
    <x:row r="500">
      <x:c r="A500" t="str">
        <x:f>'EMA Assurance Employee List'!A501</x:f>
        <x:v>Elizabeth Monga</x:v>
      </x:c>
      <x:c r="B500" t="str">
        <x:f>IF(C500="KE","Kenya",IF(C500="UG","Uganda",IF(C500="MU","Mauritius",IF(C500="TZ","Tanzania",IF(C500="RW","Rwanda",IF(C500="ZA","South Africa",IF(C500="ZM","Zambia","")))))))</x:f>
        <x:v>Zambia</x:v>
      </x:c>
      <x:c r="C500" t="str">
        <x:f>'EMA Assurance Employee List'!B501</x:f>
        <x:v>ZM</x:v>
      </x:c>
      <x:c r="D500" t="str">
        <x:f>'EMA Assurance Employee List'!D501</x:f>
        <x:v>elizabeth.m.monga@pwc.com</x:v>
      </x:c>
      <x:c r="E500" t="n">
        <x:f>IF($D500="",0,SUMIF('Attendance Report - Option 1'!$P$11:$P$315,$D500,'Attendance Report - Option 1'!$Q$11:$Q$315)/86400)</x:f>
        <x:v>0.07791666666666666</x:v>
      </x:c>
      <x:c r="F500" t="str">
        <x:f>IF(E500=0,"Did not attend",IF(E500&gt;='Read Me'!$E$2/86400,"Fully attended","Partially attended"))</x:f>
        <x:v>Fully attended</x:v>
      </x:c>
      <x:c r="G500" t="n">
        <x:f>IF($D500="",0,SUMIF('Attendance Report - Option 2'!$P$11:$P$412,$D500,'Attendance Report - Option 2'!$Q$11:$Q$412)/86400)</x:f>
        <x:v>0</x:v>
      </x:c>
      <x:c r="H500" t="str">
        <x:f>IF(G500=0,"Did not attend",IF(G500&gt;='Read Me'!$E$2/86400,"Fully attended","Partially attended"))</x:f>
        <x:v>Did not attend</x:v>
      </x:c>
      <x:c r="I500" t="n">
        <x:f>E500+G500</x:f>
        <x:v>0.07791666666666666</x:v>
      </x:c>
      <x:c r="J500" t="str">
        <x:f>IF(I500=0,"Did not attend",IF(I500&gt;='Read Me'!$E$2/86400,"Fully attended","Partially attended"))</x:f>
        <x:v>Fully attended</x:v>
      </x:c>
      <x:c r="K500" t="str">
        <x:f>IF($D500="","No",IF(COUNTIF('Attendance Report - Option 1'!$P$11:$P$315,$D500)&gt;0,"Yes","No"))</x:f>
        <x:v>Yes</x:v>
      </x:c>
      <x:c r="L500" t="str">
        <x:f>IF($D500="","No",IF(COUNTIF('Attendance Report - Option 2'!$P$11:$P$412,$D500)&gt;0,"Yes","No"))</x:f>
        <x:v>No</x:v>
      </x:c>
    </x:row>
    <x:row r="501">
      <x:c r="A501" t="str">
        <x:f>'EMA Assurance Employee List'!A502</x:f>
        <x:v>Elvin Isaiah Nuwagaba</x:v>
      </x:c>
      <x:c r="B501" t="str">
        <x:f>IF(C501="KE","Kenya",IF(C501="UG","Uganda",IF(C501="MU","Mauritius",IF(C501="TZ","Tanzania",IF(C501="RW","Rwanda",IF(C501="ZA","South Africa",IF(C501="ZM","Zambia","")))))))</x:f>
        <x:v>Uganda</x:v>
      </x:c>
      <x:c r="C501" t="str">
        <x:f>'EMA Assurance Employee List'!B502</x:f>
        <x:v>UG</x:v>
      </x:c>
      <x:c r="D501" t="str">
        <x:f>'EMA Assurance Employee List'!D502</x:f>
        <x:v>isaiah.nuwagaba@pwc.com</x:v>
      </x:c>
      <x:c r="E501" t="n">
        <x:f>IF($D501="",0,SUMIF('Attendance Report - Option 1'!$P$11:$P$315,$D501,'Attendance Report - Option 1'!$Q$11:$Q$315)/86400)</x:f>
        <x:v>0</x:v>
      </x:c>
      <x:c r="F501" t="str">
        <x:f>IF(E501=0,"Did not attend",IF(E501&gt;='Read Me'!$E$2/86400,"Fully attended","Partially attended"))</x:f>
        <x:v>Did not attend</x:v>
      </x:c>
      <x:c r="G501" t="n">
        <x:f>IF($D501="",0,SUMIF('Attendance Report - Option 2'!$P$11:$P$412,$D501,'Attendance Report - Option 2'!$Q$11:$Q$412)/86400)</x:f>
        <x:v>0.0787962962962963</x:v>
      </x:c>
      <x:c r="H501" t="str">
        <x:f>IF(G501=0,"Did not attend",IF(G501&gt;='Read Me'!$E$2/86400,"Fully attended","Partially attended"))</x:f>
        <x:v>Fully attended</x:v>
      </x:c>
      <x:c r="I501" t="n">
        <x:f>E501+G501</x:f>
        <x:v>0.0787962962962963</x:v>
      </x:c>
      <x:c r="J501" t="str">
        <x:f>IF(I501=0,"Did not attend",IF(I501&gt;='Read Me'!$E$2/86400,"Fully attended","Partially attended"))</x:f>
        <x:v>Fully attended</x:v>
      </x:c>
      <x:c r="K501" t="str">
        <x:f>IF($D501="","No",IF(COUNTIF('Attendance Report - Option 1'!$P$11:$P$315,$D501)&gt;0,"Yes","No"))</x:f>
        <x:v>No</x:v>
      </x:c>
      <x:c r="L501" t="str">
        <x:f>IF($D501="","No",IF(COUNTIF('Attendance Report - Option 2'!$P$11:$P$412,$D501)&gt;0,"Yes","No"))</x:f>
        <x:v>Yes</x:v>
      </x:c>
    </x:row>
    <x:row r="502">
      <x:c r="A502" t="str">
        <x:f>'EMA Assurance Employee List'!A503</x:f>
        <x:v>Elvin Julius</x:v>
      </x:c>
      <x:c r="B502" t="str">
        <x:f>IF(C502="KE","Kenya",IF(C502="UG","Uganda",IF(C502="MU","Mauritius",IF(C502="TZ","Tanzania",IF(C502="RW","Rwanda",IF(C502="ZA","South Africa",IF(C502="ZM","Zambia","")))))))</x:f>
        <x:v>Tanzania</x:v>
      </x:c>
      <x:c r="C502" t="str">
        <x:f>'EMA Assurance Employee List'!B503</x:f>
        <x:v>TZ</x:v>
      </x:c>
      <x:c r="D502" t="str">
        <x:f>'EMA Assurance Employee List'!D503</x:f>
        <x:v>elvin.julius@pwc.com</x:v>
      </x:c>
      <x:c r="E502" t="n">
        <x:f>IF($D502="",0,SUMIF('Attendance Report - Option 1'!$P$11:$P$315,$D502,'Attendance Report - Option 1'!$Q$11:$Q$315)/86400)</x:f>
        <x:v>0</x:v>
      </x:c>
      <x:c r="F502" t="str">
        <x:f>IF(E502=0,"Did not attend",IF(E502&gt;='Read Me'!$E$2/86400,"Fully attended","Partially attended"))</x:f>
        <x:v>Did not attend</x:v>
      </x:c>
      <x:c r="G502" t="n">
        <x:f>IF($D502="",0,SUMIF('Attendance Report - Option 2'!$P$11:$P$412,$D502,'Attendance Report - Option 2'!$Q$11:$Q$412)/86400)</x:f>
        <x:v>0.015289351851851853</x:v>
      </x:c>
      <x:c r="H502" t="str">
        <x:f>IF(G502=0,"Did not attend",IF(G502&gt;='Read Me'!$E$2/86400,"Fully attended","Partially attended"))</x:f>
        <x:v>Partially attended</x:v>
      </x:c>
      <x:c r="I502" t="n">
        <x:f>E502+G502</x:f>
        <x:v>0.015289351851851853</x:v>
      </x:c>
      <x:c r="J502" t="str">
        <x:f>IF(I502=0,"Did not attend",IF(I502&gt;='Read Me'!$E$2/86400,"Fully attended","Partially attended"))</x:f>
        <x:v>Partially attended</x:v>
      </x:c>
      <x:c r="K502" t="str">
        <x:f>IF($D502="","No",IF(COUNTIF('Attendance Report - Option 1'!$P$11:$P$315,$D502)&gt;0,"Yes","No"))</x:f>
        <x:v>No</x:v>
      </x:c>
      <x:c r="L502" t="str">
        <x:f>IF($D502="","No",IF(COUNTIF('Attendance Report - Option 2'!$P$11:$P$412,$D502)&gt;0,"Yes","No"))</x:f>
        <x:v>Yes</x:v>
      </x:c>
    </x:row>
    <x:row r="503">
      <x:c r="A503" t="str">
        <x:f>'EMA Assurance Employee List'!A504</x:f>
        <x:v>Emmanuel Lema</x:v>
      </x:c>
      <x:c r="B503" t="str">
        <x:f>IF(C503="KE","Kenya",IF(C503="UG","Uganda",IF(C503="MU","Mauritius",IF(C503="TZ","Tanzania",IF(C503="RW","Rwanda",IF(C503="ZA","South Africa",IF(C503="ZM","Zambia","")))))))</x:f>
        <x:v>Tanzania</x:v>
      </x:c>
      <x:c r="C503" t="str">
        <x:f>'EMA Assurance Employee List'!B504</x:f>
        <x:v>TZ</x:v>
      </x:c>
      <x:c r="D503" t="str">
        <x:f>'EMA Assurance Employee List'!D504</x:f>
        <x:v>emmanuel.lema@pwc.com</x:v>
      </x:c>
      <x:c r="E503" t="n">
        <x:f>IF($D503="",0,SUMIF('Attendance Report - Option 1'!$P$11:$P$315,$D503,'Attendance Report - Option 1'!$Q$11:$Q$315)/86400)</x:f>
        <x:v>0.06674768518518519</x:v>
      </x:c>
      <x:c r="F503" t="str">
        <x:f>IF(E503=0,"Did not attend",IF(E503&gt;='Read Me'!$E$2/86400,"Fully attended","Partially attended"))</x:f>
        <x:v>Fully attended</x:v>
      </x:c>
      <x:c r="G503" t="n">
        <x:f>IF($D503="",0,SUMIF('Attendance Report - Option 2'!$P$11:$P$412,$D503,'Attendance Report - Option 2'!$Q$11:$Q$412)/86400)</x:f>
        <x:v>0</x:v>
      </x:c>
      <x:c r="H503" t="str">
        <x:f>IF(G503=0,"Did not attend",IF(G503&gt;='Read Me'!$E$2/86400,"Fully attended","Partially attended"))</x:f>
        <x:v>Did not attend</x:v>
      </x:c>
      <x:c r="I503" t="n">
        <x:f>E503+G503</x:f>
        <x:v>0.06674768518518519</x:v>
      </x:c>
      <x:c r="J503" t="str">
        <x:f>IF(I503=0,"Did not attend",IF(I503&gt;='Read Me'!$E$2/86400,"Fully attended","Partially attended"))</x:f>
        <x:v>Fully attended</x:v>
      </x:c>
      <x:c r="K503" t="str">
        <x:f>IF($D503="","No",IF(COUNTIF('Attendance Report - Option 1'!$P$11:$P$315,$D503)&gt;0,"Yes","No"))</x:f>
        <x:v>Yes</x:v>
      </x:c>
      <x:c r="L503" t="str">
        <x:f>IF($D503="","No",IF(COUNTIF('Attendance Report - Option 2'!$P$11:$P$412,$D503)&gt;0,"Yes","No"))</x:f>
        <x:v>No</x:v>
      </x:c>
    </x:row>
    <x:row r="504">
      <x:c r="A504" t="str">
        <x:f>'EMA Assurance Employee List'!A505</x:f>
        <x:v>Emmanuel Shoo</x:v>
      </x:c>
      <x:c r="B504" t="str">
        <x:f>IF(C504="KE","Kenya",IF(C504="UG","Uganda",IF(C504="MU","Mauritius",IF(C504="TZ","Tanzania",IF(C504="RW","Rwanda",IF(C504="ZA","South Africa",IF(C504="ZM","Zambia","")))))))</x:f>
        <x:v>Tanzania</x:v>
      </x:c>
      <x:c r="C504" t="str">
        <x:f>'EMA Assurance Employee List'!B505</x:f>
        <x:v>TZ</x:v>
      </x:c>
      <x:c r="D504" t="str">
        <x:f>'EMA Assurance Employee List'!D505</x:f>
        <x:v>emmanuel.shoo@pwc.com</x:v>
      </x:c>
      <x:c r="E504" t="n">
        <x:f>IF($D504="",0,SUMIF('Attendance Report - Option 1'!$P$11:$P$315,$D504,'Attendance Report - Option 1'!$Q$11:$Q$315)/86400)</x:f>
        <x:v>0</x:v>
      </x:c>
      <x:c r="F504" t="str">
        <x:f>IF(E504=0,"Did not attend",IF(E504&gt;='Read Me'!$E$2/86400,"Fully attended","Partially attended"))</x:f>
        <x:v>Did not attend</x:v>
      </x:c>
      <x:c r="G504" t="n">
        <x:f>IF($D504="",0,SUMIF('Attendance Report - Option 2'!$P$11:$P$412,$D504,'Attendance Report - Option 2'!$Q$11:$Q$412)/86400)</x:f>
        <x:v>0.0688425925925926</x:v>
      </x:c>
      <x:c r="H504" t="str">
        <x:f>IF(G504=0,"Did not attend",IF(G504&gt;='Read Me'!$E$2/86400,"Fully attended","Partially attended"))</x:f>
        <x:v>Fully attended</x:v>
      </x:c>
      <x:c r="I504" t="n">
        <x:f>E504+G504</x:f>
        <x:v>0.0688425925925926</x:v>
      </x:c>
      <x:c r="J504" t="str">
        <x:f>IF(I504=0,"Did not attend",IF(I504&gt;='Read Me'!$E$2/86400,"Fully attended","Partially attended"))</x:f>
        <x:v>Fully attended</x:v>
      </x:c>
      <x:c r="K504" t="str">
        <x:f>IF($D504="","No",IF(COUNTIF('Attendance Report - Option 1'!$P$11:$P$315,$D504)&gt;0,"Yes","No"))</x:f>
        <x:v>No</x:v>
      </x:c>
      <x:c r="L504" t="str">
        <x:f>IF($D504="","No",IF(COUNTIF('Attendance Report - Option 2'!$P$11:$P$412,$D504)&gt;0,"Yes","No"))</x:f>
        <x:v>Yes</x:v>
      </x:c>
    </x:row>
    <x:row r="505">
      <x:c r="A505" t="str">
        <x:f>'EMA Assurance Employee List'!A506</x:f>
        <x:v>Enock Muywanga</x:v>
      </x:c>
      <x:c r="B505" t="str">
        <x:f>IF(C505="KE","Kenya",IF(C505="UG","Uganda",IF(C505="MU","Mauritius",IF(C505="TZ","Tanzania",IF(C505="RW","Rwanda",IF(C505="ZA","South Africa",IF(C505="ZM","Zambia","")))))))</x:f>
        <x:v>Tanzania</x:v>
      </x:c>
      <x:c r="C505" t="str">
        <x:f>'EMA Assurance Employee List'!B506</x:f>
        <x:v>TZ</x:v>
      </x:c>
      <x:c r="D505" t="str">
        <x:f>'EMA Assurance Employee List'!D506</x:f>
        <x:v>enock.muywanga@pwc.com</x:v>
      </x:c>
      <x:c r="E505" t="n">
        <x:f>IF($D505="",0,SUMIF('Attendance Report - Option 1'!$P$11:$P$315,$D505,'Attendance Report - Option 1'!$Q$11:$Q$315)/86400)</x:f>
        <x:v>0.1171875</x:v>
      </x:c>
      <x:c r="F505" t="str">
        <x:f>IF(E505=0,"Did not attend",IF(E505&gt;='Read Me'!$E$2/86400,"Fully attended","Partially attended"))</x:f>
        <x:v>Fully attended</x:v>
      </x:c>
      <x:c r="G505" t="n">
        <x:f>IF($D505="",0,SUMIF('Attendance Report - Option 2'!$P$11:$P$412,$D505,'Attendance Report - Option 2'!$Q$11:$Q$412)/86400)</x:f>
        <x:v>0</x:v>
      </x:c>
      <x:c r="H505" t="str">
        <x:f>IF(G505=0,"Did not attend",IF(G505&gt;='Read Me'!$E$2/86400,"Fully attended","Partially attended"))</x:f>
        <x:v>Did not attend</x:v>
      </x:c>
      <x:c r="I505" t="n">
        <x:f>E505+G505</x:f>
        <x:v>0.1171875</x:v>
      </x:c>
      <x:c r="J505" t="str">
        <x:f>IF(I505=0,"Did not attend",IF(I505&gt;='Read Me'!$E$2/86400,"Fully attended","Partially attended"))</x:f>
        <x:v>Fully attended</x:v>
      </x:c>
      <x:c r="K505" t="str">
        <x:f>IF($D505="","No",IF(COUNTIF('Attendance Report - Option 1'!$P$11:$P$315,$D505)&gt;0,"Yes","No"))</x:f>
        <x:v>Yes</x:v>
      </x:c>
      <x:c r="L505" t="str">
        <x:f>IF($D505="","No",IF(COUNTIF('Attendance Report - Option 2'!$P$11:$P$412,$D505)&gt;0,"Yes","No"))</x:f>
        <x:v>No</x:v>
      </x:c>
    </x:row>
    <x:row r="506">
      <x:c r="A506" t="str">
        <x:f>'EMA Assurance Employee List'!A507</x:f>
        <x:v>Eric Shumbusha</x:v>
      </x:c>
      <x:c r="B506" t="str">
        <x:f>IF(C506="KE","Kenya",IF(C506="UG","Uganda",IF(C506="MU","Mauritius",IF(C506="TZ","Tanzania",IF(C506="RW","Rwanda",IF(C506="ZA","South Africa",IF(C506="ZM","Zambia","")))))))</x:f>
        <x:v>Rwanda</x:v>
      </x:c>
      <x:c r="C506" t="str">
        <x:f>'EMA Assurance Employee List'!B507</x:f>
        <x:v>RW</x:v>
      </x:c>
      <x:c r="D506" t="str">
        <x:f>'EMA Assurance Employee List'!D507</x:f>
        <x:v>eric.shumbusha@pwc.com</x:v>
      </x:c>
      <x:c r="E506" t="n">
        <x:f>IF($D506="",0,SUMIF('Attendance Report - Option 1'!$P$11:$P$315,$D506,'Attendance Report - Option 1'!$Q$11:$Q$315)/86400)</x:f>
        <x:v>0.02232638888888889</x:v>
      </x:c>
      <x:c r="F506" t="str">
        <x:f>IF(E506=0,"Did not attend",IF(E506&gt;='Read Me'!$E$2/86400,"Fully attended","Partially attended"))</x:f>
        <x:v>Partially attended</x:v>
      </x:c>
      <x:c r="G506" t="n">
        <x:f>IF($D506="",0,SUMIF('Attendance Report - Option 2'!$P$11:$P$412,$D506,'Attendance Report - Option 2'!$Q$11:$Q$412)/86400)</x:f>
        <x:v>0</x:v>
      </x:c>
      <x:c r="H506" t="str">
        <x:f>IF(G506=0,"Did not attend",IF(G506&gt;='Read Me'!$E$2/86400,"Fully attended","Partially attended"))</x:f>
        <x:v>Did not attend</x:v>
      </x:c>
      <x:c r="I506" t="n">
        <x:f>E506+G506</x:f>
        <x:v>0.02232638888888889</x:v>
      </x:c>
      <x:c r="J506" t="str">
        <x:f>IF(I506=0,"Did not attend",IF(I506&gt;='Read Me'!$E$2/86400,"Fully attended","Partially attended"))</x:f>
        <x:v>Partially attended</x:v>
      </x:c>
      <x:c r="K506" t="str">
        <x:f>IF($D506="","No",IF(COUNTIF('Attendance Report - Option 1'!$P$11:$P$315,$D506)&gt;0,"Yes","No"))</x:f>
        <x:v>Yes</x:v>
      </x:c>
      <x:c r="L506" t="str">
        <x:f>IF($D506="","No",IF(COUNTIF('Attendance Report - Option 2'!$P$11:$P$412,$D506)&gt;0,"Yes","No"))</x:f>
        <x:v>No</x:v>
      </x:c>
    </x:row>
    <x:row r="507">
      <x:c r="A507" t="str">
        <x:f>'EMA Assurance Employee List'!A508</x:f>
        <x:v>Erick Mdaki</x:v>
      </x:c>
      <x:c r="B507" t="str">
        <x:f>IF(C507="KE","Kenya",IF(C507="UG","Uganda",IF(C507="MU","Mauritius",IF(C507="TZ","Tanzania",IF(C507="RW","Rwanda",IF(C507="ZA","South Africa",IF(C507="ZM","Zambia","")))))))</x:f>
        <x:v>Tanzania</x:v>
      </x:c>
      <x:c r="C507" t="str">
        <x:f>'EMA Assurance Employee List'!B508</x:f>
        <x:v>TZ</x:v>
      </x:c>
      <x:c r="D507" t="str">
        <x:f>'EMA Assurance Employee List'!D508</x:f>
        <x:v>erick.mdaki@pwc.com</x:v>
      </x:c>
      <x:c r="E507" t="n">
        <x:f>IF($D507="",0,SUMIF('Attendance Report - Option 1'!$P$11:$P$315,$D507,'Attendance Report - Option 1'!$Q$11:$Q$315)/86400)</x:f>
        <x:v>0.06962962962962962</x:v>
      </x:c>
      <x:c r="F507" t="str">
        <x:f>IF(E507=0,"Did not attend",IF(E507&gt;='Read Me'!$E$2/86400,"Fully attended","Partially attended"))</x:f>
        <x:v>Fully attended</x:v>
      </x:c>
      <x:c r="G507" t="n">
        <x:f>IF($D507="",0,SUMIF('Attendance Report - Option 2'!$P$11:$P$412,$D507,'Attendance Report - Option 2'!$Q$11:$Q$412)/86400)</x:f>
        <x:v>0</x:v>
      </x:c>
      <x:c r="H507" t="str">
        <x:f>IF(G507=0,"Did not attend",IF(G507&gt;='Read Me'!$E$2/86400,"Fully attended","Partially attended"))</x:f>
        <x:v>Did not attend</x:v>
      </x:c>
      <x:c r="I507" t="n">
        <x:f>E507+G507</x:f>
        <x:v>0.06962962962962962</x:v>
      </x:c>
      <x:c r="J507" t="str">
        <x:f>IF(I507=0,"Did not attend",IF(I507&gt;='Read Me'!$E$2/86400,"Fully attended","Partially attended"))</x:f>
        <x:v>Fully attended</x:v>
      </x:c>
      <x:c r="K507" t="str">
        <x:f>IF($D507="","No",IF(COUNTIF('Attendance Report - Option 1'!$P$11:$P$315,$D507)&gt;0,"Yes","No"))</x:f>
        <x:v>Yes</x:v>
      </x:c>
      <x:c r="L507" t="str">
        <x:f>IF($D507="","No",IF(COUNTIF('Attendance Report - Option 2'!$P$11:$P$412,$D507)&gt;0,"Yes","No"))</x:f>
        <x:v>No</x:v>
      </x:c>
    </x:row>
    <x:row r="508">
      <x:c r="A508" t="str">
        <x:f>'EMA Assurance Employee List'!A509</x:f>
        <x:v>Esther Mulaisho</x:v>
      </x:c>
      <x:c r="B508" t="str">
        <x:f>IF(C508="KE","Kenya",IF(C508="UG","Uganda",IF(C508="MU","Mauritius",IF(C508="TZ","Tanzania",IF(C508="RW","Rwanda",IF(C508="ZA","South Africa",IF(C508="ZM","Zambia","")))))))</x:f>
        <x:v>Zambia</x:v>
      </x:c>
      <x:c r="C508" t="str">
        <x:f>'EMA Assurance Employee List'!B509</x:f>
        <x:v>ZM</x:v>
      </x:c>
      <x:c r="D508" t="str">
        <x:f>'EMA Assurance Employee List'!D509</x:f>
        <x:v>esther.mulaisho@pwc.com</x:v>
      </x:c>
      <x:c r="E508" t="n">
        <x:f>IF($D508="",0,SUMIF('Attendance Report - Option 1'!$P$11:$P$315,$D508,'Attendance Report - Option 1'!$Q$11:$Q$315)/86400)</x:f>
        <x:v>0.052037037037037034</x:v>
      </x:c>
      <x:c r="F508" t="str">
        <x:f>IF(E508=0,"Did not attend",IF(E508&gt;='Read Me'!$E$2/86400,"Fully attended","Partially attended"))</x:f>
        <x:v>Partially attended</x:v>
      </x:c>
      <x:c r="G508" t="n">
        <x:f>IF($D508="",0,SUMIF('Attendance Report - Option 2'!$P$11:$P$412,$D508,'Attendance Report - Option 2'!$Q$11:$Q$412)/86400)</x:f>
        <x:v>0</x:v>
      </x:c>
      <x:c r="H508" t="str">
        <x:f>IF(G508=0,"Did not attend",IF(G508&gt;='Read Me'!$E$2/86400,"Fully attended","Partially attended"))</x:f>
        <x:v>Did not attend</x:v>
      </x:c>
      <x:c r="I508" t="n">
        <x:f>E508+G508</x:f>
        <x:v>0.052037037037037034</x:v>
      </x:c>
      <x:c r="J508" t="str">
        <x:f>IF(I508=0,"Did not attend",IF(I508&gt;='Read Me'!$E$2/86400,"Fully attended","Partially attended"))</x:f>
        <x:v>Partially attended</x:v>
      </x:c>
      <x:c r="K508" t="str">
        <x:f>IF($D508="","No",IF(COUNTIF('Attendance Report - Option 1'!$P$11:$P$315,$D508)&gt;0,"Yes","No"))</x:f>
        <x:v>Yes</x:v>
      </x:c>
      <x:c r="L508" t="str">
        <x:f>IF($D508="","No",IF(COUNTIF('Attendance Report - Option 2'!$P$11:$P$412,$D508)&gt;0,"Yes","No"))</x:f>
        <x:v>No</x:v>
      </x:c>
    </x:row>
    <x:row r="509">
      <x:c r="A509" t="str">
        <x:f>'EMA Assurance Employee List'!A510</x:f>
        <x:v>Etase Nyirenda</x:v>
      </x:c>
      <x:c r="B509" t="str">
        <x:f>IF(C509="KE","Kenya",IF(C509="UG","Uganda",IF(C509="MU","Mauritius",IF(C509="TZ","Tanzania",IF(C509="RW","Rwanda",IF(C509="ZA","South Africa",IF(C509="ZM","Zambia","")))))))</x:f>
        <x:v>Zambia</x:v>
      </x:c>
      <x:c r="C509" t="str">
        <x:f>'EMA Assurance Employee List'!B510</x:f>
        <x:v>ZM</x:v>
      </x:c>
      <x:c r="D509" t="str">
        <x:f>'EMA Assurance Employee List'!D510</x:f>
        <x:v>etase.nyirenda@pwc.com</x:v>
      </x:c>
      <x:c r="E509" t="n">
        <x:f>IF($D509="",0,SUMIF('Attendance Report - Option 1'!$P$11:$P$315,$D509,'Attendance Report - Option 1'!$Q$11:$Q$315)/86400)</x:f>
        <x:v>0.0749537037037037</x:v>
      </x:c>
      <x:c r="F509" t="str">
        <x:f>IF(E509=0,"Did not attend",IF(E509&gt;='Read Me'!$E$2/86400,"Fully attended","Partially attended"))</x:f>
        <x:v>Fully attended</x:v>
      </x:c>
      <x:c r="G509" t="n">
        <x:f>IF($D509="",0,SUMIF('Attendance Report - Option 2'!$P$11:$P$412,$D509,'Attendance Report - Option 2'!$Q$11:$Q$412)/86400)</x:f>
        <x:v>0</x:v>
      </x:c>
      <x:c r="H509" t="str">
        <x:f>IF(G509=0,"Did not attend",IF(G509&gt;='Read Me'!$E$2/86400,"Fully attended","Partially attended"))</x:f>
        <x:v>Did not attend</x:v>
      </x:c>
      <x:c r="I509" t="n">
        <x:f>E509+G509</x:f>
        <x:v>0.0749537037037037</x:v>
      </x:c>
      <x:c r="J509" t="str">
        <x:f>IF(I509=0,"Did not attend",IF(I509&gt;='Read Me'!$E$2/86400,"Fully attended","Partially attended"))</x:f>
        <x:v>Fully attended</x:v>
      </x:c>
      <x:c r="K509" t="str">
        <x:f>IF($D509="","No",IF(COUNTIF('Attendance Report - Option 1'!$P$11:$P$315,$D509)&gt;0,"Yes","No"))</x:f>
        <x:v>Yes</x:v>
      </x:c>
      <x:c r="L509" t="str">
        <x:f>IF($D509="","No",IF(COUNTIF('Attendance Report - Option 2'!$P$11:$P$412,$D509)&gt;0,"Yes","No"))</x:f>
        <x:v>No</x:v>
      </x:c>
    </x:row>
    <x:row r="510">
      <x:c r="A510" t="str">
        <x:f>'EMA Assurance Employee List'!A511</x:f>
        <x:v>Evans Makumba</x:v>
      </x:c>
      <x:c r="B510" t="str">
        <x:f>IF(C510="KE","Kenya",IF(C510="UG","Uganda",IF(C510="MU","Mauritius",IF(C510="TZ","Tanzania",IF(C510="RW","Rwanda",IF(C510="ZA","South Africa",IF(C510="ZM","Zambia","")))))))</x:f>
        <x:v>Rwanda</x:v>
      </x:c>
      <x:c r="C510" t="str">
        <x:f>'EMA Assurance Employee List'!B511</x:f>
        <x:v>RW</x:v>
      </x:c>
      <x:c r="D510" t="str">
        <x:f>'EMA Assurance Employee List'!D511</x:f>
        <x:v>evans.makumba@pwc.com</x:v>
      </x:c>
      <x:c r="E510" t="n">
        <x:f>IF($D510="",0,SUMIF('Attendance Report - Option 1'!$P$11:$P$315,$D510,'Attendance Report - Option 1'!$Q$11:$Q$315)/86400)</x:f>
        <x:v>0</x:v>
      </x:c>
      <x:c r="F510" t="str">
        <x:f>IF(E510=0,"Did not attend",IF(E510&gt;='Read Me'!$E$2/86400,"Fully attended","Partially attended"))</x:f>
        <x:v>Did not attend</x:v>
      </x:c>
      <x:c r="G510" t="n">
        <x:f>IF($D510="",0,SUMIF('Attendance Report - Option 2'!$P$11:$P$412,$D510,'Attendance Report - Option 2'!$Q$11:$Q$412)/86400)</x:f>
        <x:v>0.0875462962962963</x:v>
      </x:c>
      <x:c r="H510" t="str">
        <x:f>IF(G510=0,"Did not attend",IF(G510&gt;='Read Me'!$E$2/86400,"Fully attended","Partially attended"))</x:f>
        <x:v>Fully attended</x:v>
      </x:c>
      <x:c r="I510" t="n">
        <x:f>E510+G510</x:f>
        <x:v>0.0875462962962963</x:v>
      </x:c>
      <x:c r="J510" t="str">
        <x:f>IF(I510=0,"Did not attend",IF(I510&gt;='Read Me'!$E$2/86400,"Fully attended","Partially attended"))</x:f>
        <x:v>Fully attended</x:v>
      </x:c>
      <x:c r="K510" t="str">
        <x:f>IF($D510="","No",IF(COUNTIF('Attendance Report - Option 1'!$P$11:$P$315,$D510)&gt;0,"Yes","No"))</x:f>
        <x:v>No</x:v>
      </x:c>
      <x:c r="L510" t="str">
        <x:f>IF($D510="","No",IF(COUNTIF('Attendance Report - Option 2'!$P$11:$P$412,$D510)&gt;0,"Yes","No"))</x:f>
        <x:v>Yes</x:v>
      </x:c>
    </x:row>
    <x:row r="511">
      <x:c r="A511" t="str">
        <x:f>'EMA Assurance Employee List'!A512</x:f>
        <x:v>Eyosias Sahlu</x:v>
      </x:c>
      <x:c r="B511" t="str">
        <x:f>IF(C511="KE","Kenya",IF(C511="UG","Uganda",IF(C511="MU","Mauritius",IF(C511="TZ","Tanzania",IF(C511="RW","Rwanda",IF(C511="ZA","South Africa",IF(C511="ZM","Zambia","")))))))</x:f>
        <x:v>Kenya</x:v>
      </x:c>
      <x:c r="C511" t="str">
        <x:f>'EMA Assurance Employee List'!B512</x:f>
        <x:v>KE</x:v>
      </x:c>
      <x:c r="D511" t="str">
        <x:f>'EMA Assurance Employee List'!D512</x:f>
        <x:v>eyosisas.sahlu@pwc.com</x:v>
      </x:c>
      <x:c r="E511" t="n">
        <x:f>IF($D511="",0,SUMIF('Attendance Report - Option 1'!$P$11:$P$315,$D511,'Attendance Report - Option 1'!$Q$11:$Q$315)/86400)</x:f>
        <x:v>0</x:v>
      </x:c>
      <x:c r="F511" t="str">
        <x:f>IF(E511=0,"Did not attend",IF(E511&gt;='Read Me'!$E$2/86400,"Fully attended","Partially attended"))</x:f>
        <x:v>Did not attend</x:v>
      </x:c>
      <x:c r="G511" t="n">
        <x:f>IF($D511="",0,SUMIF('Attendance Report - Option 2'!$P$11:$P$412,$D511,'Attendance Report - Option 2'!$Q$11:$Q$412)/86400)</x:f>
        <x:v>0.022824074074074073</x:v>
      </x:c>
      <x:c r="H511" t="str">
        <x:f>IF(G511=0,"Did not attend",IF(G511&gt;='Read Me'!$E$2/86400,"Fully attended","Partially attended"))</x:f>
        <x:v>Partially attended</x:v>
      </x:c>
      <x:c r="I511" t="n">
        <x:f>E511+G511</x:f>
        <x:v>0.022824074074074073</x:v>
      </x:c>
      <x:c r="J511" t="str">
        <x:f>IF(I511=0,"Did not attend",IF(I511&gt;='Read Me'!$E$2/86400,"Fully attended","Partially attended"))</x:f>
        <x:v>Partially attended</x:v>
      </x:c>
      <x:c r="K511" t="str">
        <x:f>IF($D511="","No",IF(COUNTIF('Attendance Report - Option 1'!$P$11:$P$315,$D511)&gt;0,"Yes","No"))</x:f>
        <x:v>No</x:v>
      </x:c>
      <x:c r="L511" t="str">
        <x:f>IF($D511="","No",IF(COUNTIF('Attendance Report - Option 2'!$P$11:$P$412,$D511)&gt;0,"Yes","No"))</x:f>
        <x:v>Yes</x:v>
      </x:c>
    </x:row>
    <x:row r="512">
      <x:c r="A512" t="str">
        <x:f>'EMA Assurance Employee List'!A513</x:f>
        <x:v>Fabrice Irabizi</x:v>
      </x:c>
      <x:c r="B512" t="str">
        <x:f>IF(C512="KE","Kenya",IF(C512="UG","Uganda",IF(C512="MU","Mauritius",IF(C512="TZ","Tanzania",IF(C512="RW","Rwanda",IF(C512="ZA","South Africa",IF(C512="ZM","Zambia","")))))))</x:f>
        <x:v>Rwanda</x:v>
      </x:c>
      <x:c r="C512" t="str">
        <x:f>'EMA Assurance Employee List'!B513</x:f>
        <x:v>RW</x:v>
      </x:c>
      <x:c r="D512" t="str">
        <x:f>'EMA Assurance Employee List'!D513</x:f>
        <x:v>fabrice.irabizi@pwc.com</x:v>
      </x:c>
      <x:c r="E512" t="n">
        <x:f>IF($D512="",0,SUMIF('Attendance Report - Option 1'!$P$11:$P$315,$D512,'Attendance Report - Option 1'!$Q$11:$Q$315)/86400)</x:f>
        <x:v>0.08636574074074074</x:v>
      </x:c>
      <x:c r="F512" t="str">
        <x:f>IF(E512=0,"Did not attend",IF(E512&gt;='Read Me'!$E$2/86400,"Fully attended","Partially attended"))</x:f>
        <x:v>Fully attended</x:v>
      </x:c>
      <x:c r="G512" t="n">
        <x:f>IF($D512="",0,SUMIF('Attendance Report - Option 2'!$P$11:$P$412,$D512,'Attendance Report - Option 2'!$Q$11:$Q$412)/86400)</x:f>
        <x:v>0</x:v>
      </x:c>
      <x:c r="H512" t="str">
        <x:f>IF(G512=0,"Did not attend",IF(G512&gt;='Read Me'!$E$2/86400,"Fully attended","Partially attended"))</x:f>
        <x:v>Did not attend</x:v>
      </x:c>
      <x:c r="I512" t="n">
        <x:f>E512+G512</x:f>
        <x:v>0.08636574074074074</x:v>
      </x:c>
      <x:c r="J512" t="str">
        <x:f>IF(I512=0,"Did not attend",IF(I512&gt;='Read Me'!$E$2/86400,"Fully attended","Partially attended"))</x:f>
        <x:v>Fully attended</x:v>
      </x:c>
      <x:c r="K512" t="str">
        <x:f>IF($D512="","No",IF(COUNTIF('Attendance Report - Option 1'!$P$11:$P$315,$D512)&gt;0,"Yes","No"))</x:f>
        <x:v>Yes</x:v>
      </x:c>
      <x:c r="L512" t="str">
        <x:f>IF($D512="","No",IF(COUNTIF('Attendance Report - Option 2'!$P$11:$P$412,$D512)&gt;0,"Yes","No"))</x:f>
        <x:v>No</x:v>
      </x:c>
    </x:row>
    <x:row r="513">
      <x:c r="A513" t="str">
        <x:f>'EMA Assurance Employee List'!A514</x:f>
        <x:v>Faheem Ammeer</x:v>
      </x:c>
      <x:c r="B513" t="str">
        <x:f>IF(C513="KE","Kenya",IF(C513="UG","Uganda",IF(C513="MU","Mauritius",IF(C513="TZ","Tanzania",IF(C513="RW","Rwanda",IF(C513="ZA","South Africa",IF(C513="ZM","Zambia","")))))))</x:f>
        <x:v>Mauritius</x:v>
      </x:c>
      <x:c r="C513" t="str">
        <x:f>'EMA Assurance Employee List'!B514</x:f>
        <x:v>MU</x:v>
      </x:c>
      <x:c r="D513" t="str">
        <x:f>'EMA Assurance Employee List'!D514</x:f>
        <x:v>faheem.ammeer@pwc.com</x:v>
      </x:c>
      <x:c r="E513" t="n">
        <x:f>IF($D513="",0,SUMIF('Attendance Report - Option 1'!$P$11:$P$315,$D513,'Attendance Report - Option 1'!$Q$11:$Q$315)/86400)</x:f>
        <x:v>0.0296875</x:v>
      </x:c>
      <x:c r="F513" t="str">
        <x:f>IF(E513=0,"Did not attend",IF(E513&gt;='Read Me'!$E$2/86400,"Fully attended","Partially attended"))</x:f>
        <x:v>Partially attended</x:v>
      </x:c>
      <x:c r="G513" t="n">
        <x:f>IF($D513="",0,SUMIF('Attendance Report - Option 2'!$P$11:$P$412,$D513,'Attendance Report - Option 2'!$Q$11:$Q$412)/86400)</x:f>
        <x:v>0.0884837962962963</x:v>
      </x:c>
      <x:c r="H513" t="str">
        <x:f>IF(G513=0,"Did not attend",IF(G513&gt;='Read Me'!$E$2/86400,"Fully attended","Partially attended"))</x:f>
        <x:v>Fully attended</x:v>
      </x:c>
      <x:c r="I513" t="n">
        <x:f>E513+G513</x:f>
        <x:v>0.1181712962962963</x:v>
      </x:c>
      <x:c r="J513" t="str">
        <x:f>IF(I513=0,"Did not attend",IF(I513&gt;='Read Me'!$E$2/86400,"Fully attended","Partially attended"))</x:f>
        <x:v>Fully attended</x:v>
      </x:c>
      <x:c r="K513" t="str">
        <x:f>IF($D513="","No",IF(COUNTIF('Attendance Report - Option 1'!$P$11:$P$315,$D513)&gt;0,"Yes","No"))</x:f>
        <x:v>Yes</x:v>
      </x:c>
      <x:c r="L513" t="str">
        <x:f>IF($D513="","No",IF(COUNTIF('Attendance Report - Option 2'!$P$11:$P$412,$D513)&gt;0,"Yes","No"))</x:f>
        <x:v>Yes</x:v>
      </x:c>
    </x:row>
    <x:row r="514">
      <x:c r="A514" t="str">
        <x:f>'EMA Assurance Employee List'!A515</x:f>
        <x:v>Faheem Auliar</x:v>
      </x:c>
      <x:c r="B514" t="str">
        <x:f>IF(C514="KE","Kenya",IF(C514="UG","Uganda",IF(C514="MU","Mauritius",IF(C514="TZ","Tanzania",IF(C514="RW","Rwanda",IF(C514="ZA","South Africa",IF(C514="ZM","Zambia","")))))))</x:f>
        <x:v>Mauritius</x:v>
      </x:c>
      <x:c r="C514" t="str">
        <x:f>'EMA Assurance Employee List'!B515</x:f>
        <x:v>MU</x:v>
      </x:c>
      <x:c r="D514" t="str">
        <x:f>'EMA Assurance Employee List'!D515</x:f>
        <x:v>faheem.auliar@pwc.com</x:v>
      </x:c>
      <x:c r="E514" t="n">
        <x:f>IF($D514="",0,SUMIF('Attendance Report - Option 1'!$P$11:$P$315,$D514,'Attendance Report - Option 1'!$Q$11:$Q$315)/86400)</x:f>
        <x:v>0</x:v>
      </x:c>
      <x:c r="F514" t="str">
        <x:f>IF(E514=0,"Did not attend",IF(E514&gt;='Read Me'!$E$2/86400,"Fully attended","Partially attended"))</x:f>
        <x:v>Did not attend</x:v>
      </x:c>
      <x:c r="G514" t="n">
        <x:f>IF($D514="",0,SUMIF('Attendance Report - Option 2'!$P$11:$P$412,$D514,'Attendance Report - Option 2'!$Q$11:$Q$412)/86400)</x:f>
        <x:v>0.0810300925925926</x:v>
      </x:c>
      <x:c r="H514" t="str">
        <x:f>IF(G514=0,"Did not attend",IF(G514&gt;='Read Me'!$E$2/86400,"Fully attended","Partially attended"))</x:f>
        <x:v>Fully attended</x:v>
      </x:c>
      <x:c r="I514" t="n">
        <x:f>E514+G514</x:f>
        <x:v>0.0810300925925926</x:v>
      </x:c>
      <x:c r="J514" t="str">
        <x:f>IF(I514=0,"Did not attend",IF(I514&gt;='Read Me'!$E$2/86400,"Fully attended","Partially attended"))</x:f>
        <x:v>Fully attended</x:v>
      </x:c>
      <x:c r="K514" t="str">
        <x:f>IF($D514="","No",IF(COUNTIF('Attendance Report - Option 1'!$P$11:$P$315,$D514)&gt;0,"Yes","No"))</x:f>
        <x:v>No</x:v>
      </x:c>
      <x:c r="L514" t="str">
        <x:f>IF($D514="","No",IF(COUNTIF('Attendance Report - Option 2'!$P$11:$P$412,$D514)&gt;0,"Yes","No"))</x:f>
        <x:v>Yes</x:v>
      </x:c>
    </x:row>
    <x:row r="515">
      <x:c r="A515" t="str">
        <x:f>'EMA Assurance Employee List'!A516</x:f>
        <x:v>Faith Edeni</x:v>
      </x:c>
      <x:c r="B515" t="str">
        <x:f>IF(C515="KE","Kenya",IF(C515="UG","Uganda",IF(C515="MU","Mauritius",IF(C515="TZ","Tanzania",IF(C515="RW","Rwanda",IF(C515="ZA","South Africa",IF(C515="ZM","Zambia","")))))))</x:f>
        <x:v>Uganda</x:v>
      </x:c>
      <x:c r="C515" t="str">
        <x:f>'EMA Assurance Employee List'!B516</x:f>
        <x:v>UG</x:v>
      </x:c>
      <x:c r="D515" t="str">
        <x:f>'EMA Assurance Employee List'!D516</x:f>
        <x:v>faith.edeni@pwc.com</x:v>
      </x:c>
      <x:c r="E515" t="n">
        <x:f>IF($D515="",0,SUMIF('Attendance Report - Option 1'!$P$11:$P$315,$D515,'Attendance Report - Option 1'!$Q$11:$Q$315)/86400)</x:f>
        <x:v>0</x:v>
      </x:c>
      <x:c r="F515" t="str">
        <x:f>IF(E515=0,"Did not attend",IF(E515&gt;='Read Me'!$E$2/86400,"Fully attended","Partially attended"))</x:f>
        <x:v>Did not attend</x:v>
      </x:c>
      <x:c r="G515" t="n">
        <x:f>IF($D515="",0,SUMIF('Attendance Report - Option 2'!$P$11:$P$412,$D515,'Attendance Report - Option 2'!$Q$11:$Q$412)/86400)</x:f>
        <x:v>0.06008101851851852</x:v>
      </x:c>
      <x:c r="H515" t="str">
        <x:f>IF(G515=0,"Did not attend",IF(G515&gt;='Read Me'!$E$2/86400,"Fully attended","Partially attended"))</x:f>
        <x:v>Partially attended</x:v>
      </x:c>
      <x:c r="I515" t="n">
        <x:f>E515+G515</x:f>
        <x:v>0.06008101851851852</x:v>
      </x:c>
      <x:c r="J515" t="str">
        <x:f>IF(I515=0,"Did not attend",IF(I515&gt;='Read Me'!$E$2/86400,"Fully attended","Partially attended"))</x:f>
        <x:v>Partially attended</x:v>
      </x:c>
      <x:c r="K515" t="str">
        <x:f>IF($D515="","No",IF(COUNTIF('Attendance Report - Option 1'!$P$11:$P$315,$D515)&gt;0,"Yes","No"))</x:f>
        <x:v>No</x:v>
      </x:c>
      <x:c r="L515" t="str">
        <x:f>IF($D515="","No",IF(COUNTIF('Attendance Report - Option 2'!$P$11:$P$412,$D515)&gt;0,"Yes","No"))</x:f>
        <x:v>Yes</x:v>
      </x:c>
    </x:row>
    <x:row r="516">
      <x:c r="A516" t="str">
        <x:f>'EMA Assurance Employee List'!A517</x:f>
        <x:v>Faith Kessy</x:v>
      </x:c>
      <x:c r="B516" t="str">
        <x:f>IF(C516="KE","Kenya",IF(C516="UG","Uganda",IF(C516="MU","Mauritius",IF(C516="TZ","Tanzania",IF(C516="RW","Rwanda",IF(C516="ZA","South Africa",IF(C516="ZM","Zambia","")))))))</x:f>
        <x:v>Tanzania</x:v>
      </x:c>
      <x:c r="C516" t="str">
        <x:f>'EMA Assurance Employee List'!B517</x:f>
        <x:v>TZ</x:v>
      </x:c>
      <x:c r="D516" t="str">
        <x:f>'EMA Assurance Employee List'!D517</x:f>
        <x:v>faith.kessy@pwc.com</x:v>
      </x:c>
      <x:c r="E516" t="n">
        <x:f>IF($D516="",0,SUMIF('Attendance Report - Option 1'!$P$11:$P$315,$D516,'Attendance Report - Option 1'!$Q$11:$Q$315)/86400)</x:f>
        <x:v>0.05042824074074074</x:v>
      </x:c>
      <x:c r="F516" t="str">
        <x:f>IF(E516=0,"Did not attend",IF(E516&gt;='Read Me'!$E$2/86400,"Fully attended","Partially attended"))</x:f>
        <x:v>Partially attended</x:v>
      </x:c>
      <x:c r="G516" t="n">
        <x:f>IF($D516="",0,SUMIF('Attendance Report - Option 2'!$P$11:$P$412,$D516,'Attendance Report - Option 2'!$Q$11:$Q$412)/86400)</x:f>
        <x:v>0.09101851851851851</x:v>
      </x:c>
      <x:c r="H516" t="str">
        <x:f>IF(G516=0,"Did not attend",IF(G516&gt;='Read Me'!$E$2/86400,"Fully attended","Partially attended"))</x:f>
        <x:v>Fully attended</x:v>
      </x:c>
      <x:c r="I516" t="n">
        <x:f>E516+G516</x:f>
        <x:v>0.14144675925925926</x:v>
      </x:c>
      <x:c r="J516" t="str">
        <x:f>IF(I516=0,"Did not attend",IF(I516&gt;='Read Me'!$E$2/86400,"Fully attended","Partially attended"))</x:f>
        <x:v>Fully attended</x:v>
      </x:c>
      <x:c r="K516" t="str">
        <x:f>IF($D516="","No",IF(COUNTIF('Attendance Report - Option 1'!$P$11:$P$315,$D516)&gt;0,"Yes","No"))</x:f>
        <x:v>Yes</x:v>
      </x:c>
      <x:c r="L516" t="str">
        <x:f>IF($D516="","No",IF(COUNTIF('Attendance Report - Option 2'!$P$11:$P$412,$D516)&gt;0,"Yes","No"))</x:f>
        <x:v>Yes</x:v>
      </x:c>
    </x:row>
    <x:row r="517">
      <x:c r="A517" t="str">
        <x:f>'EMA Assurance Employee List'!A518</x:f>
        <x:v>Farida Mohamed</x:v>
      </x:c>
      <x:c r="B517" t="str">
        <x:f>IF(C517="KE","Kenya",IF(C517="UG","Uganda",IF(C517="MU","Mauritius",IF(C517="TZ","Tanzania",IF(C517="RW","Rwanda",IF(C517="ZA","South Africa",IF(C517="ZM","Zambia","")))))))</x:f>
        <x:v>Tanzania</x:v>
      </x:c>
      <x:c r="C517" t="str">
        <x:f>'EMA Assurance Employee List'!B518</x:f>
        <x:v>TZ</x:v>
      </x:c>
      <x:c r="D517" t="str">
        <x:f>'EMA Assurance Employee List'!D518</x:f>
        <x:v>farida.mohamed@pwc.com</x:v>
      </x:c>
      <x:c r="E517" t="n">
        <x:f>IF($D517="",0,SUMIF('Attendance Report - Option 1'!$P$11:$P$315,$D517,'Attendance Report - Option 1'!$Q$11:$Q$315)/86400)</x:f>
        <x:v>0</x:v>
      </x:c>
      <x:c r="F517" t="str">
        <x:f>IF(E517=0,"Did not attend",IF(E517&gt;='Read Me'!$E$2/86400,"Fully attended","Partially attended"))</x:f>
        <x:v>Did not attend</x:v>
      </x:c>
      <x:c r="G517" t="n">
        <x:f>IF($D517="",0,SUMIF('Attendance Report - Option 2'!$P$11:$P$412,$D517,'Attendance Report - Option 2'!$Q$11:$Q$412)/86400)</x:f>
        <x:v>0.08444444444444445</x:v>
      </x:c>
      <x:c r="H517" t="str">
        <x:f>IF(G517=0,"Did not attend",IF(G517&gt;='Read Me'!$E$2/86400,"Fully attended","Partially attended"))</x:f>
        <x:v>Fully attended</x:v>
      </x:c>
      <x:c r="I517" t="n">
        <x:f>E517+G517</x:f>
        <x:v>0.08444444444444445</x:v>
      </x:c>
      <x:c r="J517" t="str">
        <x:f>IF(I517=0,"Did not attend",IF(I517&gt;='Read Me'!$E$2/86400,"Fully attended","Partially attended"))</x:f>
        <x:v>Fully attended</x:v>
      </x:c>
      <x:c r="K517" t="str">
        <x:f>IF($D517="","No",IF(COUNTIF('Attendance Report - Option 1'!$P$11:$P$315,$D517)&gt;0,"Yes","No"))</x:f>
        <x:v>No</x:v>
      </x:c>
      <x:c r="L517" t="str">
        <x:f>IF($D517="","No",IF(COUNTIF('Attendance Report - Option 2'!$P$11:$P$412,$D517)&gt;0,"Yes","No"))</x:f>
        <x:v>Yes</x:v>
      </x:c>
    </x:row>
    <x:row r="518">
      <x:c r="A518" t="str">
        <x:f>'EMA Assurance Employee List'!A519</x:f>
        <x:v>Fatimah Junggee</x:v>
      </x:c>
      <x:c r="B518" t="str">
        <x:f>IF(C518="KE","Kenya",IF(C518="UG","Uganda",IF(C518="MU","Mauritius",IF(C518="TZ","Tanzania",IF(C518="RW","Rwanda",IF(C518="ZA","South Africa",IF(C518="ZM","Zambia","")))))))</x:f>
        <x:v>Mauritius</x:v>
      </x:c>
      <x:c r="C518" t="str">
        <x:f>'EMA Assurance Employee List'!B519</x:f>
        <x:v>MU</x:v>
      </x:c>
      <x:c r="D518" t="str">
        <x:f>'EMA Assurance Employee List'!D519</x:f>
        <x:v>fatimah.j.junggee@pwc.com</x:v>
      </x:c>
      <x:c r="E518" t="n">
        <x:f>IF($D518="",0,SUMIF('Attendance Report - Option 1'!$P$11:$P$315,$D518,'Attendance Report - Option 1'!$Q$11:$Q$315)/86400)</x:f>
        <x:v>0</x:v>
      </x:c>
      <x:c r="F518" t="str">
        <x:f>IF(E518=0,"Did not attend",IF(E518&gt;='Read Me'!$E$2/86400,"Fully attended","Partially attended"))</x:f>
        <x:v>Did not attend</x:v>
      </x:c>
      <x:c r="G518" t="n">
        <x:f>IF($D518="",0,SUMIF('Attendance Report - Option 2'!$P$11:$P$412,$D518,'Attendance Report - Option 2'!$Q$11:$Q$412)/86400)</x:f>
        <x:v>0.053391203703703705</x:v>
      </x:c>
      <x:c r="H518" t="str">
        <x:f>IF(G518=0,"Did not attend",IF(G518&gt;='Read Me'!$E$2/86400,"Fully attended","Partially attended"))</x:f>
        <x:v>Partially attended</x:v>
      </x:c>
      <x:c r="I518" t="n">
        <x:f>E518+G518</x:f>
        <x:v>0.053391203703703705</x:v>
      </x:c>
      <x:c r="J518" t="str">
        <x:f>IF(I518=0,"Did not attend",IF(I518&gt;='Read Me'!$E$2/86400,"Fully attended","Partially attended"))</x:f>
        <x:v>Partially attended</x:v>
      </x:c>
      <x:c r="K518" t="str">
        <x:f>IF($D518="","No",IF(COUNTIF('Attendance Report - Option 1'!$P$11:$P$315,$D518)&gt;0,"Yes","No"))</x:f>
        <x:v>No</x:v>
      </x:c>
      <x:c r="L518" t="str">
        <x:f>IF($D518="","No",IF(COUNTIF('Attendance Report - Option 2'!$P$11:$P$412,$D518)&gt;0,"Yes","No"))</x:f>
        <x:v>Yes</x:v>
      </x:c>
    </x:row>
    <x:row r="519">
      <x:c r="A519" t="str">
        <x:f>'EMA Assurance Employee List'!A520</x:f>
        <x:v>Feliciano Fevrier</x:v>
      </x:c>
      <x:c r="B519" t="str">
        <x:f>IF(C519="KE","Kenya",IF(C519="UG","Uganda",IF(C519="MU","Mauritius",IF(C519="TZ","Tanzania",IF(C519="RW","Rwanda",IF(C519="ZA","South Africa",IF(C519="ZM","Zambia","")))))))</x:f>
        <x:v>Mauritius</x:v>
      </x:c>
      <x:c r="C519" t="str">
        <x:f>'EMA Assurance Employee List'!B520</x:f>
        <x:v>MU</x:v>
      </x:c>
      <x:c r="D519" t="str">
        <x:f>'EMA Assurance Employee List'!D520</x:f>
        <x:v>feliciano.fevrier@pwc.com</x:v>
      </x:c>
      <x:c r="E519" t="n">
        <x:f>IF($D519="",0,SUMIF('Attendance Report - Option 1'!$P$11:$P$315,$D519,'Attendance Report - Option 1'!$Q$11:$Q$315)/86400)</x:f>
        <x:v>0</x:v>
      </x:c>
      <x:c r="F519" t="str">
        <x:f>IF(E519=0,"Did not attend",IF(E519&gt;='Read Me'!$E$2/86400,"Fully attended","Partially attended"))</x:f>
        <x:v>Did not attend</x:v>
      </x:c>
      <x:c r="G519" t="n">
        <x:f>IF($D519="",0,SUMIF('Attendance Report - Option 2'!$P$11:$P$412,$D519,'Attendance Report - Option 2'!$Q$11:$Q$412)/86400)</x:f>
        <x:v>0.07138888888888889</x:v>
      </x:c>
      <x:c r="H519" t="str">
        <x:f>IF(G519=0,"Did not attend",IF(G519&gt;='Read Me'!$E$2/86400,"Fully attended","Partially attended"))</x:f>
        <x:v>Fully attended</x:v>
      </x:c>
      <x:c r="I519" t="n">
        <x:f>E519+G519</x:f>
        <x:v>0.07138888888888889</x:v>
      </x:c>
      <x:c r="J519" t="str">
        <x:f>IF(I519=0,"Did not attend",IF(I519&gt;='Read Me'!$E$2/86400,"Fully attended","Partially attended"))</x:f>
        <x:v>Fully attended</x:v>
      </x:c>
      <x:c r="K519" t="str">
        <x:f>IF($D519="","No",IF(COUNTIF('Attendance Report - Option 1'!$P$11:$P$315,$D519)&gt;0,"Yes","No"))</x:f>
        <x:v>No</x:v>
      </x:c>
      <x:c r="L519" t="str">
        <x:f>IF($D519="","No",IF(COUNTIF('Attendance Report - Option 2'!$P$11:$P$412,$D519)&gt;0,"Yes","No"))</x:f>
        <x:v>Yes</x:v>
      </x:c>
    </x:row>
    <x:row r="520">
      <x:c r="A520" t="str">
        <x:f>'EMA Assurance Employee List'!A521</x:f>
        <x:v>Felix Katongo</x:v>
      </x:c>
      <x:c r="B520" t="str">
        <x:f>IF(C520="KE","Kenya",IF(C520="UG","Uganda",IF(C520="MU","Mauritius",IF(C520="TZ","Tanzania",IF(C520="RW","Rwanda",IF(C520="ZA","South Africa",IF(C520="ZM","Zambia","")))))))</x:f>
        <x:v>Zambia</x:v>
      </x:c>
      <x:c r="C520" t="str">
        <x:f>'EMA Assurance Employee List'!B521</x:f>
        <x:v>ZM</x:v>
      </x:c>
      <x:c r="D520" t="str">
        <x:f>'EMA Assurance Employee List'!D521</x:f>
        <x:v>felix.katongo@pwc.com</x:v>
      </x:c>
      <x:c r="E520" t="n">
        <x:f>IF($D520="",0,SUMIF('Attendance Report - Option 1'!$P$11:$P$315,$D520,'Attendance Report - Option 1'!$Q$11:$Q$315)/86400)</x:f>
        <x:v>0</x:v>
      </x:c>
      <x:c r="F520" t="str">
        <x:f>IF(E520=0,"Did not attend",IF(E520&gt;='Read Me'!$E$2/86400,"Fully attended","Partially attended"))</x:f>
        <x:v>Did not attend</x:v>
      </x:c>
      <x:c r="G520" t="n">
        <x:f>IF($D520="",0,SUMIF('Attendance Report - Option 2'!$P$11:$P$412,$D520,'Attendance Report - Option 2'!$Q$11:$Q$412)/86400)</x:f>
        <x:v>0.02673611111111111</x:v>
      </x:c>
      <x:c r="H520" t="str">
        <x:f>IF(G520=0,"Did not attend",IF(G520&gt;='Read Me'!$E$2/86400,"Fully attended","Partially attended"))</x:f>
        <x:v>Partially attended</x:v>
      </x:c>
      <x:c r="I520" t="n">
        <x:f>E520+G520</x:f>
        <x:v>0.02673611111111111</x:v>
      </x:c>
      <x:c r="J520" t="str">
        <x:f>IF(I520=0,"Did not attend",IF(I520&gt;='Read Me'!$E$2/86400,"Fully attended","Partially attended"))</x:f>
        <x:v>Partially attended</x:v>
      </x:c>
      <x:c r="K520" t="str">
        <x:f>IF($D520="","No",IF(COUNTIF('Attendance Report - Option 1'!$P$11:$P$315,$D520)&gt;0,"Yes","No"))</x:f>
        <x:v>No</x:v>
      </x:c>
      <x:c r="L520" t="str">
        <x:f>IF($D520="","No",IF(COUNTIF('Attendance Report - Option 2'!$P$11:$P$412,$D520)&gt;0,"Yes","No"))</x:f>
        <x:v>Yes</x:v>
      </x:c>
    </x:row>
    <x:row r="521">
      <x:c r="A521" t="str">
        <x:f>'EMA Assurance Employee List'!A522</x:f>
        <x:v>Fikraddis Cheru</x:v>
      </x:c>
      <x:c r="B521" t="str">
        <x:f>IF(C521="KE","Kenya",IF(C521="UG","Uganda",IF(C521="MU","Mauritius",IF(C521="TZ","Tanzania",IF(C521="RW","Rwanda",IF(C521="ZA","South Africa",IF(C521="ZM","Zambia","")))))))</x:f>
        <x:v>Kenya</x:v>
      </x:c>
      <x:c r="C521" t="str">
        <x:f>'EMA Assurance Employee List'!B522</x:f>
        <x:v>KE</x:v>
      </x:c>
      <x:c r="D521" t="str">
        <x:f>'EMA Assurance Employee List'!D522</x:f>
        <x:v>fikraddis.cheru@pwc.com</x:v>
      </x:c>
      <x:c r="E521" t="n">
        <x:f>IF($D521="",0,SUMIF('Attendance Report - Option 1'!$P$11:$P$315,$D521,'Attendance Report - Option 1'!$Q$11:$Q$315)/86400)</x:f>
        <x:v>0.03259259259259259</x:v>
      </x:c>
      <x:c r="F521" t="str">
        <x:f>IF(E521=0,"Did not attend",IF(E521&gt;='Read Me'!$E$2/86400,"Fully attended","Partially attended"))</x:f>
        <x:v>Partially attended</x:v>
      </x:c>
      <x:c r="G521" t="n">
        <x:f>IF($D521="",0,SUMIF('Attendance Report - Option 2'!$P$11:$P$412,$D521,'Attendance Report - Option 2'!$Q$11:$Q$412)/86400)</x:f>
        <x:v>0</x:v>
      </x:c>
      <x:c r="H521" t="str">
        <x:f>IF(G521=0,"Did not attend",IF(G521&gt;='Read Me'!$E$2/86400,"Fully attended","Partially attended"))</x:f>
        <x:v>Did not attend</x:v>
      </x:c>
      <x:c r="I521" t="n">
        <x:f>E521+G521</x:f>
        <x:v>0.03259259259259259</x:v>
      </x:c>
      <x:c r="J521" t="str">
        <x:f>IF(I521=0,"Did not attend",IF(I521&gt;='Read Me'!$E$2/86400,"Fully attended","Partially attended"))</x:f>
        <x:v>Partially attended</x:v>
      </x:c>
      <x:c r="K521" t="str">
        <x:f>IF($D521="","No",IF(COUNTIF('Attendance Report - Option 1'!$P$11:$P$315,$D521)&gt;0,"Yes","No"))</x:f>
        <x:v>Yes</x:v>
      </x:c>
      <x:c r="L521" t="str">
        <x:f>IF($D521="","No",IF(COUNTIF('Attendance Report - Option 2'!$P$11:$P$412,$D521)&gt;0,"Yes","No"))</x:f>
        <x:v>No</x:v>
      </x:c>
    </x:row>
    <x:row r="522">
      <x:c r="A522" t="str">
        <x:f>'EMA Assurance Employee List'!A523</x:f>
        <x:v>Flavian Atieno</x:v>
      </x:c>
      <x:c r="B522" t="str">
        <x:f>IF(C522="KE","Kenya",IF(C522="UG","Uganda",IF(C522="MU","Mauritius",IF(C522="TZ","Tanzania",IF(C522="RW","Rwanda",IF(C522="ZA","South Africa",IF(C522="ZM","Zambia","")))))))</x:f>
        <x:v>Kenya</x:v>
      </x:c>
      <x:c r="C522" t="str">
        <x:f>'EMA Assurance Employee List'!B523</x:f>
        <x:v>KE</x:v>
      </x:c>
      <x:c r="D522" t="str">
        <x:f>'EMA Assurance Employee List'!D523</x:f>
        <x:v>flavian.atieno@pwc.com</x:v>
      </x:c>
      <x:c r="E522" t="n">
        <x:f>IF($D522="",0,SUMIF('Attendance Report - Option 1'!$P$11:$P$315,$D522,'Attendance Report - Option 1'!$Q$11:$Q$315)/86400)</x:f>
        <x:v>0</x:v>
      </x:c>
      <x:c r="F522" t="str">
        <x:f>IF(E522=0,"Did not attend",IF(E522&gt;='Read Me'!$E$2/86400,"Fully attended","Partially attended"))</x:f>
        <x:v>Did not attend</x:v>
      </x:c>
      <x:c r="G522" t="n">
        <x:f>IF($D522="",0,SUMIF('Attendance Report - Option 2'!$P$11:$P$412,$D522,'Attendance Report - Option 2'!$Q$11:$Q$412)/86400)</x:f>
        <x:v>0.08362268518518519</x:v>
      </x:c>
      <x:c r="H522" t="str">
        <x:f>IF(G522=0,"Did not attend",IF(G522&gt;='Read Me'!$E$2/86400,"Fully attended","Partially attended"))</x:f>
        <x:v>Fully attended</x:v>
      </x:c>
      <x:c r="I522" t="n">
        <x:f>E522+G522</x:f>
        <x:v>0.08362268518518519</x:v>
      </x:c>
      <x:c r="J522" t="str">
        <x:f>IF(I522=0,"Did not attend",IF(I522&gt;='Read Me'!$E$2/86400,"Fully attended","Partially attended"))</x:f>
        <x:v>Fully attended</x:v>
      </x:c>
      <x:c r="K522" t="str">
        <x:f>IF($D522="","No",IF(COUNTIF('Attendance Report - Option 1'!$P$11:$P$315,$D522)&gt;0,"Yes","No"))</x:f>
        <x:v>No</x:v>
      </x:c>
      <x:c r="L522" t="str">
        <x:f>IF($D522="","No",IF(COUNTIF('Attendance Report - Option 2'!$P$11:$P$412,$D522)&gt;0,"Yes","No"))</x:f>
        <x:v>Yes</x:v>
      </x:c>
    </x:row>
    <x:row r="523">
      <x:c r="A523" t="str">
        <x:f>'EMA Assurance Employee List'!A524</x:f>
        <x:v>Francisco Mulwana</x:v>
      </x:c>
      <x:c r="B523" t="str">
        <x:f>IF(C523="KE","Kenya",IF(C523="UG","Uganda",IF(C523="MU","Mauritius",IF(C523="TZ","Tanzania",IF(C523="RW","Rwanda",IF(C523="ZA","South Africa",IF(C523="ZM","Zambia","")))))))</x:f>
        <x:v>Uganda</x:v>
      </x:c>
      <x:c r="C523" t="str">
        <x:f>'EMA Assurance Employee List'!B524</x:f>
        <x:v>UG</x:v>
      </x:c>
      <x:c r="D523" t="str">
        <x:f>'EMA Assurance Employee List'!D524</x:f>
        <x:v>francisco.mulwana@pwc.com</x:v>
      </x:c>
      <x:c r="E523" t="n">
        <x:f>IF($D523="",0,SUMIF('Attendance Report - Option 1'!$P$11:$P$315,$D523,'Attendance Report - Option 1'!$Q$11:$Q$315)/86400)</x:f>
        <x:v>0</x:v>
      </x:c>
      <x:c r="F523" t="str">
        <x:f>IF(E523=0,"Did not attend",IF(E523&gt;='Read Me'!$E$2/86400,"Fully attended","Partially attended"))</x:f>
        <x:v>Did not attend</x:v>
      </x:c>
      <x:c r="G523" t="n">
        <x:f>IF($D523="",0,SUMIF('Attendance Report - Option 2'!$P$11:$P$412,$D523,'Attendance Report - Option 2'!$Q$11:$Q$412)/86400)</x:f>
        <x:v>0.08527777777777777</x:v>
      </x:c>
      <x:c r="H523" t="str">
        <x:f>IF(G523=0,"Did not attend",IF(G523&gt;='Read Me'!$E$2/86400,"Fully attended","Partially attended"))</x:f>
        <x:v>Fully attended</x:v>
      </x:c>
      <x:c r="I523" t="n">
        <x:f>E523+G523</x:f>
        <x:v>0.08527777777777777</x:v>
      </x:c>
      <x:c r="J523" t="str">
        <x:f>IF(I523=0,"Did not attend",IF(I523&gt;='Read Me'!$E$2/86400,"Fully attended","Partially attended"))</x:f>
        <x:v>Fully attended</x:v>
      </x:c>
      <x:c r="K523" t="str">
        <x:f>IF($D523="","No",IF(COUNTIF('Attendance Report - Option 1'!$P$11:$P$315,$D523)&gt;0,"Yes","No"))</x:f>
        <x:v>No</x:v>
      </x:c>
      <x:c r="L523" t="str">
        <x:f>IF($D523="","No",IF(COUNTIF('Attendance Report - Option 2'!$P$11:$P$412,$D523)&gt;0,"Yes","No"))</x:f>
        <x:v>Yes</x:v>
      </x:c>
    </x:row>
    <x:row r="524">
      <x:c r="A524" t="str">
        <x:f>'EMA Assurance Employee List'!A525</x:f>
        <x:v>Gavin Thirakaluthy</x:v>
      </x:c>
      <x:c r="B524" t="str">
        <x:f>IF(C524="KE","Kenya",IF(C524="UG","Uganda",IF(C524="MU","Mauritius",IF(C524="TZ","Tanzania",IF(C524="RW","Rwanda",IF(C524="ZA","South Africa",IF(C524="ZM","Zambia","")))))))</x:f>
        <x:v>Mauritius</x:v>
      </x:c>
      <x:c r="C524" t="str">
        <x:f>'EMA Assurance Employee List'!B525</x:f>
        <x:v>MU</x:v>
      </x:c>
      <x:c r="D524" t="str">
        <x:f>'EMA Assurance Employee List'!D525</x:f>
        <x:v>gavin.x.thirakaluthy@pwc.com</x:v>
      </x:c>
      <x:c r="E524" t="n">
        <x:f>IF($D524="",0,SUMIF('Attendance Report - Option 1'!$P$11:$P$315,$D524,'Attendance Report - Option 1'!$Q$11:$Q$315)/86400)</x:f>
        <x:v>0</x:v>
      </x:c>
      <x:c r="F524" t="str">
        <x:f>IF(E524=0,"Did not attend",IF(E524&gt;='Read Me'!$E$2/86400,"Fully attended","Partially attended"))</x:f>
        <x:v>Did not attend</x:v>
      </x:c>
      <x:c r="G524" t="n">
        <x:f>IF($D524="",0,SUMIF('Attendance Report - Option 2'!$P$11:$P$412,$D524,'Attendance Report - Option 2'!$Q$11:$Q$412)/86400)</x:f>
        <x:v>0.08798611111111111</x:v>
      </x:c>
      <x:c r="H524" t="str">
        <x:f>IF(G524=0,"Did not attend",IF(G524&gt;='Read Me'!$E$2/86400,"Fully attended","Partially attended"))</x:f>
        <x:v>Fully attended</x:v>
      </x:c>
      <x:c r="I524" t="n">
        <x:f>E524+G524</x:f>
        <x:v>0.08798611111111111</x:v>
      </x:c>
      <x:c r="J524" t="str">
        <x:f>IF(I524=0,"Did not attend",IF(I524&gt;='Read Me'!$E$2/86400,"Fully attended","Partially attended"))</x:f>
        <x:v>Fully attended</x:v>
      </x:c>
      <x:c r="K524" t="str">
        <x:f>IF($D524="","No",IF(COUNTIF('Attendance Report - Option 1'!$P$11:$P$315,$D524)&gt;0,"Yes","No"))</x:f>
        <x:v>No</x:v>
      </x:c>
      <x:c r="L524" t="str">
        <x:f>IF($D524="","No",IF(COUNTIF('Attendance Report - Option 2'!$P$11:$P$412,$D524)&gt;0,"Yes","No"))</x:f>
        <x:v>Yes</x:v>
      </x:c>
    </x:row>
    <x:row r="525">
      <x:c r="A525" t="str">
        <x:f>'EMA Assurance Employee List'!A526</x:f>
        <x:v>Geofrey Bukyana</x:v>
      </x:c>
      <x:c r="B525" t="str">
        <x:f>IF(C525="KE","Kenya",IF(C525="UG","Uganda",IF(C525="MU","Mauritius",IF(C525="TZ","Tanzania",IF(C525="RW","Rwanda",IF(C525="ZA","South Africa",IF(C525="ZM","Zambia","")))))))</x:f>
        <x:v>Uganda</x:v>
      </x:c>
      <x:c r="C525" t="str">
        <x:f>'EMA Assurance Employee List'!B526</x:f>
        <x:v>UG</x:v>
      </x:c>
      <x:c r="D525" t="str">
        <x:f>'EMA Assurance Employee List'!D526</x:f>
        <x:v>geofrey.bukyana@pwc.com</x:v>
      </x:c>
      <x:c r="E525" t="n">
        <x:f>IF($D525="",0,SUMIF('Attendance Report - Option 1'!$P$11:$P$315,$D525,'Attendance Report - Option 1'!$Q$11:$Q$315)/86400)</x:f>
        <x:v>0</x:v>
      </x:c>
      <x:c r="F525" t="str">
        <x:f>IF(E525=0,"Did not attend",IF(E525&gt;='Read Me'!$E$2/86400,"Fully attended","Partially attended"))</x:f>
        <x:v>Did not attend</x:v>
      </x:c>
      <x:c r="G525" t="n">
        <x:f>IF($D525="",0,SUMIF('Attendance Report - Option 2'!$P$11:$P$412,$D525,'Attendance Report - Option 2'!$Q$11:$Q$412)/86400)</x:f>
        <x:v>0.07030092592592592</x:v>
      </x:c>
      <x:c r="H525" t="str">
        <x:f>IF(G525=0,"Did not attend",IF(G525&gt;='Read Me'!$E$2/86400,"Fully attended","Partially attended"))</x:f>
        <x:v>Fully attended</x:v>
      </x:c>
      <x:c r="I525" t="n">
        <x:f>E525+G525</x:f>
        <x:v>0.07030092592592592</x:v>
      </x:c>
      <x:c r="J525" t="str">
        <x:f>IF(I525=0,"Did not attend",IF(I525&gt;='Read Me'!$E$2/86400,"Fully attended","Partially attended"))</x:f>
        <x:v>Fully attended</x:v>
      </x:c>
      <x:c r="K525" t="str">
        <x:f>IF($D525="","No",IF(COUNTIF('Attendance Report - Option 1'!$P$11:$P$315,$D525)&gt;0,"Yes","No"))</x:f>
        <x:v>No</x:v>
      </x:c>
      <x:c r="L525" t="str">
        <x:f>IF($D525="","No",IF(COUNTIF('Attendance Report - Option 2'!$P$11:$P$412,$D525)&gt;0,"Yes","No"))</x:f>
        <x:v>Yes</x:v>
      </x:c>
    </x:row>
    <x:row r="526">
      <x:c r="A526" t="str">
        <x:f>'EMA Assurance Employee List'!A527</x:f>
        <x:v>Georginah Ayebare</x:v>
      </x:c>
      <x:c r="B526" t="str">
        <x:f>IF(C526="KE","Kenya",IF(C526="UG","Uganda",IF(C526="MU","Mauritius",IF(C526="TZ","Tanzania",IF(C526="RW","Rwanda",IF(C526="ZA","South Africa",IF(C526="ZM","Zambia","")))))))</x:f>
        <x:v>Tanzania</x:v>
      </x:c>
      <x:c r="C526" t="str">
        <x:f>'EMA Assurance Employee List'!B527</x:f>
        <x:v>TZ</x:v>
      </x:c>
      <x:c r="D526" t="str">
        <x:f>'EMA Assurance Employee List'!D527</x:f>
        <x:v>georginah.ayebare@pwc.com</x:v>
      </x:c>
      <x:c r="E526" t="n">
        <x:f>IF($D526="",0,SUMIF('Attendance Report - Option 1'!$P$11:$P$315,$D526,'Attendance Report - Option 1'!$Q$11:$Q$315)/86400)</x:f>
        <x:v>0.051284722222222225</x:v>
      </x:c>
      <x:c r="F526" t="str">
        <x:f>IF(E526=0,"Did not attend",IF(E526&gt;='Read Me'!$E$2/86400,"Fully attended","Partially attended"))</x:f>
        <x:v>Partially attended</x:v>
      </x:c>
      <x:c r="G526" t="n">
        <x:f>IF($D526="",0,SUMIF('Attendance Report - Option 2'!$P$11:$P$412,$D526,'Attendance Report - Option 2'!$Q$11:$Q$412)/86400)</x:f>
        <x:v>0.0780787037037037</x:v>
      </x:c>
      <x:c r="H526" t="str">
        <x:f>IF(G526=0,"Did not attend",IF(G526&gt;='Read Me'!$E$2/86400,"Fully attended","Partially attended"))</x:f>
        <x:v>Fully attended</x:v>
      </x:c>
      <x:c r="I526" t="n">
        <x:f>E526+G526</x:f>
        <x:v>0.12936342592592592</x:v>
      </x:c>
      <x:c r="J526" t="str">
        <x:f>IF(I526=0,"Did not attend",IF(I526&gt;='Read Me'!$E$2/86400,"Fully attended","Partially attended"))</x:f>
        <x:v>Fully attended</x:v>
      </x:c>
      <x:c r="K526" t="str">
        <x:f>IF($D526="","No",IF(COUNTIF('Attendance Report - Option 1'!$P$11:$P$315,$D526)&gt;0,"Yes","No"))</x:f>
        <x:v>Yes</x:v>
      </x:c>
      <x:c r="L526" t="str">
        <x:f>IF($D526="","No",IF(COUNTIF('Attendance Report - Option 2'!$P$11:$P$412,$D526)&gt;0,"Yes","No"))</x:f>
        <x:v>Yes</x:v>
      </x:c>
    </x:row>
    <x:row r="527">
      <x:c r="A527" t="str">
        <x:f>'EMA Assurance Employee List'!A528</x:f>
        <x:v>Gladness Ngowi</x:v>
      </x:c>
      <x:c r="B527" t="str">
        <x:f>IF(C527="KE","Kenya",IF(C527="UG","Uganda",IF(C527="MU","Mauritius",IF(C527="TZ","Tanzania",IF(C527="RW","Rwanda",IF(C527="ZA","South Africa",IF(C527="ZM","Zambia","")))))))</x:f>
        <x:v>Tanzania</x:v>
      </x:c>
      <x:c r="C527" t="str">
        <x:f>'EMA Assurance Employee List'!B528</x:f>
        <x:v>TZ</x:v>
      </x:c>
      <x:c r="D527" t="str">
        <x:f>'EMA Assurance Employee List'!D528</x:f>
        <x:v>gladness.ngowi@pwc.com</x:v>
      </x:c>
      <x:c r="E527" t="n">
        <x:f>IF($D527="",0,SUMIF('Attendance Report - Option 1'!$P$11:$P$315,$D527,'Attendance Report - Option 1'!$Q$11:$Q$315)/86400)</x:f>
        <x:v>0</x:v>
      </x:c>
      <x:c r="F527" t="str">
        <x:f>IF(E527=0,"Did not attend",IF(E527&gt;='Read Me'!$E$2/86400,"Fully attended","Partially attended"))</x:f>
        <x:v>Did not attend</x:v>
      </x:c>
      <x:c r="G527" t="n">
        <x:f>IF($D527="",0,SUMIF('Attendance Report - Option 2'!$P$11:$P$412,$D527,'Attendance Report - Option 2'!$Q$11:$Q$412)/86400)</x:f>
        <x:v>0.0884375</x:v>
      </x:c>
      <x:c r="H527" t="str">
        <x:f>IF(G527=0,"Did not attend",IF(G527&gt;='Read Me'!$E$2/86400,"Fully attended","Partially attended"))</x:f>
        <x:v>Fully attended</x:v>
      </x:c>
      <x:c r="I527" t="n">
        <x:f>E527+G527</x:f>
        <x:v>0.0884375</x:v>
      </x:c>
      <x:c r="J527" t="str">
        <x:f>IF(I527=0,"Did not attend",IF(I527&gt;='Read Me'!$E$2/86400,"Fully attended","Partially attended"))</x:f>
        <x:v>Fully attended</x:v>
      </x:c>
      <x:c r="K527" t="str">
        <x:f>IF($D527="","No",IF(COUNTIF('Attendance Report - Option 1'!$P$11:$P$315,$D527)&gt;0,"Yes","No"))</x:f>
        <x:v>No</x:v>
      </x:c>
      <x:c r="L527" t="str">
        <x:f>IF($D527="","No",IF(COUNTIF('Attendance Report - Option 2'!$P$11:$P$412,$D527)&gt;0,"Yes","No"))</x:f>
        <x:v>Yes</x:v>
      </x:c>
    </x:row>
    <x:row r="528">
      <x:c r="A528" t="str">
        <x:f>'EMA Assurance Employee List'!A529</x:f>
        <x:v>Gloria Aheebwa</x:v>
      </x:c>
      <x:c r="B528" t="str">
        <x:f>IF(C528="KE","Kenya",IF(C528="UG","Uganda",IF(C528="MU","Mauritius",IF(C528="TZ","Tanzania",IF(C528="RW","Rwanda",IF(C528="ZA","South Africa",IF(C528="ZM","Zambia","")))))))</x:f>
        <x:v>Uganda</x:v>
      </x:c>
      <x:c r="C528" t="str">
        <x:f>'EMA Assurance Employee List'!B529</x:f>
        <x:v>UG</x:v>
      </x:c>
      <x:c r="D528" t="str">
        <x:f>'EMA Assurance Employee List'!D529</x:f>
        <x:v>gloria.aheebwa@pwc.com</x:v>
      </x:c>
      <x:c r="E528" t="n">
        <x:f>IF($D528="",0,SUMIF('Attendance Report - Option 1'!$P$11:$P$315,$D528,'Attendance Report - Option 1'!$Q$11:$Q$315)/86400)</x:f>
        <x:v>0.06809027777777778</x:v>
      </x:c>
      <x:c r="F528" t="str">
        <x:f>IF(E528=0,"Did not attend",IF(E528&gt;='Read Me'!$E$2/86400,"Fully attended","Partially attended"))</x:f>
        <x:v>Fully attended</x:v>
      </x:c>
      <x:c r="G528" t="n">
        <x:f>IF($D528="",0,SUMIF('Attendance Report - Option 2'!$P$11:$P$412,$D528,'Attendance Report - Option 2'!$Q$11:$Q$412)/86400)</x:f>
        <x:v>0</x:v>
      </x:c>
      <x:c r="H528" t="str">
        <x:f>IF(G528=0,"Did not attend",IF(G528&gt;='Read Me'!$E$2/86400,"Fully attended","Partially attended"))</x:f>
        <x:v>Did not attend</x:v>
      </x:c>
      <x:c r="I528" t="n">
        <x:f>E528+G528</x:f>
        <x:v>0.06809027777777778</x:v>
      </x:c>
      <x:c r="J528" t="str">
        <x:f>IF(I528=0,"Did not attend",IF(I528&gt;='Read Me'!$E$2/86400,"Fully attended","Partially attended"))</x:f>
        <x:v>Fully attended</x:v>
      </x:c>
      <x:c r="K528" t="str">
        <x:f>IF($D528="","No",IF(COUNTIF('Attendance Report - Option 1'!$P$11:$P$315,$D528)&gt;0,"Yes","No"))</x:f>
        <x:v>Yes</x:v>
      </x:c>
      <x:c r="L528" t="str">
        <x:f>IF($D528="","No",IF(COUNTIF('Attendance Report - Option 2'!$P$11:$P$412,$D528)&gt;0,"Yes","No"))</x:f>
        <x:v>No</x:v>
      </x:c>
    </x:row>
    <x:row r="529">
      <x:c r="A529" t="str">
        <x:f>'EMA Assurance Employee List'!A530</x:f>
        <x:v>Gloria Kirungi</x:v>
      </x:c>
      <x:c r="B529" t="str">
        <x:f>IF(C529="KE","Kenya",IF(C529="UG","Uganda",IF(C529="MU","Mauritius",IF(C529="TZ","Tanzania",IF(C529="RW","Rwanda",IF(C529="ZA","South Africa",IF(C529="ZM","Zambia","")))))))</x:f>
        <x:v>Uganda</x:v>
      </x:c>
      <x:c r="C529" t="str">
        <x:f>'EMA Assurance Employee List'!B530</x:f>
        <x:v>UG</x:v>
      </x:c>
      <x:c r="D529" t="str">
        <x:f>'EMA Assurance Employee List'!D530</x:f>
        <x:v>gloria.kirungi@pwc.com</x:v>
      </x:c>
      <x:c r="E529" t="n">
        <x:f>IF($D529="",0,SUMIF('Attendance Report - Option 1'!$P$11:$P$315,$D529,'Attendance Report - Option 1'!$Q$11:$Q$315)/86400)</x:f>
        <x:v>0</x:v>
      </x:c>
      <x:c r="F529" t="str">
        <x:f>IF(E529=0,"Did not attend",IF(E529&gt;='Read Me'!$E$2/86400,"Fully attended","Partially attended"))</x:f>
        <x:v>Did not attend</x:v>
      </x:c>
      <x:c r="G529" t="n">
        <x:f>IF($D529="",0,SUMIF('Attendance Report - Option 2'!$P$11:$P$412,$D529,'Attendance Report - Option 2'!$Q$11:$Q$412)/86400)</x:f>
        <x:v>0.0856712962962963</x:v>
      </x:c>
      <x:c r="H529" t="str">
        <x:f>IF(G529=0,"Did not attend",IF(G529&gt;='Read Me'!$E$2/86400,"Fully attended","Partially attended"))</x:f>
        <x:v>Fully attended</x:v>
      </x:c>
      <x:c r="I529" t="n">
        <x:f>E529+G529</x:f>
        <x:v>0.0856712962962963</x:v>
      </x:c>
      <x:c r="J529" t="str">
        <x:f>IF(I529=0,"Did not attend",IF(I529&gt;='Read Me'!$E$2/86400,"Fully attended","Partially attended"))</x:f>
        <x:v>Fully attended</x:v>
      </x:c>
      <x:c r="K529" t="str">
        <x:f>IF($D529="","No",IF(COUNTIF('Attendance Report - Option 1'!$P$11:$P$315,$D529)&gt;0,"Yes","No"))</x:f>
        <x:v>No</x:v>
      </x:c>
      <x:c r="L529" t="str">
        <x:f>IF($D529="","No",IF(COUNTIF('Attendance Report - Option 2'!$P$11:$P$412,$D529)&gt;0,"Yes","No"))</x:f>
        <x:v>Yes</x:v>
      </x:c>
    </x:row>
    <x:row r="530">
      <x:c r="A530" t="str">
        <x:f>'EMA Assurance Employee List'!A531</x:f>
        <x:v>Glory Madunda</x:v>
      </x:c>
      <x:c r="B530" t="str">
        <x:f>IF(C530="KE","Kenya",IF(C530="UG","Uganda",IF(C530="MU","Mauritius",IF(C530="TZ","Tanzania",IF(C530="RW","Rwanda",IF(C530="ZA","South Africa",IF(C530="ZM","Zambia","")))))))</x:f>
        <x:v>Tanzania</x:v>
      </x:c>
      <x:c r="C530" t="str">
        <x:f>'EMA Assurance Employee List'!B531</x:f>
        <x:v>TZ</x:v>
      </x:c>
      <x:c r="D530" t="str">
        <x:f>'EMA Assurance Employee List'!D531</x:f>
        <x:v>glory.madunda@pwc.com</x:v>
      </x:c>
      <x:c r="E530" t="n">
        <x:f>IF($D530="",0,SUMIF('Attendance Report - Option 1'!$P$11:$P$315,$D530,'Attendance Report - Option 1'!$Q$11:$Q$315)/86400)</x:f>
        <x:v>0</x:v>
      </x:c>
      <x:c r="F530" t="str">
        <x:f>IF(E530=0,"Did not attend",IF(E530&gt;='Read Me'!$E$2/86400,"Fully attended","Partially attended"))</x:f>
        <x:v>Did not attend</x:v>
      </x:c>
      <x:c r="G530" t="n">
        <x:f>IF($D530="",0,SUMIF('Attendance Report - Option 2'!$P$11:$P$412,$D530,'Attendance Report - Option 2'!$Q$11:$Q$412)/86400)</x:f>
        <x:v>0.06201388888888889</x:v>
      </x:c>
      <x:c r="H530" t="str">
        <x:f>IF(G530=0,"Did not attend",IF(G530&gt;='Read Me'!$E$2/86400,"Fully attended","Partially attended"))</x:f>
        <x:v>Partially attended</x:v>
      </x:c>
      <x:c r="I530" t="n">
        <x:f>E530+G530</x:f>
        <x:v>0.06201388888888889</x:v>
      </x:c>
      <x:c r="J530" t="str">
        <x:f>IF(I530=0,"Did not attend",IF(I530&gt;='Read Me'!$E$2/86400,"Fully attended","Partially attended"))</x:f>
        <x:v>Partially attended</x:v>
      </x:c>
      <x:c r="K530" t="str">
        <x:f>IF($D530="","No",IF(COUNTIF('Attendance Report - Option 1'!$P$11:$P$315,$D530)&gt;0,"Yes","No"))</x:f>
        <x:v>No</x:v>
      </x:c>
      <x:c r="L530" t="str">
        <x:f>IF($D530="","No",IF(COUNTIF('Attendance Report - Option 2'!$P$11:$P$412,$D530)&gt;0,"Yes","No"))</x:f>
        <x:v>Yes</x:v>
      </x:c>
    </x:row>
    <x:row r="531">
      <x:c r="A531" t="str">
        <x:f>'EMA Assurance Employee List'!A532</x:f>
        <x:v>Glory Nnko</x:v>
      </x:c>
      <x:c r="B531" t="str">
        <x:f>IF(C531="KE","Kenya",IF(C531="UG","Uganda",IF(C531="MU","Mauritius",IF(C531="TZ","Tanzania",IF(C531="RW","Rwanda",IF(C531="ZA","South Africa",IF(C531="ZM","Zambia","")))))))</x:f>
        <x:v>Tanzania</x:v>
      </x:c>
      <x:c r="C531" t="str">
        <x:f>'EMA Assurance Employee List'!B532</x:f>
        <x:v>TZ</x:v>
      </x:c>
      <x:c r="D531" t="str">
        <x:f>'EMA Assurance Employee List'!D532</x:f>
        <x:v>glory.nnko@pwc.com</x:v>
      </x:c>
      <x:c r="E531" t="n">
        <x:f>IF($D531="",0,SUMIF('Attendance Report - Option 1'!$P$11:$P$315,$D531,'Attendance Report - Option 1'!$Q$11:$Q$315)/86400)</x:f>
        <x:v>0</x:v>
      </x:c>
      <x:c r="F531" t="str">
        <x:f>IF(E531=0,"Did not attend",IF(E531&gt;='Read Me'!$E$2/86400,"Fully attended","Partially attended"))</x:f>
        <x:v>Did not attend</x:v>
      </x:c>
      <x:c r="G531" t="n">
        <x:f>IF($D531="",0,SUMIF('Attendance Report - Option 2'!$P$11:$P$412,$D531,'Attendance Report - Option 2'!$Q$11:$Q$412)/86400)</x:f>
        <x:v>0.08875</x:v>
      </x:c>
      <x:c r="H531" t="str">
        <x:f>IF(G531=0,"Did not attend",IF(G531&gt;='Read Me'!$E$2/86400,"Fully attended","Partially attended"))</x:f>
        <x:v>Fully attended</x:v>
      </x:c>
      <x:c r="I531" t="n">
        <x:f>E531+G531</x:f>
        <x:v>0.08875</x:v>
      </x:c>
      <x:c r="J531" t="str">
        <x:f>IF(I531=0,"Did not attend",IF(I531&gt;='Read Me'!$E$2/86400,"Fully attended","Partially attended"))</x:f>
        <x:v>Fully attended</x:v>
      </x:c>
      <x:c r="K531" t="str">
        <x:f>IF($D531="","No",IF(COUNTIF('Attendance Report - Option 1'!$P$11:$P$315,$D531)&gt;0,"Yes","No"))</x:f>
        <x:v>No</x:v>
      </x:c>
      <x:c r="L531" t="str">
        <x:f>IF($D531="","No",IF(COUNTIF('Attendance Report - Option 2'!$P$11:$P$412,$D531)&gt;0,"Yes","No"))</x:f>
        <x:v>Yes</x:v>
      </x:c>
    </x:row>
    <x:row r="532">
      <x:c r="A532" t="str">
        <x:f>'EMA Assurance Employee List'!A533</x:f>
        <x:v>Hadassah Phiri</x:v>
      </x:c>
      <x:c r="B532" t="str">
        <x:f>IF(C532="KE","Kenya",IF(C532="UG","Uganda",IF(C532="MU","Mauritius",IF(C532="TZ","Tanzania",IF(C532="RW","Rwanda",IF(C532="ZA","South Africa",IF(C532="ZM","Zambia","")))))))</x:f>
        <x:v>Zambia</x:v>
      </x:c>
      <x:c r="C532" t="str">
        <x:f>'EMA Assurance Employee List'!B533</x:f>
        <x:v>ZM</x:v>
      </x:c>
      <x:c r="D532" t="str">
        <x:f>'EMA Assurance Employee List'!D533</x:f>
        <x:v>hadassah.phiri@pwc.com</x:v>
      </x:c>
      <x:c r="E532" t="n">
        <x:f>IF($D532="",0,SUMIF('Attendance Report - Option 1'!$P$11:$P$315,$D532,'Attendance Report - Option 1'!$Q$11:$Q$315)/86400)</x:f>
        <x:v>0</x:v>
      </x:c>
      <x:c r="F532" t="str">
        <x:f>IF(E532=0,"Did not attend",IF(E532&gt;='Read Me'!$E$2/86400,"Fully attended","Partially attended"))</x:f>
        <x:v>Did not attend</x:v>
      </x:c>
      <x:c r="G532" t="n">
        <x:f>IF($D532="",0,SUMIF('Attendance Report - Option 2'!$P$11:$P$412,$D532,'Attendance Report - Option 2'!$Q$11:$Q$412)/86400)</x:f>
        <x:v>0.07016203703703704</x:v>
      </x:c>
      <x:c r="H532" t="str">
        <x:f>IF(G532=0,"Did not attend",IF(G532&gt;='Read Me'!$E$2/86400,"Fully attended","Partially attended"))</x:f>
        <x:v>Fully attended</x:v>
      </x:c>
      <x:c r="I532" t="n">
        <x:f>E532+G532</x:f>
        <x:v>0.07016203703703704</x:v>
      </x:c>
      <x:c r="J532" t="str">
        <x:f>IF(I532=0,"Did not attend",IF(I532&gt;='Read Me'!$E$2/86400,"Fully attended","Partially attended"))</x:f>
        <x:v>Fully attended</x:v>
      </x:c>
      <x:c r="K532" t="str">
        <x:f>IF($D532="","No",IF(COUNTIF('Attendance Report - Option 1'!$P$11:$P$315,$D532)&gt;0,"Yes","No"))</x:f>
        <x:v>No</x:v>
      </x:c>
      <x:c r="L532" t="str">
        <x:f>IF($D532="","No",IF(COUNTIF('Attendance Report - Option 2'!$P$11:$P$412,$D532)&gt;0,"Yes","No"))</x:f>
        <x:v>Yes</x:v>
      </x:c>
    </x:row>
    <x:row r="533">
      <x:c r="A533" t="str">
        <x:f>'EMA Assurance Employee List'!A534</x:f>
        <x:v>Hans Lutchmanen</x:v>
      </x:c>
      <x:c r="B533" t="str">
        <x:f>IF(C533="KE","Kenya",IF(C533="UG","Uganda",IF(C533="MU","Mauritius",IF(C533="TZ","Tanzania",IF(C533="RW","Rwanda",IF(C533="ZA","South Africa",IF(C533="ZM","Zambia","")))))))</x:f>
        <x:v>Mauritius</x:v>
      </x:c>
      <x:c r="C533" t="str">
        <x:f>'EMA Assurance Employee List'!B534</x:f>
        <x:v>MU</x:v>
      </x:c>
      <x:c r="D533" t="str">
        <x:f>'EMA Assurance Employee List'!D534</x:f>
        <x:v>hans.l.lutchmanen@pwc.com</x:v>
      </x:c>
      <x:c r="E533" t="n">
        <x:f>IF($D533="",0,SUMIF('Attendance Report - Option 1'!$P$11:$P$315,$D533,'Attendance Report - Option 1'!$Q$11:$Q$315)/86400)</x:f>
        <x:v>0.07634259259259259</x:v>
      </x:c>
      <x:c r="F533" t="str">
        <x:f>IF(E533=0,"Did not attend",IF(E533&gt;='Read Me'!$E$2/86400,"Fully attended","Partially attended"))</x:f>
        <x:v>Fully attended</x:v>
      </x:c>
      <x:c r="G533" t="n">
        <x:f>IF($D533="",0,SUMIF('Attendance Report - Option 2'!$P$11:$P$412,$D533,'Attendance Report - Option 2'!$Q$11:$Q$412)/86400)</x:f>
        <x:v>0</x:v>
      </x:c>
      <x:c r="H533" t="str">
        <x:f>IF(G533=0,"Did not attend",IF(G533&gt;='Read Me'!$E$2/86400,"Fully attended","Partially attended"))</x:f>
        <x:v>Did not attend</x:v>
      </x:c>
      <x:c r="I533" t="n">
        <x:f>E533+G533</x:f>
        <x:v>0.07634259259259259</x:v>
      </x:c>
      <x:c r="J533" t="str">
        <x:f>IF(I533=0,"Did not attend",IF(I533&gt;='Read Me'!$E$2/86400,"Fully attended","Partially attended"))</x:f>
        <x:v>Fully attended</x:v>
      </x:c>
      <x:c r="K533" t="str">
        <x:f>IF($D533="","No",IF(COUNTIF('Attendance Report - Option 1'!$P$11:$P$315,$D533)&gt;0,"Yes","No"))</x:f>
        <x:v>Yes</x:v>
      </x:c>
      <x:c r="L533" t="str">
        <x:f>IF($D533="","No",IF(COUNTIF('Attendance Report - Option 2'!$P$11:$P$412,$D533)&gt;0,"Yes","No"))</x:f>
        <x:v>No</x:v>
      </x:c>
    </x:row>
    <x:row r="534">
      <x:c r="A534" t="str">
        <x:f>'EMA Assurance Employee List'!A535</x:f>
        <x:v>Harshini Suroopjeet</x:v>
      </x:c>
      <x:c r="B534" t="str">
        <x:f>IF(C534="KE","Kenya",IF(C534="UG","Uganda",IF(C534="MU","Mauritius",IF(C534="TZ","Tanzania",IF(C534="RW","Rwanda",IF(C534="ZA","South Africa",IF(C534="ZM","Zambia","")))))))</x:f>
        <x:v>Mauritius</x:v>
      </x:c>
      <x:c r="C534" t="str">
        <x:f>'EMA Assurance Employee List'!B535</x:f>
        <x:v>MU</x:v>
      </x:c>
      <x:c r="D534" t="str">
        <x:f>'EMA Assurance Employee List'!D535</x:f>
        <x:v>harshini.suroopjeet@pwc.com</x:v>
      </x:c>
      <x:c r="E534" t="n">
        <x:f>IF($D534="",0,SUMIF('Attendance Report - Option 1'!$P$11:$P$315,$D534,'Attendance Report - Option 1'!$Q$11:$Q$315)/86400)</x:f>
        <x:v>0.07943287037037038</x:v>
      </x:c>
      <x:c r="F534" t="str">
        <x:f>IF(E534=0,"Did not attend",IF(E534&gt;='Read Me'!$E$2/86400,"Fully attended","Partially attended"))</x:f>
        <x:v>Fully attended</x:v>
      </x:c>
      <x:c r="G534" t="n">
        <x:f>IF($D534="",0,SUMIF('Attendance Report - Option 2'!$P$11:$P$412,$D534,'Attendance Report - Option 2'!$Q$11:$Q$412)/86400)</x:f>
        <x:v>0</x:v>
      </x:c>
      <x:c r="H534" t="str">
        <x:f>IF(G534=0,"Did not attend",IF(G534&gt;='Read Me'!$E$2/86400,"Fully attended","Partially attended"))</x:f>
        <x:v>Did not attend</x:v>
      </x:c>
      <x:c r="I534" t="n">
        <x:f>E534+G534</x:f>
        <x:v>0.07943287037037038</x:v>
      </x:c>
      <x:c r="J534" t="str">
        <x:f>IF(I534=0,"Did not attend",IF(I534&gt;='Read Me'!$E$2/86400,"Fully attended","Partially attended"))</x:f>
        <x:v>Fully attended</x:v>
      </x:c>
      <x:c r="K534" t="str">
        <x:f>IF($D534="","No",IF(COUNTIF('Attendance Report - Option 1'!$P$11:$P$315,$D534)&gt;0,"Yes","No"))</x:f>
        <x:v>Yes</x:v>
      </x:c>
      <x:c r="L534" t="str">
        <x:f>IF($D534="","No",IF(COUNTIF('Attendance Report - Option 2'!$P$11:$P$412,$D534)&gt;0,"Yes","No"))</x:f>
        <x:v>No</x:v>
      </x:c>
    </x:row>
    <x:row r="535">
      <x:c r="A535" t="str">
        <x:f>'EMA Assurance Employee List'!A536</x:f>
        <x:v>Heather Tirikwel</x:v>
      </x:c>
      <x:c r="B535" t="str">
        <x:f>IF(C535="KE","Kenya",IF(C535="UG","Uganda",IF(C535="MU","Mauritius",IF(C535="TZ","Tanzania",IF(C535="RW","Rwanda",IF(C535="ZA","South Africa",IF(C535="ZM","Zambia","")))))))</x:f>
        <x:v>Kenya</x:v>
      </x:c>
      <x:c r="C535" t="str">
        <x:f>'EMA Assurance Employee List'!B536</x:f>
        <x:v>KE</x:v>
      </x:c>
      <x:c r="D535" t="str">
        <x:f>'EMA Assurance Employee List'!D536</x:f>
        <x:v>heather.tirikwel@pwc.com</x:v>
      </x:c>
      <x:c r="E535" t="n">
        <x:f>IF($D535="",0,SUMIF('Attendance Report - Option 1'!$P$11:$P$315,$D535,'Attendance Report - Option 1'!$Q$11:$Q$315)/86400)</x:f>
        <x:v>0</x:v>
      </x:c>
      <x:c r="F535" t="str">
        <x:f>IF(E535=0,"Did not attend",IF(E535&gt;='Read Me'!$E$2/86400,"Fully attended","Partially attended"))</x:f>
        <x:v>Did not attend</x:v>
      </x:c>
      <x:c r="G535" t="n">
        <x:f>IF($D535="",0,SUMIF('Attendance Report - Option 2'!$P$11:$P$412,$D535,'Attendance Report - Option 2'!$Q$11:$Q$412)/86400)</x:f>
        <x:v>0.048483796296296296</x:v>
      </x:c>
      <x:c r="H535" t="str">
        <x:f>IF(G535=0,"Did not attend",IF(G535&gt;='Read Me'!$E$2/86400,"Fully attended","Partially attended"))</x:f>
        <x:v>Partially attended</x:v>
      </x:c>
      <x:c r="I535" t="n">
        <x:f>E535+G535</x:f>
        <x:v>0.048483796296296296</x:v>
      </x:c>
      <x:c r="J535" t="str">
        <x:f>IF(I535=0,"Did not attend",IF(I535&gt;='Read Me'!$E$2/86400,"Fully attended","Partially attended"))</x:f>
        <x:v>Partially attended</x:v>
      </x:c>
      <x:c r="K535" t="str">
        <x:f>IF($D535="","No",IF(COUNTIF('Attendance Report - Option 1'!$P$11:$P$315,$D535)&gt;0,"Yes","No"))</x:f>
        <x:v>No</x:v>
      </x:c>
      <x:c r="L535" t="str">
        <x:f>IF($D535="","No",IF(COUNTIF('Attendance Report - Option 2'!$P$11:$P$412,$D535)&gt;0,"Yes","No"))</x:f>
        <x:v>Yes</x:v>
      </x:c>
    </x:row>
    <x:row r="536">
      <x:c r="A536" t="str">
        <x:f>'EMA Assurance Employee List'!A537</x:f>
        <x:v>Helen Nganila</x:v>
      </x:c>
      <x:c r="B536" t="str">
        <x:f>IF(C536="KE","Kenya",IF(C536="UG","Uganda",IF(C536="MU","Mauritius",IF(C536="TZ","Tanzania",IF(C536="RW","Rwanda",IF(C536="ZA","South Africa",IF(C536="ZM","Zambia","")))))))</x:f>
        <x:v>Tanzania</x:v>
      </x:c>
      <x:c r="C536" t="str">
        <x:f>'EMA Assurance Employee List'!B537</x:f>
        <x:v>TZ</x:v>
      </x:c>
      <x:c r="D536" t="str">
        <x:f>'EMA Assurance Employee List'!D537</x:f>
        <x:v>helen.nganila@pwc.com</x:v>
      </x:c>
      <x:c r="E536" t="n">
        <x:f>IF($D536="",0,SUMIF('Attendance Report - Option 1'!$P$11:$P$315,$D536,'Attendance Report - Option 1'!$Q$11:$Q$315)/86400)</x:f>
        <x:v>0</x:v>
      </x:c>
      <x:c r="F536" t="str">
        <x:f>IF(E536=0,"Did not attend",IF(E536&gt;='Read Me'!$E$2/86400,"Fully attended","Partially attended"))</x:f>
        <x:v>Did not attend</x:v>
      </x:c>
      <x:c r="G536" t="n">
        <x:f>IF($D536="",0,SUMIF('Attendance Report - Option 2'!$P$11:$P$412,$D536,'Attendance Report - Option 2'!$Q$11:$Q$412)/86400)</x:f>
        <x:v>0.09273148148148148</x:v>
      </x:c>
      <x:c r="H536" t="str">
        <x:f>IF(G536=0,"Did not attend",IF(G536&gt;='Read Me'!$E$2/86400,"Fully attended","Partially attended"))</x:f>
        <x:v>Fully attended</x:v>
      </x:c>
      <x:c r="I536" t="n">
        <x:f>E536+G536</x:f>
        <x:v>0.09273148148148148</x:v>
      </x:c>
      <x:c r="J536" t="str">
        <x:f>IF(I536=0,"Did not attend",IF(I536&gt;='Read Me'!$E$2/86400,"Fully attended","Partially attended"))</x:f>
        <x:v>Fully attended</x:v>
      </x:c>
      <x:c r="K536" t="str">
        <x:f>IF($D536="","No",IF(COUNTIF('Attendance Report - Option 1'!$P$11:$P$315,$D536)&gt;0,"Yes","No"))</x:f>
        <x:v>No</x:v>
      </x:c>
      <x:c r="L536" t="str">
        <x:f>IF($D536="","No",IF(COUNTIF('Attendance Report - Option 2'!$P$11:$P$412,$D536)&gt;0,"Yes","No"))</x:f>
        <x:v>Yes</x:v>
      </x:c>
    </x:row>
    <x:row r="537">
      <x:c r="A537" t="str">
        <x:f>'EMA Assurance Employee List'!A538</x:f>
        <x:v>Honorine Ihimbazwe</x:v>
      </x:c>
      <x:c r="B537" t="str">
        <x:f>IF(C537="KE","Kenya",IF(C537="UG","Uganda",IF(C537="MU","Mauritius",IF(C537="TZ","Tanzania",IF(C537="RW","Rwanda",IF(C537="ZA","South Africa",IF(C537="ZM","Zambia","")))))))</x:f>
        <x:v>Rwanda</x:v>
      </x:c>
      <x:c r="C537" t="str">
        <x:f>'EMA Assurance Employee List'!B538</x:f>
        <x:v>RW</x:v>
      </x:c>
      <x:c r="D537" t="str">
        <x:f>'EMA Assurance Employee List'!D538</x:f>
        <x:v>honorine.i.ihimbazwe@pwc.com</x:v>
      </x:c>
      <x:c r="E537" t="n">
        <x:f>IF($D537="",0,SUMIF('Attendance Report - Option 1'!$P$11:$P$315,$D537,'Attendance Report - Option 1'!$Q$11:$Q$315)/86400)</x:f>
        <x:v>0.07427083333333333</x:v>
      </x:c>
      <x:c r="F537" t="str">
        <x:f>IF(E537=0,"Did not attend",IF(E537&gt;='Read Me'!$E$2/86400,"Fully attended","Partially attended"))</x:f>
        <x:v>Fully attended</x:v>
      </x:c>
      <x:c r="G537" t="n">
        <x:f>IF($D537="",0,SUMIF('Attendance Report - Option 2'!$P$11:$P$412,$D537,'Attendance Report - Option 2'!$Q$11:$Q$412)/86400)</x:f>
        <x:v>0</x:v>
      </x:c>
      <x:c r="H537" t="str">
        <x:f>IF(G537=0,"Did not attend",IF(G537&gt;='Read Me'!$E$2/86400,"Fully attended","Partially attended"))</x:f>
        <x:v>Did not attend</x:v>
      </x:c>
      <x:c r="I537" t="n">
        <x:f>E537+G537</x:f>
        <x:v>0.07427083333333333</x:v>
      </x:c>
      <x:c r="J537" t="str">
        <x:f>IF(I537=0,"Did not attend",IF(I537&gt;='Read Me'!$E$2/86400,"Fully attended","Partially attended"))</x:f>
        <x:v>Fully attended</x:v>
      </x:c>
      <x:c r="K537" t="str">
        <x:f>IF($D537="","No",IF(COUNTIF('Attendance Report - Option 1'!$P$11:$P$315,$D537)&gt;0,"Yes","No"))</x:f>
        <x:v>Yes</x:v>
      </x:c>
      <x:c r="L537" t="str">
        <x:f>IF($D537="","No",IF(COUNTIF('Attendance Report - Option 2'!$P$11:$P$412,$D537)&gt;0,"Yes","No"))</x:f>
        <x:v>No</x:v>
      </x:c>
    </x:row>
    <x:row r="538">
      <x:c r="A538" t="str">
        <x:f>'EMA Assurance Employee List'!A539</x:f>
        <x:v>Hudah Naluwembe</x:v>
      </x:c>
      <x:c r="B538" t="str">
        <x:f>IF(C538="KE","Kenya",IF(C538="UG","Uganda",IF(C538="MU","Mauritius",IF(C538="TZ","Tanzania",IF(C538="RW","Rwanda",IF(C538="ZA","South Africa",IF(C538="ZM","Zambia","")))))))</x:f>
        <x:v>Uganda</x:v>
      </x:c>
      <x:c r="C538" t="str">
        <x:f>'EMA Assurance Employee List'!B539</x:f>
        <x:v>UG</x:v>
      </x:c>
      <x:c r="D538" t="str">
        <x:f>'EMA Assurance Employee List'!D539</x:f>
        <x:v>hudah.naluwembe@pwc.com</x:v>
      </x:c>
      <x:c r="E538" t="n">
        <x:f>IF($D538="",0,SUMIF('Attendance Report - Option 1'!$P$11:$P$315,$D538,'Attendance Report - Option 1'!$Q$11:$Q$315)/86400)</x:f>
        <x:v>0.07221064814814815</x:v>
      </x:c>
      <x:c r="F538" t="str">
        <x:f>IF(E538=0,"Did not attend",IF(E538&gt;='Read Me'!$E$2/86400,"Fully attended","Partially attended"))</x:f>
        <x:v>Fully attended</x:v>
      </x:c>
      <x:c r="G538" t="n">
        <x:f>IF($D538="",0,SUMIF('Attendance Report - Option 2'!$P$11:$P$412,$D538,'Attendance Report - Option 2'!$Q$11:$Q$412)/86400)</x:f>
        <x:v>0</x:v>
      </x:c>
      <x:c r="H538" t="str">
        <x:f>IF(G538=0,"Did not attend",IF(G538&gt;='Read Me'!$E$2/86400,"Fully attended","Partially attended"))</x:f>
        <x:v>Did not attend</x:v>
      </x:c>
      <x:c r="I538" t="n">
        <x:f>E538+G538</x:f>
        <x:v>0.07221064814814815</x:v>
      </x:c>
      <x:c r="J538" t="str">
        <x:f>IF(I538=0,"Did not attend",IF(I538&gt;='Read Me'!$E$2/86400,"Fully attended","Partially attended"))</x:f>
        <x:v>Fully attended</x:v>
      </x:c>
      <x:c r="K538" t="str">
        <x:f>IF($D538="","No",IF(COUNTIF('Attendance Report - Option 1'!$P$11:$P$315,$D538)&gt;0,"Yes","No"))</x:f>
        <x:v>Yes</x:v>
      </x:c>
      <x:c r="L538" t="str">
        <x:f>IF($D538="","No",IF(COUNTIF('Attendance Report - Option 2'!$P$11:$P$412,$D538)&gt;0,"Yes","No"))</x:f>
        <x:v>No</x:v>
      </x:c>
    </x:row>
    <x:row r="539">
      <x:c r="A539" t="str">
        <x:f>'EMA Assurance Employee List'!A540</x:f>
        <x:v>Hussain Mustun</x:v>
      </x:c>
      <x:c r="B539" t="str">
        <x:f>IF(C539="KE","Kenya",IF(C539="UG","Uganda",IF(C539="MU","Mauritius",IF(C539="TZ","Tanzania",IF(C539="RW","Rwanda",IF(C539="ZA","South Africa",IF(C539="ZM","Zambia","")))))))</x:f>
        <x:v>Mauritius</x:v>
      </x:c>
      <x:c r="C539" t="str">
        <x:f>'EMA Assurance Employee List'!B540</x:f>
        <x:v>MU</x:v>
      </x:c>
      <x:c r="D539" t="str">
        <x:f>'EMA Assurance Employee List'!D540</x:f>
        <x:v>hussain.mustun@pwc.com</x:v>
      </x:c>
      <x:c r="E539" t="n">
        <x:f>IF($D539="",0,SUMIF('Attendance Report - Option 1'!$P$11:$P$315,$D539,'Attendance Report - Option 1'!$Q$11:$Q$315)/86400)</x:f>
        <x:v>0</x:v>
      </x:c>
      <x:c r="F539" t="str">
        <x:f>IF(E539=0,"Did not attend",IF(E539&gt;='Read Me'!$E$2/86400,"Fully attended","Partially attended"))</x:f>
        <x:v>Did not attend</x:v>
      </x:c>
      <x:c r="G539" t="n">
        <x:f>IF($D539="",0,SUMIF('Attendance Report - Option 2'!$P$11:$P$412,$D539,'Attendance Report - Option 2'!$Q$11:$Q$412)/86400)</x:f>
        <x:v>0.07076388888888889</x:v>
      </x:c>
      <x:c r="H539" t="str">
        <x:f>IF(G539=0,"Did not attend",IF(G539&gt;='Read Me'!$E$2/86400,"Fully attended","Partially attended"))</x:f>
        <x:v>Fully attended</x:v>
      </x:c>
      <x:c r="I539" t="n">
        <x:f>E539+G539</x:f>
        <x:v>0.07076388888888889</x:v>
      </x:c>
      <x:c r="J539" t="str">
        <x:f>IF(I539=0,"Did not attend",IF(I539&gt;='Read Me'!$E$2/86400,"Fully attended","Partially attended"))</x:f>
        <x:v>Fully attended</x:v>
      </x:c>
      <x:c r="K539" t="str">
        <x:f>IF($D539="","No",IF(COUNTIF('Attendance Report - Option 1'!$P$11:$P$315,$D539)&gt;0,"Yes","No"))</x:f>
        <x:v>No</x:v>
      </x:c>
      <x:c r="L539" t="str">
        <x:f>IF($D539="","No",IF(COUNTIF('Attendance Report - Option 2'!$P$11:$P$412,$D539)&gt;0,"Yes","No"))</x:f>
        <x:v>Yes</x:v>
      </x:c>
    </x:row>
    <x:row r="540">
      <x:c r="A540" t="str">
        <x:f>'EMA Assurance Employee List'!A541</x:f>
        <x:v>Ian Aruasa</x:v>
      </x:c>
      <x:c r="B540" t="str">
        <x:f>IF(C540="KE","Kenya",IF(C540="UG","Uganda",IF(C540="MU","Mauritius",IF(C540="TZ","Tanzania",IF(C540="RW","Rwanda",IF(C540="ZA","South Africa",IF(C540="ZM","Zambia","")))))))</x:f>
        <x:v>Kenya</x:v>
      </x:c>
      <x:c r="C540" t="str">
        <x:f>'EMA Assurance Employee List'!B541</x:f>
        <x:v>KE</x:v>
      </x:c>
      <x:c r="D540" t="str">
        <x:f>'EMA Assurance Employee List'!D541</x:f>
        <x:v>ian.aruasa@pwc.com</x:v>
      </x:c>
      <x:c r="E540" t="n">
        <x:f>IF($D540="",0,SUMIF('Attendance Report - Option 1'!$P$11:$P$315,$D540,'Attendance Report - Option 1'!$Q$11:$Q$315)/86400)</x:f>
        <x:v>0.07298611111111111</x:v>
      </x:c>
      <x:c r="F540" t="str">
        <x:f>IF(E540=0,"Did not attend",IF(E540&gt;='Read Me'!$E$2/86400,"Fully attended","Partially attended"))</x:f>
        <x:v>Fully attended</x:v>
      </x:c>
      <x:c r="G540" t="n">
        <x:f>IF($D540="",0,SUMIF('Attendance Report - Option 2'!$P$11:$P$412,$D540,'Attendance Report - Option 2'!$Q$11:$Q$412)/86400)</x:f>
        <x:v>0</x:v>
      </x:c>
      <x:c r="H540" t="str">
        <x:f>IF(G540=0,"Did not attend",IF(G540&gt;='Read Me'!$E$2/86400,"Fully attended","Partially attended"))</x:f>
        <x:v>Did not attend</x:v>
      </x:c>
      <x:c r="I540" t="n">
        <x:f>E540+G540</x:f>
        <x:v>0.07298611111111111</x:v>
      </x:c>
      <x:c r="J540" t="str">
        <x:f>IF(I540=0,"Did not attend",IF(I540&gt;='Read Me'!$E$2/86400,"Fully attended","Partially attended"))</x:f>
        <x:v>Fully attended</x:v>
      </x:c>
      <x:c r="K540" t="str">
        <x:f>IF($D540="","No",IF(COUNTIF('Attendance Report - Option 1'!$P$11:$P$315,$D540)&gt;0,"Yes","No"))</x:f>
        <x:v>Yes</x:v>
      </x:c>
      <x:c r="L540" t="str">
        <x:f>IF($D540="","No",IF(COUNTIF('Attendance Report - Option 2'!$P$11:$P$412,$D540)&gt;0,"Yes","No"))</x:f>
        <x:v>No</x:v>
      </x:c>
    </x:row>
    <x:row r="541">
      <x:c r="A541" t="str">
        <x:f>'EMA Assurance Employee List'!A542</x:f>
        <x:v>Irene Mtebe</x:v>
      </x:c>
      <x:c r="B541" t="str">
        <x:f>IF(C541="KE","Kenya",IF(C541="UG","Uganda",IF(C541="MU","Mauritius",IF(C541="TZ","Tanzania",IF(C541="RW","Rwanda",IF(C541="ZA","South Africa",IF(C541="ZM","Zambia","")))))))</x:f>
        <x:v>Tanzania</x:v>
      </x:c>
      <x:c r="C541" t="str">
        <x:f>'EMA Assurance Employee List'!B542</x:f>
        <x:v>TZ</x:v>
      </x:c>
      <x:c r="D541" t="str">
        <x:f>'EMA Assurance Employee List'!D542</x:f>
        <x:v>irene.m.mtebe@pwc.com</x:v>
      </x:c>
      <x:c r="E541" t="n">
        <x:f>IF($D541="",0,SUMIF('Attendance Report - Option 1'!$P$11:$P$315,$D541,'Attendance Report - Option 1'!$Q$11:$Q$315)/86400)</x:f>
        <x:v>0.050972222222222224</x:v>
      </x:c>
      <x:c r="F541" t="str">
        <x:f>IF(E541=0,"Did not attend",IF(E541&gt;='Read Me'!$E$2/86400,"Fully attended","Partially attended"))</x:f>
        <x:v>Partially attended</x:v>
      </x:c>
      <x:c r="G541" t="n">
        <x:f>IF($D541="",0,SUMIF('Attendance Report - Option 2'!$P$11:$P$412,$D541,'Attendance Report - Option 2'!$Q$11:$Q$412)/86400)</x:f>
        <x:v>0.0006828703703703704</x:v>
      </x:c>
      <x:c r="H541" t="str">
        <x:f>IF(G541=0,"Did not attend",IF(G541&gt;='Read Me'!$E$2/86400,"Fully attended","Partially attended"))</x:f>
        <x:v>Partially attended</x:v>
      </x:c>
      <x:c r="I541" t="n">
        <x:f>E541+G541</x:f>
        <x:v>0.05165509259259259</x:v>
      </x:c>
      <x:c r="J541" t="str">
        <x:f>IF(I541=0,"Did not attend",IF(I541&gt;='Read Me'!$E$2/86400,"Fully attended","Partially attended"))</x:f>
        <x:v>Partially attended</x:v>
      </x:c>
      <x:c r="K541" t="str">
        <x:f>IF($D541="","No",IF(COUNTIF('Attendance Report - Option 1'!$P$11:$P$315,$D541)&gt;0,"Yes","No"))</x:f>
        <x:v>Yes</x:v>
      </x:c>
      <x:c r="L541" t="str">
        <x:f>IF($D541="","No",IF(COUNTIF('Attendance Report - Option 2'!$P$11:$P$412,$D541)&gt;0,"Yes","No"))</x:f>
        <x:v>Yes</x:v>
      </x:c>
    </x:row>
    <x:row r="542">
      <x:c r="A542" t="str">
        <x:f>'EMA Assurance Employee List'!A543</x:f>
        <x:v>Ivy Deborah Naggayi</x:v>
      </x:c>
      <x:c r="B542" t="str">
        <x:f>IF(C542="KE","Kenya",IF(C542="UG","Uganda",IF(C542="MU","Mauritius",IF(C542="TZ","Tanzania",IF(C542="RW","Rwanda",IF(C542="ZA","South Africa",IF(C542="ZM","Zambia","")))))))</x:f>
        <x:v>Uganda</x:v>
      </x:c>
      <x:c r="C542" t="str">
        <x:f>'EMA Assurance Employee List'!B543</x:f>
        <x:v>UG</x:v>
      </x:c>
      <x:c r="D542" t="str">
        <x:f>'EMA Assurance Employee List'!D543</x:f>
        <x:v>ivy.naggayi@pwc.com</x:v>
      </x:c>
      <x:c r="E542" t="n">
        <x:f>IF($D542="",0,SUMIF('Attendance Report - Option 1'!$P$11:$P$315,$D542,'Attendance Report - Option 1'!$Q$11:$Q$315)/86400)</x:f>
        <x:v>0</x:v>
      </x:c>
      <x:c r="F542" t="str">
        <x:f>IF(E542=0,"Did not attend",IF(E542&gt;='Read Me'!$E$2/86400,"Fully attended","Partially attended"))</x:f>
        <x:v>Did not attend</x:v>
      </x:c>
      <x:c r="G542" t="n">
        <x:f>IF($D542="",0,SUMIF('Attendance Report - Option 2'!$P$11:$P$412,$D542,'Attendance Report - Option 2'!$Q$11:$Q$412)/86400)</x:f>
        <x:v>0.05748842592592593</x:v>
      </x:c>
      <x:c r="H542" t="str">
        <x:f>IF(G542=0,"Did not attend",IF(G542&gt;='Read Me'!$E$2/86400,"Fully attended","Partially attended"))</x:f>
        <x:v>Partially attended</x:v>
      </x:c>
      <x:c r="I542" t="n">
        <x:f>E542+G542</x:f>
        <x:v>0.05748842592592593</x:v>
      </x:c>
      <x:c r="J542" t="str">
        <x:f>IF(I542=0,"Did not attend",IF(I542&gt;='Read Me'!$E$2/86400,"Fully attended","Partially attended"))</x:f>
        <x:v>Partially attended</x:v>
      </x:c>
      <x:c r="K542" t="str">
        <x:f>IF($D542="","No",IF(COUNTIF('Attendance Report - Option 1'!$P$11:$P$315,$D542)&gt;0,"Yes","No"))</x:f>
        <x:v>No</x:v>
      </x:c>
      <x:c r="L542" t="str">
        <x:f>IF($D542="","No",IF(COUNTIF('Attendance Report - Option 2'!$P$11:$P$412,$D542)&gt;0,"Yes","No"))</x:f>
        <x:v>Yes</x:v>
      </x:c>
    </x:row>
    <x:row r="543">
      <x:c r="A543" t="str">
        <x:f>'EMA Assurance Employee List'!A544</x:f>
        <x:v>Jackline Mollel</x:v>
      </x:c>
      <x:c r="B543" t="str">
        <x:f>IF(C543="KE","Kenya",IF(C543="UG","Uganda",IF(C543="MU","Mauritius",IF(C543="TZ","Tanzania",IF(C543="RW","Rwanda",IF(C543="ZA","South Africa",IF(C543="ZM","Zambia","")))))))</x:f>
        <x:v>Tanzania</x:v>
      </x:c>
      <x:c r="C543" t="str">
        <x:f>'EMA Assurance Employee List'!B544</x:f>
        <x:v>TZ</x:v>
      </x:c>
      <x:c r="D543" t="str">
        <x:f>'EMA Assurance Employee List'!D544</x:f>
        <x:v>jackline.mollel@pwc.com</x:v>
      </x:c>
      <x:c r="E543" t="n">
        <x:f>IF($D543="",0,SUMIF('Attendance Report - Option 1'!$P$11:$P$315,$D543,'Attendance Report - Option 1'!$Q$11:$Q$315)/86400)</x:f>
        <x:v>0</x:v>
      </x:c>
      <x:c r="F543" t="str">
        <x:f>IF(E543=0,"Did not attend",IF(E543&gt;='Read Me'!$E$2/86400,"Fully attended","Partially attended"))</x:f>
        <x:v>Did not attend</x:v>
      </x:c>
      <x:c r="G543" t="n">
        <x:f>IF($D543="",0,SUMIF('Attendance Report - Option 2'!$P$11:$P$412,$D543,'Attendance Report - Option 2'!$Q$11:$Q$412)/86400)</x:f>
        <x:v>0.06344907407407407</x:v>
      </x:c>
      <x:c r="H543" t="str">
        <x:f>IF(G543=0,"Did not attend",IF(G543&gt;='Read Me'!$E$2/86400,"Fully attended","Partially attended"))</x:f>
        <x:v>Fully attended</x:v>
      </x:c>
      <x:c r="I543" t="n">
        <x:f>E543+G543</x:f>
        <x:v>0.06344907407407407</x:v>
      </x:c>
      <x:c r="J543" t="str">
        <x:f>IF(I543=0,"Did not attend",IF(I543&gt;='Read Me'!$E$2/86400,"Fully attended","Partially attended"))</x:f>
        <x:v>Fully attended</x:v>
      </x:c>
      <x:c r="K543" t="str">
        <x:f>IF($D543="","No",IF(COUNTIF('Attendance Report - Option 1'!$P$11:$P$315,$D543)&gt;0,"Yes","No"))</x:f>
        <x:v>No</x:v>
      </x:c>
      <x:c r="L543" t="str">
        <x:f>IF($D543="","No",IF(COUNTIF('Attendance Report - Option 2'!$P$11:$P$412,$D543)&gt;0,"Yes","No"))</x:f>
        <x:v>Yes</x:v>
      </x:c>
    </x:row>
    <x:row r="544">
      <x:c r="A544" t="str">
        <x:f>'EMA Assurance Employee List'!A545</x:f>
        <x:v>Jacob Ndemirio</x:v>
      </x:c>
      <x:c r="B544" t="str">
        <x:f>IF(C544="KE","Kenya",IF(C544="UG","Uganda",IF(C544="MU","Mauritius",IF(C544="TZ","Tanzania",IF(C544="RW","Rwanda",IF(C544="ZA","South Africa",IF(C544="ZM","Zambia","")))))))</x:f>
        <x:v>Tanzania</x:v>
      </x:c>
      <x:c r="C544" t="str">
        <x:f>'EMA Assurance Employee List'!B545</x:f>
        <x:v>TZ</x:v>
      </x:c>
      <x:c r="D544" t="str">
        <x:f>'EMA Assurance Employee List'!D545</x:f>
        <x:v>jacob.ndemirio@pwc.com</x:v>
      </x:c>
      <x:c r="E544" t="n">
        <x:f>IF($D544="",0,SUMIF('Attendance Report - Option 1'!$P$11:$P$315,$D544,'Attendance Report - Option 1'!$Q$11:$Q$315)/86400)</x:f>
        <x:v>0.08543981481481482</x:v>
      </x:c>
      <x:c r="F544" t="str">
        <x:f>IF(E544=0,"Did not attend",IF(E544&gt;='Read Me'!$E$2/86400,"Fully attended","Partially attended"))</x:f>
        <x:v>Fully attended</x:v>
      </x:c>
      <x:c r="G544" t="n">
        <x:f>IF($D544="",0,SUMIF('Attendance Report - Option 2'!$P$11:$P$412,$D544,'Attendance Report - Option 2'!$Q$11:$Q$412)/86400)</x:f>
        <x:v>0</x:v>
      </x:c>
      <x:c r="H544" t="str">
        <x:f>IF(G544=0,"Did not attend",IF(G544&gt;='Read Me'!$E$2/86400,"Fully attended","Partially attended"))</x:f>
        <x:v>Did not attend</x:v>
      </x:c>
      <x:c r="I544" t="n">
        <x:f>E544+G544</x:f>
        <x:v>0.08543981481481482</x:v>
      </x:c>
      <x:c r="J544" t="str">
        <x:f>IF(I544=0,"Did not attend",IF(I544&gt;='Read Me'!$E$2/86400,"Fully attended","Partially attended"))</x:f>
        <x:v>Fully attended</x:v>
      </x:c>
      <x:c r="K544" t="str">
        <x:f>IF($D544="","No",IF(COUNTIF('Attendance Report - Option 1'!$P$11:$P$315,$D544)&gt;0,"Yes","No"))</x:f>
        <x:v>Yes</x:v>
      </x:c>
      <x:c r="L544" t="str">
        <x:f>IF($D544="","No",IF(COUNTIF('Attendance Report - Option 2'!$P$11:$P$412,$D544)&gt;0,"Yes","No"))</x:f>
        <x:v>No</x:v>
      </x:c>
    </x:row>
    <x:row r="545">
      <x:c r="A545" t="str">
        <x:f>'EMA Assurance Employee List'!A546</x:f>
        <x:v>Jahnavi Meetan</x:v>
      </x:c>
      <x:c r="B545" t="str">
        <x:f>IF(C545="KE","Kenya",IF(C545="UG","Uganda",IF(C545="MU","Mauritius",IF(C545="TZ","Tanzania",IF(C545="RW","Rwanda",IF(C545="ZA","South Africa",IF(C545="ZM","Zambia","")))))))</x:f>
        <x:v>Mauritius</x:v>
      </x:c>
      <x:c r="C545" t="str">
        <x:f>'EMA Assurance Employee List'!B546</x:f>
        <x:v>MU</x:v>
      </x:c>
      <x:c r="D545" t="str">
        <x:f>'EMA Assurance Employee List'!D546</x:f>
        <x:v>jahnavi.meetan@pwc.com</x:v>
      </x:c>
      <x:c r="E545" t="n">
        <x:f>IF($D545="",0,SUMIF('Attendance Report - Option 1'!$P$11:$P$315,$D545,'Attendance Report - Option 1'!$Q$11:$Q$315)/86400)</x:f>
        <x:v>0</x:v>
      </x:c>
      <x:c r="F545" t="str">
        <x:f>IF(E545=0,"Did not attend",IF(E545&gt;='Read Me'!$E$2/86400,"Fully attended","Partially attended"))</x:f>
        <x:v>Did not attend</x:v>
      </x:c>
      <x:c r="G545" t="n">
        <x:f>IF($D545="",0,SUMIF('Attendance Report - Option 2'!$P$11:$P$412,$D545,'Attendance Report - Option 2'!$Q$11:$Q$412)/86400)</x:f>
        <x:v>0.06596064814814814</x:v>
      </x:c>
      <x:c r="H545" t="str">
        <x:f>IF(G545=0,"Did not attend",IF(G545&gt;='Read Me'!$E$2/86400,"Fully attended","Partially attended"))</x:f>
        <x:v>Fully attended</x:v>
      </x:c>
      <x:c r="I545" t="n">
        <x:f>E545+G545</x:f>
        <x:v>0.06596064814814814</x:v>
      </x:c>
      <x:c r="J545" t="str">
        <x:f>IF(I545=0,"Did not attend",IF(I545&gt;='Read Me'!$E$2/86400,"Fully attended","Partially attended"))</x:f>
        <x:v>Fully attended</x:v>
      </x:c>
      <x:c r="K545" t="str">
        <x:f>IF($D545="","No",IF(COUNTIF('Attendance Report - Option 1'!$P$11:$P$315,$D545)&gt;0,"Yes","No"))</x:f>
        <x:v>No</x:v>
      </x:c>
      <x:c r="L545" t="str">
        <x:f>IF($D545="","No",IF(COUNTIF('Attendance Report - Option 2'!$P$11:$P$412,$D545)&gt;0,"Yes","No"))</x:f>
        <x:v>Yes</x:v>
      </x:c>
    </x:row>
    <x:row r="546">
      <x:c r="A546" t="str">
        <x:f>'EMA Assurance Employee List'!A547</x:f>
        <x:v>Jemimah Chella</x:v>
      </x:c>
      <x:c r="B546" t="str">
        <x:f>IF(C546="KE","Kenya",IF(C546="UG","Uganda",IF(C546="MU","Mauritius",IF(C546="TZ","Tanzania",IF(C546="RW","Rwanda",IF(C546="ZA","South Africa",IF(C546="ZM","Zambia","")))))))</x:f>
        <x:v>Zambia</x:v>
      </x:c>
      <x:c r="C546" t="str">
        <x:f>'EMA Assurance Employee List'!B547</x:f>
        <x:v>ZM</x:v>
      </x:c>
      <x:c r="D546" t="str">
        <x:f>'EMA Assurance Employee List'!D547</x:f>
        <x:v>jemimah.chella@pwc.com</x:v>
      </x:c>
      <x:c r="E546" t="n">
        <x:f>IF($D546="",0,SUMIF('Attendance Report - Option 1'!$P$11:$P$315,$D546,'Attendance Report - Option 1'!$Q$11:$Q$315)/86400)</x:f>
        <x:v>0</x:v>
      </x:c>
      <x:c r="F546" t="str">
        <x:f>IF(E546=0,"Did not attend",IF(E546&gt;='Read Me'!$E$2/86400,"Fully attended","Partially attended"))</x:f>
        <x:v>Did not attend</x:v>
      </x:c>
      <x:c r="G546" t="n">
        <x:f>IF($D546="",0,SUMIF('Attendance Report - Option 2'!$P$11:$P$412,$D546,'Attendance Report - Option 2'!$Q$11:$Q$412)/86400)</x:f>
        <x:v>0.06733796296296296</x:v>
      </x:c>
      <x:c r="H546" t="str">
        <x:f>IF(G546=0,"Did not attend",IF(G546&gt;='Read Me'!$E$2/86400,"Fully attended","Partially attended"))</x:f>
        <x:v>Fully attended</x:v>
      </x:c>
      <x:c r="I546" t="n">
        <x:f>E546+G546</x:f>
        <x:v>0.06733796296296296</x:v>
      </x:c>
      <x:c r="J546" t="str">
        <x:f>IF(I546=0,"Did not attend",IF(I546&gt;='Read Me'!$E$2/86400,"Fully attended","Partially attended"))</x:f>
        <x:v>Fully attended</x:v>
      </x:c>
      <x:c r="K546" t="str">
        <x:f>IF($D546="","No",IF(COUNTIF('Attendance Report - Option 1'!$P$11:$P$315,$D546)&gt;0,"Yes","No"))</x:f>
        <x:v>No</x:v>
      </x:c>
      <x:c r="L546" t="str">
        <x:f>IF($D546="","No",IF(COUNTIF('Attendance Report - Option 2'!$P$11:$P$412,$D546)&gt;0,"Yes","No"))</x:f>
        <x:v>Yes</x:v>
      </x:c>
    </x:row>
    <x:row r="547">
      <x:c r="A547" t="str">
        <x:f>'EMA Assurance Employee List'!A548</x:f>
        <x:v>Jerry Zaipuna</x:v>
      </x:c>
      <x:c r="B547" t="str">
        <x:f>IF(C547="KE","Kenya",IF(C547="UG","Uganda",IF(C547="MU","Mauritius",IF(C547="TZ","Tanzania",IF(C547="RW","Rwanda",IF(C547="ZA","South Africa",IF(C547="ZM","Zambia","")))))))</x:f>
        <x:v>Tanzania</x:v>
      </x:c>
      <x:c r="C547" t="str">
        <x:f>'EMA Assurance Employee List'!B548</x:f>
        <x:v>TZ</x:v>
      </x:c>
      <x:c r="D547" t="str">
        <x:f>'EMA Assurance Employee List'!D548</x:f>
        <x:v>jerry.zaipuna@pwc.com</x:v>
      </x:c>
      <x:c r="E547" t="n">
        <x:f>IF($D547="",0,SUMIF('Attendance Report - Option 1'!$P$11:$P$315,$D547,'Attendance Report - Option 1'!$Q$11:$Q$315)/86400)</x:f>
        <x:v>0</x:v>
      </x:c>
      <x:c r="F547" t="str">
        <x:f>IF(E547=0,"Did not attend",IF(E547&gt;='Read Me'!$E$2/86400,"Fully attended","Partially attended"))</x:f>
        <x:v>Did not attend</x:v>
      </x:c>
      <x:c r="G547" t="n">
        <x:f>IF($D547="",0,SUMIF('Attendance Report - Option 2'!$P$11:$P$412,$D547,'Attendance Report - Option 2'!$Q$11:$Q$412)/86400)</x:f>
        <x:v>0.06914351851851852</x:v>
      </x:c>
      <x:c r="H547" t="str">
        <x:f>IF(G547=0,"Did not attend",IF(G547&gt;='Read Me'!$E$2/86400,"Fully attended","Partially attended"))</x:f>
        <x:v>Fully attended</x:v>
      </x:c>
      <x:c r="I547" t="n">
        <x:f>E547+G547</x:f>
        <x:v>0.06914351851851852</x:v>
      </x:c>
      <x:c r="J547" t="str">
        <x:f>IF(I547=0,"Did not attend",IF(I547&gt;='Read Me'!$E$2/86400,"Fully attended","Partially attended"))</x:f>
        <x:v>Fully attended</x:v>
      </x:c>
      <x:c r="K547" t="str">
        <x:f>IF($D547="","No",IF(COUNTIF('Attendance Report - Option 1'!$P$11:$P$315,$D547)&gt;0,"Yes","No"))</x:f>
        <x:v>No</x:v>
      </x:c>
      <x:c r="L547" t="str">
        <x:f>IF($D547="","No",IF(COUNTIF('Attendance Report - Option 2'!$P$11:$P$412,$D547)&gt;0,"Yes","No"))</x:f>
        <x:v>Yes</x:v>
      </x:c>
    </x:row>
    <x:row r="548">
      <x:c r="A548" t="str">
        <x:f>'EMA Assurance Employee List'!A549</x:f>
        <x:v>Joel Julian</x:v>
      </x:c>
      <x:c r="B548" t="str">
        <x:f>IF(C548="KE","Kenya",IF(C548="UG","Uganda",IF(C548="MU","Mauritius",IF(C548="TZ","Tanzania",IF(C548="RW","Rwanda",IF(C548="ZA","South Africa",IF(C548="ZM","Zambia","")))))))</x:f>
        <x:v>Tanzania</x:v>
      </x:c>
      <x:c r="C548" t="str">
        <x:f>'EMA Assurance Employee List'!B549</x:f>
        <x:v>TZ</x:v>
      </x:c>
      <x:c r="D548" t="str">
        <x:f>'EMA Assurance Employee List'!D549</x:f>
        <x:v>joel.julian@pwc.com</x:v>
      </x:c>
      <x:c r="E548" t="n">
        <x:f>IF($D548="",0,SUMIF('Attendance Report - Option 1'!$P$11:$P$315,$D548,'Attendance Report - Option 1'!$Q$11:$Q$315)/86400)</x:f>
        <x:v>0.04958333333333333</x:v>
      </x:c>
      <x:c r="F548" t="str">
        <x:f>IF(E548=0,"Did not attend",IF(E548&gt;='Read Me'!$E$2/86400,"Fully attended","Partially attended"))</x:f>
        <x:v>Partially attended</x:v>
      </x:c>
      <x:c r="G548" t="n">
        <x:f>IF($D548="",0,SUMIF('Attendance Report - Option 2'!$P$11:$P$412,$D548,'Attendance Report - Option 2'!$Q$11:$Q$412)/86400)</x:f>
        <x:v>0</x:v>
      </x:c>
      <x:c r="H548" t="str">
        <x:f>IF(G548=0,"Did not attend",IF(G548&gt;='Read Me'!$E$2/86400,"Fully attended","Partially attended"))</x:f>
        <x:v>Did not attend</x:v>
      </x:c>
      <x:c r="I548" t="n">
        <x:f>E548+G548</x:f>
        <x:v>0.04958333333333333</x:v>
      </x:c>
      <x:c r="J548" t="str">
        <x:f>IF(I548=0,"Did not attend",IF(I548&gt;='Read Me'!$E$2/86400,"Fully attended","Partially attended"))</x:f>
        <x:v>Partially attended</x:v>
      </x:c>
      <x:c r="K548" t="str">
        <x:f>IF($D548="","No",IF(COUNTIF('Attendance Report - Option 1'!$P$11:$P$315,$D548)&gt;0,"Yes","No"))</x:f>
        <x:v>Yes</x:v>
      </x:c>
      <x:c r="L548" t="str">
        <x:f>IF($D548="","No",IF(COUNTIF('Attendance Report - Option 2'!$P$11:$P$412,$D548)&gt;0,"Yes","No"))</x:f>
        <x:v>No</x:v>
      </x:c>
    </x:row>
    <x:row r="549">
      <x:c r="A549" t="str">
        <x:f>'EMA Assurance Employee List'!A550</x:f>
        <x:v>John Li</x:v>
      </x:c>
      <x:c r="B549" t="str">
        <x:f>IF(C549="KE","Kenya",IF(C549="UG","Uganda",IF(C549="MU","Mauritius",IF(C549="TZ","Tanzania",IF(C549="RW","Rwanda",IF(C549="ZA","South Africa",IF(C549="ZM","Zambia","")))))))</x:f>
        <x:v>Mauritius</x:v>
      </x:c>
      <x:c r="C549" t="str">
        <x:f>'EMA Assurance Employee List'!B550</x:f>
        <x:v>MU</x:v>
      </x:c>
      <x:c r="D549" t="str">
        <x:f>'EMA Assurance Employee List'!D550</x:f>
        <x:v>john.s.li@pwc.com</x:v>
      </x:c>
      <x:c r="E549" t="n">
        <x:f>IF($D549="",0,SUMIF('Attendance Report - Option 1'!$P$11:$P$315,$D549,'Attendance Report - Option 1'!$Q$11:$Q$315)/86400)</x:f>
        <x:v>0</x:v>
      </x:c>
      <x:c r="F549" t="str">
        <x:f>IF(E549=0,"Did not attend",IF(E549&gt;='Read Me'!$E$2/86400,"Fully attended","Partially attended"))</x:f>
        <x:v>Did not attend</x:v>
      </x:c>
      <x:c r="G549" t="n">
        <x:f>IF($D549="",0,SUMIF('Attendance Report - Option 2'!$P$11:$P$412,$D549,'Attendance Report - Option 2'!$Q$11:$Q$412)/86400)</x:f>
        <x:v>0.051006944444444445</x:v>
      </x:c>
      <x:c r="H549" t="str">
        <x:f>IF(G549=0,"Did not attend",IF(G549&gt;='Read Me'!$E$2/86400,"Fully attended","Partially attended"))</x:f>
        <x:v>Partially attended</x:v>
      </x:c>
      <x:c r="I549" t="n">
        <x:f>E549+G549</x:f>
        <x:v>0.051006944444444445</x:v>
      </x:c>
      <x:c r="J549" t="str">
        <x:f>IF(I549=0,"Did not attend",IF(I549&gt;='Read Me'!$E$2/86400,"Fully attended","Partially attended"))</x:f>
        <x:v>Partially attended</x:v>
      </x:c>
      <x:c r="K549" t="str">
        <x:f>IF($D549="","No",IF(COUNTIF('Attendance Report - Option 1'!$P$11:$P$315,$D549)&gt;0,"Yes","No"))</x:f>
        <x:v>No</x:v>
      </x:c>
      <x:c r="L549" t="str">
        <x:f>IF($D549="","No",IF(COUNTIF('Attendance Report - Option 2'!$P$11:$P$412,$D549)&gt;0,"Yes","No"))</x:f>
        <x:v>Yes</x:v>
      </x:c>
    </x:row>
    <x:row r="550">
      <x:c r="A550" t="str">
        <x:f>'EMA Assurance Employee List'!A551</x:f>
        <x:v>JohnBaptist Wachira</x:v>
      </x:c>
      <x:c r="B550" t="str">
        <x:f>IF(C550="KE","Kenya",IF(C550="UG","Uganda",IF(C550="MU","Mauritius",IF(C550="TZ","Tanzania",IF(C550="RW","Rwanda",IF(C550="ZA","South Africa",IF(C550="ZM","Zambia","")))))))</x:f>
        <x:v>Kenya</x:v>
      </x:c>
      <x:c r="C550" t="str">
        <x:f>'EMA Assurance Employee List'!B551</x:f>
        <x:v>KE</x:v>
      </x:c>
      <x:c r="D550" t="str">
        <x:f>'EMA Assurance Employee List'!D551</x:f>
        <x:v>johnbaptist.wachira@pwc.com</x:v>
      </x:c>
      <x:c r="E550" t="n">
        <x:f>IF($D550="",0,SUMIF('Attendance Report - Option 1'!$P$11:$P$315,$D550,'Attendance Report - Option 1'!$Q$11:$Q$315)/86400)</x:f>
        <x:v>0.07127314814814815</x:v>
      </x:c>
      <x:c r="F550" t="str">
        <x:f>IF(E550=0,"Did not attend",IF(E550&gt;='Read Me'!$E$2/86400,"Fully attended","Partially attended"))</x:f>
        <x:v>Fully attended</x:v>
      </x:c>
      <x:c r="G550" t="n">
        <x:f>IF($D550="",0,SUMIF('Attendance Report - Option 2'!$P$11:$P$412,$D550,'Attendance Report - Option 2'!$Q$11:$Q$412)/86400)</x:f>
        <x:v>0</x:v>
      </x:c>
      <x:c r="H550" t="str">
        <x:f>IF(G550=0,"Did not attend",IF(G550&gt;='Read Me'!$E$2/86400,"Fully attended","Partially attended"))</x:f>
        <x:v>Did not attend</x:v>
      </x:c>
      <x:c r="I550" t="n">
        <x:f>E550+G550</x:f>
        <x:v>0.07127314814814815</x:v>
      </x:c>
      <x:c r="J550" t="str">
        <x:f>IF(I550=0,"Did not attend",IF(I550&gt;='Read Me'!$E$2/86400,"Fully attended","Partially attended"))</x:f>
        <x:v>Fully attended</x:v>
      </x:c>
      <x:c r="K550" t="str">
        <x:f>IF($D550="","No",IF(COUNTIF('Attendance Report - Option 1'!$P$11:$P$315,$D550)&gt;0,"Yes","No"))</x:f>
        <x:v>Yes</x:v>
      </x:c>
      <x:c r="L550" t="str">
        <x:f>IF($D550="","No",IF(COUNTIF('Attendance Report - Option 2'!$P$11:$P$412,$D550)&gt;0,"Yes","No"))</x:f>
        <x:v>No</x:v>
      </x:c>
    </x:row>
    <x:row r="551">
      <x:c r="A551" t="str">
        <x:f>'EMA Assurance Employee List'!A552</x:f>
        <x:v>Joseph Temu</x:v>
      </x:c>
      <x:c r="B551" t="str">
        <x:f>IF(C551="KE","Kenya",IF(C551="UG","Uganda",IF(C551="MU","Mauritius",IF(C551="TZ","Tanzania",IF(C551="RW","Rwanda",IF(C551="ZA","South Africa",IF(C551="ZM","Zambia","")))))))</x:f>
        <x:v>Tanzania</x:v>
      </x:c>
      <x:c r="C551" t="str">
        <x:f>'EMA Assurance Employee List'!B552</x:f>
        <x:v>TZ</x:v>
      </x:c>
      <x:c r="D551" t="str">
        <x:f>'EMA Assurance Employee List'!D552</x:f>
        <x:v>joseph.temu@pwc.com</x:v>
      </x:c>
      <x:c r="E551" t="n">
        <x:f>IF($D551="",0,SUMIF('Attendance Report - Option 1'!$P$11:$P$315,$D551,'Attendance Report - Option 1'!$Q$11:$Q$315)/86400)</x:f>
        <x:v>0</x:v>
      </x:c>
      <x:c r="F551" t="str">
        <x:f>IF(E551=0,"Did not attend",IF(E551&gt;='Read Me'!$E$2/86400,"Fully attended","Partially attended"))</x:f>
        <x:v>Did not attend</x:v>
      </x:c>
      <x:c r="G551" t="n">
        <x:f>IF($D551="",0,SUMIF('Attendance Report - Option 2'!$P$11:$P$412,$D551,'Attendance Report - Option 2'!$Q$11:$Q$412)/86400)</x:f>
        <x:v>0.07605324074074074</x:v>
      </x:c>
      <x:c r="H551" t="str">
        <x:f>IF(G551=0,"Did not attend",IF(G551&gt;='Read Me'!$E$2/86400,"Fully attended","Partially attended"))</x:f>
        <x:v>Fully attended</x:v>
      </x:c>
      <x:c r="I551" t="n">
        <x:f>E551+G551</x:f>
        <x:v>0.07605324074074074</x:v>
      </x:c>
      <x:c r="J551" t="str">
        <x:f>IF(I551=0,"Did not attend",IF(I551&gt;='Read Me'!$E$2/86400,"Fully attended","Partially attended"))</x:f>
        <x:v>Fully attended</x:v>
      </x:c>
      <x:c r="K551" t="str">
        <x:f>IF($D551="","No",IF(COUNTIF('Attendance Report - Option 1'!$P$11:$P$315,$D551)&gt;0,"Yes","No"))</x:f>
        <x:v>No</x:v>
      </x:c>
      <x:c r="L551" t="str">
        <x:f>IF($D551="","No",IF(COUNTIF('Attendance Report - Option 2'!$P$11:$P$412,$D551)&gt;0,"Yes","No"))</x:f>
        <x:v>Yes</x:v>
      </x:c>
    </x:row>
    <x:row r="552">
      <x:c r="A552" t="str">
        <x:f>'EMA Assurance Employee List'!A553</x:f>
        <x:v>Joseph Wanjohi</x:v>
      </x:c>
      <x:c r="B552" t="str">
        <x:f>IF(C552="KE","Kenya",IF(C552="UG","Uganda",IF(C552="MU","Mauritius",IF(C552="TZ","Tanzania",IF(C552="RW","Rwanda",IF(C552="ZA","South Africa",IF(C552="ZM","Zambia","")))))))</x:f>
        <x:v>Kenya</x:v>
      </x:c>
      <x:c r="C552" t="str">
        <x:f>'EMA Assurance Employee List'!B553</x:f>
        <x:v>KE</x:v>
      </x:c>
      <x:c r="D552" t="str">
        <x:f>'EMA Assurance Employee List'!D553</x:f>
        <x:v>joseph.wanjohi@pwc.com</x:v>
      </x:c>
      <x:c r="E552" t="n">
        <x:f>IF($D552="",0,SUMIF('Attendance Report - Option 1'!$P$11:$P$315,$D552,'Attendance Report - Option 1'!$Q$11:$Q$315)/86400)</x:f>
        <x:v>0</x:v>
      </x:c>
      <x:c r="F552" t="str">
        <x:f>IF(E552=0,"Did not attend",IF(E552&gt;='Read Me'!$E$2/86400,"Fully attended","Partially attended"))</x:f>
        <x:v>Did not attend</x:v>
      </x:c>
      <x:c r="G552" t="n">
        <x:f>IF($D552="",0,SUMIF('Attendance Report - Option 2'!$P$11:$P$412,$D552,'Attendance Report - Option 2'!$Q$11:$Q$412)/86400)</x:f>
        <x:v>0.07461805555555556</x:v>
      </x:c>
      <x:c r="H552" t="str">
        <x:f>IF(G552=0,"Did not attend",IF(G552&gt;='Read Me'!$E$2/86400,"Fully attended","Partially attended"))</x:f>
        <x:v>Fully attended</x:v>
      </x:c>
      <x:c r="I552" t="n">
        <x:f>E552+G552</x:f>
        <x:v>0.07461805555555556</x:v>
      </x:c>
      <x:c r="J552" t="str">
        <x:f>IF(I552=0,"Did not attend",IF(I552&gt;='Read Me'!$E$2/86400,"Fully attended","Partially attended"))</x:f>
        <x:v>Fully attended</x:v>
      </x:c>
      <x:c r="K552" t="str">
        <x:f>IF($D552="","No",IF(COUNTIF('Attendance Report - Option 1'!$P$11:$P$315,$D552)&gt;0,"Yes","No"))</x:f>
        <x:v>No</x:v>
      </x:c>
      <x:c r="L552" t="str">
        <x:f>IF($D552="","No",IF(COUNTIF('Attendance Report - Option 2'!$P$11:$P$412,$D552)&gt;0,"Yes","No"))</x:f>
        <x:v>Yes</x:v>
      </x:c>
    </x:row>
    <x:row r="553">
      <x:c r="A553" t="str">
        <x:f>'EMA Assurance Employee List'!A554</x:f>
        <x:v>Joshua Mololo</x:v>
      </x:c>
      <x:c r="B553" t="str">
        <x:f>IF(C553="KE","Kenya",IF(C553="UG","Uganda",IF(C553="MU","Mauritius",IF(C553="TZ","Tanzania",IF(C553="RW","Rwanda",IF(C553="ZA","South Africa",IF(C553="ZM","Zambia","")))))))</x:f>
        <x:v>Tanzania</x:v>
      </x:c>
      <x:c r="C553" t="str">
        <x:f>'EMA Assurance Employee List'!B554</x:f>
        <x:v>TZ</x:v>
      </x:c>
      <x:c r="D553" t="str">
        <x:f>'EMA Assurance Employee List'!D554</x:f>
        <x:v>joshua.mololo@pwc.com</x:v>
      </x:c>
      <x:c r="E553" t="n">
        <x:f>IF($D553="",0,SUMIF('Attendance Report - Option 1'!$P$11:$P$315,$D553,'Attendance Report - Option 1'!$Q$11:$Q$315)/86400)</x:f>
        <x:v>0.08405092592592593</x:v>
      </x:c>
      <x:c r="F553" t="str">
        <x:f>IF(E553=0,"Did not attend",IF(E553&gt;='Read Me'!$E$2/86400,"Fully attended","Partially attended"))</x:f>
        <x:v>Fully attended</x:v>
      </x:c>
      <x:c r="G553" t="n">
        <x:f>IF($D553="",0,SUMIF('Attendance Report - Option 2'!$P$11:$P$412,$D553,'Attendance Report - Option 2'!$Q$11:$Q$412)/86400)</x:f>
        <x:v>0</x:v>
      </x:c>
      <x:c r="H553" t="str">
        <x:f>IF(G553=0,"Did not attend",IF(G553&gt;='Read Me'!$E$2/86400,"Fully attended","Partially attended"))</x:f>
        <x:v>Did not attend</x:v>
      </x:c>
      <x:c r="I553" t="n">
        <x:f>E553+G553</x:f>
        <x:v>0.08405092592592593</x:v>
      </x:c>
      <x:c r="J553" t="str">
        <x:f>IF(I553=0,"Did not attend",IF(I553&gt;='Read Me'!$E$2/86400,"Fully attended","Partially attended"))</x:f>
        <x:v>Fully attended</x:v>
      </x:c>
      <x:c r="K553" t="str">
        <x:f>IF($D553="","No",IF(COUNTIF('Attendance Report - Option 1'!$P$11:$P$315,$D553)&gt;0,"Yes","No"))</x:f>
        <x:v>Yes</x:v>
      </x:c>
      <x:c r="L553" t="str">
        <x:f>IF($D553="","No",IF(COUNTIF('Attendance Report - Option 2'!$P$11:$P$412,$D553)&gt;0,"Yes","No"))</x:f>
        <x:v>No</x:v>
      </x:c>
    </x:row>
    <x:row r="554">
      <x:c r="A554" t="str">
        <x:f>'EMA Assurance Employee List'!A555</x:f>
        <x:v>Joshua Nzali</x:v>
      </x:c>
      <x:c r="B554" t="str">
        <x:f>IF(C554="KE","Kenya",IF(C554="UG","Uganda",IF(C554="MU","Mauritius",IF(C554="TZ","Tanzania",IF(C554="RW","Rwanda",IF(C554="ZA","South Africa",IF(C554="ZM","Zambia","")))))))</x:f>
        <x:v>Tanzania</x:v>
      </x:c>
      <x:c r="C554" t="str">
        <x:f>'EMA Assurance Employee List'!B555</x:f>
        <x:v>TZ</x:v>
      </x:c>
      <x:c r="D554" t="str">
        <x:f>'EMA Assurance Employee List'!D555</x:f>
        <x:v>joshua.nzali@pwc.com</x:v>
      </x:c>
      <x:c r="E554" t="n">
        <x:f>IF($D554="",0,SUMIF('Attendance Report - Option 1'!$P$11:$P$315,$D554,'Attendance Report - Option 1'!$Q$11:$Q$315)/86400)</x:f>
        <x:v>0</x:v>
      </x:c>
      <x:c r="F554" t="str">
        <x:f>IF(E554=0,"Did not attend",IF(E554&gt;='Read Me'!$E$2/86400,"Fully attended","Partially attended"))</x:f>
        <x:v>Did not attend</x:v>
      </x:c>
      <x:c r="G554" t="n">
        <x:f>IF($D554="",0,SUMIF('Attendance Report - Option 2'!$P$11:$P$412,$D554,'Attendance Report - Option 2'!$Q$11:$Q$412)/86400)</x:f>
        <x:v>0.09701388888888889</x:v>
      </x:c>
      <x:c r="H554" t="str">
        <x:f>IF(G554=0,"Did not attend",IF(G554&gt;='Read Me'!$E$2/86400,"Fully attended","Partially attended"))</x:f>
        <x:v>Fully attended</x:v>
      </x:c>
      <x:c r="I554" t="n">
        <x:f>E554+G554</x:f>
        <x:v>0.09701388888888889</x:v>
      </x:c>
      <x:c r="J554" t="str">
        <x:f>IF(I554=0,"Did not attend",IF(I554&gt;='Read Me'!$E$2/86400,"Fully attended","Partially attended"))</x:f>
        <x:v>Fully attended</x:v>
      </x:c>
      <x:c r="K554" t="str">
        <x:f>IF($D554="","No",IF(COUNTIF('Attendance Report - Option 1'!$P$11:$P$315,$D554)&gt;0,"Yes","No"))</x:f>
        <x:v>No</x:v>
      </x:c>
      <x:c r="L554" t="str">
        <x:f>IF($D554="","No",IF(COUNTIF('Attendance Report - Option 2'!$P$11:$P$412,$D554)&gt;0,"Yes","No"))</x:f>
        <x:v>Yes</x:v>
      </x:c>
    </x:row>
    <x:row r="555">
      <x:c r="A555" t="str">
        <x:f>'EMA Assurance Employee List'!A556</x:f>
        <x:v>Josiane Tuyizere</x:v>
      </x:c>
      <x:c r="B555" t="str">
        <x:f>IF(C555="KE","Kenya",IF(C555="UG","Uganda",IF(C555="MU","Mauritius",IF(C555="TZ","Tanzania",IF(C555="RW","Rwanda",IF(C555="ZA","South Africa",IF(C555="ZM","Zambia","")))))))</x:f>
        <x:v>Rwanda</x:v>
      </x:c>
      <x:c r="C555" t="str">
        <x:f>'EMA Assurance Employee List'!B556</x:f>
        <x:v>RW</x:v>
      </x:c>
      <x:c r="D555" t="str">
        <x:f>'EMA Assurance Employee List'!D556</x:f>
        <x:v>josiane.tuyizere@pwc.com</x:v>
      </x:c>
      <x:c r="E555" t="n">
        <x:f>IF($D555="",0,SUMIF('Attendance Report - Option 1'!$P$11:$P$315,$D555,'Attendance Report - Option 1'!$Q$11:$Q$315)/86400)</x:f>
        <x:v>0</x:v>
      </x:c>
      <x:c r="F555" t="str">
        <x:f>IF(E555=0,"Did not attend",IF(E555&gt;='Read Me'!$E$2/86400,"Fully attended","Partially attended"))</x:f>
        <x:v>Did not attend</x:v>
      </x:c>
      <x:c r="G555" t="n">
        <x:f>IF($D555="",0,SUMIF('Attendance Report - Option 2'!$P$11:$P$412,$D555,'Attendance Report - Option 2'!$Q$11:$Q$412)/86400)</x:f>
        <x:v>0.046168981481481484</x:v>
      </x:c>
      <x:c r="H555" t="str">
        <x:f>IF(G555=0,"Did not attend",IF(G555&gt;='Read Me'!$E$2/86400,"Fully attended","Partially attended"))</x:f>
        <x:v>Partially attended</x:v>
      </x:c>
      <x:c r="I555" t="n">
        <x:f>E555+G555</x:f>
        <x:v>0.046168981481481484</x:v>
      </x:c>
      <x:c r="J555" t="str">
        <x:f>IF(I555=0,"Did not attend",IF(I555&gt;='Read Me'!$E$2/86400,"Fully attended","Partially attended"))</x:f>
        <x:v>Partially attended</x:v>
      </x:c>
      <x:c r="K555" t="str">
        <x:f>IF($D555="","No",IF(COUNTIF('Attendance Report - Option 1'!$P$11:$P$315,$D555)&gt;0,"Yes","No"))</x:f>
        <x:v>No</x:v>
      </x:c>
      <x:c r="L555" t="str">
        <x:f>IF($D555="","No",IF(COUNTIF('Attendance Report - Option 2'!$P$11:$P$412,$D555)&gt;0,"Yes","No"))</x:f>
        <x:v>Yes</x:v>
      </x:c>
    </x:row>
    <x:row r="556">
      <x:c r="A556" t="str">
        <x:f>'EMA Assurance Employee List'!A557</x:f>
        <x:v>Jovia Namulinda</x:v>
      </x:c>
      <x:c r="B556" t="str">
        <x:f>IF(C556="KE","Kenya",IF(C556="UG","Uganda",IF(C556="MU","Mauritius",IF(C556="TZ","Tanzania",IF(C556="RW","Rwanda",IF(C556="ZA","South Africa",IF(C556="ZM","Zambia","")))))))</x:f>
        <x:v>Uganda</x:v>
      </x:c>
      <x:c r="C556" t="str">
        <x:f>'EMA Assurance Employee List'!B557</x:f>
        <x:v>UG</x:v>
      </x:c>
      <x:c r="D556" t="str">
        <x:f>'EMA Assurance Employee List'!D557</x:f>
        <x:v>jovia.namulinda@pwc.com</x:v>
      </x:c>
      <x:c r="E556" t="n">
        <x:f>IF($D556="",0,SUMIF('Attendance Report - Option 1'!$P$11:$P$315,$D556,'Attendance Report - Option 1'!$Q$11:$Q$315)/86400)</x:f>
        <x:v>0</x:v>
      </x:c>
      <x:c r="F556" t="str">
        <x:f>IF(E556=0,"Did not attend",IF(E556&gt;='Read Me'!$E$2/86400,"Fully attended","Partially attended"))</x:f>
        <x:v>Did not attend</x:v>
      </x:c>
      <x:c r="G556" t="n">
        <x:f>IF($D556="",0,SUMIF('Attendance Report - Option 2'!$P$11:$P$412,$D556,'Attendance Report - Option 2'!$Q$11:$Q$412)/86400)</x:f>
        <x:v>0.07059027777777778</x:v>
      </x:c>
      <x:c r="H556" t="str">
        <x:f>IF(G556=0,"Did not attend",IF(G556&gt;='Read Me'!$E$2/86400,"Fully attended","Partially attended"))</x:f>
        <x:v>Fully attended</x:v>
      </x:c>
      <x:c r="I556" t="n">
        <x:f>E556+G556</x:f>
        <x:v>0.07059027777777778</x:v>
      </x:c>
      <x:c r="J556" t="str">
        <x:f>IF(I556=0,"Did not attend",IF(I556&gt;='Read Me'!$E$2/86400,"Fully attended","Partially attended"))</x:f>
        <x:v>Fully attended</x:v>
      </x:c>
      <x:c r="K556" t="str">
        <x:f>IF($D556="","No",IF(COUNTIF('Attendance Report - Option 1'!$P$11:$P$315,$D556)&gt;0,"Yes","No"))</x:f>
        <x:v>No</x:v>
      </x:c>
      <x:c r="L556" t="str">
        <x:f>IF($D556="","No",IF(COUNTIF('Attendance Report - Option 2'!$P$11:$P$412,$D556)&gt;0,"Yes","No"))</x:f>
        <x:v>Yes</x:v>
      </x:c>
    </x:row>
    <x:row r="557">
      <x:c r="A557" t="str">
        <x:f>'EMA Assurance Employee List'!A558</x:f>
        <x:v>Judith Okoyo</x:v>
      </x:c>
      <x:c r="B557" t="str">
        <x:f>IF(C557="KE","Kenya",IF(C557="UG","Uganda",IF(C557="MU","Mauritius",IF(C557="TZ","Tanzania",IF(C557="RW","Rwanda",IF(C557="ZA","South Africa",IF(C557="ZM","Zambia","")))))))</x:f>
        <x:v>Kenya</x:v>
      </x:c>
      <x:c r="C557" t="str">
        <x:f>'EMA Assurance Employee List'!B558</x:f>
        <x:v>KE</x:v>
      </x:c>
      <x:c r="D557" t="str">
        <x:f>'EMA Assurance Employee List'!D558</x:f>
        <x:v>judith.okoyo@pwc.com</x:v>
      </x:c>
      <x:c r="E557" t="n">
        <x:f>IF($D557="",0,SUMIF('Attendance Report - Option 1'!$P$11:$P$315,$D557,'Attendance Report - Option 1'!$Q$11:$Q$315)/86400)</x:f>
        <x:v>0.048414351851851854</x:v>
      </x:c>
      <x:c r="F557" t="str">
        <x:f>IF(E557=0,"Did not attend",IF(E557&gt;='Read Me'!$E$2/86400,"Fully attended","Partially attended"))</x:f>
        <x:v>Partially attended</x:v>
      </x:c>
      <x:c r="G557" t="n">
        <x:f>IF($D557="",0,SUMIF('Attendance Report - Option 2'!$P$11:$P$412,$D557,'Attendance Report - Option 2'!$Q$11:$Q$412)/86400)</x:f>
        <x:v>0</x:v>
      </x:c>
      <x:c r="H557" t="str">
        <x:f>IF(G557=0,"Did not attend",IF(G557&gt;='Read Me'!$E$2/86400,"Fully attended","Partially attended"))</x:f>
        <x:v>Did not attend</x:v>
      </x:c>
      <x:c r="I557" t="n">
        <x:f>E557+G557</x:f>
        <x:v>0.048414351851851854</x:v>
      </x:c>
      <x:c r="J557" t="str">
        <x:f>IF(I557=0,"Did not attend",IF(I557&gt;='Read Me'!$E$2/86400,"Fully attended","Partially attended"))</x:f>
        <x:v>Partially attended</x:v>
      </x:c>
      <x:c r="K557" t="str">
        <x:f>IF($D557="","No",IF(COUNTIF('Attendance Report - Option 1'!$P$11:$P$315,$D557)&gt;0,"Yes","No"))</x:f>
        <x:v>Yes</x:v>
      </x:c>
      <x:c r="L557" t="str">
        <x:f>IF($D557="","No",IF(COUNTIF('Attendance Report - Option 2'!$P$11:$P$412,$D557)&gt;0,"Yes","No"))</x:f>
        <x:v>No</x:v>
      </x:c>
    </x:row>
    <x:row r="558">
      <x:c r="A558" t="str">
        <x:f>'EMA Assurance Employee List'!A559</x:f>
        <x:v>Karan Raggoo</x:v>
      </x:c>
      <x:c r="B558" t="str">
        <x:f>IF(C558="KE","Kenya",IF(C558="UG","Uganda",IF(C558="MU","Mauritius",IF(C558="TZ","Tanzania",IF(C558="RW","Rwanda",IF(C558="ZA","South Africa",IF(C558="ZM","Zambia","")))))))</x:f>
        <x:v>Mauritius</x:v>
      </x:c>
      <x:c r="C558" t="str">
        <x:f>'EMA Assurance Employee List'!B559</x:f>
        <x:v>MU</x:v>
      </x:c>
      <x:c r="D558" t="str">
        <x:f>'EMA Assurance Employee List'!D559</x:f>
        <x:v>karan.raggoo@pwc.com</x:v>
      </x:c>
      <x:c r="E558" t="n">
        <x:f>IF($D558="",0,SUMIF('Attendance Report - Option 1'!$P$11:$P$315,$D558,'Attendance Report - Option 1'!$Q$11:$Q$315)/86400)</x:f>
        <x:v>0.0019097222222222222</x:v>
      </x:c>
      <x:c r="F558" t="str">
        <x:f>IF(E558=0,"Did not attend",IF(E558&gt;='Read Me'!$E$2/86400,"Fully attended","Partially attended"))</x:f>
        <x:v>Partially attended</x:v>
      </x:c>
      <x:c r="G558" t="n">
        <x:f>IF($D558="",0,SUMIF('Attendance Report - Option 2'!$P$11:$P$412,$D558,'Attendance Report - Option 2'!$Q$11:$Q$412)/86400)</x:f>
        <x:v>0</x:v>
      </x:c>
      <x:c r="H558" t="str">
        <x:f>IF(G558=0,"Did not attend",IF(G558&gt;='Read Me'!$E$2/86400,"Fully attended","Partially attended"))</x:f>
        <x:v>Did not attend</x:v>
      </x:c>
      <x:c r="I558" t="n">
        <x:f>E558+G558</x:f>
        <x:v>0.0019097222222222222</x:v>
      </x:c>
      <x:c r="J558" t="str">
        <x:f>IF(I558=0,"Did not attend",IF(I558&gt;='Read Me'!$E$2/86400,"Fully attended","Partially attended"))</x:f>
        <x:v>Partially attended</x:v>
      </x:c>
      <x:c r="K558" t="str">
        <x:f>IF($D558="","No",IF(COUNTIF('Attendance Report - Option 1'!$P$11:$P$315,$D558)&gt;0,"Yes","No"))</x:f>
        <x:v>Yes</x:v>
      </x:c>
      <x:c r="L558" t="str">
        <x:f>IF($D558="","No",IF(COUNTIF('Attendance Report - Option 2'!$P$11:$P$412,$D558)&gt;0,"Yes","No"))</x:f>
        <x:v>No</x:v>
      </x:c>
    </x:row>
    <x:row r="559">
      <x:c r="A559" t="str">
        <x:f>'EMA Assurance Employee List'!A560</x:f>
        <x:v>Karen Cha Sow King</x:v>
      </x:c>
      <x:c r="B559" t="str">
        <x:f>IF(C559="KE","Kenya",IF(C559="UG","Uganda",IF(C559="MU","Mauritius",IF(C559="TZ","Tanzania",IF(C559="RW","Rwanda",IF(C559="ZA","South Africa",IF(C559="ZM","Zambia","")))))))</x:f>
        <x:v>Mauritius</x:v>
      </x:c>
      <x:c r="C559" t="str">
        <x:f>'EMA Assurance Employee List'!B560</x:f>
        <x:v>MU</x:v>
      </x:c>
      <x:c r="D559" t="str">
        <x:f>'EMA Assurance Employee List'!D560</x:f>
        <x:v>karen.cha.sow.k.king@pwc.com</x:v>
      </x:c>
      <x:c r="E559" t="n">
        <x:f>IF($D559="",0,SUMIF('Attendance Report - Option 1'!$P$11:$P$315,$D559,'Attendance Report - Option 1'!$Q$11:$Q$315)/86400)</x:f>
        <x:v>0.0804861111111111</x:v>
      </x:c>
      <x:c r="F559" t="str">
        <x:f>IF(E559=0,"Did not attend",IF(E559&gt;='Read Me'!$E$2/86400,"Fully attended","Partially attended"))</x:f>
        <x:v>Fully attended</x:v>
      </x:c>
      <x:c r="G559" t="n">
        <x:f>IF($D559="",0,SUMIF('Attendance Report - Option 2'!$P$11:$P$412,$D559,'Attendance Report - Option 2'!$Q$11:$Q$412)/86400)</x:f>
        <x:v>0</x:v>
      </x:c>
      <x:c r="H559" t="str">
        <x:f>IF(G559=0,"Did not attend",IF(G559&gt;='Read Me'!$E$2/86400,"Fully attended","Partially attended"))</x:f>
        <x:v>Did not attend</x:v>
      </x:c>
      <x:c r="I559" t="n">
        <x:f>E559+G559</x:f>
        <x:v>0.0804861111111111</x:v>
      </x:c>
      <x:c r="J559" t="str">
        <x:f>IF(I559=0,"Did not attend",IF(I559&gt;='Read Me'!$E$2/86400,"Fully attended","Partially attended"))</x:f>
        <x:v>Fully attended</x:v>
      </x:c>
      <x:c r="K559" t="str">
        <x:f>IF($D559="","No",IF(COUNTIF('Attendance Report - Option 1'!$P$11:$P$315,$D559)&gt;0,"Yes","No"))</x:f>
        <x:v>Yes</x:v>
      </x:c>
      <x:c r="L559" t="str">
        <x:f>IF($D559="","No",IF(COUNTIF('Attendance Report - Option 2'!$P$11:$P$412,$D559)&gt;0,"Yes","No"))</x:f>
        <x:v>No</x:v>
      </x:c>
    </x:row>
    <x:row r="560">
      <x:c r="A560" t="str">
        <x:f>'EMA Assurance Employee List'!A561</x:f>
        <x:v>Katai Nakazwe</x:v>
      </x:c>
      <x:c r="B560" t="str">
        <x:f>IF(C560="KE","Kenya",IF(C560="UG","Uganda",IF(C560="MU","Mauritius",IF(C560="TZ","Tanzania",IF(C560="RW","Rwanda",IF(C560="ZA","South Africa",IF(C560="ZM","Zambia","")))))))</x:f>
        <x:v>Zambia</x:v>
      </x:c>
      <x:c r="C560" t="str">
        <x:f>'EMA Assurance Employee List'!B561</x:f>
        <x:v>ZM</x:v>
      </x:c>
      <x:c r="D560" t="str">
        <x:f>'EMA Assurance Employee List'!D561</x:f>
        <x:v>katai.nakazwe@pwc.com</x:v>
      </x:c>
      <x:c r="E560" t="n">
        <x:f>IF($D560="",0,SUMIF('Attendance Report - Option 1'!$P$11:$P$315,$D560,'Attendance Report - Option 1'!$Q$11:$Q$315)/86400)</x:f>
        <x:v>0.09431712962962963</x:v>
      </x:c>
      <x:c r="F560" t="str">
        <x:f>IF(E560=0,"Did not attend",IF(E560&gt;='Read Me'!$E$2/86400,"Fully attended","Partially attended"))</x:f>
        <x:v>Fully attended</x:v>
      </x:c>
      <x:c r="G560" t="n">
        <x:f>IF($D560="",0,SUMIF('Attendance Report - Option 2'!$P$11:$P$412,$D560,'Attendance Report - Option 2'!$Q$11:$Q$412)/86400)</x:f>
        <x:v>0</x:v>
      </x:c>
      <x:c r="H560" t="str">
        <x:f>IF(G560=0,"Did not attend",IF(G560&gt;='Read Me'!$E$2/86400,"Fully attended","Partially attended"))</x:f>
        <x:v>Did not attend</x:v>
      </x:c>
      <x:c r="I560" t="n">
        <x:f>E560+G560</x:f>
        <x:v>0.09431712962962963</x:v>
      </x:c>
      <x:c r="J560" t="str">
        <x:f>IF(I560=0,"Did not attend",IF(I560&gt;='Read Me'!$E$2/86400,"Fully attended","Partially attended"))</x:f>
        <x:v>Fully attended</x:v>
      </x:c>
      <x:c r="K560" t="str">
        <x:f>IF($D560="","No",IF(COUNTIF('Attendance Report - Option 1'!$P$11:$P$315,$D560)&gt;0,"Yes","No"))</x:f>
        <x:v>Yes</x:v>
      </x:c>
      <x:c r="L560" t="str">
        <x:f>IF($D560="","No",IF(COUNTIF('Attendance Report - Option 2'!$P$11:$P$412,$D560)&gt;0,"Yes","No"))</x:f>
        <x:v>No</x:v>
      </x:c>
    </x:row>
    <x:row r="561">
      <x:c r="A561" t="str">
        <x:f>'EMA Assurance Employee List'!A562</x:f>
        <x:v>Katayi Kachinda</x:v>
      </x:c>
      <x:c r="B561" t="str">
        <x:f>IF(C561="KE","Kenya",IF(C561="UG","Uganda",IF(C561="MU","Mauritius",IF(C561="TZ","Tanzania",IF(C561="RW","Rwanda",IF(C561="ZA","South Africa",IF(C561="ZM","Zambia","")))))))</x:f>
        <x:v>Zambia</x:v>
      </x:c>
      <x:c r="C561" t="str">
        <x:f>'EMA Assurance Employee List'!B562</x:f>
        <x:v>ZM</x:v>
      </x:c>
      <x:c r="D561" t="str">
        <x:f>'EMA Assurance Employee List'!D562</x:f>
        <x:v>katayi.kachinda@pwc.com</x:v>
      </x:c>
      <x:c r="E561" t="n">
        <x:f>IF($D561="",0,SUMIF('Attendance Report - Option 1'!$P$11:$P$315,$D561,'Attendance Report - Option 1'!$Q$11:$Q$315)/86400)</x:f>
        <x:v>0</x:v>
      </x:c>
      <x:c r="F561" t="str">
        <x:f>IF(E561=0,"Did not attend",IF(E561&gt;='Read Me'!$E$2/86400,"Fully attended","Partially attended"))</x:f>
        <x:v>Did not attend</x:v>
      </x:c>
      <x:c r="G561" t="n">
        <x:f>IF($D561="",0,SUMIF('Attendance Report - Option 2'!$P$11:$P$412,$D561,'Attendance Report - Option 2'!$Q$11:$Q$412)/86400)</x:f>
        <x:v>0.047280092592592596</x:v>
      </x:c>
      <x:c r="H561" t="str">
        <x:f>IF(G561=0,"Did not attend",IF(G561&gt;='Read Me'!$E$2/86400,"Fully attended","Partially attended"))</x:f>
        <x:v>Partially attended</x:v>
      </x:c>
      <x:c r="I561" t="n">
        <x:f>E561+G561</x:f>
        <x:v>0.047280092592592596</x:v>
      </x:c>
      <x:c r="J561" t="str">
        <x:f>IF(I561=0,"Did not attend",IF(I561&gt;='Read Me'!$E$2/86400,"Fully attended","Partially attended"))</x:f>
        <x:v>Partially attended</x:v>
      </x:c>
      <x:c r="K561" t="str">
        <x:f>IF($D561="","No",IF(COUNTIF('Attendance Report - Option 1'!$P$11:$P$315,$D561)&gt;0,"Yes","No"))</x:f>
        <x:v>No</x:v>
      </x:c>
      <x:c r="L561" t="str">
        <x:f>IF($D561="","No",IF(COUNTIF('Attendance Report - Option 2'!$P$11:$P$412,$D561)&gt;0,"Yes","No"))</x:f>
        <x:v>Yes</x:v>
      </x:c>
    </x:row>
    <x:row r="562">
      <x:c r="A562" t="str">
        <x:f>'EMA Assurance Employee List'!A563</x:f>
        <x:v>Kaunda Mwenya</x:v>
      </x:c>
      <x:c r="B562" t="str">
        <x:f>IF(C562="KE","Kenya",IF(C562="UG","Uganda",IF(C562="MU","Mauritius",IF(C562="TZ","Tanzania",IF(C562="RW","Rwanda",IF(C562="ZA","South Africa",IF(C562="ZM","Zambia","")))))))</x:f>
        <x:v>Zambia</x:v>
      </x:c>
      <x:c r="C562" t="str">
        <x:f>'EMA Assurance Employee List'!B563</x:f>
        <x:v>ZM</x:v>
      </x:c>
      <x:c r="D562" t="str">
        <x:f>'EMA Assurance Employee List'!D563</x:f>
        <x:v>kaunda.j.mwenya@pwc.com</x:v>
      </x:c>
      <x:c r="E562" t="n">
        <x:f>IF($D562="",0,SUMIF('Attendance Report - Option 1'!$P$11:$P$315,$D562,'Attendance Report - Option 1'!$Q$11:$Q$315)/86400)</x:f>
        <x:v>0</x:v>
      </x:c>
      <x:c r="F562" t="str">
        <x:f>IF(E562=0,"Did not attend",IF(E562&gt;='Read Me'!$E$2/86400,"Fully attended","Partially attended"))</x:f>
        <x:v>Did not attend</x:v>
      </x:c>
      <x:c r="G562" t="n">
        <x:f>IF($D562="",0,SUMIF('Attendance Report - Option 2'!$P$11:$P$412,$D562,'Attendance Report - Option 2'!$Q$11:$Q$412)/86400)</x:f>
        <x:v>0.05296296296296296</x:v>
      </x:c>
      <x:c r="H562" t="str">
        <x:f>IF(G562=0,"Did not attend",IF(G562&gt;='Read Me'!$E$2/86400,"Fully attended","Partially attended"))</x:f>
        <x:v>Partially attended</x:v>
      </x:c>
      <x:c r="I562" t="n">
        <x:f>E562+G562</x:f>
        <x:v>0.05296296296296296</x:v>
      </x:c>
      <x:c r="J562" t="str">
        <x:f>IF(I562=0,"Did not attend",IF(I562&gt;='Read Me'!$E$2/86400,"Fully attended","Partially attended"))</x:f>
        <x:v>Partially attended</x:v>
      </x:c>
      <x:c r="K562" t="str">
        <x:f>IF($D562="","No",IF(COUNTIF('Attendance Report - Option 1'!$P$11:$P$315,$D562)&gt;0,"Yes","No"))</x:f>
        <x:v>No</x:v>
      </x:c>
      <x:c r="L562" t="str">
        <x:f>IF($D562="","No",IF(COUNTIF('Attendance Report - Option 2'!$P$11:$P$412,$D562)&gt;0,"Yes","No"))</x:f>
        <x:v>Yes</x:v>
      </x:c>
    </x:row>
    <x:row r="563">
      <x:c r="A563" t="str">
        <x:f>'EMA Assurance Employee List'!A564</x:f>
        <x:v>Kelly Alowo</x:v>
      </x:c>
      <x:c r="B563" t="str">
        <x:f>IF(C563="KE","Kenya",IF(C563="UG","Uganda",IF(C563="MU","Mauritius",IF(C563="TZ","Tanzania",IF(C563="RW","Rwanda",IF(C563="ZA","South Africa",IF(C563="ZM","Zambia","")))))))</x:f>
        <x:v>Uganda</x:v>
      </x:c>
      <x:c r="C563" t="str">
        <x:f>'EMA Assurance Employee List'!B564</x:f>
        <x:v>UG</x:v>
      </x:c>
      <x:c r="D563" t="str">
        <x:f>'EMA Assurance Employee List'!D564</x:f>
        <x:v>kelly.alowo@pwc.com</x:v>
      </x:c>
      <x:c r="E563" t="n">
        <x:f>IF($D563="",0,SUMIF('Attendance Report - Option 1'!$P$11:$P$315,$D563,'Attendance Report - Option 1'!$Q$11:$Q$315)/86400)</x:f>
        <x:v>0</x:v>
      </x:c>
      <x:c r="F563" t="str">
        <x:f>IF(E563=0,"Did not attend",IF(E563&gt;='Read Me'!$E$2/86400,"Fully attended","Partially attended"))</x:f>
        <x:v>Did not attend</x:v>
      </x:c>
      <x:c r="G563" t="n">
        <x:f>IF($D563="",0,SUMIF('Attendance Report - Option 2'!$P$11:$P$412,$D563,'Attendance Report - Option 2'!$Q$11:$Q$412)/86400)</x:f>
        <x:v>0.07127314814814815</x:v>
      </x:c>
      <x:c r="H563" t="str">
        <x:f>IF(G563=0,"Did not attend",IF(G563&gt;='Read Me'!$E$2/86400,"Fully attended","Partially attended"))</x:f>
        <x:v>Fully attended</x:v>
      </x:c>
      <x:c r="I563" t="n">
        <x:f>E563+G563</x:f>
        <x:v>0.07127314814814815</x:v>
      </x:c>
      <x:c r="J563" t="str">
        <x:f>IF(I563=0,"Did not attend",IF(I563&gt;='Read Me'!$E$2/86400,"Fully attended","Partially attended"))</x:f>
        <x:v>Fully attended</x:v>
      </x:c>
      <x:c r="K563" t="str">
        <x:f>IF($D563="","No",IF(COUNTIF('Attendance Report - Option 1'!$P$11:$P$315,$D563)&gt;0,"Yes","No"))</x:f>
        <x:v>No</x:v>
      </x:c>
      <x:c r="L563" t="str">
        <x:f>IF($D563="","No",IF(COUNTIF('Attendance Report - Option 2'!$P$11:$P$412,$D563)&gt;0,"Yes","No"))</x:f>
        <x:v>Yes</x:v>
      </x:c>
    </x:row>
    <x:row r="564">
      <x:c r="A564" t="str">
        <x:f>'EMA Assurance Employee List'!A565</x:f>
        <x:v>Kelly Shema</x:v>
      </x:c>
      <x:c r="B564" t="str">
        <x:f>IF(C564="KE","Kenya",IF(C564="UG","Uganda",IF(C564="MU","Mauritius",IF(C564="TZ","Tanzania",IF(C564="RW","Rwanda",IF(C564="ZA","South Africa",IF(C564="ZM","Zambia","")))))))</x:f>
        <x:v>Rwanda</x:v>
      </x:c>
      <x:c r="C564" t="str">
        <x:f>'EMA Assurance Employee List'!B565</x:f>
        <x:v>RW</x:v>
      </x:c>
      <x:c r="D564" t="str">
        <x:f>'EMA Assurance Employee List'!D565</x:f>
        <x:v>kelly.shema@pwc.com</x:v>
      </x:c>
      <x:c r="E564" t="n">
        <x:f>IF($D564="",0,SUMIF('Attendance Report - Option 1'!$P$11:$P$315,$D564,'Attendance Report - Option 1'!$Q$11:$Q$315)/86400)</x:f>
        <x:v>0.03125</x:v>
      </x:c>
      <x:c r="F564" t="str">
        <x:f>IF(E564=0,"Did not attend",IF(E564&gt;='Read Me'!$E$2/86400,"Fully attended","Partially attended"))</x:f>
        <x:v>Partially attended</x:v>
      </x:c>
      <x:c r="G564" t="n">
        <x:f>IF($D564="",0,SUMIF('Attendance Report - Option 2'!$P$11:$P$412,$D564,'Attendance Report - Option 2'!$Q$11:$Q$412)/86400)</x:f>
        <x:v>0</x:v>
      </x:c>
      <x:c r="H564" t="str">
        <x:f>IF(G564=0,"Did not attend",IF(G564&gt;='Read Me'!$E$2/86400,"Fully attended","Partially attended"))</x:f>
        <x:v>Did not attend</x:v>
      </x:c>
      <x:c r="I564" t="n">
        <x:f>E564+G564</x:f>
        <x:v>0.03125</x:v>
      </x:c>
      <x:c r="J564" t="str">
        <x:f>IF(I564=0,"Did not attend",IF(I564&gt;='Read Me'!$E$2/86400,"Fully attended","Partially attended"))</x:f>
        <x:v>Partially attended</x:v>
      </x:c>
      <x:c r="K564" t="str">
        <x:f>IF($D564="","No",IF(COUNTIF('Attendance Report - Option 1'!$P$11:$P$315,$D564)&gt;0,"Yes","No"))</x:f>
        <x:v>Yes</x:v>
      </x:c>
      <x:c r="L564" t="str">
        <x:f>IF($D564="","No",IF(COUNTIF('Attendance Report - Option 2'!$P$11:$P$412,$D564)&gt;0,"Yes","No"))</x:f>
        <x:v>No</x:v>
      </x:c>
    </x:row>
    <x:row r="565">
      <x:c r="A565" t="str">
        <x:f>'EMA Assurance Employee List'!A566</x:f>
        <x:v>Kelvin Mlagala</x:v>
      </x:c>
      <x:c r="B565" t="str">
        <x:f>IF(C565="KE","Kenya",IF(C565="UG","Uganda",IF(C565="MU","Mauritius",IF(C565="TZ","Tanzania",IF(C565="RW","Rwanda",IF(C565="ZA","South Africa",IF(C565="ZM","Zambia","")))))))</x:f>
        <x:v>Tanzania</x:v>
      </x:c>
      <x:c r="C565" t="str">
        <x:f>'EMA Assurance Employee List'!B566</x:f>
        <x:v>TZ</x:v>
      </x:c>
      <x:c r="D565" t="str">
        <x:f>'EMA Assurance Employee List'!D566</x:f>
        <x:v>kelvin.mlagala@pwc.com</x:v>
      </x:c>
      <x:c r="E565" t="n">
        <x:f>IF($D565="",0,SUMIF('Attendance Report - Option 1'!$P$11:$P$315,$D565,'Attendance Report - Option 1'!$Q$11:$Q$315)/86400)</x:f>
        <x:v>0.03878472222222222</x:v>
      </x:c>
      <x:c r="F565" t="str">
        <x:f>IF(E565=0,"Did not attend",IF(E565&gt;='Read Me'!$E$2/86400,"Fully attended","Partially attended"))</x:f>
        <x:v>Partially attended</x:v>
      </x:c>
      <x:c r="G565" t="n">
        <x:f>IF($D565="",0,SUMIF('Attendance Report - Option 2'!$P$11:$P$412,$D565,'Attendance Report - Option 2'!$Q$11:$Q$412)/86400)</x:f>
        <x:v>0</x:v>
      </x:c>
      <x:c r="H565" t="str">
        <x:f>IF(G565=0,"Did not attend",IF(G565&gt;='Read Me'!$E$2/86400,"Fully attended","Partially attended"))</x:f>
        <x:v>Did not attend</x:v>
      </x:c>
      <x:c r="I565" t="n">
        <x:f>E565+G565</x:f>
        <x:v>0.03878472222222222</x:v>
      </x:c>
      <x:c r="J565" t="str">
        <x:f>IF(I565=0,"Did not attend",IF(I565&gt;='Read Me'!$E$2/86400,"Fully attended","Partially attended"))</x:f>
        <x:v>Partially attended</x:v>
      </x:c>
      <x:c r="K565" t="str">
        <x:f>IF($D565="","No",IF(COUNTIF('Attendance Report - Option 1'!$P$11:$P$315,$D565)&gt;0,"Yes","No"))</x:f>
        <x:v>Yes</x:v>
      </x:c>
      <x:c r="L565" t="str">
        <x:f>IF($D565="","No",IF(COUNTIF('Attendance Report - Option 2'!$P$11:$P$412,$D565)&gt;0,"Yes","No"))</x:f>
        <x:v>No</x:v>
      </x:c>
    </x:row>
    <x:row r="566">
      <x:c r="A566" t="str">
        <x:f>'EMA Assurance Employee List'!A567</x:f>
        <x:v>Kesha Seeputhy</x:v>
      </x:c>
      <x:c r="B566" t="str">
        <x:f>IF(C566="KE","Kenya",IF(C566="UG","Uganda",IF(C566="MU","Mauritius",IF(C566="TZ","Tanzania",IF(C566="RW","Rwanda",IF(C566="ZA","South Africa",IF(C566="ZM","Zambia","")))))))</x:f>
        <x:v>Mauritius</x:v>
      </x:c>
      <x:c r="C566" t="str">
        <x:f>'EMA Assurance Employee List'!B567</x:f>
        <x:v>MU</x:v>
      </x:c>
      <x:c r="D566" t="str">
        <x:f>'EMA Assurance Employee List'!D567</x:f>
        <x:v>kesha.seeputhy@pwc.com</x:v>
      </x:c>
      <x:c r="E566" t="n">
        <x:f>IF($D566="",0,SUMIF('Attendance Report - Option 1'!$P$11:$P$315,$D566,'Attendance Report - Option 1'!$Q$11:$Q$315)/86400)</x:f>
        <x:v>0</x:v>
      </x:c>
      <x:c r="F566" t="str">
        <x:f>IF(E566=0,"Did not attend",IF(E566&gt;='Read Me'!$E$2/86400,"Fully attended","Partially attended"))</x:f>
        <x:v>Did not attend</x:v>
      </x:c>
      <x:c r="G566" t="n">
        <x:f>IF($D566="",0,SUMIF('Attendance Report - Option 2'!$P$11:$P$412,$D566,'Attendance Report - Option 2'!$Q$11:$Q$412)/86400)</x:f>
        <x:v>0.07582175925925926</x:v>
      </x:c>
      <x:c r="H566" t="str">
        <x:f>IF(G566=0,"Did not attend",IF(G566&gt;='Read Me'!$E$2/86400,"Fully attended","Partially attended"))</x:f>
        <x:v>Fully attended</x:v>
      </x:c>
      <x:c r="I566" t="n">
        <x:f>E566+G566</x:f>
        <x:v>0.07582175925925926</x:v>
      </x:c>
      <x:c r="J566" t="str">
        <x:f>IF(I566=0,"Did not attend",IF(I566&gt;='Read Me'!$E$2/86400,"Fully attended","Partially attended"))</x:f>
        <x:v>Fully attended</x:v>
      </x:c>
      <x:c r="K566" t="str">
        <x:f>IF($D566="","No",IF(COUNTIF('Attendance Report - Option 1'!$P$11:$P$315,$D566)&gt;0,"Yes","No"))</x:f>
        <x:v>No</x:v>
      </x:c>
      <x:c r="L566" t="str">
        <x:f>IF($D566="","No",IF(COUNTIF('Attendance Report - Option 2'!$P$11:$P$412,$D566)&gt;0,"Yes","No"))</x:f>
        <x:v>Yes</x:v>
      </x:c>
    </x:row>
    <x:row r="567">
      <x:c r="A567" t="str">
        <x:f>'EMA Assurance Employee List'!A568</x:f>
        <x:v>Keshika Nuthoo</x:v>
      </x:c>
      <x:c r="B567" t="str">
        <x:f>IF(C567="KE","Kenya",IF(C567="UG","Uganda",IF(C567="MU","Mauritius",IF(C567="TZ","Tanzania",IF(C567="RW","Rwanda",IF(C567="ZA","South Africa",IF(C567="ZM","Zambia","")))))))</x:f>
        <x:v>Mauritius</x:v>
      </x:c>
      <x:c r="C567" t="str">
        <x:f>'EMA Assurance Employee List'!B568</x:f>
        <x:v>MU</x:v>
      </x:c>
      <x:c r="D567" t="str">
        <x:f>'EMA Assurance Employee List'!D568</x:f>
        <x:v>keshika.nuthoo@pwc.com</x:v>
      </x:c>
      <x:c r="E567" t="n">
        <x:f>IF($D567="",0,SUMIF('Attendance Report - Option 1'!$P$11:$P$315,$D567,'Attendance Report - Option 1'!$Q$11:$Q$315)/86400)</x:f>
        <x:v>0</x:v>
      </x:c>
      <x:c r="F567" t="str">
        <x:f>IF(E567=0,"Did not attend",IF(E567&gt;='Read Me'!$E$2/86400,"Fully attended","Partially attended"))</x:f>
        <x:v>Did not attend</x:v>
      </x:c>
      <x:c r="G567" t="n">
        <x:f>IF($D567="",0,SUMIF('Attendance Report - Option 2'!$P$11:$P$412,$D567,'Attendance Report - Option 2'!$Q$11:$Q$412)/86400)</x:f>
        <x:v>0.05443287037037037</x:v>
      </x:c>
      <x:c r="H567" t="str">
        <x:f>IF(G567=0,"Did not attend",IF(G567&gt;='Read Me'!$E$2/86400,"Fully attended","Partially attended"))</x:f>
        <x:v>Partially attended</x:v>
      </x:c>
      <x:c r="I567" t="n">
        <x:f>E567+G567</x:f>
        <x:v>0.05443287037037037</x:v>
      </x:c>
      <x:c r="J567" t="str">
        <x:f>IF(I567=0,"Did not attend",IF(I567&gt;='Read Me'!$E$2/86400,"Fully attended","Partially attended"))</x:f>
        <x:v>Partially attended</x:v>
      </x:c>
      <x:c r="K567" t="str">
        <x:f>IF($D567="","No",IF(COUNTIF('Attendance Report - Option 1'!$P$11:$P$315,$D567)&gt;0,"Yes","No"))</x:f>
        <x:v>No</x:v>
      </x:c>
      <x:c r="L567" t="str">
        <x:f>IF($D567="","No",IF(COUNTIF('Attendance Report - Option 2'!$P$11:$P$412,$D567)&gt;0,"Yes","No"))</x:f>
        <x:v>Yes</x:v>
      </x:c>
    </x:row>
    <x:row r="568">
      <x:c r="A568" t="str">
        <x:f>'EMA Assurance Employee List'!A569</x:f>
        <x:v>Keziah Muchiri</x:v>
      </x:c>
      <x:c r="B568" t="str">
        <x:f>IF(C568="KE","Kenya",IF(C568="UG","Uganda",IF(C568="MU","Mauritius",IF(C568="TZ","Tanzania",IF(C568="RW","Rwanda",IF(C568="ZA","South Africa",IF(C568="ZM","Zambia","")))))))</x:f>
        <x:v>Kenya</x:v>
      </x:c>
      <x:c r="C568" t="str">
        <x:f>'EMA Assurance Employee List'!B569</x:f>
        <x:v>KE</x:v>
      </x:c>
      <x:c r="D568" t="str">
        <x:f>'EMA Assurance Employee List'!D569</x:f>
        <x:v>keziah.muchiri@pwc.com</x:v>
      </x:c>
      <x:c r="E568" t="n">
        <x:f>IF($D568="",0,SUMIF('Attendance Report - Option 1'!$P$11:$P$315,$D568,'Attendance Report - Option 1'!$Q$11:$Q$315)/86400)</x:f>
        <x:v>0</x:v>
      </x:c>
      <x:c r="F568" t="str">
        <x:f>IF(E568=0,"Did not attend",IF(E568&gt;='Read Me'!$E$2/86400,"Fully attended","Partially attended"))</x:f>
        <x:v>Did not attend</x:v>
      </x:c>
      <x:c r="G568" t="n">
        <x:f>IF($D568="",0,SUMIF('Attendance Report - Option 2'!$P$11:$P$412,$D568,'Attendance Report - Option 2'!$Q$11:$Q$412)/86400)</x:f>
        <x:v>0.07855324074074074</x:v>
      </x:c>
      <x:c r="H568" t="str">
        <x:f>IF(G568=0,"Did not attend",IF(G568&gt;='Read Me'!$E$2/86400,"Fully attended","Partially attended"))</x:f>
        <x:v>Fully attended</x:v>
      </x:c>
      <x:c r="I568" t="n">
        <x:f>E568+G568</x:f>
        <x:v>0.07855324074074074</x:v>
      </x:c>
      <x:c r="J568" t="str">
        <x:f>IF(I568=0,"Did not attend",IF(I568&gt;='Read Me'!$E$2/86400,"Fully attended","Partially attended"))</x:f>
        <x:v>Fully attended</x:v>
      </x:c>
      <x:c r="K568" t="str">
        <x:f>IF($D568="","No",IF(COUNTIF('Attendance Report - Option 1'!$P$11:$P$315,$D568)&gt;0,"Yes","No"))</x:f>
        <x:v>No</x:v>
      </x:c>
      <x:c r="L568" t="str">
        <x:f>IF($D568="","No",IF(COUNTIF('Attendance Report - Option 2'!$P$11:$P$412,$D568)&gt;0,"Yes","No"))</x:f>
        <x:v>Yes</x:v>
      </x:c>
    </x:row>
    <x:row r="569">
      <x:c r="A569" t="str">
        <x:f>'EMA Assurance Employee List'!A570</x:f>
        <x:v>Khushal Newoor</x:v>
      </x:c>
      <x:c r="B569" t="str">
        <x:f>IF(C569="KE","Kenya",IF(C569="UG","Uganda",IF(C569="MU","Mauritius",IF(C569="TZ","Tanzania",IF(C569="RW","Rwanda",IF(C569="ZA","South Africa",IF(C569="ZM","Zambia","")))))))</x:f>
        <x:v>Mauritius</x:v>
      </x:c>
      <x:c r="C569" t="str">
        <x:f>'EMA Assurance Employee List'!B570</x:f>
        <x:v>MU</x:v>
      </x:c>
      <x:c r="D569" t="str">
        <x:f>'EMA Assurance Employee List'!D570</x:f>
        <x:v>khushal.newoor@pwc.com</x:v>
      </x:c>
      <x:c r="E569" t="n">
        <x:f>IF($D569="",0,SUMIF('Attendance Report - Option 1'!$P$11:$P$315,$D569,'Attendance Report - Option 1'!$Q$11:$Q$315)/86400)</x:f>
        <x:v>0</x:v>
      </x:c>
      <x:c r="F569" t="str">
        <x:f>IF(E569=0,"Did not attend",IF(E569&gt;='Read Me'!$E$2/86400,"Fully attended","Partially attended"))</x:f>
        <x:v>Did not attend</x:v>
      </x:c>
      <x:c r="G569" t="n">
        <x:f>IF($D569="",0,SUMIF('Attendance Report - Option 2'!$P$11:$P$412,$D569,'Attendance Report - Option 2'!$Q$11:$Q$412)/86400)</x:f>
        <x:v>0.06502314814814815</x:v>
      </x:c>
      <x:c r="H569" t="str">
        <x:f>IF(G569=0,"Did not attend",IF(G569&gt;='Read Me'!$E$2/86400,"Fully attended","Partially attended"))</x:f>
        <x:v>Fully attended</x:v>
      </x:c>
      <x:c r="I569" t="n">
        <x:f>E569+G569</x:f>
        <x:v>0.06502314814814815</x:v>
      </x:c>
      <x:c r="J569" t="str">
        <x:f>IF(I569=0,"Did not attend",IF(I569&gt;='Read Me'!$E$2/86400,"Fully attended","Partially attended"))</x:f>
        <x:v>Fully attended</x:v>
      </x:c>
      <x:c r="K569" t="str">
        <x:f>IF($D569="","No",IF(COUNTIF('Attendance Report - Option 1'!$P$11:$P$315,$D569)&gt;0,"Yes","No"))</x:f>
        <x:v>No</x:v>
      </x:c>
      <x:c r="L569" t="str">
        <x:f>IF($D569="","No",IF(COUNTIF('Attendance Report - Option 2'!$P$11:$P$412,$D569)&gt;0,"Yes","No"))</x:f>
        <x:v>Yes</x:v>
      </x:c>
    </x:row>
    <x:row r="570">
      <x:c r="A570" t="str">
        <x:f>'EMA Assurance Employee List'!A571</x:f>
        <x:v>Kunda Musolo</x:v>
      </x:c>
      <x:c r="B570" t="str">
        <x:f>IF(C570="KE","Kenya",IF(C570="UG","Uganda",IF(C570="MU","Mauritius",IF(C570="TZ","Tanzania",IF(C570="RW","Rwanda",IF(C570="ZA","South Africa",IF(C570="ZM","Zambia","")))))))</x:f>
        <x:v>Zambia</x:v>
      </x:c>
      <x:c r="C570" t="str">
        <x:f>'EMA Assurance Employee List'!B571</x:f>
        <x:v>ZM</x:v>
      </x:c>
      <x:c r="D570" t="str">
        <x:f>'EMA Assurance Employee List'!D571</x:f>
        <x:v>kunda.musolo@pwc.com</x:v>
      </x:c>
      <x:c r="E570" t="n">
        <x:f>IF($D570="",0,SUMIF('Attendance Report - Option 1'!$P$11:$P$315,$D570,'Attendance Report - Option 1'!$Q$11:$Q$315)/86400)</x:f>
        <x:v>0.06224537037037037</x:v>
      </x:c>
      <x:c r="F570" t="str">
        <x:f>IF(E570=0,"Did not attend",IF(E570&gt;='Read Me'!$E$2/86400,"Fully attended","Partially attended"))</x:f>
        <x:v>Partially attended</x:v>
      </x:c>
      <x:c r="G570" t="n">
        <x:f>IF($D570="",0,SUMIF('Attendance Report - Option 2'!$P$11:$P$412,$D570,'Attendance Report - Option 2'!$Q$11:$Q$412)/86400)</x:f>
        <x:v>0</x:v>
      </x:c>
      <x:c r="H570" t="str">
        <x:f>IF(G570=0,"Did not attend",IF(G570&gt;='Read Me'!$E$2/86400,"Fully attended","Partially attended"))</x:f>
        <x:v>Did not attend</x:v>
      </x:c>
      <x:c r="I570" t="n">
        <x:f>E570+G570</x:f>
        <x:v>0.06224537037037037</x:v>
      </x:c>
      <x:c r="J570" t="str">
        <x:f>IF(I570=0,"Did not attend",IF(I570&gt;='Read Me'!$E$2/86400,"Fully attended","Partially attended"))</x:f>
        <x:v>Partially attended</x:v>
      </x:c>
      <x:c r="K570" t="str">
        <x:f>IF($D570="","No",IF(COUNTIF('Attendance Report - Option 1'!$P$11:$P$315,$D570)&gt;0,"Yes","No"))</x:f>
        <x:v>Yes</x:v>
      </x:c>
      <x:c r="L570" t="str">
        <x:f>IF($D570="","No",IF(COUNTIF('Attendance Report - Option 2'!$P$11:$P$412,$D570)&gt;0,"Yes","No"))</x:f>
        <x:v>No</x:v>
      </x:c>
    </x:row>
    <x:row r="571">
      <x:c r="A571" t="str">
        <x:f>'EMA Assurance Employee List'!A572</x:f>
        <x:v>Lage Kasaro</x:v>
      </x:c>
      <x:c r="B571" t="str">
        <x:f>IF(C571="KE","Kenya",IF(C571="UG","Uganda",IF(C571="MU","Mauritius",IF(C571="TZ","Tanzania",IF(C571="RW","Rwanda",IF(C571="ZA","South Africa",IF(C571="ZM","Zambia","")))))))</x:f>
        <x:v>Zambia</x:v>
      </x:c>
      <x:c r="C571" t="str">
        <x:f>'EMA Assurance Employee List'!B572</x:f>
        <x:v>ZM</x:v>
      </x:c>
      <x:c r="D571" t="str">
        <x:f>'EMA Assurance Employee List'!D572</x:f>
        <x:v>lage.kasaro@pwc.com</x:v>
      </x:c>
      <x:c r="E571" t="n">
        <x:f>IF($D571="",0,SUMIF('Attendance Report - Option 1'!$P$11:$P$315,$D571,'Attendance Report - Option 1'!$Q$11:$Q$315)/86400)</x:f>
        <x:v>0</x:v>
      </x:c>
      <x:c r="F571" t="str">
        <x:f>IF(E571=0,"Did not attend",IF(E571&gt;='Read Me'!$E$2/86400,"Fully attended","Partially attended"))</x:f>
        <x:v>Did not attend</x:v>
      </x:c>
      <x:c r="G571" t="n">
        <x:f>IF($D571="",0,SUMIF('Attendance Report - Option 2'!$P$11:$P$412,$D571,'Attendance Report - Option 2'!$Q$11:$Q$412)/86400)</x:f>
        <x:v>0.06234953703703704</x:v>
      </x:c>
      <x:c r="H571" t="str">
        <x:f>IF(G571=0,"Did not attend",IF(G571&gt;='Read Me'!$E$2/86400,"Fully attended","Partially attended"))</x:f>
        <x:v>Partially attended</x:v>
      </x:c>
      <x:c r="I571" t="n">
        <x:f>E571+G571</x:f>
        <x:v>0.06234953703703704</x:v>
      </x:c>
      <x:c r="J571" t="str">
        <x:f>IF(I571=0,"Did not attend",IF(I571&gt;='Read Me'!$E$2/86400,"Fully attended","Partially attended"))</x:f>
        <x:v>Partially attended</x:v>
      </x:c>
      <x:c r="K571" t="str">
        <x:f>IF($D571="","No",IF(COUNTIF('Attendance Report - Option 1'!$P$11:$P$315,$D571)&gt;0,"Yes","No"))</x:f>
        <x:v>No</x:v>
      </x:c>
      <x:c r="L571" t="str">
        <x:f>IF($D571="","No",IF(COUNTIF('Attendance Report - Option 2'!$P$11:$P$412,$D571)&gt;0,"Yes","No"))</x:f>
        <x:v>Yes</x:v>
      </x:c>
    </x:row>
    <x:row r="572">
      <x:c r="A572" t="str">
        <x:f>'EMA Assurance Employee List'!A573</x:f>
        <x:v>Longo Sikazwe</x:v>
      </x:c>
      <x:c r="B572" t="str">
        <x:f>IF(C572="KE","Kenya",IF(C572="UG","Uganda",IF(C572="MU","Mauritius",IF(C572="TZ","Tanzania",IF(C572="RW","Rwanda",IF(C572="ZA","South Africa",IF(C572="ZM","Zambia","")))))))</x:f>
        <x:v>Zambia</x:v>
      </x:c>
      <x:c r="C572" t="str">
        <x:f>'EMA Assurance Employee List'!B573</x:f>
        <x:v>ZM</x:v>
      </x:c>
      <x:c r="D572" t="str">
        <x:f>'EMA Assurance Employee List'!D573</x:f>
        <x:v>longo.sikazwe@pwc.com</x:v>
      </x:c>
      <x:c r="E572" t="n">
        <x:f>IF($D572="",0,SUMIF('Attendance Report - Option 1'!$P$11:$P$315,$D572,'Attendance Report - Option 1'!$Q$11:$Q$315)/86400)</x:f>
        <x:v>0</x:v>
      </x:c>
      <x:c r="F572" t="str">
        <x:f>IF(E572=0,"Did not attend",IF(E572&gt;='Read Me'!$E$2/86400,"Fully attended","Partially attended"))</x:f>
        <x:v>Did not attend</x:v>
      </x:c>
      <x:c r="G572" t="n">
        <x:f>IF($D572="",0,SUMIF('Attendance Report - Option 2'!$P$11:$P$412,$D572,'Attendance Report - Option 2'!$Q$11:$Q$412)/86400)</x:f>
        <x:v>0.08032407407407408</x:v>
      </x:c>
      <x:c r="H572" t="str">
        <x:f>IF(G572=0,"Did not attend",IF(G572&gt;='Read Me'!$E$2/86400,"Fully attended","Partially attended"))</x:f>
        <x:v>Fully attended</x:v>
      </x:c>
      <x:c r="I572" t="n">
        <x:f>E572+G572</x:f>
        <x:v>0.08032407407407408</x:v>
      </x:c>
      <x:c r="J572" t="str">
        <x:f>IF(I572=0,"Did not attend",IF(I572&gt;='Read Me'!$E$2/86400,"Fully attended","Partially attended"))</x:f>
        <x:v>Fully attended</x:v>
      </x:c>
      <x:c r="K572" t="str">
        <x:f>IF($D572="","No",IF(COUNTIF('Attendance Report - Option 1'!$P$11:$P$315,$D572)&gt;0,"Yes","No"))</x:f>
        <x:v>No</x:v>
      </x:c>
      <x:c r="L572" t="str">
        <x:f>IF($D572="","No",IF(COUNTIF('Attendance Report - Option 2'!$P$11:$P$412,$D572)&gt;0,"Yes","No"))</x:f>
        <x:v>Yes</x:v>
      </x:c>
    </x:row>
    <x:row r="573">
      <x:c r="A573" t="str">
        <x:f>'EMA Assurance Employee List'!A574</x:f>
        <x:v>Lovena Kullean</x:v>
      </x:c>
      <x:c r="B573" t="str">
        <x:f>IF(C573="KE","Kenya",IF(C573="UG","Uganda",IF(C573="MU","Mauritius",IF(C573="TZ","Tanzania",IF(C573="RW","Rwanda",IF(C573="ZA","South Africa",IF(C573="ZM","Zambia","")))))))</x:f>
        <x:v>Mauritius</x:v>
      </x:c>
      <x:c r="C573" t="str">
        <x:f>'EMA Assurance Employee List'!B574</x:f>
        <x:v>MU</x:v>
      </x:c>
      <x:c r="D573" t="str">
        <x:f>'EMA Assurance Employee List'!D574</x:f>
        <x:v>lovena.kullean@pwc.com</x:v>
      </x:c>
      <x:c r="E573" t="n">
        <x:f>IF($D573="",0,SUMIF('Attendance Report - Option 1'!$P$11:$P$315,$D573,'Attendance Report - Option 1'!$Q$11:$Q$315)/86400)</x:f>
        <x:v>0</x:v>
      </x:c>
      <x:c r="F573" t="str">
        <x:f>IF(E573=0,"Did not attend",IF(E573&gt;='Read Me'!$E$2/86400,"Fully attended","Partially attended"))</x:f>
        <x:v>Did not attend</x:v>
      </x:c>
      <x:c r="G573" t="n">
        <x:f>IF($D573="",0,SUMIF('Attendance Report - Option 2'!$P$11:$P$412,$D573,'Attendance Report - Option 2'!$Q$11:$Q$412)/86400)</x:f>
        <x:v>0.08313657407407407</x:v>
      </x:c>
      <x:c r="H573" t="str">
        <x:f>IF(G573=0,"Did not attend",IF(G573&gt;='Read Me'!$E$2/86400,"Fully attended","Partially attended"))</x:f>
        <x:v>Fully attended</x:v>
      </x:c>
      <x:c r="I573" t="n">
        <x:f>E573+G573</x:f>
        <x:v>0.08313657407407407</x:v>
      </x:c>
      <x:c r="J573" t="str">
        <x:f>IF(I573=0,"Did not attend",IF(I573&gt;='Read Me'!$E$2/86400,"Fully attended","Partially attended"))</x:f>
        <x:v>Fully attended</x:v>
      </x:c>
      <x:c r="K573" t="str">
        <x:f>IF($D573="","No",IF(COUNTIF('Attendance Report - Option 1'!$P$11:$P$315,$D573)&gt;0,"Yes","No"))</x:f>
        <x:v>No</x:v>
      </x:c>
      <x:c r="L573" t="str">
        <x:f>IF($D573="","No",IF(COUNTIF('Attendance Report - Option 2'!$P$11:$P$412,$D573)&gt;0,"Yes","No"))</x:f>
        <x:v>Yes</x:v>
      </x:c>
    </x:row>
    <x:row r="574">
      <x:c r="A574" t="str">
        <x:f>'EMA Assurance Employee List'!A575</x:f>
        <x:v>Malike Uwizeyimana</x:v>
      </x:c>
      <x:c r="B574" t="str">
        <x:f>IF(C574="KE","Kenya",IF(C574="UG","Uganda",IF(C574="MU","Mauritius",IF(C574="TZ","Tanzania",IF(C574="RW","Rwanda",IF(C574="ZA","South Africa",IF(C574="ZM","Zambia","")))))))</x:f>
        <x:v>Rwanda</x:v>
      </x:c>
      <x:c r="C574" t="str">
        <x:f>'EMA Assurance Employee List'!B575</x:f>
        <x:v>RW</x:v>
      </x:c>
      <x:c r="D574" t="str">
        <x:f>'EMA Assurance Employee List'!D575</x:f>
        <x:v>malike.uwizeyimana@pwc.com</x:v>
      </x:c>
      <x:c r="E574" t="n">
        <x:f>IF($D574="",0,SUMIF('Attendance Report - Option 1'!$P$11:$P$315,$D574,'Attendance Report - Option 1'!$Q$11:$Q$315)/86400)</x:f>
        <x:v>0.07266203703703704</x:v>
      </x:c>
      <x:c r="F574" t="str">
        <x:f>IF(E574=0,"Did not attend",IF(E574&gt;='Read Me'!$E$2/86400,"Fully attended","Partially attended"))</x:f>
        <x:v>Fully attended</x:v>
      </x:c>
      <x:c r="G574" t="n">
        <x:f>IF($D574="",0,SUMIF('Attendance Report - Option 2'!$P$11:$P$412,$D574,'Attendance Report - Option 2'!$Q$11:$Q$412)/86400)</x:f>
        <x:v>0</x:v>
      </x:c>
      <x:c r="H574" t="str">
        <x:f>IF(G574=0,"Did not attend",IF(G574&gt;='Read Me'!$E$2/86400,"Fully attended","Partially attended"))</x:f>
        <x:v>Did not attend</x:v>
      </x:c>
      <x:c r="I574" t="n">
        <x:f>E574+G574</x:f>
        <x:v>0.07266203703703704</x:v>
      </x:c>
      <x:c r="J574" t="str">
        <x:f>IF(I574=0,"Did not attend",IF(I574&gt;='Read Me'!$E$2/86400,"Fully attended","Partially attended"))</x:f>
        <x:v>Fully attended</x:v>
      </x:c>
      <x:c r="K574" t="str">
        <x:f>IF($D574="","No",IF(COUNTIF('Attendance Report - Option 1'!$P$11:$P$315,$D574)&gt;0,"Yes","No"))</x:f>
        <x:v>Yes</x:v>
      </x:c>
      <x:c r="L574" t="str">
        <x:f>IF($D574="","No",IF(COUNTIF('Attendance Report - Option 2'!$P$11:$P$412,$D574)&gt;0,"Yes","No"))</x:f>
        <x:v>No</x:v>
      </x:c>
    </x:row>
    <x:row r="575">
      <x:c r="A575" t="str">
        <x:f>'EMA Assurance Employee List'!A576</x:f>
        <x:v>Mamba Hachongo</x:v>
      </x:c>
      <x:c r="B575" t="str">
        <x:f>IF(C575="KE","Kenya",IF(C575="UG","Uganda",IF(C575="MU","Mauritius",IF(C575="TZ","Tanzania",IF(C575="RW","Rwanda",IF(C575="ZA","South Africa",IF(C575="ZM","Zambia","")))))))</x:f>
        <x:v>Zambia</x:v>
      </x:c>
      <x:c r="C575" t="str">
        <x:f>'EMA Assurance Employee List'!B576</x:f>
        <x:v>ZM</x:v>
      </x:c>
      <x:c r="D575" t="str">
        <x:f>'EMA Assurance Employee List'!D576</x:f>
        <x:v>mamba.hachongo@pwc.com</x:v>
      </x:c>
      <x:c r="E575" t="n">
        <x:f>IF($D575="",0,SUMIF('Attendance Report - Option 1'!$P$11:$P$315,$D575,'Attendance Report - Option 1'!$Q$11:$Q$315)/86400)</x:f>
        <x:v>0</x:v>
      </x:c>
      <x:c r="F575" t="str">
        <x:f>IF(E575=0,"Did not attend",IF(E575&gt;='Read Me'!$E$2/86400,"Fully attended","Partially attended"))</x:f>
        <x:v>Did not attend</x:v>
      </x:c>
      <x:c r="G575" t="n">
        <x:f>IF($D575="",0,SUMIF('Attendance Report - Option 2'!$P$11:$P$412,$D575,'Attendance Report - Option 2'!$Q$11:$Q$412)/86400)</x:f>
        <x:v>0.0459375</x:v>
      </x:c>
      <x:c r="H575" t="str">
        <x:f>IF(G575=0,"Did not attend",IF(G575&gt;='Read Me'!$E$2/86400,"Fully attended","Partially attended"))</x:f>
        <x:v>Partially attended</x:v>
      </x:c>
      <x:c r="I575" t="n">
        <x:f>E575+G575</x:f>
        <x:v>0.0459375</x:v>
      </x:c>
      <x:c r="J575" t="str">
        <x:f>IF(I575=0,"Did not attend",IF(I575&gt;='Read Me'!$E$2/86400,"Fully attended","Partially attended"))</x:f>
        <x:v>Partially attended</x:v>
      </x:c>
      <x:c r="K575" t="str">
        <x:f>IF($D575="","No",IF(COUNTIF('Attendance Report - Option 1'!$P$11:$P$315,$D575)&gt;0,"Yes","No"))</x:f>
        <x:v>No</x:v>
      </x:c>
      <x:c r="L575" t="str">
        <x:f>IF($D575="","No",IF(COUNTIF('Attendance Report - Option 2'!$P$11:$P$412,$D575)&gt;0,"Yes","No"))</x:f>
        <x:v>Yes</x:v>
      </x:c>
    </x:row>
    <x:row r="576">
      <x:c r="A576" t="str">
        <x:f>'EMA Assurance Employee List'!A577</x:f>
        <x:v>Manisha Chensiah</x:v>
      </x:c>
      <x:c r="B576" t="str">
        <x:f>IF(C576="KE","Kenya",IF(C576="UG","Uganda",IF(C576="MU","Mauritius",IF(C576="TZ","Tanzania",IF(C576="RW","Rwanda",IF(C576="ZA","South Africa",IF(C576="ZM","Zambia","")))))))</x:f>
        <x:v>Mauritius</x:v>
      </x:c>
      <x:c r="C576" t="str">
        <x:f>'EMA Assurance Employee List'!B577</x:f>
        <x:v>MU</x:v>
      </x:c>
      <x:c r="D576" t="str">
        <x:f>'EMA Assurance Employee List'!D577</x:f>
        <x:v>manisha.c.chensiah@pwc.com</x:v>
      </x:c>
      <x:c r="E576" t="n">
        <x:f>IF($D576="",0,SUMIF('Attendance Report - Option 1'!$P$11:$P$315,$D576,'Attendance Report - Option 1'!$Q$11:$Q$315)/86400)</x:f>
        <x:v>0</x:v>
      </x:c>
      <x:c r="F576" t="str">
        <x:f>IF(E576=0,"Did not attend",IF(E576&gt;='Read Me'!$E$2/86400,"Fully attended","Partially attended"))</x:f>
        <x:v>Did not attend</x:v>
      </x:c>
      <x:c r="G576" t="n">
        <x:f>IF($D576="",0,SUMIF('Attendance Report - Option 2'!$P$11:$P$412,$D576,'Attendance Report - Option 2'!$Q$11:$Q$412)/86400)</x:f>
        <x:v>0.08157407407407408</x:v>
      </x:c>
      <x:c r="H576" t="str">
        <x:f>IF(G576=0,"Did not attend",IF(G576&gt;='Read Me'!$E$2/86400,"Fully attended","Partially attended"))</x:f>
        <x:v>Fully attended</x:v>
      </x:c>
      <x:c r="I576" t="n">
        <x:f>E576+G576</x:f>
        <x:v>0.08157407407407408</x:v>
      </x:c>
      <x:c r="J576" t="str">
        <x:f>IF(I576=0,"Did not attend",IF(I576&gt;='Read Me'!$E$2/86400,"Fully attended","Partially attended"))</x:f>
        <x:v>Fully attended</x:v>
      </x:c>
      <x:c r="K576" t="str">
        <x:f>IF($D576="","No",IF(COUNTIF('Attendance Report - Option 1'!$P$11:$P$315,$D576)&gt;0,"Yes","No"))</x:f>
        <x:v>No</x:v>
      </x:c>
      <x:c r="L576" t="str">
        <x:f>IF($D576="","No",IF(COUNTIF('Attendance Report - Option 2'!$P$11:$P$412,$D576)&gt;0,"Yes","No"))</x:f>
        <x:v>Yes</x:v>
      </x:c>
    </x:row>
    <x:row r="577">
      <x:c r="A577" t="str">
        <x:f>'EMA Assurance Employee List'!A578</x:f>
        <x:v>Margaret Akinyi</x:v>
      </x:c>
      <x:c r="B577" t="str">
        <x:f>IF(C577="KE","Kenya",IF(C577="UG","Uganda",IF(C577="MU","Mauritius",IF(C577="TZ","Tanzania",IF(C577="RW","Rwanda",IF(C577="ZA","South Africa",IF(C577="ZM","Zambia","")))))))</x:f>
        <x:v>Kenya</x:v>
      </x:c>
      <x:c r="C577" t="str">
        <x:f>'EMA Assurance Employee List'!B578</x:f>
        <x:v>KE</x:v>
      </x:c>
      <x:c r="D577" t="str">
        <x:f>'EMA Assurance Employee List'!D578</x:f>
        <x:v>margaret.akinyi@pwc.com</x:v>
      </x:c>
      <x:c r="E577" t="n">
        <x:f>IF($D577="",0,SUMIF('Attendance Report - Option 1'!$P$11:$P$315,$D577,'Attendance Report - Option 1'!$Q$11:$Q$315)/86400)</x:f>
        <x:v>0</x:v>
      </x:c>
      <x:c r="F577" t="str">
        <x:f>IF(E577=0,"Did not attend",IF(E577&gt;='Read Me'!$E$2/86400,"Fully attended","Partially attended"))</x:f>
        <x:v>Did not attend</x:v>
      </x:c>
      <x:c r="G577" t="n">
        <x:f>IF($D577="",0,SUMIF('Attendance Report - Option 2'!$P$11:$P$412,$D577,'Attendance Report - Option 2'!$Q$11:$Q$412)/86400)</x:f>
        <x:v>0.04269675925925926</x:v>
      </x:c>
      <x:c r="H577" t="str">
        <x:f>IF(G577=0,"Did not attend",IF(G577&gt;='Read Me'!$E$2/86400,"Fully attended","Partially attended"))</x:f>
        <x:v>Partially attended</x:v>
      </x:c>
      <x:c r="I577" t="n">
        <x:f>E577+G577</x:f>
        <x:v>0.04269675925925926</x:v>
      </x:c>
      <x:c r="J577" t="str">
        <x:f>IF(I577=0,"Did not attend",IF(I577&gt;='Read Me'!$E$2/86400,"Fully attended","Partially attended"))</x:f>
        <x:v>Partially attended</x:v>
      </x:c>
      <x:c r="K577" t="str">
        <x:f>IF($D577="","No",IF(COUNTIF('Attendance Report - Option 1'!$P$11:$P$315,$D577)&gt;0,"Yes","No"))</x:f>
        <x:v>No</x:v>
      </x:c>
      <x:c r="L577" t="str">
        <x:f>IF($D577="","No",IF(COUNTIF('Attendance Report - Option 2'!$P$11:$P$412,$D577)&gt;0,"Yes","No"))</x:f>
        <x:v>Yes</x:v>
      </x:c>
    </x:row>
    <x:row r="578">
      <x:c r="A578" t="str">
        <x:f>'EMA Assurance Employee List'!A579</x:f>
        <x:v>Maria Amasi</x:v>
      </x:c>
      <x:c r="B578" t="str">
        <x:f>IF(C578="KE","Kenya",IF(C578="UG","Uganda",IF(C578="MU","Mauritius",IF(C578="TZ","Tanzania",IF(C578="RW","Rwanda",IF(C578="ZA","South Africa",IF(C578="ZM","Zambia","")))))))</x:f>
        <x:v>Tanzania</x:v>
      </x:c>
      <x:c r="C578" t="str">
        <x:f>'EMA Assurance Employee List'!B579</x:f>
        <x:v>TZ</x:v>
      </x:c>
      <x:c r="D578" t="str">
        <x:f>'EMA Assurance Employee List'!D579</x:f>
        <x:v>maria.amasi@pwc.com</x:v>
      </x:c>
      <x:c r="E578" t="n">
        <x:f>IF($D578="",0,SUMIF('Attendance Report - Option 1'!$P$11:$P$315,$D578,'Attendance Report - Option 1'!$Q$11:$Q$315)/86400)</x:f>
        <x:v>0.0784375</x:v>
      </x:c>
      <x:c r="F578" t="str">
        <x:f>IF(E578=0,"Did not attend",IF(E578&gt;='Read Me'!$E$2/86400,"Fully attended","Partially attended"))</x:f>
        <x:v>Fully attended</x:v>
      </x:c>
      <x:c r="G578" t="n">
        <x:f>IF($D578="",0,SUMIF('Attendance Report - Option 2'!$P$11:$P$412,$D578,'Attendance Report - Option 2'!$Q$11:$Q$412)/86400)</x:f>
        <x:v>0.04699074074074074</x:v>
      </x:c>
      <x:c r="H578" t="str">
        <x:f>IF(G578=0,"Did not attend",IF(G578&gt;='Read Me'!$E$2/86400,"Fully attended","Partially attended"))</x:f>
        <x:v>Partially attended</x:v>
      </x:c>
      <x:c r="I578" t="n">
        <x:f>E578+G578</x:f>
        <x:v>0.12542824074074074</x:v>
      </x:c>
      <x:c r="J578" t="str">
        <x:f>IF(I578=0,"Did not attend",IF(I578&gt;='Read Me'!$E$2/86400,"Fully attended","Partially attended"))</x:f>
        <x:v>Fully attended</x:v>
      </x:c>
      <x:c r="K578" t="str">
        <x:f>IF($D578="","No",IF(COUNTIF('Attendance Report - Option 1'!$P$11:$P$315,$D578)&gt;0,"Yes","No"))</x:f>
        <x:v>Yes</x:v>
      </x:c>
      <x:c r="L578" t="str">
        <x:f>IF($D578="","No",IF(COUNTIF('Attendance Report - Option 2'!$P$11:$P$412,$D578)&gt;0,"Yes","No"))</x:f>
        <x:v>Yes</x:v>
      </x:c>
    </x:row>
    <x:row r="579">
      <x:c r="A579" t="str">
        <x:f>'EMA Assurance Employee List'!A580</x:f>
        <x:v>Marion Basil</x:v>
      </x:c>
      <x:c r="B579" t="str">
        <x:f>IF(C579="KE","Kenya",IF(C579="UG","Uganda",IF(C579="MU","Mauritius",IF(C579="TZ","Tanzania",IF(C579="RW","Rwanda",IF(C579="ZA","South Africa",IF(C579="ZM","Zambia","")))))))</x:f>
        <x:v>Kenya</x:v>
      </x:c>
      <x:c r="C579" t="str">
        <x:f>'EMA Assurance Employee List'!B580</x:f>
        <x:v>KE</x:v>
      </x:c>
      <x:c r="D579" t="str">
        <x:f>'EMA Assurance Employee List'!D580</x:f>
        <x:v>marion.basil@pwc.com</x:v>
      </x:c>
      <x:c r="E579" t="n">
        <x:f>IF($D579="",0,SUMIF('Attendance Report - Option 1'!$P$11:$P$315,$D579,'Attendance Report - Option 1'!$Q$11:$Q$315)/86400)</x:f>
        <x:v>0.07146990740740741</x:v>
      </x:c>
      <x:c r="F579" t="str">
        <x:f>IF(E579=0,"Did not attend",IF(E579&gt;='Read Me'!$E$2/86400,"Fully attended","Partially attended"))</x:f>
        <x:v>Fully attended</x:v>
      </x:c>
      <x:c r="G579" t="n">
        <x:f>IF($D579="",0,SUMIF('Attendance Report - Option 2'!$P$11:$P$412,$D579,'Attendance Report - Option 2'!$Q$11:$Q$412)/86400)</x:f>
        <x:v>0.054699074074074074</x:v>
      </x:c>
      <x:c r="H579" t="str">
        <x:f>IF(G579=0,"Did not attend",IF(G579&gt;='Read Me'!$E$2/86400,"Fully attended","Partially attended"))</x:f>
        <x:v>Partially attended</x:v>
      </x:c>
      <x:c r="I579" t="n">
        <x:f>E579+G579</x:f>
        <x:v>0.12616898148148148</x:v>
      </x:c>
      <x:c r="J579" t="str">
        <x:f>IF(I579=0,"Did not attend",IF(I579&gt;='Read Me'!$E$2/86400,"Fully attended","Partially attended"))</x:f>
        <x:v>Fully attended</x:v>
      </x:c>
      <x:c r="K579" t="str">
        <x:f>IF($D579="","No",IF(COUNTIF('Attendance Report - Option 1'!$P$11:$P$315,$D579)&gt;0,"Yes","No"))</x:f>
        <x:v>Yes</x:v>
      </x:c>
      <x:c r="L579" t="str">
        <x:f>IF($D579="","No",IF(COUNTIF('Attendance Report - Option 2'!$P$11:$P$412,$D579)&gt;0,"Yes","No"))</x:f>
        <x:v>Yes</x:v>
      </x:c>
    </x:row>
    <x:row r="580">
      <x:c r="A580" t="str">
        <x:f>'EMA Assurance Employee List'!A581</x:f>
        <x:v>Martin Niyonkuru</x:v>
      </x:c>
      <x:c r="B580" t="str">
        <x:f>IF(C580="KE","Kenya",IF(C580="UG","Uganda",IF(C580="MU","Mauritius",IF(C580="TZ","Tanzania",IF(C580="RW","Rwanda",IF(C580="ZA","South Africa",IF(C580="ZM","Zambia","")))))))</x:f>
        <x:v>Rwanda</x:v>
      </x:c>
      <x:c r="C580" t="str">
        <x:f>'EMA Assurance Employee List'!B581</x:f>
        <x:v>RW</x:v>
      </x:c>
      <x:c r="D580" t="str">
        <x:f>'EMA Assurance Employee List'!D581</x:f>
        <x:v>yves.m.niyonkuru@pwc.com</x:v>
      </x:c>
      <x:c r="E580" t="n">
        <x:f>IF($D580="",0,SUMIF('Attendance Report - Option 1'!$P$11:$P$315,$D580,'Attendance Report - Option 1'!$Q$11:$Q$315)/86400)</x:f>
        <x:v>0.06528935185185185</x:v>
      </x:c>
      <x:c r="F580" t="str">
        <x:f>IF(E580=0,"Did not attend",IF(E580&gt;='Read Me'!$E$2/86400,"Fully attended","Partially attended"))</x:f>
        <x:v>Fully attended</x:v>
      </x:c>
      <x:c r="G580" t="n">
        <x:f>IF($D580="",0,SUMIF('Attendance Report - Option 2'!$P$11:$P$412,$D580,'Attendance Report - Option 2'!$Q$11:$Q$412)/86400)</x:f>
        <x:v>0</x:v>
      </x:c>
      <x:c r="H580" t="str">
        <x:f>IF(G580=0,"Did not attend",IF(G580&gt;='Read Me'!$E$2/86400,"Fully attended","Partially attended"))</x:f>
        <x:v>Did not attend</x:v>
      </x:c>
      <x:c r="I580" t="n">
        <x:f>E580+G580</x:f>
        <x:v>0.06528935185185185</x:v>
      </x:c>
      <x:c r="J580" t="str">
        <x:f>IF(I580=0,"Did not attend",IF(I580&gt;='Read Me'!$E$2/86400,"Fully attended","Partially attended"))</x:f>
        <x:v>Fully attended</x:v>
      </x:c>
      <x:c r="K580" t="str">
        <x:f>IF($D580="","No",IF(COUNTIF('Attendance Report - Option 1'!$P$11:$P$315,$D580)&gt;0,"Yes","No"))</x:f>
        <x:v>Yes</x:v>
      </x:c>
      <x:c r="L580" t="str">
        <x:f>IF($D580="","No",IF(COUNTIF('Attendance Report - Option 2'!$P$11:$P$412,$D580)&gt;0,"Yes","No"))</x:f>
        <x:v>No</x:v>
      </x:c>
    </x:row>
    <x:row r="581">
      <x:c r="A581" t="str">
        <x:f>'EMA Assurance Employee List'!A582</x:f>
        <x:v>Mary Lisa Leong</x:v>
      </x:c>
      <x:c r="B581" t="str">
        <x:f>IF(C581="KE","Kenya",IF(C581="UG","Uganda",IF(C581="MU","Mauritius",IF(C581="TZ","Tanzania",IF(C581="RW","Rwanda",IF(C581="ZA","South Africa",IF(C581="ZM","Zambia","")))))))</x:f>
        <x:v>Mauritius</x:v>
      </x:c>
      <x:c r="C581" t="str">
        <x:f>'EMA Assurance Employee List'!B582</x:f>
        <x:v>MU</x:v>
      </x:c>
      <x:c r="D581" t="str">
        <x:f>'EMA Assurance Employee List'!D582</x:f>
        <x:v>mary.lisa.leong@pwc.com</x:v>
      </x:c>
      <x:c r="E581" t="n">
        <x:f>IF($D581="",0,SUMIF('Attendance Report - Option 1'!$P$11:$P$315,$D581,'Attendance Report - Option 1'!$Q$11:$Q$315)/86400)</x:f>
        <x:v>0</x:v>
      </x:c>
      <x:c r="F581" t="str">
        <x:f>IF(E581=0,"Did not attend",IF(E581&gt;='Read Me'!$E$2/86400,"Fully attended","Partially attended"))</x:f>
        <x:v>Did not attend</x:v>
      </x:c>
      <x:c r="G581" t="n">
        <x:f>IF($D581="",0,SUMIF('Attendance Report - Option 2'!$P$11:$P$412,$D581,'Attendance Report - Option 2'!$Q$11:$Q$412)/86400)</x:f>
        <x:v>0.05707175925925926</x:v>
      </x:c>
      <x:c r="H581" t="str">
        <x:f>IF(G581=0,"Did not attend",IF(G581&gt;='Read Me'!$E$2/86400,"Fully attended","Partially attended"))</x:f>
        <x:v>Partially attended</x:v>
      </x:c>
      <x:c r="I581" t="n">
        <x:f>E581+G581</x:f>
        <x:v>0.05707175925925926</x:v>
      </x:c>
      <x:c r="J581" t="str">
        <x:f>IF(I581=0,"Did not attend",IF(I581&gt;='Read Me'!$E$2/86400,"Fully attended","Partially attended"))</x:f>
        <x:v>Partially attended</x:v>
      </x:c>
      <x:c r="K581" t="str">
        <x:f>IF($D581="","No",IF(COUNTIF('Attendance Report - Option 1'!$P$11:$P$315,$D581)&gt;0,"Yes","No"))</x:f>
        <x:v>No</x:v>
      </x:c>
      <x:c r="L581" t="str">
        <x:f>IF($D581="","No",IF(COUNTIF('Attendance Report - Option 2'!$P$11:$P$412,$D581)&gt;0,"Yes","No"))</x:f>
        <x:v>Yes</x:v>
      </x:c>
    </x:row>
    <x:row r="582">
      <x:c r="A582" t="str">
        <x:f>'EMA Assurance Employee List'!A583</x:f>
        <x:v>Maryam Majid</x:v>
      </x:c>
      <x:c r="B582" t="str">
        <x:f>IF(C582="KE","Kenya",IF(C582="UG","Uganda",IF(C582="MU","Mauritius",IF(C582="TZ","Tanzania",IF(C582="RW","Rwanda",IF(C582="ZA","South Africa",IF(C582="ZM","Zambia","")))))))</x:f>
        <x:v>Tanzania</x:v>
      </x:c>
      <x:c r="C582" t="str">
        <x:f>'EMA Assurance Employee List'!B583</x:f>
        <x:v>TZ</x:v>
      </x:c>
      <x:c r="D582" t="str">
        <x:f>'EMA Assurance Employee List'!D583</x:f>
        <x:v>maryam.majid@pwc.com</x:v>
      </x:c>
      <x:c r="E582" t="n">
        <x:f>IF($D582="",0,SUMIF('Attendance Report - Option 1'!$P$11:$P$315,$D582,'Attendance Report - Option 1'!$Q$11:$Q$315)/86400)</x:f>
        <x:v>0.07731481481481481</x:v>
      </x:c>
      <x:c r="F582" t="str">
        <x:f>IF(E582=0,"Did not attend",IF(E582&gt;='Read Me'!$E$2/86400,"Fully attended","Partially attended"))</x:f>
        <x:v>Fully attended</x:v>
      </x:c>
      <x:c r="G582" t="n">
        <x:f>IF($D582="",0,SUMIF('Attendance Report - Option 2'!$P$11:$P$412,$D582,'Attendance Report - Option 2'!$Q$11:$Q$412)/86400)</x:f>
        <x:v>0</x:v>
      </x:c>
      <x:c r="H582" t="str">
        <x:f>IF(G582=0,"Did not attend",IF(G582&gt;='Read Me'!$E$2/86400,"Fully attended","Partially attended"))</x:f>
        <x:v>Did not attend</x:v>
      </x:c>
      <x:c r="I582" t="n">
        <x:f>E582+G582</x:f>
        <x:v>0.07731481481481481</x:v>
      </x:c>
      <x:c r="J582" t="str">
        <x:f>IF(I582=0,"Did not attend",IF(I582&gt;='Read Me'!$E$2/86400,"Fully attended","Partially attended"))</x:f>
        <x:v>Fully attended</x:v>
      </x:c>
      <x:c r="K582" t="str">
        <x:f>IF($D582="","No",IF(COUNTIF('Attendance Report - Option 1'!$P$11:$P$315,$D582)&gt;0,"Yes","No"))</x:f>
        <x:v>Yes</x:v>
      </x:c>
      <x:c r="L582" t="str">
        <x:f>IF($D582="","No",IF(COUNTIF('Attendance Report - Option 2'!$P$11:$P$412,$D582)&gt;0,"Yes","No"))</x:f>
        <x:v>No</x:v>
      </x:c>
    </x:row>
    <x:row r="583">
      <x:c r="A583" t="str">
        <x:f>'EMA Assurance Employee List'!A584</x:f>
        <x:v>Massooto Maurice</x:v>
      </x:c>
      <x:c r="B583" t="str">
        <x:f>IF(C583="KE","Kenya",IF(C583="UG","Uganda",IF(C583="MU","Mauritius",IF(C583="TZ","Tanzania",IF(C583="RW","Rwanda",IF(C583="ZA","South Africa",IF(C583="ZM","Zambia","")))))))</x:f>
        <x:v>Uganda</x:v>
      </x:c>
      <x:c r="C583" t="str">
        <x:f>'EMA Assurance Employee List'!B584</x:f>
        <x:v>UG</x:v>
      </x:c>
      <x:c r="D583" t="str">
        <x:f>'EMA Assurance Employee List'!D584</x:f>
        <x:v>massooto.maurice@pwc.com</x:v>
      </x:c>
      <x:c r="E583" t="n">
        <x:f>IF($D583="",0,SUMIF('Attendance Report - Option 1'!$P$11:$P$315,$D583,'Attendance Report - Option 1'!$Q$11:$Q$315)/86400)</x:f>
        <x:v>0.08991898148148147</x:v>
      </x:c>
      <x:c r="F583" t="str">
        <x:f>IF(E583=0,"Did not attend",IF(E583&gt;='Read Me'!$E$2/86400,"Fully attended","Partially attended"))</x:f>
        <x:v>Fully attended</x:v>
      </x:c>
      <x:c r="G583" t="n">
        <x:f>IF($D583="",0,SUMIF('Attendance Report - Option 2'!$P$11:$P$412,$D583,'Attendance Report - Option 2'!$Q$11:$Q$412)/86400)</x:f>
        <x:v>0</x:v>
      </x:c>
      <x:c r="H583" t="str">
        <x:f>IF(G583=0,"Did not attend",IF(G583&gt;='Read Me'!$E$2/86400,"Fully attended","Partially attended"))</x:f>
        <x:v>Did not attend</x:v>
      </x:c>
      <x:c r="I583" t="n">
        <x:f>E583+G583</x:f>
        <x:v>0.08991898148148147</x:v>
      </x:c>
      <x:c r="J583" t="str">
        <x:f>IF(I583=0,"Did not attend",IF(I583&gt;='Read Me'!$E$2/86400,"Fully attended","Partially attended"))</x:f>
        <x:v>Fully attended</x:v>
      </x:c>
      <x:c r="K583" t="str">
        <x:f>IF($D583="","No",IF(COUNTIF('Attendance Report - Option 1'!$P$11:$P$315,$D583)&gt;0,"Yes","No"))</x:f>
        <x:v>Yes</x:v>
      </x:c>
      <x:c r="L583" t="str">
        <x:f>IF($D583="","No",IF(COUNTIF('Attendance Report - Option 2'!$P$11:$P$412,$D583)&gt;0,"Yes","No"))</x:f>
        <x:v>No</x:v>
      </x:c>
    </x:row>
    <x:row r="584">
      <x:c r="A584" t="str">
        <x:f>'EMA Assurance Employee List'!A585</x:f>
        <x:v>Maureen Isagi</x:v>
      </x:c>
      <x:c r="B584" t="str">
        <x:f>IF(C584="KE","Kenya",IF(C584="UG","Uganda",IF(C584="MU","Mauritius",IF(C584="TZ","Tanzania",IF(C584="RW","Rwanda",IF(C584="ZA","South Africa",IF(C584="ZM","Zambia","")))))))</x:f>
        <x:v>Kenya</x:v>
      </x:c>
      <x:c r="C584" t="str">
        <x:f>'EMA Assurance Employee List'!B585</x:f>
        <x:v>KE</x:v>
      </x:c>
      <x:c r="D584" t="str">
        <x:f>'EMA Assurance Employee List'!D585</x:f>
        <x:v>maureen.isagi@pwc.com</x:v>
      </x:c>
      <x:c r="E584" t="n">
        <x:f>IF($D584="",0,SUMIF('Attendance Report - Option 1'!$P$11:$P$315,$D584,'Attendance Report - Option 1'!$Q$11:$Q$315)/86400)</x:f>
        <x:v>0</x:v>
      </x:c>
      <x:c r="F584" t="str">
        <x:f>IF(E584=0,"Did not attend",IF(E584&gt;='Read Me'!$E$2/86400,"Fully attended","Partially attended"))</x:f>
        <x:v>Did not attend</x:v>
      </x:c>
      <x:c r="G584" t="n">
        <x:f>IF($D584="",0,SUMIF('Attendance Report - Option 2'!$P$11:$P$412,$D584,'Attendance Report - Option 2'!$Q$11:$Q$412)/86400)</x:f>
        <x:v>0.0574537037037037</x:v>
      </x:c>
      <x:c r="H584" t="str">
        <x:f>IF(G584=0,"Did not attend",IF(G584&gt;='Read Me'!$E$2/86400,"Fully attended","Partially attended"))</x:f>
        <x:v>Partially attended</x:v>
      </x:c>
      <x:c r="I584" t="n">
        <x:f>E584+G584</x:f>
        <x:v>0.0574537037037037</x:v>
      </x:c>
      <x:c r="J584" t="str">
        <x:f>IF(I584=0,"Did not attend",IF(I584&gt;='Read Me'!$E$2/86400,"Fully attended","Partially attended"))</x:f>
        <x:v>Partially attended</x:v>
      </x:c>
      <x:c r="K584" t="str">
        <x:f>IF($D584="","No",IF(COUNTIF('Attendance Report - Option 1'!$P$11:$P$315,$D584)&gt;0,"Yes","No"))</x:f>
        <x:v>No</x:v>
      </x:c>
      <x:c r="L584" t="str">
        <x:f>IF($D584="","No",IF(COUNTIF('Attendance Report - Option 2'!$P$11:$P$412,$D584)&gt;0,"Yes","No"))</x:f>
        <x:v>Yes</x:v>
      </x:c>
    </x:row>
    <x:row r="585">
      <x:c r="A585" t="str">
        <x:f>'EMA Assurance Employee List'!A586</x:f>
        <x:v>Maurine Cheptoo</x:v>
      </x:c>
      <x:c r="B585" t="str">
        <x:f>IF(C585="KE","Kenya",IF(C585="UG","Uganda",IF(C585="MU","Mauritius",IF(C585="TZ","Tanzania",IF(C585="RW","Rwanda",IF(C585="ZA","South Africa",IF(C585="ZM","Zambia","")))))))</x:f>
        <x:v>Kenya</x:v>
      </x:c>
      <x:c r="C585" t="str">
        <x:f>'EMA Assurance Employee List'!B586</x:f>
        <x:v>KE</x:v>
      </x:c>
      <x:c r="D585" t="str">
        <x:f>'EMA Assurance Employee List'!D586</x:f>
        <x:v>maurine.cheptoo@pwc.com</x:v>
      </x:c>
      <x:c r="E585" t="n">
        <x:f>IF($D585="",0,SUMIF('Attendance Report - Option 1'!$P$11:$P$315,$D585,'Attendance Report - Option 1'!$Q$11:$Q$315)/86400)</x:f>
        <x:v>0.07084490740740741</x:v>
      </x:c>
      <x:c r="F585" t="str">
        <x:f>IF(E585=0,"Did not attend",IF(E585&gt;='Read Me'!$E$2/86400,"Fully attended","Partially attended"))</x:f>
        <x:v>Fully attended</x:v>
      </x:c>
      <x:c r="G585" t="n">
        <x:f>IF($D585="",0,SUMIF('Attendance Report - Option 2'!$P$11:$P$412,$D585,'Attendance Report - Option 2'!$Q$11:$Q$412)/86400)</x:f>
        <x:v>0</x:v>
      </x:c>
      <x:c r="H585" t="str">
        <x:f>IF(G585=0,"Did not attend",IF(G585&gt;='Read Me'!$E$2/86400,"Fully attended","Partially attended"))</x:f>
        <x:v>Did not attend</x:v>
      </x:c>
      <x:c r="I585" t="n">
        <x:f>E585+G585</x:f>
        <x:v>0.07084490740740741</x:v>
      </x:c>
      <x:c r="J585" t="str">
        <x:f>IF(I585=0,"Did not attend",IF(I585&gt;='Read Me'!$E$2/86400,"Fully attended","Partially attended"))</x:f>
        <x:v>Fully attended</x:v>
      </x:c>
      <x:c r="K585" t="str">
        <x:f>IF($D585="","No",IF(COUNTIF('Attendance Report - Option 1'!$P$11:$P$315,$D585)&gt;0,"Yes","No"))</x:f>
        <x:v>Yes</x:v>
      </x:c>
      <x:c r="L585" t="str">
        <x:f>IF($D585="","No",IF(COUNTIF('Attendance Report - Option 2'!$P$11:$P$412,$D585)&gt;0,"Yes","No"))</x:f>
        <x:v>No</x:v>
      </x:c>
    </x:row>
    <x:row r="586">
      <x:c r="A586" t="str">
        <x:f>'EMA Assurance Employee List'!A587</x:f>
        <x:v>Mellisa Nassaka</x:v>
      </x:c>
      <x:c r="B586" t="str">
        <x:f>IF(C586="KE","Kenya",IF(C586="UG","Uganda",IF(C586="MU","Mauritius",IF(C586="TZ","Tanzania",IF(C586="RW","Rwanda",IF(C586="ZA","South Africa",IF(C586="ZM","Zambia","")))))))</x:f>
        <x:v>Uganda</x:v>
      </x:c>
      <x:c r="C586" t="str">
        <x:f>'EMA Assurance Employee List'!B587</x:f>
        <x:v>UG</x:v>
      </x:c>
      <x:c r="D586" t="str">
        <x:f>'EMA Assurance Employee List'!D587</x:f>
        <x:v>mellisa.nassaka@pwc.com</x:v>
      </x:c>
      <x:c r="E586" t="n">
        <x:f>IF($D586="",0,SUMIF('Attendance Report - Option 1'!$P$11:$P$315,$D586,'Attendance Report - Option 1'!$Q$11:$Q$315)/86400)</x:f>
        <x:v>0</x:v>
      </x:c>
      <x:c r="F586" t="str">
        <x:f>IF(E586=0,"Did not attend",IF(E586&gt;='Read Me'!$E$2/86400,"Fully attended","Partially attended"))</x:f>
        <x:v>Did not attend</x:v>
      </x:c>
      <x:c r="G586" t="n">
        <x:f>IF($D586="",0,SUMIF('Attendance Report - Option 2'!$P$11:$P$412,$D586,'Attendance Report - Option 2'!$Q$11:$Q$412)/86400)</x:f>
        <x:v>0.08057870370370371</x:v>
      </x:c>
      <x:c r="H586" t="str">
        <x:f>IF(G586=0,"Did not attend",IF(G586&gt;='Read Me'!$E$2/86400,"Fully attended","Partially attended"))</x:f>
        <x:v>Fully attended</x:v>
      </x:c>
      <x:c r="I586" t="n">
        <x:f>E586+G586</x:f>
        <x:v>0.08057870370370371</x:v>
      </x:c>
      <x:c r="J586" t="str">
        <x:f>IF(I586=0,"Did not attend",IF(I586&gt;='Read Me'!$E$2/86400,"Fully attended","Partially attended"))</x:f>
        <x:v>Fully attended</x:v>
      </x:c>
      <x:c r="K586" t="str">
        <x:f>IF($D586="","No",IF(COUNTIF('Attendance Report - Option 1'!$P$11:$P$315,$D586)&gt;0,"Yes","No"))</x:f>
        <x:v>No</x:v>
      </x:c>
      <x:c r="L586" t="str">
        <x:f>IF($D586="","No",IF(COUNTIF('Attendance Report - Option 2'!$P$11:$P$412,$D586)&gt;0,"Yes","No"))</x:f>
        <x:v>Yes</x:v>
      </x:c>
    </x:row>
    <x:row r="587">
      <x:c r="A587" t="str">
        <x:f>'EMA Assurance Employee List'!A588</x:f>
        <x:v>Melvin Xavier</x:v>
      </x:c>
      <x:c r="B587" t="str">
        <x:f>IF(C587="KE","Kenya",IF(C587="UG","Uganda",IF(C587="MU","Mauritius",IF(C587="TZ","Tanzania",IF(C587="RW","Rwanda",IF(C587="ZA","South Africa",IF(C587="ZM","Zambia","")))))))</x:f>
        <x:v>Zambia</x:v>
      </x:c>
      <x:c r="C587" t="str">
        <x:f>'EMA Assurance Employee List'!B588</x:f>
        <x:v>ZM</x:v>
      </x:c>
      <x:c r="D587" t="str">
        <x:f>'EMA Assurance Employee List'!D588</x:f>
        <x:v>melvin.xavier@pwc.com</x:v>
      </x:c>
      <x:c r="E587" t="n">
        <x:f>IF($D587="",0,SUMIF('Attendance Report - Option 1'!$P$11:$P$315,$D587,'Attendance Report - Option 1'!$Q$11:$Q$315)/86400)</x:f>
        <x:v>0</x:v>
      </x:c>
      <x:c r="F587" t="str">
        <x:f>IF(E587=0,"Did not attend",IF(E587&gt;='Read Me'!$E$2/86400,"Fully attended","Partially attended"))</x:f>
        <x:v>Did not attend</x:v>
      </x:c>
      <x:c r="G587" t="n">
        <x:f>IF($D587="",0,SUMIF('Attendance Report - Option 2'!$P$11:$P$412,$D587,'Attendance Report - Option 2'!$Q$11:$Q$412)/86400)</x:f>
        <x:v>0.061875</x:v>
      </x:c>
      <x:c r="H587" t="str">
        <x:f>IF(G587=0,"Did not attend",IF(G587&gt;='Read Me'!$E$2/86400,"Fully attended","Partially attended"))</x:f>
        <x:v>Partially attended</x:v>
      </x:c>
      <x:c r="I587" t="n">
        <x:f>E587+G587</x:f>
        <x:v>0.061875</x:v>
      </x:c>
      <x:c r="J587" t="str">
        <x:f>IF(I587=0,"Did not attend",IF(I587&gt;='Read Me'!$E$2/86400,"Fully attended","Partially attended"))</x:f>
        <x:v>Partially attended</x:v>
      </x:c>
      <x:c r="K587" t="str">
        <x:f>IF($D587="","No",IF(COUNTIF('Attendance Report - Option 1'!$P$11:$P$315,$D587)&gt;0,"Yes","No"))</x:f>
        <x:v>No</x:v>
      </x:c>
      <x:c r="L587" t="str">
        <x:f>IF($D587="","No",IF(COUNTIF('Attendance Report - Option 2'!$P$11:$P$412,$D587)&gt;0,"Yes","No"))</x:f>
        <x:v>Yes</x:v>
      </x:c>
    </x:row>
    <x:row r="588">
      <x:c r="A588" t="str">
        <x:f>'EMA Assurance Employee List'!A589</x:f>
        <x:v>Mercy Kosta</x:v>
      </x:c>
      <x:c r="B588" t="str">
        <x:f>IF(C588="KE","Kenya",IF(C588="UG","Uganda",IF(C588="MU","Mauritius",IF(C588="TZ","Tanzania",IF(C588="RW","Rwanda",IF(C588="ZA","South Africa",IF(C588="ZM","Zambia","")))))))</x:f>
        <x:v>Zambia</x:v>
      </x:c>
      <x:c r="C588" t="str">
        <x:f>'EMA Assurance Employee List'!B589</x:f>
        <x:v>ZM</x:v>
      </x:c>
      <x:c r="D588" t="str">
        <x:f>'EMA Assurance Employee List'!D589</x:f>
        <x:v>mercy.kosta@pwc.com</x:v>
      </x:c>
      <x:c r="E588" t="n">
        <x:f>IF($D588="",0,SUMIF('Attendance Report - Option 1'!$P$11:$P$315,$D588,'Attendance Report - Option 1'!$Q$11:$Q$315)/86400)</x:f>
        <x:v>0.04967592592592593</x:v>
      </x:c>
      <x:c r="F588" t="str">
        <x:f>IF(E588=0,"Did not attend",IF(E588&gt;='Read Me'!$E$2/86400,"Fully attended","Partially attended"))</x:f>
        <x:v>Partially attended</x:v>
      </x:c>
      <x:c r="G588" t="n">
        <x:f>IF($D588="",0,SUMIF('Attendance Report - Option 2'!$P$11:$P$412,$D588,'Attendance Report - Option 2'!$Q$11:$Q$412)/86400)</x:f>
        <x:v>0</x:v>
      </x:c>
      <x:c r="H588" t="str">
        <x:f>IF(G588=0,"Did not attend",IF(G588&gt;='Read Me'!$E$2/86400,"Fully attended","Partially attended"))</x:f>
        <x:v>Did not attend</x:v>
      </x:c>
      <x:c r="I588" t="n">
        <x:f>E588+G588</x:f>
        <x:v>0.04967592592592593</x:v>
      </x:c>
      <x:c r="J588" t="str">
        <x:f>IF(I588=0,"Did not attend",IF(I588&gt;='Read Me'!$E$2/86400,"Fully attended","Partially attended"))</x:f>
        <x:v>Partially attended</x:v>
      </x:c>
      <x:c r="K588" t="str">
        <x:f>IF($D588="","No",IF(COUNTIF('Attendance Report - Option 1'!$P$11:$P$315,$D588)&gt;0,"Yes","No"))</x:f>
        <x:v>Yes</x:v>
      </x:c>
      <x:c r="L588" t="str">
        <x:f>IF($D588="","No",IF(COUNTIF('Attendance Report - Option 2'!$P$11:$P$412,$D588)&gt;0,"Yes","No"))</x:f>
        <x:v>No</x:v>
      </x:c>
    </x:row>
    <x:row r="589">
      <x:c r="A589" t="str">
        <x:f>'EMA Assurance Employee List'!A590</x:f>
        <x:v>Mercy Muraya</x:v>
      </x:c>
      <x:c r="B589" t="str">
        <x:f>IF(C589="KE","Kenya",IF(C589="UG","Uganda",IF(C589="MU","Mauritius",IF(C589="TZ","Tanzania",IF(C589="RW","Rwanda",IF(C589="ZA","South Africa",IF(C589="ZM","Zambia","")))))))</x:f>
        <x:v>Kenya</x:v>
      </x:c>
      <x:c r="C589" t="str">
        <x:f>'EMA Assurance Employee List'!B590</x:f>
        <x:v>KE</x:v>
      </x:c>
      <x:c r="D589" t="str">
        <x:f>'EMA Assurance Employee List'!D590</x:f>
        <x:v>mercy.muraya@pwc.com</x:v>
      </x:c>
      <x:c r="E589" t="n">
        <x:f>IF($D589="",0,SUMIF('Attendance Report - Option 1'!$P$11:$P$315,$D589,'Attendance Report - Option 1'!$Q$11:$Q$315)/86400)</x:f>
        <x:v>0</x:v>
      </x:c>
      <x:c r="F589" t="str">
        <x:f>IF(E589=0,"Did not attend",IF(E589&gt;='Read Me'!$E$2/86400,"Fully attended","Partially attended"))</x:f>
        <x:v>Did not attend</x:v>
      </x:c>
      <x:c r="G589" t="n">
        <x:f>IF($D589="",0,SUMIF('Attendance Report - Option 2'!$P$11:$P$412,$D589,'Attendance Report - Option 2'!$Q$11:$Q$412)/86400)</x:f>
        <x:v>0.020555555555555556</x:v>
      </x:c>
      <x:c r="H589" t="str">
        <x:f>IF(G589=0,"Did not attend",IF(G589&gt;='Read Me'!$E$2/86400,"Fully attended","Partially attended"))</x:f>
        <x:v>Partially attended</x:v>
      </x:c>
      <x:c r="I589" t="n">
        <x:f>E589+G589</x:f>
        <x:v>0.020555555555555556</x:v>
      </x:c>
      <x:c r="J589" t="str">
        <x:f>IF(I589=0,"Did not attend",IF(I589&gt;='Read Me'!$E$2/86400,"Fully attended","Partially attended"))</x:f>
        <x:v>Partially attended</x:v>
      </x:c>
      <x:c r="K589" t="str">
        <x:f>IF($D589="","No",IF(COUNTIF('Attendance Report - Option 1'!$P$11:$P$315,$D589)&gt;0,"Yes","No"))</x:f>
        <x:v>No</x:v>
      </x:c>
      <x:c r="L589" t="str">
        <x:f>IF($D589="","No",IF(COUNTIF('Attendance Report - Option 2'!$P$11:$P$412,$D589)&gt;0,"Yes","No"))</x:f>
        <x:v>Yes</x:v>
      </x:c>
    </x:row>
    <x:row r="590">
      <x:c r="A590" t="str">
        <x:f>'EMA Assurance Employee List'!A591</x:f>
        <x:v>Meydini Maslamony</x:v>
      </x:c>
      <x:c r="B590" t="str">
        <x:f>IF(C590="KE","Kenya",IF(C590="UG","Uganda",IF(C590="MU","Mauritius",IF(C590="TZ","Tanzania",IF(C590="RW","Rwanda",IF(C590="ZA","South Africa",IF(C590="ZM","Zambia","")))))))</x:f>
        <x:v>Mauritius</x:v>
      </x:c>
      <x:c r="C590" t="str">
        <x:f>'EMA Assurance Employee List'!B591</x:f>
        <x:v>MU</x:v>
      </x:c>
      <x:c r="D590" t="str">
        <x:f>'EMA Assurance Employee List'!D591</x:f>
        <x:v>meydini.maslamony@pwc.com</x:v>
      </x:c>
      <x:c r="E590" t="n">
        <x:f>IF($D590="",0,SUMIF('Attendance Report - Option 1'!$P$11:$P$315,$D590,'Attendance Report - Option 1'!$Q$11:$Q$315)/86400)</x:f>
        <x:v>0</x:v>
      </x:c>
      <x:c r="F590" t="str">
        <x:f>IF(E590=0,"Did not attend",IF(E590&gt;='Read Me'!$E$2/86400,"Fully attended","Partially attended"))</x:f>
        <x:v>Did not attend</x:v>
      </x:c>
      <x:c r="G590" t="n">
        <x:f>IF($D590="",0,SUMIF('Attendance Report - Option 2'!$P$11:$P$412,$D590,'Attendance Report - Option 2'!$Q$11:$Q$412)/86400)</x:f>
        <x:v>0.08824074074074074</x:v>
      </x:c>
      <x:c r="H590" t="str">
        <x:f>IF(G590=0,"Did not attend",IF(G590&gt;='Read Me'!$E$2/86400,"Fully attended","Partially attended"))</x:f>
        <x:v>Fully attended</x:v>
      </x:c>
      <x:c r="I590" t="n">
        <x:f>E590+G590</x:f>
        <x:v>0.08824074074074074</x:v>
      </x:c>
      <x:c r="J590" t="str">
        <x:f>IF(I590=0,"Did not attend",IF(I590&gt;='Read Me'!$E$2/86400,"Fully attended","Partially attended"))</x:f>
        <x:v>Fully attended</x:v>
      </x:c>
      <x:c r="K590" t="str">
        <x:f>IF($D590="","No",IF(COUNTIF('Attendance Report - Option 1'!$P$11:$P$315,$D590)&gt;0,"Yes","No"))</x:f>
        <x:v>No</x:v>
      </x:c>
      <x:c r="L590" t="str">
        <x:f>IF($D590="","No",IF(COUNTIF('Attendance Report - Option 2'!$P$11:$P$412,$D590)&gt;0,"Yes","No"))</x:f>
        <x:v>Yes</x:v>
      </x:c>
    </x:row>
    <x:row r="591">
      <x:c r="A591" t="str">
        <x:f>'EMA Assurance Employee List'!A592</x:f>
        <x:v>Mike Oyange</x:v>
      </x:c>
      <x:c r="B591" t="str">
        <x:f>IF(C591="KE","Kenya",IF(C591="UG","Uganda",IF(C591="MU","Mauritius",IF(C591="TZ","Tanzania",IF(C591="RW","Rwanda",IF(C591="ZA","South Africa",IF(C591="ZM","Zambia","")))))))</x:f>
        <x:v>Kenya</x:v>
      </x:c>
      <x:c r="C591" t="str">
        <x:f>'EMA Assurance Employee List'!B592</x:f>
        <x:v>KE</x:v>
      </x:c>
      <x:c r="D591" t="str">
        <x:f>'EMA Assurance Employee List'!D592</x:f>
        <x:v>mike.oyange@pwc.com</x:v>
      </x:c>
      <x:c r="E591" t="n">
        <x:f>IF($D591="",0,SUMIF('Attendance Report - Option 1'!$P$11:$P$315,$D591,'Attendance Report - Option 1'!$Q$11:$Q$315)/86400)</x:f>
        <x:v>0</x:v>
      </x:c>
      <x:c r="F591" t="str">
        <x:f>IF(E591=0,"Did not attend",IF(E591&gt;='Read Me'!$E$2/86400,"Fully attended","Partially attended"))</x:f>
        <x:v>Did not attend</x:v>
      </x:c>
      <x:c r="G591" t="n">
        <x:f>IF($D591="",0,SUMIF('Attendance Report - Option 2'!$P$11:$P$412,$D591,'Attendance Report - Option 2'!$Q$11:$Q$412)/86400)</x:f>
        <x:v>0.0784375</x:v>
      </x:c>
      <x:c r="H591" t="str">
        <x:f>IF(G591=0,"Did not attend",IF(G591&gt;='Read Me'!$E$2/86400,"Fully attended","Partially attended"))</x:f>
        <x:v>Fully attended</x:v>
      </x:c>
      <x:c r="I591" t="n">
        <x:f>E591+G591</x:f>
        <x:v>0.0784375</x:v>
      </x:c>
      <x:c r="J591" t="str">
        <x:f>IF(I591=0,"Did not attend",IF(I591&gt;='Read Me'!$E$2/86400,"Fully attended","Partially attended"))</x:f>
        <x:v>Fully attended</x:v>
      </x:c>
      <x:c r="K591" t="str">
        <x:f>IF($D591="","No",IF(COUNTIF('Attendance Report - Option 1'!$P$11:$P$315,$D591)&gt;0,"Yes","No"))</x:f>
        <x:v>No</x:v>
      </x:c>
      <x:c r="L591" t="str">
        <x:f>IF($D591="","No",IF(COUNTIF('Attendance Report - Option 2'!$P$11:$P$412,$D591)&gt;0,"Yes","No"))</x:f>
        <x:v>Yes</x:v>
      </x:c>
    </x:row>
    <x:row r="592">
      <x:c r="A592" t="str">
        <x:f>'EMA Assurance Employee List'!A593</x:f>
        <x:v>Mohammedsani Sherefa</x:v>
      </x:c>
      <x:c r="B592" t="str">
        <x:f>IF(C592="KE","Kenya",IF(C592="UG","Uganda",IF(C592="MU","Mauritius",IF(C592="TZ","Tanzania",IF(C592="RW","Rwanda",IF(C592="ZA","South Africa",IF(C592="ZM","Zambia","")))))))</x:f>
        <x:v>Kenya</x:v>
      </x:c>
      <x:c r="C592" t="str">
        <x:f>'EMA Assurance Employee List'!B593</x:f>
        <x:v>KE</x:v>
      </x:c>
      <x:c r="D592" t="str">
        <x:f>'EMA Assurance Employee List'!D593</x:f>
        <x:v>mohammedsani.sherefa@pwc.com</x:v>
      </x:c>
      <x:c r="E592" t="n">
        <x:f>IF($D592="",0,SUMIF('Attendance Report - Option 1'!$P$11:$P$315,$D592,'Attendance Report - Option 1'!$Q$11:$Q$315)/86400)</x:f>
        <x:v>0</x:v>
      </x:c>
      <x:c r="F592" t="str">
        <x:f>IF(E592=0,"Did not attend",IF(E592&gt;='Read Me'!$E$2/86400,"Fully attended","Partially attended"))</x:f>
        <x:v>Did not attend</x:v>
      </x:c>
      <x:c r="G592" t="n">
        <x:f>IF($D592="",0,SUMIF('Attendance Report - Option 2'!$P$11:$P$412,$D592,'Attendance Report - Option 2'!$Q$11:$Q$412)/86400)</x:f>
        <x:v>0.07280092592592592</x:v>
      </x:c>
      <x:c r="H592" t="str">
        <x:f>IF(G592=0,"Did not attend",IF(G592&gt;='Read Me'!$E$2/86400,"Fully attended","Partially attended"))</x:f>
        <x:v>Fully attended</x:v>
      </x:c>
      <x:c r="I592" t="n">
        <x:f>E592+G592</x:f>
        <x:v>0.07280092592592592</x:v>
      </x:c>
      <x:c r="J592" t="str">
        <x:f>IF(I592=0,"Did not attend",IF(I592&gt;='Read Me'!$E$2/86400,"Fully attended","Partially attended"))</x:f>
        <x:v>Fully attended</x:v>
      </x:c>
      <x:c r="K592" t="str">
        <x:f>IF($D592="","No",IF(COUNTIF('Attendance Report - Option 1'!$P$11:$P$315,$D592)&gt;0,"Yes","No"))</x:f>
        <x:v>No</x:v>
      </x:c>
      <x:c r="L592" t="str">
        <x:f>IF($D592="","No",IF(COUNTIF('Attendance Report - Option 2'!$P$11:$P$412,$D592)&gt;0,"Yes","No"))</x:f>
        <x:v>Yes</x:v>
      </x:c>
    </x:row>
    <x:row r="593">
      <x:c r="A593" t="str">
        <x:f>'EMA Assurance Employee List'!A594</x:f>
        <x:v>Moses Mutuku</x:v>
      </x:c>
      <x:c r="B593" t="str">
        <x:f>IF(C593="KE","Kenya",IF(C593="UG","Uganda",IF(C593="MU","Mauritius",IF(C593="TZ","Tanzania",IF(C593="RW","Rwanda",IF(C593="ZA","South Africa",IF(C593="ZM","Zambia","")))))))</x:f>
        <x:v>Kenya</x:v>
      </x:c>
      <x:c r="C593" t="str">
        <x:f>'EMA Assurance Employee List'!B594</x:f>
        <x:v>KE</x:v>
      </x:c>
      <x:c r="D593" t="str">
        <x:f>'EMA Assurance Employee List'!D594</x:f>
        <x:v>moses.mutuku@pwc.com</x:v>
      </x:c>
      <x:c r="E593" t="n">
        <x:f>IF($D593="",0,SUMIF('Attendance Report - Option 1'!$P$11:$P$315,$D593,'Attendance Report - Option 1'!$Q$11:$Q$315)/86400)</x:f>
        <x:v>0</x:v>
      </x:c>
      <x:c r="F593" t="str">
        <x:f>IF(E593=0,"Did not attend",IF(E593&gt;='Read Me'!$E$2/86400,"Fully attended","Partially attended"))</x:f>
        <x:v>Did not attend</x:v>
      </x:c>
      <x:c r="G593" t="n">
        <x:f>IF($D593="",0,SUMIF('Attendance Report - Option 2'!$P$11:$P$412,$D593,'Attendance Report - Option 2'!$Q$11:$Q$412)/86400)</x:f>
        <x:v>0.08138888888888889</x:v>
      </x:c>
      <x:c r="H593" t="str">
        <x:f>IF(G593=0,"Did not attend",IF(G593&gt;='Read Me'!$E$2/86400,"Fully attended","Partially attended"))</x:f>
        <x:v>Fully attended</x:v>
      </x:c>
      <x:c r="I593" t="n">
        <x:f>E593+G593</x:f>
        <x:v>0.08138888888888889</x:v>
      </x:c>
      <x:c r="J593" t="str">
        <x:f>IF(I593=0,"Did not attend",IF(I593&gt;='Read Me'!$E$2/86400,"Fully attended","Partially attended"))</x:f>
        <x:v>Fully attended</x:v>
      </x:c>
      <x:c r="K593" t="str">
        <x:f>IF($D593="","No",IF(COUNTIF('Attendance Report - Option 1'!$P$11:$P$315,$D593)&gt;0,"Yes","No"))</x:f>
        <x:v>No</x:v>
      </x:c>
      <x:c r="L593" t="str">
        <x:f>IF($D593="","No",IF(COUNTIF('Attendance Report - Option 2'!$P$11:$P$412,$D593)&gt;0,"Yes","No"))</x:f>
        <x:v>Yes</x:v>
      </x:c>
    </x:row>
    <x:row r="594">
      <x:c r="A594" t="str">
        <x:f>'EMA Assurance Employee List'!A595</x:f>
        <x:v>Moureen Ongaga</x:v>
      </x:c>
      <x:c r="B594" t="str">
        <x:f>IF(C594="KE","Kenya",IF(C594="UG","Uganda",IF(C594="MU","Mauritius",IF(C594="TZ","Tanzania",IF(C594="RW","Rwanda",IF(C594="ZA","South Africa",IF(C594="ZM","Zambia","")))))))</x:f>
        <x:v>Kenya</x:v>
      </x:c>
      <x:c r="C594" t="str">
        <x:f>'EMA Assurance Employee List'!B595</x:f>
        <x:v>KE</x:v>
      </x:c>
      <x:c r="D594" t="str">
        <x:f>'EMA Assurance Employee List'!D595</x:f>
        <x:v>moureen.ongaga@pwc.com</x:v>
      </x:c>
      <x:c r="E594" t="n">
        <x:f>IF($D594="",0,SUMIF('Attendance Report - Option 1'!$P$11:$P$315,$D594,'Attendance Report - Option 1'!$Q$11:$Q$315)/86400)</x:f>
        <x:v>0.0575</x:v>
      </x:c>
      <x:c r="F594" t="str">
        <x:f>IF(E594=0,"Did not attend",IF(E594&gt;='Read Me'!$E$2/86400,"Fully attended","Partially attended"))</x:f>
        <x:v>Partially attended</x:v>
      </x:c>
      <x:c r="G594" t="n">
        <x:f>IF($D594="",0,SUMIF('Attendance Report - Option 2'!$P$11:$P$412,$D594,'Attendance Report - Option 2'!$Q$11:$Q$412)/86400)</x:f>
        <x:v>0</x:v>
      </x:c>
      <x:c r="H594" t="str">
        <x:f>IF(G594=0,"Did not attend",IF(G594&gt;='Read Me'!$E$2/86400,"Fully attended","Partially attended"))</x:f>
        <x:v>Did not attend</x:v>
      </x:c>
      <x:c r="I594" t="n">
        <x:f>E594+G594</x:f>
        <x:v>0.0575</x:v>
      </x:c>
      <x:c r="J594" t="str">
        <x:f>IF(I594=0,"Did not attend",IF(I594&gt;='Read Me'!$E$2/86400,"Fully attended","Partially attended"))</x:f>
        <x:v>Partially attended</x:v>
      </x:c>
      <x:c r="K594" t="str">
        <x:f>IF($D594="","No",IF(COUNTIF('Attendance Report - Option 1'!$P$11:$P$315,$D594)&gt;0,"Yes","No"))</x:f>
        <x:v>Yes</x:v>
      </x:c>
      <x:c r="L594" t="str">
        <x:f>IF($D594="","No",IF(COUNTIF('Attendance Report - Option 2'!$P$11:$P$412,$D594)&gt;0,"Yes","No"))</x:f>
        <x:v>No</x:v>
      </x:c>
    </x:row>
    <x:row r="595">
      <x:c r="A595" t="str">
        <x:f>'EMA Assurance Employee List'!A596</x:f>
        <x:v>Mukota Chungu</x:v>
      </x:c>
      <x:c r="B595" t="str">
        <x:f>IF(C595="KE","Kenya",IF(C595="UG","Uganda",IF(C595="MU","Mauritius",IF(C595="TZ","Tanzania",IF(C595="RW","Rwanda",IF(C595="ZA","South Africa",IF(C595="ZM","Zambia","")))))))</x:f>
        <x:v>Zambia</x:v>
      </x:c>
      <x:c r="C595" t="str">
        <x:f>'EMA Assurance Employee List'!B596</x:f>
        <x:v>ZM</x:v>
      </x:c>
      <x:c r="D595" t="str">
        <x:f>'EMA Assurance Employee List'!D596</x:f>
        <x:v>mukota.chungu@pwc.com</x:v>
      </x:c>
      <x:c r="E595" t="n">
        <x:f>IF($D595="",0,SUMIF('Attendance Report - Option 1'!$P$11:$P$315,$D595,'Attendance Report - Option 1'!$Q$11:$Q$315)/86400)</x:f>
        <x:v>0.07865740740740741</x:v>
      </x:c>
      <x:c r="F595" t="str">
        <x:f>IF(E595=0,"Did not attend",IF(E595&gt;='Read Me'!$E$2/86400,"Fully attended","Partially attended"))</x:f>
        <x:v>Fully attended</x:v>
      </x:c>
      <x:c r="G595" t="n">
        <x:f>IF($D595="",0,SUMIF('Attendance Report - Option 2'!$P$11:$P$412,$D595,'Attendance Report - Option 2'!$Q$11:$Q$412)/86400)</x:f>
        <x:v>0</x:v>
      </x:c>
      <x:c r="H595" t="str">
        <x:f>IF(G595=0,"Did not attend",IF(G595&gt;='Read Me'!$E$2/86400,"Fully attended","Partially attended"))</x:f>
        <x:v>Did not attend</x:v>
      </x:c>
      <x:c r="I595" t="n">
        <x:f>E595+G595</x:f>
        <x:v>0.07865740740740741</x:v>
      </x:c>
      <x:c r="J595" t="str">
        <x:f>IF(I595=0,"Did not attend",IF(I595&gt;='Read Me'!$E$2/86400,"Fully attended","Partially attended"))</x:f>
        <x:v>Fully attended</x:v>
      </x:c>
      <x:c r="K595" t="str">
        <x:f>IF($D595="","No",IF(COUNTIF('Attendance Report - Option 1'!$P$11:$P$315,$D595)&gt;0,"Yes","No"))</x:f>
        <x:v>Yes</x:v>
      </x:c>
      <x:c r="L595" t="str">
        <x:f>IF($D595="","No",IF(COUNTIF('Attendance Report - Option 2'!$P$11:$P$412,$D595)&gt;0,"Yes","No"))</x:f>
        <x:v>No</x:v>
      </x:c>
    </x:row>
    <x:row r="596">
      <x:c r="A596" t="str">
        <x:f>'EMA Assurance Employee List'!A597</x:f>
        <x:v>Mukundi Makhado</x:v>
      </x:c>
      <x:c r="B596" t="str">
        <x:f>IF(C596="KE","Kenya",IF(C596="UG","Uganda",IF(C596="MU","Mauritius",IF(C596="TZ","Tanzania",IF(C596="RW","Rwanda",IF(C596="ZA","South Africa",IF(C596="ZM","Zambia","")))))))</x:f>
        <x:v>South Africa</x:v>
      </x:c>
      <x:c r="C596" t="str">
        <x:f>'EMA Assurance Employee List'!B597</x:f>
        <x:v>ZA</x:v>
      </x:c>
      <x:c r="D596" t="str">
        <x:f>'EMA Assurance Employee List'!D597</x:f>
        <x:v>mukundi.makhado@pwc.com</x:v>
      </x:c>
      <x:c r="E596" t="n">
        <x:f>IF($D596="",0,SUMIF('Attendance Report - Option 1'!$P$11:$P$315,$D596,'Attendance Report - Option 1'!$Q$11:$Q$315)/86400)</x:f>
        <x:v>0.071875</x:v>
      </x:c>
      <x:c r="F596" t="str">
        <x:f>IF(E596=0,"Did not attend",IF(E596&gt;='Read Me'!$E$2/86400,"Fully attended","Partially attended"))</x:f>
        <x:v>Fully attended</x:v>
      </x:c>
      <x:c r="G596" t="n">
        <x:f>IF($D596="",0,SUMIF('Attendance Report - Option 2'!$P$11:$P$412,$D596,'Attendance Report - Option 2'!$Q$11:$Q$412)/86400)</x:f>
        <x:v>0</x:v>
      </x:c>
      <x:c r="H596" t="str">
        <x:f>IF(G596=0,"Did not attend",IF(G596&gt;='Read Me'!$E$2/86400,"Fully attended","Partially attended"))</x:f>
        <x:v>Did not attend</x:v>
      </x:c>
      <x:c r="I596" t="n">
        <x:f>E596+G596</x:f>
        <x:v>0.071875</x:v>
      </x:c>
      <x:c r="J596" t="str">
        <x:f>IF(I596=0,"Did not attend",IF(I596&gt;='Read Me'!$E$2/86400,"Fully attended","Partially attended"))</x:f>
        <x:v>Fully attended</x:v>
      </x:c>
      <x:c r="K596" t="str">
        <x:f>IF($D596="","No",IF(COUNTIF('Attendance Report - Option 1'!$P$11:$P$315,$D596)&gt;0,"Yes","No"))</x:f>
        <x:v>Yes</x:v>
      </x:c>
      <x:c r="L596" t="str">
        <x:f>IF($D596="","No",IF(COUNTIF('Attendance Report - Option 2'!$P$11:$P$412,$D596)&gt;0,"Yes","No"))</x:f>
        <x:v>No</x:v>
      </x:c>
    </x:row>
    <x:row r="597">
      <x:c r="A597" t="str">
        <x:f>'EMA Assurance Employee List'!A598</x:f>
        <x:v>Mustansir Ebrahimjee</x:v>
      </x:c>
      <x:c r="B597" t="str">
        <x:f>IF(C597="KE","Kenya",IF(C597="UG","Uganda",IF(C597="MU","Mauritius",IF(C597="TZ","Tanzania",IF(C597="RW","Rwanda",IF(C597="ZA","South Africa",IF(C597="ZM","Zambia","")))))))</x:f>
        <x:v>Kenya</x:v>
      </x:c>
      <x:c r="C597" t="str">
        <x:f>'EMA Assurance Employee List'!B598</x:f>
        <x:v>KE</x:v>
      </x:c>
      <x:c r="D597" t="str">
        <x:f>'EMA Assurance Employee List'!D598</x:f>
        <x:v>mustansir.ebrahimjee@pwc.com</x:v>
      </x:c>
      <x:c r="E597" t="n">
        <x:f>IF($D597="",0,SUMIF('Attendance Report - Option 1'!$P$11:$P$315,$D597,'Attendance Report - Option 1'!$Q$11:$Q$315)/86400)</x:f>
        <x:v>0</x:v>
      </x:c>
      <x:c r="F597" t="str">
        <x:f>IF(E597=0,"Did not attend",IF(E597&gt;='Read Me'!$E$2/86400,"Fully attended","Partially attended"))</x:f>
        <x:v>Did not attend</x:v>
      </x:c>
      <x:c r="G597" t="n">
        <x:f>IF($D597="",0,SUMIF('Attendance Report - Option 2'!$P$11:$P$412,$D597,'Attendance Report - Option 2'!$Q$11:$Q$412)/86400)</x:f>
        <x:v>0.08744212962962963</x:v>
      </x:c>
      <x:c r="H597" t="str">
        <x:f>IF(G597=0,"Did not attend",IF(G597&gt;='Read Me'!$E$2/86400,"Fully attended","Partially attended"))</x:f>
        <x:v>Fully attended</x:v>
      </x:c>
      <x:c r="I597" t="n">
        <x:f>E597+G597</x:f>
        <x:v>0.08744212962962963</x:v>
      </x:c>
      <x:c r="J597" t="str">
        <x:f>IF(I597=0,"Did not attend",IF(I597&gt;='Read Me'!$E$2/86400,"Fully attended","Partially attended"))</x:f>
        <x:v>Fully attended</x:v>
      </x:c>
      <x:c r="K597" t="str">
        <x:f>IF($D597="","No",IF(COUNTIF('Attendance Report - Option 1'!$P$11:$P$315,$D597)&gt;0,"Yes","No"))</x:f>
        <x:v>No</x:v>
      </x:c>
      <x:c r="L597" t="str">
        <x:f>IF($D597="","No",IF(COUNTIF('Attendance Report - Option 2'!$P$11:$P$412,$D597)&gt;0,"Yes","No"))</x:f>
        <x:v>Yes</x:v>
      </x:c>
    </x:row>
    <x:row r="598">
      <x:c r="A598" t="str">
        <x:f>'EMA Assurance Employee List'!A599</x:f>
        <x:v>Mutale Chibwe</x:v>
      </x:c>
      <x:c r="B598" t="str">
        <x:f>IF(C598="KE","Kenya",IF(C598="UG","Uganda",IF(C598="MU","Mauritius",IF(C598="TZ","Tanzania",IF(C598="RW","Rwanda",IF(C598="ZA","South Africa",IF(C598="ZM","Zambia","")))))))</x:f>
        <x:v>Zambia</x:v>
      </x:c>
      <x:c r="C598" t="str">
        <x:f>'EMA Assurance Employee List'!B599</x:f>
        <x:v>ZM</x:v>
      </x:c>
      <x:c r="D598" t="str">
        <x:f>'EMA Assurance Employee List'!D599</x:f>
        <x:v>mutale.chibwe@pwc.com</x:v>
      </x:c>
      <x:c r="E598" t="n">
        <x:f>IF($D598="",0,SUMIF('Attendance Report - Option 1'!$P$11:$P$315,$D598,'Attendance Report - Option 1'!$Q$11:$Q$315)/86400)</x:f>
        <x:v>0.04546296296296296</x:v>
      </x:c>
      <x:c r="F598" t="str">
        <x:f>IF(E598=0,"Did not attend",IF(E598&gt;='Read Me'!$E$2/86400,"Fully attended","Partially attended"))</x:f>
        <x:v>Partially attended</x:v>
      </x:c>
      <x:c r="G598" t="n">
        <x:f>IF($D598="",0,SUMIF('Attendance Report - Option 2'!$P$11:$P$412,$D598,'Attendance Report - Option 2'!$Q$11:$Q$412)/86400)</x:f>
        <x:v>0</x:v>
      </x:c>
      <x:c r="H598" t="str">
        <x:f>IF(G598=0,"Did not attend",IF(G598&gt;='Read Me'!$E$2/86400,"Fully attended","Partially attended"))</x:f>
        <x:v>Did not attend</x:v>
      </x:c>
      <x:c r="I598" t="n">
        <x:f>E598+G598</x:f>
        <x:v>0.04546296296296296</x:v>
      </x:c>
      <x:c r="J598" t="str">
        <x:f>IF(I598=0,"Did not attend",IF(I598&gt;='Read Me'!$E$2/86400,"Fully attended","Partially attended"))</x:f>
        <x:v>Partially attended</x:v>
      </x:c>
      <x:c r="K598" t="str">
        <x:f>IF($D598="","No",IF(COUNTIF('Attendance Report - Option 1'!$P$11:$P$315,$D598)&gt;0,"Yes","No"))</x:f>
        <x:v>Yes</x:v>
      </x:c>
      <x:c r="L598" t="str">
        <x:f>IF($D598="","No",IF(COUNTIF('Attendance Report - Option 2'!$P$11:$P$412,$D598)&gt;0,"Yes","No"))</x:f>
        <x:v>No</x:v>
      </x:c>
    </x:row>
    <x:row r="599">
      <x:c r="A599" t="str">
        <x:f>'EMA Assurance Employee List'!A600</x:f>
        <x:v>Mutale Mulubwa</x:v>
      </x:c>
      <x:c r="B599" t="str">
        <x:f>IF(C599="KE","Kenya",IF(C599="UG","Uganda",IF(C599="MU","Mauritius",IF(C599="TZ","Tanzania",IF(C599="RW","Rwanda",IF(C599="ZA","South Africa",IF(C599="ZM","Zambia","")))))))</x:f>
        <x:v>Zambia</x:v>
      </x:c>
      <x:c r="C599" t="str">
        <x:f>'EMA Assurance Employee List'!B600</x:f>
        <x:v>ZM</x:v>
      </x:c>
      <x:c r="D599" t="str">
        <x:f>'EMA Assurance Employee List'!D600</x:f>
        <x:v>mutale.mulubwa@pwc.com</x:v>
      </x:c>
      <x:c r="E599" t="n">
        <x:f>IF($D599="",0,SUMIF('Attendance Report - Option 1'!$P$11:$P$315,$D599,'Attendance Report - Option 1'!$Q$11:$Q$315)/86400)</x:f>
        <x:v>0.15199074074074073</x:v>
      </x:c>
      <x:c r="F599" t="str">
        <x:f>IF(E599=0,"Did not attend",IF(E599&gt;='Read Me'!$E$2/86400,"Fully attended","Partially attended"))</x:f>
        <x:v>Fully attended</x:v>
      </x:c>
      <x:c r="G599" t="n">
        <x:f>IF($D599="",0,SUMIF('Attendance Report - Option 2'!$P$11:$P$412,$D599,'Attendance Report - Option 2'!$Q$11:$Q$412)/86400)</x:f>
        <x:v>0</x:v>
      </x:c>
      <x:c r="H599" t="str">
        <x:f>IF(G599=0,"Did not attend",IF(G599&gt;='Read Me'!$E$2/86400,"Fully attended","Partially attended"))</x:f>
        <x:v>Did not attend</x:v>
      </x:c>
      <x:c r="I599" t="n">
        <x:f>E599+G599</x:f>
        <x:v>0.15199074074074073</x:v>
      </x:c>
      <x:c r="J599" t="str">
        <x:f>IF(I599=0,"Did not attend",IF(I599&gt;='Read Me'!$E$2/86400,"Fully attended","Partially attended"))</x:f>
        <x:v>Fully attended</x:v>
      </x:c>
      <x:c r="K599" t="str">
        <x:f>IF($D599="","No",IF(COUNTIF('Attendance Report - Option 1'!$P$11:$P$315,$D599)&gt;0,"Yes","No"))</x:f>
        <x:v>Yes</x:v>
      </x:c>
      <x:c r="L599" t="str">
        <x:f>IF($D599="","No",IF(COUNTIF('Attendance Report - Option 2'!$P$11:$P$412,$D599)&gt;0,"Yes","No"))</x:f>
        <x:v>No</x:v>
      </x:c>
    </x:row>
    <x:row r="600">
      <x:c r="A600" t="str">
        <x:f>'EMA Assurance Employee List'!A601</x:f>
        <x:v>Najim Mwanga</x:v>
      </x:c>
      <x:c r="B600" t="str">
        <x:f>IF(C600="KE","Kenya",IF(C600="UG","Uganda",IF(C600="MU","Mauritius",IF(C600="TZ","Tanzania",IF(C600="RW","Rwanda",IF(C600="ZA","South Africa",IF(C600="ZM","Zambia","")))))))</x:f>
        <x:v>Tanzania</x:v>
      </x:c>
      <x:c r="C600" t="str">
        <x:f>'EMA Assurance Employee List'!B601</x:f>
        <x:v>TZ</x:v>
      </x:c>
      <x:c r="D600" t="str">
        <x:f>'EMA Assurance Employee List'!D601</x:f>
        <x:v>najim.mwanga@pwc.com</x:v>
      </x:c>
      <x:c r="E600" t="n">
        <x:f>IF($D600="",0,SUMIF('Attendance Report - Option 1'!$P$11:$P$315,$D600,'Attendance Report - Option 1'!$Q$11:$Q$315)/86400)</x:f>
        <x:v>0.08672453703703703</x:v>
      </x:c>
      <x:c r="F600" t="str">
        <x:f>IF(E600=0,"Did not attend",IF(E600&gt;='Read Me'!$E$2/86400,"Fully attended","Partially attended"))</x:f>
        <x:v>Fully attended</x:v>
      </x:c>
      <x:c r="G600" t="n">
        <x:f>IF($D600="",0,SUMIF('Attendance Report - Option 2'!$P$11:$P$412,$D600,'Attendance Report - Option 2'!$Q$11:$Q$412)/86400)</x:f>
        <x:v>0.023136574074074073</x:v>
      </x:c>
      <x:c r="H600" t="str">
        <x:f>IF(G600=0,"Did not attend",IF(G600&gt;='Read Me'!$E$2/86400,"Fully attended","Partially attended"))</x:f>
        <x:v>Partially attended</x:v>
      </x:c>
      <x:c r="I600" t="n">
        <x:f>E600+G600</x:f>
        <x:v>0.1098611111111111</x:v>
      </x:c>
      <x:c r="J600" t="str">
        <x:f>IF(I600=0,"Did not attend",IF(I600&gt;='Read Me'!$E$2/86400,"Fully attended","Partially attended"))</x:f>
        <x:v>Fully attended</x:v>
      </x:c>
      <x:c r="K600" t="str">
        <x:f>IF($D600="","No",IF(COUNTIF('Attendance Report - Option 1'!$P$11:$P$315,$D600)&gt;0,"Yes","No"))</x:f>
        <x:v>Yes</x:v>
      </x:c>
      <x:c r="L600" t="str">
        <x:f>IF($D600="","No",IF(COUNTIF('Attendance Report - Option 2'!$P$11:$P$412,$D600)&gt;0,"Yes","No"))</x:f>
        <x:v>Yes</x:v>
      </x:c>
    </x:row>
    <x:row r="601">
      <x:c r="A601" t="str">
        <x:f>'EMA Assurance Employee List'!A602</x:f>
        <x:v>Nancy Mwangi</x:v>
      </x:c>
      <x:c r="B601" t="str">
        <x:f>IF(C601="KE","Kenya",IF(C601="UG","Uganda",IF(C601="MU","Mauritius",IF(C601="TZ","Tanzania",IF(C601="RW","Rwanda",IF(C601="ZA","South Africa",IF(C601="ZM","Zambia","")))))))</x:f>
        <x:v>Kenya</x:v>
      </x:c>
      <x:c r="C601" t="str">
        <x:f>'EMA Assurance Employee List'!B602</x:f>
        <x:v>KE</x:v>
      </x:c>
      <x:c r="D601" t="str">
        <x:f>'EMA Assurance Employee List'!D602</x:f>
        <x:v>nancy.mwangi@pwc.com</x:v>
      </x:c>
      <x:c r="E601" t="n">
        <x:f>IF($D601="",0,SUMIF('Attendance Report - Option 1'!$P$11:$P$315,$D601,'Attendance Report - Option 1'!$Q$11:$Q$315)/86400)</x:f>
        <x:v>0.0005787037037037037</x:v>
      </x:c>
      <x:c r="F601" t="str">
        <x:f>IF(E601=0,"Did not attend",IF(E601&gt;='Read Me'!$E$2/86400,"Fully attended","Partially attended"))</x:f>
        <x:v>Partially attended</x:v>
      </x:c>
      <x:c r="G601" t="n">
        <x:f>IF($D601="",0,SUMIF('Attendance Report - Option 2'!$P$11:$P$412,$D601,'Attendance Report - Option 2'!$Q$11:$Q$412)/86400)</x:f>
        <x:v>0</x:v>
      </x:c>
      <x:c r="H601" t="str">
        <x:f>IF(G601=0,"Did not attend",IF(G601&gt;='Read Me'!$E$2/86400,"Fully attended","Partially attended"))</x:f>
        <x:v>Did not attend</x:v>
      </x:c>
      <x:c r="I601" t="n">
        <x:f>E601+G601</x:f>
        <x:v>0.0005787037037037037</x:v>
      </x:c>
      <x:c r="J601" t="str">
        <x:f>IF(I601=0,"Did not attend",IF(I601&gt;='Read Me'!$E$2/86400,"Fully attended","Partially attended"))</x:f>
        <x:v>Partially attended</x:v>
      </x:c>
      <x:c r="K601" t="str">
        <x:f>IF($D601="","No",IF(COUNTIF('Attendance Report - Option 1'!$P$11:$P$315,$D601)&gt;0,"Yes","No"))</x:f>
        <x:v>Yes</x:v>
      </x:c>
      <x:c r="L601" t="str">
        <x:f>IF($D601="","No",IF(COUNTIF('Attendance Report - Option 2'!$P$11:$P$412,$D601)&gt;0,"Yes","No"))</x:f>
        <x:v>No</x:v>
      </x:c>
    </x:row>
    <x:row r="602">
      <x:c r="A602" t="str">
        <x:f>'EMA Assurance Employee List'!A603</x:f>
        <x:v>Nancy Shamge</x:v>
      </x:c>
      <x:c r="B602" t="str">
        <x:f>IF(C602="KE","Kenya",IF(C602="UG","Uganda",IF(C602="MU","Mauritius",IF(C602="TZ","Tanzania",IF(C602="RW","Rwanda",IF(C602="ZA","South Africa",IF(C602="ZM","Zambia","")))))))</x:f>
        <x:v>Tanzania</x:v>
      </x:c>
      <x:c r="C602" t="str">
        <x:f>'EMA Assurance Employee List'!B603</x:f>
        <x:v>TZ</x:v>
      </x:c>
      <x:c r="D602" t="str">
        <x:f>'EMA Assurance Employee List'!D603</x:f>
        <x:v>nancy.shamge@pwc.com</x:v>
      </x:c>
      <x:c r="E602" t="n">
        <x:f>IF($D602="",0,SUMIF('Attendance Report - Option 1'!$P$11:$P$315,$D602,'Attendance Report - Option 1'!$Q$11:$Q$315)/86400)</x:f>
        <x:v>0.07805555555555556</x:v>
      </x:c>
      <x:c r="F602" t="str">
        <x:f>IF(E602=0,"Did not attend",IF(E602&gt;='Read Me'!$E$2/86400,"Fully attended","Partially attended"))</x:f>
        <x:v>Fully attended</x:v>
      </x:c>
      <x:c r="G602" t="n">
        <x:f>IF($D602="",0,SUMIF('Attendance Report - Option 2'!$P$11:$P$412,$D602,'Attendance Report - Option 2'!$Q$11:$Q$412)/86400)</x:f>
        <x:v>0.0016435185185185185</x:v>
      </x:c>
      <x:c r="H602" t="str">
        <x:f>IF(G602=0,"Did not attend",IF(G602&gt;='Read Me'!$E$2/86400,"Fully attended","Partially attended"))</x:f>
        <x:v>Partially attended</x:v>
      </x:c>
      <x:c r="I602" t="n">
        <x:f>E602+G602</x:f>
        <x:v>0.07969907407407407</x:v>
      </x:c>
      <x:c r="J602" t="str">
        <x:f>IF(I602=0,"Did not attend",IF(I602&gt;='Read Me'!$E$2/86400,"Fully attended","Partially attended"))</x:f>
        <x:v>Fully attended</x:v>
      </x:c>
      <x:c r="K602" t="str">
        <x:f>IF($D602="","No",IF(COUNTIF('Attendance Report - Option 1'!$P$11:$P$315,$D602)&gt;0,"Yes","No"))</x:f>
        <x:v>Yes</x:v>
      </x:c>
      <x:c r="L602" t="str">
        <x:f>IF($D602="","No",IF(COUNTIF('Attendance Report - Option 2'!$P$11:$P$412,$D602)&gt;0,"Yes","No"))</x:f>
        <x:v>Yes</x:v>
      </x:c>
    </x:row>
    <x:row r="603">
      <x:c r="A603" t="str">
        <x:f>'EMA Assurance Employee List'!A604</x:f>
        <x:v>Nanita Nalule</x:v>
      </x:c>
      <x:c r="B603" t="str">
        <x:f>IF(C603="KE","Kenya",IF(C603="UG","Uganda",IF(C603="MU","Mauritius",IF(C603="TZ","Tanzania",IF(C603="RW","Rwanda",IF(C603="ZA","South Africa",IF(C603="ZM","Zambia","")))))))</x:f>
        <x:v>Uganda</x:v>
      </x:c>
      <x:c r="C603" t="str">
        <x:f>'EMA Assurance Employee List'!B604</x:f>
        <x:v>UG</x:v>
      </x:c>
      <x:c r="D603" t="str">
        <x:f>'EMA Assurance Employee List'!D604</x:f>
        <x:v>nanita.nalule@pwc.com</x:v>
      </x:c>
      <x:c r="E603" t="n">
        <x:f>IF($D603="",0,SUMIF('Attendance Report - Option 1'!$P$11:$P$315,$D603,'Attendance Report - Option 1'!$Q$11:$Q$315)/86400)</x:f>
        <x:v>0.08583333333333333</x:v>
      </x:c>
      <x:c r="F603" t="str">
        <x:f>IF(E603=0,"Did not attend",IF(E603&gt;='Read Me'!$E$2/86400,"Fully attended","Partially attended"))</x:f>
        <x:v>Fully attended</x:v>
      </x:c>
      <x:c r="G603" t="n">
        <x:f>IF($D603="",0,SUMIF('Attendance Report - Option 2'!$P$11:$P$412,$D603,'Attendance Report - Option 2'!$Q$11:$Q$412)/86400)</x:f>
        <x:v>0</x:v>
      </x:c>
      <x:c r="H603" t="str">
        <x:f>IF(G603=0,"Did not attend",IF(G603&gt;='Read Me'!$E$2/86400,"Fully attended","Partially attended"))</x:f>
        <x:v>Did not attend</x:v>
      </x:c>
      <x:c r="I603" t="n">
        <x:f>E603+G603</x:f>
        <x:v>0.08583333333333333</x:v>
      </x:c>
      <x:c r="J603" t="str">
        <x:f>IF(I603=0,"Did not attend",IF(I603&gt;='Read Me'!$E$2/86400,"Fully attended","Partially attended"))</x:f>
        <x:v>Fully attended</x:v>
      </x:c>
      <x:c r="K603" t="str">
        <x:f>IF($D603="","No",IF(COUNTIF('Attendance Report - Option 1'!$P$11:$P$315,$D603)&gt;0,"Yes","No"))</x:f>
        <x:v>Yes</x:v>
      </x:c>
      <x:c r="L603" t="str">
        <x:f>IF($D603="","No",IF(COUNTIF('Attendance Report - Option 2'!$P$11:$P$412,$D603)&gt;0,"Yes","No"))</x:f>
        <x:v>No</x:v>
      </x:c>
    </x:row>
    <x:row r="604">
      <x:c r="A604" t="str">
        <x:f>'EMA Assurance Employee List'!A605</x:f>
        <x:v>Nardos Demeke</x:v>
      </x:c>
      <x:c r="B604" t="str">
        <x:f>IF(C604="KE","Kenya",IF(C604="UG","Uganda",IF(C604="MU","Mauritius",IF(C604="TZ","Tanzania",IF(C604="RW","Rwanda",IF(C604="ZA","South Africa",IF(C604="ZM","Zambia","")))))))</x:f>
        <x:v>Kenya</x:v>
      </x:c>
      <x:c r="C604" t="str">
        <x:f>'EMA Assurance Employee List'!B605</x:f>
        <x:v>KE</x:v>
      </x:c>
      <x:c r="D604" t="str">
        <x:f>'EMA Assurance Employee List'!D605</x:f>
        <x:v>nardos.demeke@pwc.com</x:v>
      </x:c>
      <x:c r="E604" t="n">
        <x:f>IF($D604="",0,SUMIF('Attendance Report - Option 1'!$P$11:$P$315,$D604,'Attendance Report - Option 1'!$Q$11:$Q$315)/86400)</x:f>
        <x:v>0</x:v>
      </x:c>
      <x:c r="F604" t="str">
        <x:f>IF(E604=0,"Did not attend",IF(E604&gt;='Read Me'!$E$2/86400,"Fully attended","Partially attended"))</x:f>
        <x:v>Did not attend</x:v>
      </x:c>
      <x:c r="G604" t="n">
        <x:f>IF($D604="",0,SUMIF('Attendance Report - Option 2'!$P$11:$P$412,$D604,'Attendance Report - Option 2'!$Q$11:$Q$412)/86400)</x:f>
        <x:v>0.13792824074074075</x:v>
      </x:c>
      <x:c r="H604" t="str">
        <x:f>IF(G604=0,"Did not attend",IF(G604&gt;='Read Me'!$E$2/86400,"Fully attended","Partially attended"))</x:f>
        <x:v>Fully attended</x:v>
      </x:c>
      <x:c r="I604" t="n">
        <x:f>E604+G604</x:f>
        <x:v>0.13792824074074075</x:v>
      </x:c>
      <x:c r="J604" t="str">
        <x:f>IF(I604=0,"Did not attend",IF(I604&gt;='Read Me'!$E$2/86400,"Fully attended","Partially attended"))</x:f>
        <x:v>Fully attended</x:v>
      </x:c>
      <x:c r="K604" t="str">
        <x:f>IF($D604="","No",IF(COUNTIF('Attendance Report - Option 1'!$P$11:$P$315,$D604)&gt;0,"Yes","No"))</x:f>
        <x:v>No</x:v>
      </x:c>
      <x:c r="L604" t="str">
        <x:f>IF($D604="","No",IF(COUNTIF('Attendance Report - Option 2'!$P$11:$P$412,$D604)&gt;0,"Yes","No"))</x:f>
        <x:v>Yes</x:v>
      </x:c>
    </x:row>
    <x:row r="605">
      <x:c r="A605" t="str">
        <x:f>'EMA Assurance Employee List'!A606</x:f>
        <x:v>Narsis Makori</x:v>
      </x:c>
      <x:c r="B605" t="str">
        <x:f>IF(C605="KE","Kenya",IF(C605="UG","Uganda",IF(C605="MU","Mauritius",IF(C605="TZ","Tanzania",IF(C605="RW","Rwanda",IF(C605="ZA","South Africa",IF(C605="ZM","Zambia","")))))))</x:f>
        <x:v>Tanzania</x:v>
      </x:c>
      <x:c r="C605" t="str">
        <x:f>'EMA Assurance Employee List'!B606</x:f>
        <x:v>TZ</x:v>
      </x:c>
      <x:c r="D605" t="str">
        <x:f>'EMA Assurance Employee List'!D606</x:f>
        <x:v>narsis.m.makori@pwc.com</x:v>
      </x:c>
      <x:c r="E605" t="n">
        <x:f>IF($D605="",0,SUMIF('Attendance Report - Option 1'!$P$11:$P$315,$D605,'Attendance Report - Option 1'!$Q$11:$Q$315)/86400)</x:f>
        <x:v>0.07378472222222222</x:v>
      </x:c>
      <x:c r="F605" t="str">
        <x:f>IF(E605=0,"Did not attend",IF(E605&gt;='Read Me'!$E$2/86400,"Fully attended","Partially attended"))</x:f>
        <x:v>Fully attended</x:v>
      </x:c>
      <x:c r="G605" t="n">
        <x:f>IF($D605="",0,SUMIF('Attendance Report - Option 2'!$P$11:$P$412,$D605,'Attendance Report - Option 2'!$Q$11:$Q$412)/86400)</x:f>
        <x:v>0</x:v>
      </x:c>
      <x:c r="H605" t="str">
        <x:f>IF(G605=0,"Did not attend",IF(G605&gt;='Read Me'!$E$2/86400,"Fully attended","Partially attended"))</x:f>
        <x:v>Did not attend</x:v>
      </x:c>
      <x:c r="I605" t="n">
        <x:f>E605+G605</x:f>
        <x:v>0.07378472222222222</x:v>
      </x:c>
      <x:c r="J605" t="str">
        <x:f>IF(I605=0,"Did not attend",IF(I605&gt;='Read Me'!$E$2/86400,"Fully attended","Partially attended"))</x:f>
        <x:v>Fully attended</x:v>
      </x:c>
      <x:c r="K605" t="str">
        <x:f>IF($D605="","No",IF(COUNTIF('Attendance Report - Option 1'!$P$11:$P$315,$D605)&gt;0,"Yes","No"))</x:f>
        <x:v>Yes</x:v>
      </x:c>
      <x:c r="L605" t="str">
        <x:f>IF($D605="","No",IF(COUNTIF('Attendance Report - Option 2'!$P$11:$P$412,$D605)&gt;0,"Yes","No"))</x:f>
        <x:v>No</x:v>
      </x:c>
    </x:row>
    <x:row r="606">
      <x:c r="A606" t="str">
        <x:f>'EMA Assurance Employee List'!A607</x:f>
        <x:v>Natasha Kakokota</x:v>
      </x:c>
      <x:c r="B606" t="str">
        <x:f>IF(C606="KE","Kenya",IF(C606="UG","Uganda",IF(C606="MU","Mauritius",IF(C606="TZ","Tanzania",IF(C606="RW","Rwanda",IF(C606="ZA","South Africa",IF(C606="ZM","Zambia","")))))))</x:f>
        <x:v>Zambia</x:v>
      </x:c>
      <x:c r="C606" t="str">
        <x:f>'EMA Assurance Employee List'!B607</x:f>
        <x:v>ZM</x:v>
      </x:c>
      <x:c r="D606" t="str">
        <x:f>'EMA Assurance Employee List'!D607</x:f>
        <x:v>natasha.kakokota@pwc.com</x:v>
      </x:c>
      <x:c r="E606" t="n">
        <x:f>IF($D606="",0,SUMIF('Attendance Report - Option 1'!$P$11:$P$315,$D606,'Attendance Report - Option 1'!$Q$11:$Q$315)/86400)</x:f>
        <x:v>0</x:v>
      </x:c>
      <x:c r="F606" t="str">
        <x:f>IF(E606=0,"Did not attend",IF(E606&gt;='Read Me'!$E$2/86400,"Fully attended","Partially attended"))</x:f>
        <x:v>Did not attend</x:v>
      </x:c>
      <x:c r="G606" t="n">
        <x:f>IF($D606="",0,SUMIF('Attendance Report - Option 2'!$P$11:$P$412,$D606,'Attendance Report - Option 2'!$Q$11:$Q$412)/86400)</x:f>
        <x:v>0.08703703703703704</x:v>
      </x:c>
      <x:c r="H606" t="str">
        <x:f>IF(G606=0,"Did not attend",IF(G606&gt;='Read Me'!$E$2/86400,"Fully attended","Partially attended"))</x:f>
        <x:v>Fully attended</x:v>
      </x:c>
      <x:c r="I606" t="n">
        <x:f>E606+G606</x:f>
        <x:v>0.08703703703703704</x:v>
      </x:c>
      <x:c r="J606" t="str">
        <x:f>IF(I606=0,"Did not attend",IF(I606&gt;='Read Me'!$E$2/86400,"Fully attended","Partially attended"))</x:f>
        <x:v>Fully attended</x:v>
      </x:c>
      <x:c r="K606" t="str">
        <x:f>IF($D606="","No",IF(COUNTIF('Attendance Report - Option 1'!$P$11:$P$315,$D606)&gt;0,"Yes","No"))</x:f>
        <x:v>No</x:v>
      </x:c>
      <x:c r="L606" t="str">
        <x:f>IF($D606="","No",IF(COUNTIF('Attendance Report - Option 2'!$P$11:$P$412,$D606)&gt;0,"Yes","No"))</x:f>
        <x:v>Yes</x:v>
      </x:c>
    </x:row>
    <x:row r="607">
      <x:c r="A607" t="str">
        <x:f>'EMA Assurance Employee List'!A608</x:f>
        <x:v>Neetisha Devi Cheekhooree</x:v>
      </x:c>
      <x:c r="B607" t="str">
        <x:f>IF(C607="KE","Kenya",IF(C607="UG","Uganda",IF(C607="MU","Mauritius",IF(C607="TZ","Tanzania",IF(C607="RW","Rwanda",IF(C607="ZA","South Africa",IF(C607="ZM","Zambia","")))))))</x:f>
        <x:v>Mauritius</x:v>
      </x:c>
      <x:c r="C607" t="str">
        <x:f>'EMA Assurance Employee List'!B608</x:f>
        <x:v>MU</x:v>
      </x:c>
      <x:c r="D607" t="str">
        <x:f>'EMA Assurance Employee List'!D608</x:f>
        <x:v>neetisha.cheekhooree@pwc.com</x:v>
      </x:c>
      <x:c r="E607" t="n">
        <x:f>IF($D607="",0,SUMIF('Attendance Report - Option 1'!$P$11:$P$315,$D607,'Attendance Report - Option 1'!$Q$11:$Q$315)/86400)</x:f>
        <x:v>0.0008449074074074074</x:v>
      </x:c>
      <x:c r="F607" t="str">
        <x:f>IF(E607=0,"Did not attend",IF(E607&gt;='Read Me'!$E$2/86400,"Fully attended","Partially attended"))</x:f>
        <x:v>Partially attended</x:v>
      </x:c>
      <x:c r="G607" t="n">
        <x:f>IF($D607="",0,SUMIF('Attendance Report - Option 2'!$P$11:$P$412,$D607,'Attendance Report - Option 2'!$Q$11:$Q$412)/86400)</x:f>
        <x:v>0.0853587962962963</x:v>
      </x:c>
      <x:c r="H607" t="str">
        <x:f>IF(G607=0,"Did not attend",IF(G607&gt;='Read Me'!$E$2/86400,"Fully attended","Partially attended"))</x:f>
        <x:v>Fully attended</x:v>
      </x:c>
      <x:c r="I607" t="n">
        <x:f>E607+G607</x:f>
        <x:v>0.0862037037037037</x:v>
      </x:c>
      <x:c r="J607" t="str">
        <x:f>IF(I607=0,"Did not attend",IF(I607&gt;='Read Me'!$E$2/86400,"Fully attended","Partially attended"))</x:f>
        <x:v>Fully attended</x:v>
      </x:c>
      <x:c r="K607" t="str">
        <x:f>IF($D607="","No",IF(COUNTIF('Attendance Report - Option 1'!$P$11:$P$315,$D607)&gt;0,"Yes","No"))</x:f>
        <x:v>Yes</x:v>
      </x:c>
      <x:c r="L607" t="str">
        <x:f>IF($D607="","No",IF(COUNTIF('Attendance Report - Option 2'!$P$11:$P$412,$D607)&gt;0,"Yes","No"))</x:f>
        <x:v>Yes</x:v>
      </x:c>
    </x:row>
    <x:row r="608">
      <x:c r="A608" t="str">
        <x:f>'EMA Assurance Employee List'!A609</x:f>
        <x:v>Nigel Clint</x:v>
      </x:c>
      <x:c r="B608" t="str">
        <x:f>IF(C608="KE","Kenya",IF(C608="UG","Uganda",IF(C608="MU","Mauritius",IF(C608="TZ","Tanzania",IF(C608="RW","Rwanda",IF(C608="ZA","South Africa",IF(C608="ZM","Zambia","")))))))</x:f>
        <x:v>Kenya</x:v>
      </x:c>
      <x:c r="C608" t="str">
        <x:f>'EMA Assurance Employee List'!B609</x:f>
        <x:v>KE</x:v>
      </x:c>
      <x:c r="D608" t="str">
        <x:f>'EMA Assurance Employee List'!D609</x:f>
        <x:v>nigel.clint@pwc.com</x:v>
      </x:c>
      <x:c r="E608" t="n">
        <x:f>IF($D608="",0,SUMIF('Attendance Report - Option 1'!$P$11:$P$315,$D608,'Attendance Report - Option 1'!$Q$11:$Q$315)/86400)</x:f>
        <x:v>0</x:v>
      </x:c>
      <x:c r="F608" t="str">
        <x:f>IF(E608=0,"Did not attend",IF(E608&gt;='Read Me'!$E$2/86400,"Fully attended","Partially attended"))</x:f>
        <x:v>Did not attend</x:v>
      </x:c>
      <x:c r="G608" t="n">
        <x:f>IF($D608="",0,SUMIF('Attendance Report - Option 2'!$P$11:$P$412,$D608,'Attendance Report - Option 2'!$Q$11:$Q$412)/86400)</x:f>
        <x:v>0.041712962962962966</x:v>
      </x:c>
      <x:c r="H608" t="str">
        <x:f>IF(G608=0,"Did not attend",IF(G608&gt;='Read Me'!$E$2/86400,"Fully attended","Partially attended"))</x:f>
        <x:v>Partially attended</x:v>
      </x:c>
      <x:c r="I608" t="n">
        <x:f>E608+G608</x:f>
        <x:v>0.041712962962962966</x:v>
      </x:c>
      <x:c r="J608" t="str">
        <x:f>IF(I608=0,"Did not attend",IF(I608&gt;='Read Me'!$E$2/86400,"Fully attended","Partially attended"))</x:f>
        <x:v>Partially attended</x:v>
      </x:c>
      <x:c r="K608" t="str">
        <x:f>IF($D608="","No",IF(COUNTIF('Attendance Report - Option 1'!$P$11:$P$315,$D608)&gt;0,"Yes","No"))</x:f>
        <x:v>No</x:v>
      </x:c>
      <x:c r="L608" t="str">
        <x:f>IF($D608="","No",IF(COUNTIF('Attendance Report - Option 2'!$P$11:$P$412,$D608)&gt;0,"Yes","No"))</x:f>
        <x:v>Yes</x:v>
      </x:c>
    </x:row>
    <x:row r="609">
      <x:c r="A609" t="str">
        <x:f>'EMA Assurance Employee List'!A610</x:f>
        <x:v>Nivenda Govindramen</x:v>
      </x:c>
      <x:c r="B609" t="str">
        <x:f>IF(C609="KE","Kenya",IF(C609="UG","Uganda",IF(C609="MU","Mauritius",IF(C609="TZ","Tanzania",IF(C609="RW","Rwanda",IF(C609="ZA","South Africa",IF(C609="ZM","Zambia","")))))))</x:f>
        <x:v>Mauritius</x:v>
      </x:c>
      <x:c r="C609" t="str">
        <x:f>'EMA Assurance Employee List'!B610</x:f>
        <x:v>MU</x:v>
      </x:c>
      <x:c r="D609" t="str">
        <x:f>'EMA Assurance Employee List'!D610</x:f>
        <x:v>nivenda.govindramen@pwc.com</x:v>
      </x:c>
      <x:c r="E609" t="n">
        <x:f>IF($D609="",0,SUMIF('Attendance Report - Option 1'!$P$11:$P$315,$D609,'Attendance Report - Option 1'!$Q$11:$Q$315)/86400)</x:f>
        <x:v>0.06645833333333333</x:v>
      </x:c>
      <x:c r="F609" t="str">
        <x:f>IF(E609=0,"Did not attend",IF(E609&gt;='Read Me'!$E$2/86400,"Fully attended","Partially attended"))</x:f>
        <x:v>Fully attended</x:v>
      </x:c>
      <x:c r="G609" t="n">
        <x:f>IF($D609="",0,SUMIF('Attendance Report - Option 2'!$P$11:$P$412,$D609,'Attendance Report - Option 2'!$Q$11:$Q$412)/86400)</x:f>
        <x:v>0</x:v>
      </x:c>
      <x:c r="H609" t="str">
        <x:f>IF(G609=0,"Did not attend",IF(G609&gt;='Read Me'!$E$2/86400,"Fully attended","Partially attended"))</x:f>
        <x:v>Did not attend</x:v>
      </x:c>
      <x:c r="I609" t="n">
        <x:f>E609+G609</x:f>
        <x:v>0.06645833333333333</x:v>
      </x:c>
      <x:c r="J609" t="str">
        <x:f>IF(I609=0,"Did not attend",IF(I609&gt;='Read Me'!$E$2/86400,"Fully attended","Partially attended"))</x:f>
        <x:v>Fully attended</x:v>
      </x:c>
      <x:c r="K609" t="str">
        <x:f>IF($D609="","No",IF(COUNTIF('Attendance Report - Option 1'!$P$11:$P$315,$D609)&gt;0,"Yes","No"))</x:f>
        <x:v>Yes</x:v>
      </x:c>
      <x:c r="L609" t="str">
        <x:f>IF($D609="","No",IF(COUNTIF('Attendance Report - Option 2'!$P$11:$P$412,$D609)&gt;0,"Yes","No"))</x:f>
        <x:v>No</x:v>
      </x:c>
    </x:row>
    <x:row r="610">
      <x:c r="A610" t="str">
        <x:f>'EMA Assurance Employee List'!A611</x:f>
        <x:v>Noah Tembo</x:v>
      </x:c>
      <x:c r="B610" t="str">
        <x:f>IF(C610="KE","Kenya",IF(C610="UG","Uganda",IF(C610="MU","Mauritius",IF(C610="TZ","Tanzania",IF(C610="RW","Rwanda",IF(C610="ZA","South Africa",IF(C610="ZM","Zambia","")))))))</x:f>
        <x:v>Zambia</x:v>
      </x:c>
      <x:c r="C610" t="str">
        <x:f>'EMA Assurance Employee List'!B611</x:f>
        <x:v>ZM</x:v>
      </x:c>
      <x:c r="D610" t="str">
        <x:f>'EMA Assurance Employee List'!D611</x:f>
        <x:v>noah.tembo@pwc.com</x:v>
      </x:c>
      <x:c r="E610" t="n">
        <x:f>IF($D610="",0,SUMIF('Attendance Report - Option 1'!$P$11:$P$315,$D610,'Attendance Report - Option 1'!$Q$11:$Q$315)/86400)</x:f>
        <x:v>0</x:v>
      </x:c>
      <x:c r="F610" t="str">
        <x:f>IF(E610=0,"Did not attend",IF(E610&gt;='Read Me'!$E$2/86400,"Fully attended","Partially attended"))</x:f>
        <x:v>Did not attend</x:v>
      </x:c>
      <x:c r="G610" t="n">
        <x:f>IF($D610="",0,SUMIF('Attendance Report - Option 2'!$P$11:$P$412,$D610,'Attendance Report - Option 2'!$Q$11:$Q$412)/86400)</x:f>
        <x:v>0.04462962962962963</x:v>
      </x:c>
      <x:c r="H610" t="str">
        <x:f>IF(G610=0,"Did not attend",IF(G610&gt;='Read Me'!$E$2/86400,"Fully attended","Partially attended"))</x:f>
        <x:v>Partially attended</x:v>
      </x:c>
      <x:c r="I610" t="n">
        <x:f>E610+G610</x:f>
        <x:v>0.04462962962962963</x:v>
      </x:c>
      <x:c r="J610" t="str">
        <x:f>IF(I610=0,"Did not attend",IF(I610&gt;='Read Me'!$E$2/86400,"Fully attended","Partially attended"))</x:f>
        <x:v>Partially attended</x:v>
      </x:c>
      <x:c r="K610" t="str">
        <x:f>IF($D610="","No",IF(COUNTIF('Attendance Report - Option 1'!$P$11:$P$315,$D610)&gt;0,"Yes","No"))</x:f>
        <x:v>No</x:v>
      </x:c>
      <x:c r="L610" t="str">
        <x:f>IF($D610="","No",IF(COUNTIF('Attendance Report - Option 2'!$P$11:$P$412,$D610)&gt;0,"Yes","No"))</x:f>
        <x:v>Yes</x:v>
      </x:c>
    </x:row>
    <x:row r="611">
      <x:c r="A611" t="str">
        <x:f>'EMA Assurance Employee List'!A612</x:f>
        <x:v>Nuhu Mandy</x:v>
      </x:c>
      <x:c r="B611" t="str">
        <x:f>IF(C611="KE","Kenya",IF(C611="UG","Uganda",IF(C611="MU","Mauritius",IF(C611="TZ","Tanzania",IF(C611="RW","Rwanda",IF(C611="ZA","South Africa",IF(C611="ZM","Zambia","")))))))</x:f>
        <x:v>Tanzania</x:v>
      </x:c>
      <x:c r="C611" t="str">
        <x:f>'EMA Assurance Employee List'!B612</x:f>
        <x:v>TZ</x:v>
      </x:c>
      <x:c r="D611" t="str">
        <x:f>'EMA Assurance Employee List'!D612</x:f>
        <x:v>nuhu.mandy@pwc.com</x:v>
      </x:c>
      <x:c r="E611" t="n">
        <x:f>IF($D611="",0,SUMIF('Attendance Report - Option 1'!$P$11:$P$315,$D611,'Attendance Report - Option 1'!$Q$11:$Q$315)/86400)</x:f>
        <x:v>0.08592592592592592</x:v>
      </x:c>
      <x:c r="F611" t="str">
        <x:f>IF(E611=0,"Did not attend",IF(E611&gt;='Read Me'!$E$2/86400,"Fully attended","Partially attended"))</x:f>
        <x:v>Fully attended</x:v>
      </x:c>
      <x:c r="G611" t="n">
        <x:f>IF($D611="",0,SUMIF('Attendance Report - Option 2'!$P$11:$P$412,$D611,'Attendance Report - Option 2'!$Q$11:$Q$412)/86400)</x:f>
        <x:v>0</x:v>
      </x:c>
      <x:c r="H611" t="str">
        <x:f>IF(G611=0,"Did not attend",IF(G611&gt;='Read Me'!$E$2/86400,"Fully attended","Partially attended"))</x:f>
        <x:v>Did not attend</x:v>
      </x:c>
      <x:c r="I611" t="n">
        <x:f>E611+G611</x:f>
        <x:v>0.08592592592592592</x:v>
      </x:c>
      <x:c r="J611" t="str">
        <x:f>IF(I611=0,"Did not attend",IF(I611&gt;='Read Me'!$E$2/86400,"Fully attended","Partially attended"))</x:f>
        <x:v>Fully attended</x:v>
      </x:c>
      <x:c r="K611" t="str">
        <x:f>IF($D611="","No",IF(COUNTIF('Attendance Report - Option 1'!$P$11:$P$315,$D611)&gt;0,"Yes","No"))</x:f>
        <x:v>Yes</x:v>
      </x:c>
      <x:c r="L611" t="str">
        <x:f>IF($D611="","No",IF(COUNTIF('Attendance Report - Option 2'!$P$11:$P$412,$D611)&gt;0,"Yes","No"))</x:f>
        <x:v>No</x:v>
      </x:c>
    </x:row>
    <x:row r="612">
      <x:c r="A612" t="str">
        <x:f>'EMA Assurance Employee List'!A613</x:f>
        <x:v>Obeid Mluha</x:v>
      </x:c>
      <x:c r="B612" t="str">
        <x:f>IF(C612="KE","Kenya",IF(C612="UG","Uganda",IF(C612="MU","Mauritius",IF(C612="TZ","Tanzania",IF(C612="RW","Rwanda",IF(C612="ZA","South Africa",IF(C612="ZM","Zambia","")))))))</x:f>
        <x:v>Tanzania</x:v>
      </x:c>
      <x:c r="C612" t="str">
        <x:f>'EMA Assurance Employee List'!B613</x:f>
        <x:v>TZ</x:v>
      </x:c>
      <x:c r="D612" t="str">
        <x:f>'EMA Assurance Employee List'!D613</x:f>
        <x:v>obeid.mluha@pwc.com</x:v>
      </x:c>
      <x:c r="E612" t="n">
        <x:f>IF($D612="",0,SUMIF('Attendance Report - Option 1'!$P$11:$P$315,$D612,'Attendance Report - Option 1'!$Q$11:$Q$315)/86400)</x:f>
        <x:v>0</x:v>
      </x:c>
      <x:c r="F612" t="str">
        <x:f>IF(E612=0,"Did not attend",IF(E612&gt;='Read Me'!$E$2/86400,"Fully attended","Partially attended"))</x:f>
        <x:v>Did not attend</x:v>
      </x:c>
      <x:c r="G612" t="n">
        <x:f>IF($D612="",0,SUMIF('Attendance Report - Option 2'!$P$11:$P$412,$D612,'Attendance Report - Option 2'!$Q$11:$Q$412)/86400)</x:f>
        <x:v>0.07755787037037037</x:v>
      </x:c>
      <x:c r="H612" t="str">
        <x:f>IF(G612=0,"Did not attend",IF(G612&gt;='Read Me'!$E$2/86400,"Fully attended","Partially attended"))</x:f>
        <x:v>Fully attended</x:v>
      </x:c>
      <x:c r="I612" t="n">
        <x:f>E612+G612</x:f>
        <x:v>0.07755787037037037</x:v>
      </x:c>
      <x:c r="J612" t="str">
        <x:f>IF(I612=0,"Did not attend",IF(I612&gt;='Read Me'!$E$2/86400,"Fully attended","Partially attended"))</x:f>
        <x:v>Fully attended</x:v>
      </x:c>
      <x:c r="K612" t="str">
        <x:f>IF($D612="","No",IF(COUNTIF('Attendance Report - Option 1'!$P$11:$P$315,$D612)&gt;0,"Yes","No"))</x:f>
        <x:v>No</x:v>
      </x:c>
      <x:c r="L612" t="str">
        <x:f>IF($D612="","No",IF(COUNTIF('Attendance Report - Option 2'!$P$11:$P$412,$D612)&gt;0,"Yes","No"))</x:f>
        <x:v>Yes</x:v>
      </x:c>
    </x:row>
    <x:row r="613">
      <x:c r="A613" t="str">
        <x:f>'EMA Assurance Employee List'!A614</x:f>
        <x:v>Oscar Malogo</x:v>
      </x:c>
      <x:c r="B613" t="str">
        <x:f>IF(C613="KE","Kenya",IF(C613="UG","Uganda",IF(C613="MU","Mauritius",IF(C613="TZ","Tanzania",IF(C613="RW","Rwanda",IF(C613="ZA","South Africa",IF(C613="ZM","Zambia","")))))))</x:f>
        <x:v>Tanzania</x:v>
      </x:c>
      <x:c r="C613" t="str">
        <x:f>'EMA Assurance Employee List'!B614</x:f>
        <x:v>TZ</x:v>
      </x:c>
      <x:c r="D613" t="str">
        <x:f>'EMA Assurance Employee List'!D614</x:f>
        <x:v>oscar.malogo@pwc.com</x:v>
      </x:c>
      <x:c r="E613" t="n">
        <x:f>IF($D613="",0,SUMIF('Attendance Report - Option 1'!$P$11:$P$315,$D613,'Attendance Report - Option 1'!$Q$11:$Q$315)/86400)</x:f>
        <x:v>0</x:v>
      </x:c>
      <x:c r="F613" t="str">
        <x:f>IF(E613=0,"Did not attend",IF(E613&gt;='Read Me'!$E$2/86400,"Fully attended","Partially attended"))</x:f>
        <x:v>Did not attend</x:v>
      </x:c>
      <x:c r="G613" t="n">
        <x:f>IF($D613="",0,SUMIF('Attendance Report - Option 2'!$P$11:$P$412,$D613,'Attendance Report - Option 2'!$Q$11:$Q$412)/86400)</x:f>
        <x:v>0.048240740740740744</x:v>
      </x:c>
      <x:c r="H613" t="str">
        <x:f>IF(G613=0,"Did not attend",IF(G613&gt;='Read Me'!$E$2/86400,"Fully attended","Partially attended"))</x:f>
        <x:v>Partially attended</x:v>
      </x:c>
      <x:c r="I613" t="n">
        <x:f>E613+G613</x:f>
        <x:v>0.048240740740740744</x:v>
      </x:c>
      <x:c r="J613" t="str">
        <x:f>IF(I613=0,"Did not attend",IF(I613&gt;='Read Me'!$E$2/86400,"Fully attended","Partially attended"))</x:f>
        <x:v>Partially attended</x:v>
      </x:c>
      <x:c r="K613" t="str">
        <x:f>IF($D613="","No",IF(COUNTIF('Attendance Report - Option 1'!$P$11:$P$315,$D613)&gt;0,"Yes","No"))</x:f>
        <x:v>No</x:v>
      </x:c>
      <x:c r="L613" t="str">
        <x:f>IF($D613="","No",IF(COUNTIF('Attendance Report - Option 2'!$P$11:$P$412,$D613)&gt;0,"Yes","No"))</x:f>
        <x:v>Yes</x:v>
      </x:c>
    </x:row>
    <x:row r="614">
      <x:c r="A614" t="str">
        <x:f>'EMA Assurance Employee List'!A615</x:f>
        <x:v>Ouwais Allymeeah</x:v>
      </x:c>
      <x:c r="B614" t="str">
        <x:f>IF(C614="KE","Kenya",IF(C614="UG","Uganda",IF(C614="MU","Mauritius",IF(C614="TZ","Tanzania",IF(C614="RW","Rwanda",IF(C614="ZA","South Africa",IF(C614="ZM","Zambia","")))))))</x:f>
        <x:v>Mauritius</x:v>
      </x:c>
      <x:c r="C614" t="str">
        <x:f>'EMA Assurance Employee List'!B615</x:f>
        <x:v>MU</x:v>
      </x:c>
      <x:c r="D614" t="str">
        <x:f>'EMA Assurance Employee List'!D615</x:f>
        <x:v>ouwais.allymeeah@pwc.com</x:v>
      </x:c>
      <x:c r="E614" t="n">
        <x:f>IF($D614="",0,SUMIF('Attendance Report - Option 1'!$P$11:$P$315,$D614,'Attendance Report - Option 1'!$Q$11:$Q$315)/86400)</x:f>
        <x:v>0</x:v>
      </x:c>
      <x:c r="F614" t="str">
        <x:f>IF(E614=0,"Did not attend",IF(E614&gt;='Read Me'!$E$2/86400,"Fully attended","Partially attended"))</x:f>
        <x:v>Did not attend</x:v>
      </x:c>
      <x:c r="G614" t="n">
        <x:f>IF($D614="",0,SUMIF('Attendance Report - Option 2'!$P$11:$P$412,$D614,'Attendance Report - Option 2'!$Q$11:$Q$412)/86400)</x:f>
        <x:v>0.08702546296296296</x:v>
      </x:c>
      <x:c r="H614" t="str">
        <x:f>IF(G614=0,"Did not attend",IF(G614&gt;='Read Me'!$E$2/86400,"Fully attended","Partially attended"))</x:f>
        <x:v>Fully attended</x:v>
      </x:c>
      <x:c r="I614" t="n">
        <x:f>E614+G614</x:f>
        <x:v>0.08702546296296296</x:v>
      </x:c>
      <x:c r="J614" t="str">
        <x:f>IF(I614=0,"Did not attend",IF(I614&gt;='Read Me'!$E$2/86400,"Fully attended","Partially attended"))</x:f>
        <x:v>Fully attended</x:v>
      </x:c>
      <x:c r="K614" t="str">
        <x:f>IF($D614="","No",IF(COUNTIF('Attendance Report - Option 1'!$P$11:$P$315,$D614)&gt;0,"Yes","No"))</x:f>
        <x:v>No</x:v>
      </x:c>
      <x:c r="L614" t="str">
        <x:f>IF($D614="","No",IF(COUNTIF('Attendance Report - Option 2'!$P$11:$P$412,$D614)&gt;0,"Yes","No"))</x:f>
        <x:v>Yes</x:v>
      </x:c>
    </x:row>
    <x:row r="615">
      <x:c r="A615" t="str">
        <x:f>'EMA Assurance Employee List'!A616</x:f>
        <x:v>Penlope Bainomugisha</x:v>
      </x:c>
      <x:c r="B615" t="str">
        <x:f>IF(C615="KE","Kenya",IF(C615="UG","Uganda",IF(C615="MU","Mauritius",IF(C615="TZ","Tanzania",IF(C615="RW","Rwanda",IF(C615="ZA","South Africa",IF(C615="ZM","Zambia","")))))))</x:f>
        <x:v>Rwanda</x:v>
      </x:c>
      <x:c r="C615" t="str">
        <x:f>'EMA Assurance Employee List'!B616</x:f>
        <x:v>RW</x:v>
      </x:c>
      <x:c r="D615" t="str">
        <x:f>'EMA Assurance Employee List'!D616</x:f>
        <x:v>penlope.bainomugisha@pwc.com</x:v>
      </x:c>
      <x:c r="E615" t="n">
        <x:f>IF($D615="",0,SUMIF('Attendance Report - Option 1'!$P$11:$P$315,$D615,'Attendance Report - Option 1'!$Q$11:$Q$315)/86400)</x:f>
        <x:v>0.07881944444444444</x:v>
      </x:c>
      <x:c r="F615" t="str">
        <x:f>IF(E615=0,"Did not attend",IF(E615&gt;='Read Me'!$E$2/86400,"Fully attended","Partially attended"))</x:f>
        <x:v>Fully attended</x:v>
      </x:c>
      <x:c r="G615" t="n">
        <x:f>IF($D615="",0,SUMIF('Attendance Report - Option 2'!$P$11:$P$412,$D615,'Attendance Report - Option 2'!$Q$11:$Q$412)/86400)</x:f>
        <x:v>0</x:v>
      </x:c>
      <x:c r="H615" t="str">
        <x:f>IF(G615=0,"Did not attend",IF(G615&gt;='Read Me'!$E$2/86400,"Fully attended","Partially attended"))</x:f>
        <x:v>Did not attend</x:v>
      </x:c>
      <x:c r="I615" t="n">
        <x:f>E615+G615</x:f>
        <x:v>0.07881944444444444</x:v>
      </x:c>
      <x:c r="J615" t="str">
        <x:f>IF(I615=0,"Did not attend",IF(I615&gt;='Read Me'!$E$2/86400,"Fully attended","Partially attended"))</x:f>
        <x:v>Fully attended</x:v>
      </x:c>
      <x:c r="K615" t="str">
        <x:f>IF($D615="","No",IF(COUNTIF('Attendance Report - Option 1'!$P$11:$P$315,$D615)&gt;0,"Yes","No"))</x:f>
        <x:v>Yes</x:v>
      </x:c>
      <x:c r="L615" t="str">
        <x:f>IF($D615="","No",IF(COUNTIF('Attendance Report - Option 2'!$P$11:$P$412,$D615)&gt;0,"Yes","No"))</x:f>
        <x:v>No</x:v>
      </x:c>
    </x:row>
    <x:row r="616">
      <x:c r="A616" t="str">
        <x:f>'EMA Assurance Employee List'!A617</x:f>
        <x:v>Peter Ndaki</x:v>
      </x:c>
      <x:c r="B616" t="str">
        <x:f>IF(C616="KE","Kenya",IF(C616="UG","Uganda",IF(C616="MU","Mauritius",IF(C616="TZ","Tanzania",IF(C616="RW","Rwanda",IF(C616="ZA","South Africa",IF(C616="ZM","Zambia","")))))))</x:f>
        <x:v>Tanzania</x:v>
      </x:c>
      <x:c r="C616" t="str">
        <x:f>'EMA Assurance Employee List'!B617</x:f>
        <x:v>TZ</x:v>
      </x:c>
      <x:c r="D616" t="str">
        <x:f>'EMA Assurance Employee List'!D617</x:f>
        <x:v>peter.ndaki@pwc.com</x:v>
      </x:c>
      <x:c r="E616" t="n">
        <x:f>IF($D616="",0,SUMIF('Attendance Report - Option 1'!$P$11:$P$315,$D616,'Attendance Report - Option 1'!$Q$11:$Q$315)/86400)</x:f>
        <x:v>0.0002777777777777778</x:v>
      </x:c>
      <x:c r="F616" t="str">
        <x:f>IF(E616=0,"Did not attend",IF(E616&gt;='Read Me'!$E$2/86400,"Fully attended","Partially attended"))</x:f>
        <x:v>Partially attended</x:v>
      </x:c>
      <x:c r="G616" t="n">
        <x:f>IF($D616="",0,SUMIF('Attendance Report - Option 2'!$P$11:$P$412,$D616,'Attendance Report - Option 2'!$Q$11:$Q$412)/86400)</x:f>
        <x:v>0</x:v>
      </x:c>
      <x:c r="H616" t="str">
        <x:f>IF(G616=0,"Did not attend",IF(G616&gt;='Read Me'!$E$2/86400,"Fully attended","Partially attended"))</x:f>
        <x:v>Did not attend</x:v>
      </x:c>
      <x:c r="I616" t="n">
        <x:f>E616+G616</x:f>
        <x:v>0.0002777777777777778</x:v>
      </x:c>
      <x:c r="J616" t="str">
        <x:f>IF(I616=0,"Did not attend",IF(I616&gt;='Read Me'!$E$2/86400,"Fully attended","Partially attended"))</x:f>
        <x:v>Partially attended</x:v>
      </x:c>
      <x:c r="K616" t="str">
        <x:f>IF($D616="","No",IF(COUNTIF('Attendance Report - Option 1'!$P$11:$P$315,$D616)&gt;0,"Yes","No"))</x:f>
        <x:v>Yes</x:v>
      </x:c>
      <x:c r="L616" t="str">
        <x:f>IF($D616="","No",IF(COUNTIF('Attendance Report - Option 2'!$P$11:$P$412,$D616)&gt;0,"Yes","No"))</x:f>
        <x:v>No</x:v>
      </x:c>
    </x:row>
    <x:row r="617">
      <x:c r="A617" t="str">
        <x:f>'EMA Assurance Employee List'!A618</x:f>
        <x:v>Peter Placid</x:v>
      </x:c>
      <x:c r="B617" t="str">
        <x:f>IF(C617="KE","Kenya",IF(C617="UG","Uganda",IF(C617="MU","Mauritius",IF(C617="TZ","Tanzania",IF(C617="RW","Rwanda",IF(C617="ZA","South Africa",IF(C617="ZM","Zambia","")))))))</x:f>
        <x:v>Tanzania</x:v>
      </x:c>
      <x:c r="C617" t="str">
        <x:f>'EMA Assurance Employee List'!B618</x:f>
        <x:v>TZ</x:v>
      </x:c>
      <x:c r="D617" t="str">
        <x:f>'EMA Assurance Employee List'!D618</x:f>
        <x:v>peter.placid@pwc.com</x:v>
      </x:c>
      <x:c r="E617" t="n">
        <x:f>IF($D617="",0,SUMIF('Attendance Report - Option 1'!$P$11:$P$315,$D617,'Attendance Report - Option 1'!$Q$11:$Q$315)/86400)</x:f>
        <x:v>0.05590277777777778</x:v>
      </x:c>
      <x:c r="F617" t="str">
        <x:f>IF(E617=0,"Did not attend",IF(E617&gt;='Read Me'!$E$2/86400,"Fully attended","Partially attended"))</x:f>
        <x:v>Partially attended</x:v>
      </x:c>
      <x:c r="G617" t="n">
        <x:f>IF($D617="",0,SUMIF('Attendance Report - Option 2'!$P$11:$P$412,$D617,'Attendance Report - Option 2'!$Q$11:$Q$412)/86400)</x:f>
        <x:v>0.025300925925925925</x:v>
      </x:c>
      <x:c r="H617" t="str">
        <x:f>IF(G617=0,"Did not attend",IF(G617&gt;='Read Me'!$E$2/86400,"Fully attended","Partially attended"))</x:f>
        <x:v>Partially attended</x:v>
      </x:c>
      <x:c r="I617" t="n">
        <x:f>E617+G617</x:f>
        <x:v>0.08120370370370371</x:v>
      </x:c>
      <x:c r="J617" t="str">
        <x:f>IF(I617=0,"Did not attend",IF(I617&gt;='Read Me'!$E$2/86400,"Fully attended","Partially attended"))</x:f>
        <x:v>Fully attended</x:v>
      </x:c>
      <x:c r="K617" t="str">
        <x:f>IF($D617="","No",IF(COUNTIF('Attendance Report - Option 1'!$P$11:$P$315,$D617)&gt;0,"Yes","No"))</x:f>
        <x:v>Yes</x:v>
      </x:c>
      <x:c r="L617" t="str">
        <x:f>IF($D617="","No",IF(COUNTIF('Attendance Report - Option 2'!$P$11:$P$412,$D617)&gt;0,"Yes","No"))</x:f>
        <x:v>Yes</x:v>
      </x:c>
    </x:row>
    <x:row r="618">
      <x:c r="A618" t="str">
        <x:f>'EMA Assurance Employee List'!A619</x:f>
        <x:v>Phanastone Yongo</x:v>
      </x:c>
      <x:c r="B618" t="str">
        <x:f>IF(C618="KE","Kenya",IF(C618="UG","Uganda",IF(C618="MU","Mauritius",IF(C618="TZ","Tanzania",IF(C618="RW","Rwanda",IF(C618="ZA","South Africa",IF(C618="ZM","Zambia","")))))))</x:f>
        <x:v>Kenya</x:v>
      </x:c>
      <x:c r="C618" t="str">
        <x:f>'EMA Assurance Employee List'!B619</x:f>
        <x:v>KE</x:v>
      </x:c>
      <x:c r="D618" t="str">
        <x:f>'EMA Assurance Employee List'!D619</x:f>
        <x:v>phanastone.yongo@pwc.com</x:v>
      </x:c>
      <x:c r="E618" t="n">
        <x:f>IF($D618="",0,SUMIF('Attendance Report - Option 1'!$P$11:$P$315,$D618,'Attendance Report - Option 1'!$Q$11:$Q$315)/86400)</x:f>
        <x:v>0.08672453703703703</x:v>
      </x:c>
      <x:c r="F618" t="str">
        <x:f>IF(E618=0,"Did not attend",IF(E618&gt;='Read Me'!$E$2/86400,"Fully attended","Partially attended"))</x:f>
        <x:v>Fully attended</x:v>
      </x:c>
      <x:c r="G618" t="n">
        <x:f>IF($D618="",0,SUMIF('Attendance Report - Option 2'!$P$11:$P$412,$D618,'Attendance Report - Option 2'!$Q$11:$Q$412)/86400)</x:f>
        <x:v>0</x:v>
      </x:c>
      <x:c r="H618" t="str">
        <x:f>IF(G618=0,"Did not attend",IF(G618&gt;='Read Me'!$E$2/86400,"Fully attended","Partially attended"))</x:f>
        <x:v>Did not attend</x:v>
      </x:c>
      <x:c r="I618" t="n">
        <x:f>E618+G618</x:f>
        <x:v>0.08672453703703703</x:v>
      </x:c>
      <x:c r="J618" t="str">
        <x:f>IF(I618=0,"Did not attend",IF(I618&gt;='Read Me'!$E$2/86400,"Fully attended","Partially attended"))</x:f>
        <x:v>Fully attended</x:v>
      </x:c>
      <x:c r="K618" t="str">
        <x:f>IF($D618="","No",IF(COUNTIF('Attendance Report - Option 1'!$P$11:$P$315,$D618)&gt;0,"Yes","No"))</x:f>
        <x:v>Yes</x:v>
      </x:c>
      <x:c r="L618" t="str">
        <x:f>IF($D618="","No",IF(COUNTIF('Attendance Report - Option 2'!$P$11:$P$412,$D618)&gt;0,"Yes","No"))</x:f>
        <x:v>No</x:v>
      </x:c>
    </x:row>
    <x:row r="619">
      <x:c r="A619" t="str">
        <x:f>'EMA Assurance Employee List'!A620</x:f>
        <x:v>Phelister Odhiambo</x:v>
      </x:c>
      <x:c r="B619" t="str">
        <x:f>IF(C619="KE","Kenya",IF(C619="UG","Uganda",IF(C619="MU","Mauritius",IF(C619="TZ","Tanzania",IF(C619="RW","Rwanda",IF(C619="ZA","South Africa",IF(C619="ZM","Zambia","")))))))</x:f>
        <x:v>Kenya</x:v>
      </x:c>
      <x:c r="C619" t="str">
        <x:f>'EMA Assurance Employee List'!B620</x:f>
        <x:v>KE</x:v>
      </x:c>
      <x:c r="D619" t="str">
        <x:f>'EMA Assurance Employee List'!D620</x:f>
        <x:v>phelister.odhiambo@pwc.com</x:v>
      </x:c>
      <x:c r="E619" t="n">
        <x:f>IF($D619="",0,SUMIF('Attendance Report - Option 1'!$P$11:$P$315,$D619,'Attendance Report - Option 1'!$Q$11:$Q$315)/86400)</x:f>
        <x:v>0</x:v>
      </x:c>
      <x:c r="F619" t="str">
        <x:f>IF(E619=0,"Did not attend",IF(E619&gt;='Read Me'!$E$2/86400,"Fully attended","Partially attended"))</x:f>
        <x:v>Did not attend</x:v>
      </x:c>
      <x:c r="G619" t="n">
        <x:f>IF($D619="",0,SUMIF('Attendance Report - Option 2'!$P$11:$P$412,$D619,'Attendance Report - Option 2'!$Q$11:$Q$412)/86400)</x:f>
        <x:v>0.04228009259259259</x:v>
      </x:c>
      <x:c r="H619" t="str">
        <x:f>IF(G619=0,"Did not attend",IF(G619&gt;='Read Me'!$E$2/86400,"Fully attended","Partially attended"))</x:f>
        <x:v>Partially attended</x:v>
      </x:c>
      <x:c r="I619" t="n">
        <x:f>E619+G619</x:f>
        <x:v>0.04228009259259259</x:v>
      </x:c>
      <x:c r="J619" t="str">
        <x:f>IF(I619=0,"Did not attend",IF(I619&gt;='Read Me'!$E$2/86400,"Fully attended","Partially attended"))</x:f>
        <x:v>Partially attended</x:v>
      </x:c>
      <x:c r="K619" t="str">
        <x:f>IF($D619="","No",IF(COUNTIF('Attendance Report - Option 1'!$P$11:$P$315,$D619)&gt;0,"Yes","No"))</x:f>
        <x:v>No</x:v>
      </x:c>
      <x:c r="L619" t="str">
        <x:f>IF($D619="","No",IF(COUNTIF('Attendance Report - Option 2'!$P$11:$P$412,$D619)&gt;0,"Yes","No"))</x:f>
        <x:v>Yes</x:v>
      </x:c>
    </x:row>
    <x:row r="620">
      <x:c r="A620" t="str">
        <x:f>'EMA Assurance Employee List'!A621</x:f>
        <x:v>Praxy Kanana</x:v>
      </x:c>
      <x:c r="B620" t="str">
        <x:f>IF(C620="KE","Kenya",IF(C620="UG","Uganda",IF(C620="MU","Mauritius",IF(C620="TZ","Tanzania",IF(C620="RW","Rwanda",IF(C620="ZA","South Africa",IF(C620="ZM","Zambia","")))))))</x:f>
        <x:v>Kenya</x:v>
      </x:c>
      <x:c r="C620" t="str">
        <x:f>'EMA Assurance Employee List'!B621</x:f>
        <x:v>KE</x:v>
      </x:c>
      <x:c r="D620" t="str">
        <x:f>'EMA Assurance Employee List'!D621</x:f>
        <x:v>praxy.kanana@pwc.com</x:v>
      </x:c>
      <x:c r="E620" t="n">
        <x:f>IF($D620="",0,SUMIF('Attendance Report - Option 1'!$P$11:$P$315,$D620,'Attendance Report - Option 1'!$Q$11:$Q$315)/86400)</x:f>
        <x:v>0</x:v>
      </x:c>
      <x:c r="F620" t="str">
        <x:f>IF(E620=0,"Did not attend",IF(E620&gt;='Read Me'!$E$2/86400,"Fully attended","Partially attended"))</x:f>
        <x:v>Did not attend</x:v>
      </x:c>
      <x:c r="G620" t="n">
        <x:f>IF($D620="",0,SUMIF('Attendance Report - Option 2'!$P$11:$P$412,$D620,'Attendance Report - Option 2'!$Q$11:$Q$412)/86400)</x:f>
        <x:v>0.08211805555555556</x:v>
      </x:c>
      <x:c r="H620" t="str">
        <x:f>IF(G620=0,"Did not attend",IF(G620&gt;='Read Me'!$E$2/86400,"Fully attended","Partially attended"))</x:f>
        <x:v>Fully attended</x:v>
      </x:c>
      <x:c r="I620" t="n">
        <x:f>E620+G620</x:f>
        <x:v>0.08211805555555556</x:v>
      </x:c>
      <x:c r="J620" t="str">
        <x:f>IF(I620=0,"Did not attend",IF(I620&gt;='Read Me'!$E$2/86400,"Fully attended","Partially attended"))</x:f>
        <x:v>Fully attended</x:v>
      </x:c>
      <x:c r="K620" t="str">
        <x:f>IF($D620="","No",IF(COUNTIF('Attendance Report - Option 1'!$P$11:$P$315,$D620)&gt;0,"Yes","No"))</x:f>
        <x:v>No</x:v>
      </x:c>
      <x:c r="L620" t="str">
        <x:f>IF($D620="","No",IF(COUNTIF('Attendance Report - Option 2'!$P$11:$P$412,$D620)&gt;0,"Yes","No"))</x:f>
        <x:v>Yes</x:v>
      </x:c>
    </x:row>
    <x:row r="621">
      <x:c r="A621" t="str">
        <x:f>'EMA Assurance Employee List'!A622</x:f>
        <x:v>Priscilla Mirembe</x:v>
      </x:c>
      <x:c r="B621" t="str">
        <x:f>IF(C621="KE","Kenya",IF(C621="UG","Uganda",IF(C621="MU","Mauritius",IF(C621="TZ","Tanzania",IF(C621="RW","Rwanda",IF(C621="ZA","South Africa",IF(C621="ZM","Zambia","")))))))</x:f>
        <x:v>Uganda</x:v>
      </x:c>
      <x:c r="C621" t="str">
        <x:f>'EMA Assurance Employee List'!B622</x:f>
        <x:v>UG</x:v>
      </x:c>
      <x:c r="D621" t="str">
        <x:f>'EMA Assurance Employee List'!D622</x:f>
        <x:v>priscilla.mirembe@pwc.com</x:v>
      </x:c>
      <x:c r="E621" t="n">
        <x:f>IF($D621="",0,SUMIF('Attendance Report - Option 1'!$P$11:$P$315,$D621,'Attendance Report - Option 1'!$Q$11:$Q$315)/86400)</x:f>
        <x:v>0</x:v>
      </x:c>
      <x:c r="F621" t="str">
        <x:f>IF(E621=0,"Did not attend",IF(E621&gt;='Read Me'!$E$2/86400,"Fully attended","Partially attended"))</x:f>
        <x:v>Did not attend</x:v>
      </x:c>
      <x:c r="G621" t="n">
        <x:f>IF($D621="",0,SUMIF('Attendance Report - Option 2'!$P$11:$P$412,$D621,'Attendance Report - Option 2'!$Q$11:$Q$412)/86400)</x:f>
        <x:v>0.08285879629629629</x:v>
      </x:c>
      <x:c r="H621" t="str">
        <x:f>IF(G621=0,"Did not attend",IF(G621&gt;='Read Me'!$E$2/86400,"Fully attended","Partially attended"))</x:f>
        <x:v>Fully attended</x:v>
      </x:c>
      <x:c r="I621" t="n">
        <x:f>E621+G621</x:f>
        <x:v>0.08285879629629629</x:v>
      </x:c>
      <x:c r="J621" t="str">
        <x:f>IF(I621=0,"Did not attend",IF(I621&gt;='Read Me'!$E$2/86400,"Fully attended","Partially attended"))</x:f>
        <x:v>Fully attended</x:v>
      </x:c>
      <x:c r="K621" t="str">
        <x:f>IF($D621="","No",IF(COUNTIF('Attendance Report - Option 1'!$P$11:$P$315,$D621)&gt;0,"Yes","No"))</x:f>
        <x:v>No</x:v>
      </x:c>
      <x:c r="L621" t="str">
        <x:f>IF($D621="","No",IF(COUNTIF('Attendance Report - Option 2'!$P$11:$P$412,$D621)&gt;0,"Yes","No"))</x:f>
        <x:v>Yes</x:v>
      </x:c>
    </x:row>
    <x:row r="622">
      <x:c r="A622" t="str">
        <x:f>'EMA Assurance Employee List'!A623</x:f>
        <x:v>Pritika Roy</x:v>
      </x:c>
      <x:c r="B622" t="str">
        <x:f>IF(C622="KE","Kenya",IF(C622="UG","Uganda",IF(C622="MU","Mauritius",IF(C622="TZ","Tanzania",IF(C622="RW","Rwanda",IF(C622="ZA","South Africa",IF(C622="ZM","Zambia","")))))))</x:f>
        <x:v>Mauritius</x:v>
      </x:c>
      <x:c r="C622" t="str">
        <x:f>'EMA Assurance Employee List'!B623</x:f>
        <x:v>MU</x:v>
      </x:c>
      <x:c r="D622" t="str">
        <x:f>'EMA Assurance Employee List'!D623</x:f>
        <x:v>pritika.roy@pwc.com</x:v>
      </x:c>
      <x:c r="E622" t="n">
        <x:f>IF($D622="",0,SUMIF('Attendance Report - Option 1'!$P$11:$P$315,$D622,'Attendance Report - Option 1'!$Q$11:$Q$315)/86400)</x:f>
        <x:v>0</x:v>
      </x:c>
      <x:c r="F622" t="str">
        <x:f>IF(E622=0,"Did not attend",IF(E622&gt;='Read Me'!$E$2/86400,"Fully attended","Partially attended"))</x:f>
        <x:v>Did not attend</x:v>
      </x:c>
      <x:c r="G622" t="n">
        <x:f>IF($D622="",0,SUMIF('Attendance Report - Option 2'!$P$11:$P$412,$D622,'Attendance Report - Option 2'!$Q$11:$Q$412)/86400)</x:f>
        <x:v>0.05990740740740741</x:v>
      </x:c>
      <x:c r="H622" t="str">
        <x:f>IF(G622=0,"Did not attend",IF(G622&gt;='Read Me'!$E$2/86400,"Fully attended","Partially attended"))</x:f>
        <x:v>Partially attended</x:v>
      </x:c>
      <x:c r="I622" t="n">
        <x:f>E622+G622</x:f>
        <x:v>0.05990740740740741</x:v>
      </x:c>
      <x:c r="J622" t="str">
        <x:f>IF(I622=0,"Did not attend",IF(I622&gt;='Read Me'!$E$2/86400,"Fully attended","Partially attended"))</x:f>
        <x:v>Partially attended</x:v>
      </x:c>
      <x:c r="K622" t="str">
        <x:f>IF($D622="","No",IF(COUNTIF('Attendance Report - Option 1'!$P$11:$P$315,$D622)&gt;0,"Yes","No"))</x:f>
        <x:v>No</x:v>
      </x:c>
      <x:c r="L622" t="str">
        <x:f>IF($D622="","No",IF(COUNTIF('Attendance Report - Option 2'!$P$11:$P$412,$D622)&gt;0,"Yes","No"))</x:f>
        <x:v>Yes</x:v>
      </x:c>
    </x:row>
    <x:row r="623">
      <x:c r="A623" t="str">
        <x:f>'EMA Assurance Employee List'!A624</x:f>
        <x:v>Rachel Mduma</x:v>
      </x:c>
      <x:c r="B623" t="str">
        <x:f>IF(C623="KE","Kenya",IF(C623="UG","Uganda",IF(C623="MU","Mauritius",IF(C623="TZ","Tanzania",IF(C623="RW","Rwanda",IF(C623="ZA","South Africa",IF(C623="ZM","Zambia","")))))))</x:f>
        <x:v>Tanzania</x:v>
      </x:c>
      <x:c r="C623" t="str">
        <x:f>'EMA Assurance Employee List'!B624</x:f>
        <x:v>TZ</x:v>
      </x:c>
      <x:c r="D623" t="str">
        <x:f>'EMA Assurance Employee List'!D624</x:f>
        <x:v>rachel.mduma@pwc.com</x:v>
      </x:c>
      <x:c r="E623" t="n">
        <x:f>IF($D623="",0,SUMIF('Attendance Report - Option 1'!$P$11:$P$315,$D623,'Attendance Report - Option 1'!$Q$11:$Q$315)/86400)</x:f>
        <x:v>0</x:v>
      </x:c>
      <x:c r="F623" t="str">
        <x:f>IF(E623=0,"Did not attend",IF(E623&gt;='Read Me'!$E$2/86400,"Fully attended","Partially attended"))</x:f>
        <x:v>Did not attend</x:v>
      </x:c>
      <x:c r="G623" t="n">
        <x:f>IF($D623="",0,SUMIF('Attendance Report - Option 2'!$P$11:$P$412,$D623,'Attendance Report - Option 2'!$Q$11:$Q$412)/86400)</x:f>
        <x:v>0.014178240740740741</x:v>
      </x:c>
      <x:c r="H623" t="str">
        <x:f>IF(G623=0,"Did not attend",IF(G623&gt;='Read Me'!$E$2/86400,"Fully attended","Partially attended"))</x:f>
        <x:v>Partially attended</x:v>
      </x:c>
      <x:c r="I623" t="n">
        <x:f>E623+G623</x:f>
        <x:v>0.014178240740740741</x:v>
      </x:c>
      <x:c r="J623" t="str">
        <x:f>IF(I623=0,"Did not attend",IF(I623&gt;='Read Me'!$E$2/86400,"Fully attended","Partially attended"))</x:f>
        <x:v>Partially attended</x:v>
      </x:c>
      <x:c r="K623" t="str">
        <x:f>IF($D623="","No",IF(COUNTIF('Attendance Report - Option 1'!$P$11:$P$315,$D623)&gt;0,"Yes","No"))</x:f>
        <x:v>No</x:v>
      </x:c>
      <x:c r="L623" t="str">
        <x:f>IF($D623="","No",IF(COUNTIF('Attendance Report - Option 2'!$P$11:$P$412,$D623)&gt;0,"Yes","No"))</x:f>
        <x:v>Yes</x:v>
      </x:c>
    </x:row>
    <x:row r="624">
      <x:c r="A624" t="str">
        <x:f>'EMA Assurance Employee List'!A625</x:f>
        <x:v>Rael Sumahili</x:v>
      </x:c>
      <x:c r="B624" t="str">
        <x:f>IF(C624="KE","Kenya",IF(C624="UG","Uganda",IF(C624="MU","Mauritius",IF(C624="TZ","Tanzania",IF(C624="RW","Rwanda",IF(C624="ZA","South Africa",IF(C624="ZM","Zambia","")))))))</x:f>
        <x:v>Rwanda</x:v>
      </x:c>
      <x:c r="C624" t="str">
        <x:f>'EMA Assurance Employee List'!B625</x:f>
        <x:v>RW</x:v>
      </x:c>
      <x:c r="D624" t="str">
        <x:f>'EMA Assurance Employee List'!D625</x:f>
        <x:v>rael.sumahili@pwc.com</x:v>
      </x:c>
      <x:c r="E624" t="n">
        <x:f>IF($D624="",0,SUMIF('Attendance Report - Option 1'!$P$11:$P$315,$D624,'Attendance Report - Option 1'!$Q$11:$Q$315)/86400)</x:f>
        <x:v>0</x:v>
      </x:c>
      <x:c r="F624" t="str">
        <x:f>IF(E624=0,"Did not attend",IF(E624&gt;='Read Me'!$E$2/86400,"Fully attended","Partially attended"))</x:f>
        <x:v>Did not attend</x:v>
      </x:c>
      <x:c r="G624" t="n">
        <x:f>IF($D624="",0,SUMIF('Attendance Report - Option 2'!$P$11:$P$412,$D624,'Attendance Report - Option 2'!$Q$11:$Q$412)/86400)</x:f>
        <x:v>0.0691087962962963</x:v>
      </x:c>
      <x:c r="H624" t="str">
        <x:f>IF(G624=0,"Did not attend",IF(G624&gt;='Read Me'!$E$2/86400,"Fully attended","Partially attended"))</x:f>
        <x:v>Fully attended</x:v>
      </x:c>
      <x:c r="I624" t="n">
        <x:f>E624+G624</x:f>
        <x:v>0.0691087962962963</x:v>
      </x:c>
      <x:c r="J624" t="str">
        <x:f>IF(I624=0,"Did not attend",IF(I624&gt;='Read Me'!$E$2/86400,"Fully attended","Partially attended"))</x:f>
        <x:v>Fully attended</x:v>
      </x:c>
      <x:c r="K624" t="str">
        <x:f>IF($D624="","No",IF(COUNTIF('Attendance Report - Option 1'!$P$11:$P$315,$D624)&gt;0,"Yes","No"))</x:f>
        <x:v>No</x:v>
      </x:c>
      <x:c r="L624" t="str">
        <x:f>IF($D624="","No",IF(COUNTIF('Attendance Report - Option 2'!$P$11:$P$412,$D624)&gt;0,"Yes","No"))</x:f>
        <x:v>Yes</x:v>
      </x:c>
    </x:row>
    <x:row r="625">
      <x:c r="A625" t="str">
        <x:f>'EMA Assurance Employee List'!A626</x:f>
        <x:v>Raissah Ramdianee</x:v>
      </x:c>
      <x:c r="B625" t="str">
        <x:f>IF(C625="KE","Kenya",IF(C625="UG","Uganda",IF(C625="MU","Mauritius",IF(C625="TZ","Tanzania",IF(C625="RW","Rwanda",IF(C625="ZA","South Africa",IF(C625="ZM","Zambia","")))))))</x:f>
        <x:v>Mauritius</x:v>
      </x:c>
      <x:c r="C625" t="str">
        <x:f>'EMA Assurance Employee List'!B626</x:f>
        <x:v>MU</x:v>
      </x:c>
      <x:c r="D625" t="str">
        <x:f>'EMA Assurance Employee List'!D626</x:f>
        <x:v>raissah.ramdianee@pwc.com</x:v>
      </x:c>
      <x:c r="E625" t="n">
        <x:f>IF($D625="",0,SUMIF('Attendance Report - Option 1'!$P$11:$P$315,$D625,'Attendance Report - Option 1'!$Q$11:$Q$315)/86400)</x:f>
        <x:v>0</x:v>
      </x:c>
      <x:c r="F625" t="str">
        <x:f>IF(E625=0,"Did not attend",IF(E625&gt;='Read Me'!$E$2/86400,"Fully attended","Partially attended"))</x:f>
        <x:v>Did not attend</x:v>
      </x:c>
      <x:c r="G625" t="n">
        <x:f>IF($D625="",0,SUMIF('Attendance Report - Option 2'!$P$11:$P$412,$D625,'Attendance Report - Option 2'!$Q$11:$Q$412)/86400)</x:f>
        <x:v>0.08028935185185185</x:v>
      </x:c>
      <x:c r="H625" t="str">
        <x:f>IF(G625=0,"Did not attend",IF(G625&gt;='Read Me'!$E$2/86400,"Fully attended","Partially attended"))</x:f>
        <x:v>Fully attended</x:v>
      </x:c>
      <x:c r="I625" t="n">
        <x:f>E625+G625</x:f>
        <x:v>0.08028935185185185</x:v>
      </x:c>
      <x:c r="J625" t="str">
        <x:f>IF(I625=0,"Did not attend",IF(I625&gt;='Read Me'!$E$2/86400,"Fully attended","Partially attended"))</x:f>
        <x:v>Fully attended</x:v>
      </x:c>
      <x:c r="K625" t="str">
        <x:f>IF($D625="","No",IF(COUNTIF('Attendance Report - Option 1'!$P$11:$P$315,$D625)&gt;0,"Yes","No"))</x:f>
        <x:v>No</x:v>
      </x:c>
      <x:c r="L625" t="str">
        <x:f>IF($D625="","No",IF(COUNTIF('Attendance Report - Option 2'!$P$11:$P$412,$D625)&gt;0,"Yes","No"))</x:f>
        <x:v>Yes</x:v>
      </x:c>
    </x:row>
    <x:row r="626">
      <x:c r="A626" t="str">
        <x:f>'EMA Assurance Employee List'!A627</x:f>
        <x:v>Raj Ghunowa</x:v>
      </x:c>
      <x:c r="B626" t="str">
        <x:f>IF(C626="KE","Kenya",IF(C626="UG","Uganda",IF(C626="MU","Mauritius",IF(C626="TZ","Tanzania",IF(C626="RW","Rwanda",IF(C626="ZA","South Africa",IF(C626="ZM","Zambia","")))))))</x:f>
        <x:v>Mauritius</x:v>
      </x:c>
      <x:c r="C626" t="str">
        <x:f>'EMA Assurance Employee List'!B627</x:f>
        <x:v>MU</x:v>
      </x:c>
      <x:c r="D626" t="str">
        <x:f>'EMA Assurance Employee List'!D627</x:f>
        <x:v>ghunowa.raj@pwc.com</x:v>
      </x:c>
      <x:c r="E626" t="n">
        <x:f>IF($D626="",0,SUMIF('Attendance Report - Option 1'!$P$11:$P$315,$D626,'Attendance Report - Option 1'!$Q$11:$Q$315)/86400)</x:f>
        <x:v>0</x:v>
      </x:c>
      <x:c r="F626" t="str">
        <x:f>IF(E626=0,"Did not attend",IF(E626&gt;='Read Me'!$E$2/86400,"Fully attended","Partially attended"))</x:f>
        <x:v>Did not attend</x:v>
      </x:c>
      <x:c r="G626" t="n">
        <x:f>IF($D626="",0,SUMIF('Attendance Report - Option 2'!$P$11:$P$412,$D626,'Attendance Report - Option 2'!$Q$11:$Q$412)/86400)</x:f>
        <x:v>0.06278935185185185</x:v>
      </x:c>
      <x:c r="H626" t="str">
        <x:f>IF(G626=0,"Did not attend",IF(G626&gt;='Read Me'!$E$2/86400,"Fully attended","Partially attended"))</x:f>
        <x:v>Fully attended</x:v>
      </x:c>
      <x:c r="I626" t="n">
        <x:f>E626+G626</x:f>
        <x:v>0.06278935185185185</x:v>
      </x:c>
      <x:c r="J626" t="str">
        <x:f>IF(I626=0,"Did not attend",IF(I626&gt;='Read Me'!$E$2/86400,"Fully attended","Partially attended"))</x:f>
        <x:v>Fully attended</x:v>
      </x:c>
      <x:c r="K626" t="str">
        <x:f>IF($D626="","No",IF(COUNTIF('Attendance Report - Option 1'!$P$11:$P$315,$D626)&gt;0,"Yes","No"))</x:f>
        <x:v>No</x:v>
      </x:c>
      <x:c r="L626" t="str">
        <x:f>IF($D626="","No",IF(COUNTIF('Attendance Report - Option 2'!$P$11:$P$412,$D626)&gt;0,"Yes","No"))</x:f>
        <x:v>Yes</x:v>
      </x:c>
    </x:row>
    <x:row r="627">
      <x:c r="A627" t="str">
        <x:f>'EMA Assurance Employee List'!A628</x:f>
        <x:v>Ramadhani Mshana</x:v>
      </x:c>
      <x:c r="B627" t="str">
        <x:f>IF(C627="KE","Kenya",IF(C627="UG","Uganda",IF(C627="MU","Mauritius",IF(C627="TZ","Tanzania",IF(C627="RW","Rwanda",IF(C627="ZA","South Africa",IF(C627="ZM","Zambia","")))))))</x:f>
        <x:v>Tanzania</x:v>
      </x:c>
      <x:c r="C627" t="str">
        <x:f>'EMA Assurance Employee List'!B628</x:f>
        <x:v>TZ</x:v>
      </x:c>
      <x:c r="D627" t="str">
        <x:f>'EMA Assurance Employee List'!D628</x:f>
        <x:v>ramadhani.mshana@pwc.com</x:v>
      </x:c>
      <x:c r="E627" t="n">
        <x:f>IF($D627="",0,SUMIF('Attendance Report - Option 1'!$P$11:$P$315,$D627,'Attendance Report - Option 1'!$Q$11:$Q$315)/86400)</x:f>
        <x:v>0.1091550925925926</x:v>
      </x:c>
      <x:c r="F627" t="str">
        <x:f>IF(E627=0,"Did not attend",IF(E627&gt;='Read Me'!$E$2/86400,"Fully attended","Partially attended"))</x:f>
        <x:v>Fully attended</x:v>
      </x:c>
      <x:c r="G627" t="n">
        <x:f>IF($D627="",0,SUMIF('Attendance Report - Option 2'!$P$11:$P$412,$D627,'Attendance Report - Option 2'!$Q$11:$Q$412)/86400)</x:f>
        <x:v>0</x:v>
      </x:c>
      <x:c r="H627" t="str">
        <x:f>IF(G627=0,"Did not attend",IF(G627&gt;='Read Me'!$E$2/86400,"Fully attended","Partially attended"))</x:f>
        <x:v>Did not attend</x:v>
      </x:c>
      <x:c r="I627" t="n">
        <x:f>E627+G627</x:f>
        <x:v>0.1091550925925926</x:v>
      </x:c>
      <x:c r="J627" t="str">
        <x:f>IF(I627=0,"Did not attend",IF(I627&gt;='Read Me'!$E$2/86400,"Fully attended","Partially attended"))</x:f>
        <x:v>Fully attended</x:v>
      </x:c>
      <x:c r="K627" t="str">
        <x:f>IF($D627="","No",IF(COUNTIF('Attendance Report - Option 1'!$P$11:$P$315,$D627)&gt;0,"Yes","No"))</x:f>
        <x:v>Yes</x:v>
      </x:c>
      <x:c r="L627" t="str">
        <x:f>IF($D627="","No",IF(COUNTIF('Attendance Report - Option 2'!$P$11:$P$412,$D627)&gt;0,"Yes","No"))</x:f>
        <x:v>No</x:v>
      </x:c>
    </x:row>
    <x:row r="628">
      <x:c r="A628" t="str">
        <x:f>'EMA Assurance Employee List'!A629</x:f>
        <x:v>Rayhaan Cadersa</x:v>
      </x:c>
      <x:c r="B628" t="str">
        <x:f>IF(C628="KE","Kenya",IF(C628="UG","Uganda",IF(C628="MU","Mauritius",IF(C628="TZ","Tanzania",IF(C628="RW","Rwanda",IF(C628="ZA","South Africa",IF(C628="ZM","Zambia","")))))))</x:f>
        <x:v>Mauritius</x:v>
      </x:c>
      <x:c r="C628" t="str">
        <x:f>'EMA Assurance Employee List'!B629</x:f>
        <x:v>MU</x:v>
      </x:c>
      <x:c r="D628" t="str">
        <x:f>'EMA Assurance Employee List'!D629</x:f>
        <x:v>rayhaan.cadersa@pwc.com</x:v>
      </x:c>
      <x:c r="E628" t="n">
        <x:f>IF($D628="",0,SUMIF('Attendance Report - Option 1'!$P$11:$P$315,$D628,'Attendance Report - Option 1'!$Q$11:$Q$315)/86400)</x:f>
        <x:v>0.0024652777777777776</x:v>
      </x:c>
      <x:c r="F628" t="str">
        <x:f>IF(E628=0,"Did not attend",IF(E628&gt;='Read Me'!$E$2/86400,"Fully attended","Partially attended"))</x:f>
        <x:v>Partially attended</x:v>
      </x:c>
      <x:c r="G628" t="n">
        <x:f>IF($D628="",0,SUMIF('Attendance Report - Option 2'!$P$11:$P$412,$D628,'Attendance Report - Option 2'!$Q$11:$Q$412)/86400)</x:f>
        <x:v>0.08412037037037037</x:v>
      </x:c>
      <x:c r="H628" t="str">
        <x:f>IF(G628=0,"Did not attend",IF(G628&gt;='Read Me'!$E$2/86400,"Fully attended","Partially attended"))</x:f>
        <x:v>Fully attended</x:v>
      </x:c>
      <x:c r="I628" t="n">
        <x:f>E628+G628</x:f>
        <x:v>0.08658564814814815</x:v>
      </x:c>
      <x:c r="J628" t="str">
        <x:f>IF(I628=0,"Did not attend",IF(I628&gt;='Read Me'!$E$2/86400,"Fully attended","Partially attended"))</x:f>
        <x:v>Fully attended</x:v>
      </x:c>
      <x:c r="K628" t="str">
        <x:f>IF($D628="","No",IF(COUNTIF('Attendance Report - Option 1'!$P$11:$P$315,$D628)&gt;0,"Yes","No"))</x:f>
        <x:v>Yes</x:v>
      </x:c>
      <x:c r="L628" t="str">
        <x:f>IF($D628="","No",IF(COUNTIF('Attendance Report - Option 2'!$P$11:$P$412,$D628)&gt;0,"Yes","No"))</x:f>
        <x:v>Yes</x:v>
      </x:c>
    </x:row>
    <x:row r="629">
      <x:c r="A629" t="str">
        <x:f>'EMA Assurance Employee List'!A630</x:f>
        <x:v>Rebecca Kayiteesi</x:v>
      </x:c>
      <x:c r="B629" t="str">
        <x:f>IF(C629="KE","Kenya",IF(C629="UG","Uganda",IF(C629="MU","Mauritius",IF(C629="TZ","Tanzania",IF(C629="RW","Rwanda",IF(C629="ZA","South Africa",IF(C629="ZM","Zambia","")))))))</x:f>
        <x:v>Uganda</x:v>
      </x:c>
      <x:c r="C629" t="str">
        <x:f>'EMA Assurance Employee List'!B630</x:f>
        <x:v>UG</x:v>
      </x:c>
      <x:c r="D629" t="str">
        <x:f>'EMA Assurance Employee List'!D630</x:f>
        <x:v>rebecca.kayiteesi@pwc.com</x:v>
      </x:c>
      <x:c r="E629" t="n">
        <x:f>IF($D629="",0,SUMIF('Attendance Report - Option 1'!$P$11:$P$315,$D629,'Attendance Report - Option 1'!$Q$11:$Q$315)/86400)</x:f>
        <x:v>0</x:v>
      </x:c>
      <x:c r="F629" t="str">
        <x:f>IF(E629=0,"Did not attend",IF(E629&gt;='Read Me'!$E$2/86400,"Fully attended","Partially attended"))</x:f>
        <x:v>Did not attend</x:v>
      </x:c>
      <x:c r="G629" t="n">
        <x:f>IF($D629="",0,SUMIF('Attendance Report - Option 2'!$P$11:$P$412,$D629,'Attendance Report - Option 2'!$Q$11:$Q$412)/86400)</x:f>
        <x:v>0.07871527777777777</x:v>
      </x:c>
      <x:c r="H629" t="str">
        <x:f>IF(G629=0,"Did not attend",IF(G629&gt;='Read Me'!$E$2/86400,"Fully attended","Partially attended"))</x:f>
        <x:v>Fully attended</x:v>
      </x:c>
      <x:c r="I629" t="n">
        <x:f>E629+G629</x:f>
        <x:v>0.07871527777777777</x:v>
      </x:c>
      <x:c r="J629" t="str">
        <x:f>IF(I629=0,"Did not attend",IF(I629&gt;='Read Me'!$E$2/86400,"Fully attended","Partially attended"))</x:f>
        <x:v>Fully attended</x:v>
      </x:c>
      <x:c r="K629" t="str">
        <x:f>IF($D629="","No",IF(COUNTIF('Attendance Report - Option 1'!$P$11:$P$315,$D629)&gt;0,"Yes","No"))</x:f>
        <x:v>No</x:v>
      </x:c>
      <x:c r="L629" t="str">
        <x:f>IF($D629="","No",IF(COUNTIF('Attendance Report - Option 2'!$P$11:$P$412,$D629)&gt;0,"Yes","No"))</x:f>
        <x:v>Yes</x:v>
      </x:c>
    </x:row>
    <x:row r="630">
      <x:c r="A630" t="str">
        <x:f>'EMA Assurance Employee List'!A631</x:f>
        <x:v>Rebecca Osunga</x:v>
      </x:c>
      <x:c r="B630" t="str">
        <x:f>IF(C630="KE","Kenya",IF(C630="UG","Uganda",IF(C630="MU","Mauritius",IF(C630="TZ","Tanzania",IF(C630="RW","Rwanda",IF(C630="ZA","South Africa",IF(C630="ZM","Zambia","")))))))</x:f>
        <x:v>Kenya</x:v>
      </x:c>
      <x:c r="C630" t="str">
        <x:f>'EMA Assurance Employee List'!B631</x:f>
        <x:v>KE</x:v>
      </x:c>
      <x:c r="D630" t="str">
        <x:f>'EMA Assurance Employee List'!D631</x:f>
        <x:v>rebecca.osunga@pwc.com</x:v>
      </x:c>
      <x:c r="E630" t="n">
        <x:f>IF($D630="",0,SUMIF('Attendance Report - Option 1'!$P$11:$P$315,$D630,'Attendance Report - Option 1'!$Q$11:$Q$315)/86400)</x:f>
        <x:v>0.05689814814814815</x:v>
      </x:c>
      <x:c r="F630" t="str">
        <x:f>IF(E630=0,"Did not attend",IF(E630&gt;='Read Me'!$E$2/86400,"Fully attended","Partially attended"))</x:f>
        <x:v>Partially attended</x:v>
      </x:c>
      <x:c r="G630" t="n">
        <x:f>IF($D630="",0,SUMIF('Attendance Report - Option 2'!$P$11:$P$412,$D630,'Attendance Report - Option 2'!$Q$11:$Q$412)/86400)</x:f>
        <x:v>0.038078703703703705</x:v>
      </x:c>
      <x:c r="H630" t="str">
        <x:f>IF(G630=0,"Did not attend",IF(G630&gt;='Read Me'!$E$2/86400,"Fully attended","Partially attended"))</x:f>
        <x:v>Partially attended</x:v>
      </x:c>
      <x:c r="I630" t="n">
        <x:f>E630+G630</x:f>
        <x:v>0.09497685185185185</x:v>
      </x:c>
      <x:c r="J630" t="str">
        <x:f>IF(I630=0,"Did not attend",IF(I630&gt;='Read Me'!$E$2/86400,"Fully attended","Partially attended"))</x:f>
        <x:v>Fully attended</x:v>
      </x:c>
      <x:c r="K630" t="str">
        <x:f>IF($D630="","No",IF(COUNTIF('Attendance Report - Option 1'!$P$11:$P$315,$D630)&gt;0,"Yes","No"))</x:f>
        <x:v>Yes</x:v>
      </x:c>
      <x:c r="L630" t="str">
        <x:f>IF($D630="","No",IF(COUNTIF('Attendance Report - Option 2'!$P$11:$P$412,$D630)&gt;0,"Yes","No"))</x:f>
        <x:v>Yes</x:v>
      </x:c>
    </x:row>
    <x:row r="631">
      <x:c r="A631" t="str">
        <x:f>'EMA Assurance Employee List'!A632</x:f>
        <x:v>Ria Munogee</x:v>
      </x:c>
      <x:c r="B631" t="str">
        <x:f>IF(C631="KE","Kenya",IF(C631="UG","Uganda",IF(C631="MU","Mauritius",IF(C631="TZ","Tanzania",IF(C631="RW","Rwanda",IF(C631="ZA","South Africa",IF(C631="ZM","Zambia","")))))))</x:f>
        <x:v>Mauritius</x:v>
      </x:c>
      <x:c r="C631" t="str">
        <x:f>'EMA Assurance Employee List'!B632</x:f>
        <x:v>MU</x:v>
      </x:c>
      <x:c r="D631" t="str">
        <x:f>'EMA Assurance Employee List'!D632</x:f>
        <x:v>leenam.munogee@pwc.com</x:v>
      </x:c>
      <x:c r="E631" t="n">
        <x:f>IF($D631="",0,SUMIF('Attendance Report - Option 1'!$P$11:$P$315,$D631,'Attendance Report - Option 1'!$Q$11:$Q$315)/86400)</x:f>
        <x:v>0.0006828703703703704</x:v>
      </x:c>
      <x:c r="F631" t="str">
        <x:f>IF(E631=0,"Did not attend",IF(E631&gt;='Read Me'!$E$2/86400,"Fully attended","Partially attended"))</x:f>
        <x:v>Partially attended</x:v>
      </x:c>
      <x:c r="G631" t="n">
        <x:f>IF($D631="",0,SUMIF('Attendance Report - Option 2'!$P$11:$P$412,$D631,'Attendance Report - Option 2'!$Q$11:$Q$412)/86400)</x:f>
        <x:v>0.08321759259259259</x:v>
      </x:c>
      <x:c r="H631" t="str">
        <x:f>IF(G631=0,"Did not attend",IF(G631&gt;='Read Me'!$E$2/86400,"Fully attended","Partially attended"))</x:f>
        <x:v>Fully attended</x:v>
      </x:c>
      <x:c r="I631" t="n">
        <x:f>E631+G631</x:f>
        <x:v>0.08390046296296297</x:v>
      </x:c>
      <x:c r="J631" t="str">
        <x:f>IF(I631=0,"Did not attend",IF(I631&gt;='Read Me'!$E$2/86400,"Fully attended","Partially attended"))</x:f>
        <x:v>Fully attended</x:v>
      </x:c>
      <x:c r="K631" t="str">
        <x:f>IF($D631="","No",IF(COUNTIF('Attendance Report - Option 1'!$P$11:$P$315,$D631)&gt;0,"Yes","No"))</x:f>
        <x:v>Yes</x:v>
      </x:c>
      <x:c r="L631" t="str">
        <x:f>IF($D631="","No",IF(COUNTIF('Attendance Report - Option 2'!$P$11:$P$412,$D631)&gt;0,"Yes","No"))</x:f>
        <x:v>Yes</x:v>
      </x:c>
    </x:row>
    <x:row r="632">
      <x:c r="A632" t="str">
        <x:f>'EMA Assurance Employee List'!A633</x:f>
        <x:v>Rohan Peter</x:v>
      </x:c>
      <x:c r="B632" t="str">
        <x:f>IF(C632="KE","Kenya",IF(C632="UG","Uganda",IF(C632="MU","Mauritius",IF(C632="TZ","Tanzania",IF(C632="RW","Rwanda",IF(C632="ZA","South Africa",IF(C632="ZM","Zambia","")))))))</x:f>
        <x:v>Mauritius</x:v>
      </x:c>
      <x:c r="C632" t="str">
        <x:f>'EMA Assurance Employee List'!B633</x:f>
        <x:v>MU</x:v>
      </x:c>
      <x:c r="D632" t="str">
        <x:f>'EMA Assurance Employee List'!D633</x:f>
        <x:v>rohan.peter@pwc.com</x:v>
      </x:c>
      <x:c r="E632" t="n">
        <x:f>IF($D632="",0,SUMIF('Attendance Report - Option 1'!$P$11:$P$315,$D632,'Attendance Report - Option 1'!$Q$11:$Q$315)/86400)</x:f>
        <x:v>0.05028935185185185</x:v>
      </x:c>
      <x:c r="F632" t="str">
        <x:f>IF(E632=0,"Did not attend",IF(E632&gt;='Read Me'!$E$2/86400,"Fully attended","Partially attended"))</x:f>
        <x:v>Partially attended</x:v>
      </x:c>
      <x:c r="G632" t="n">
        <x:f>IF($D632="",0,SUMIF('Attendance Report - Option 2'!$P$11:$P$412,$D632,'Attendance Report - Option 2'!$Q$11:$Q$412)/86400)</x:f>
        <x:v>0</x:v>
      </x:c>
      <x:c r="H632" t="str">
        <x:f>IF(G632=0,"Did not attend",IF(G632&gt;='Read Me'!$E$2/86400,"Fully attended","Partially attended"))</x:f>
        <x:v>Did not attend</x:v>
      </x:c>
      <x:c r="I632" t="n">
        <x:f>E632+G632</x:f>
        <x:v>0.05028935185185185</x:v>
      </x:c>
      <x:c r="J632" t="str">
        <x:f>IF(I632=0,"Did not attend",IF(I632&gt;='Read Me'!$E$2/86400,"Fully attended","Partially attended"))</x:f>
        <x:v>Partially attended</x:v>
      </x:c>
      <x:c r="K632" t="str">
        <x:f>IF($D632="","No",IF(COUNTIF('Attendance Report - Option 1'!$P$11:$P$315,$D632)&gt;0,"Yes","No"))</x:f>
        <x:v>Yes</x:v>
      </x:c>
      <x:c r="L632" t="str">
        <x:f>IF($D632="","No",IF(COUNTIF('Attendance Report - Option 2'!$P$11:$P$412,$D632)&gt;0,"Yes","No"))</x:f>
        <x:v>No</x:v>
      </x:c>
    </x:row>
    <x:row r="633">
      <x:c r="A633" t="str">
        <x:f>'EMA Assurance Employee List'!A634</x:f>
        <x:v>Rose Banda</x:v>
      </x:c>
      <x:c r="B633" t="str">
        <x:f>IF(C633="KE","Kenya",IF(C633="UG","Uganda",IF(C633="MU","Mauritius",IF(C633="TZ","Tanzania",IF(C633="RW","Rwanda",IF(C633="ZA","South Africa",IF(C633="ZM","Zambia","")))))))</x:f>
        <x:v>Zambia</x:v>
      </x:c>
      <x:c r="C633" t="str">
        <x:f>'EMA Assurance Employee List'!B634</x:f>
        <x:v>ZM</x:v>
      </x:c>
      <x:c r="D633" t="str">
        <x:f>'EMA Assurance Employee List'!D634</x:f>
        <x:v>rose.banda@pwc.com</x:v>
      </x:c>
      <x:c r="E633" t="n">
        <x:f>IF($D633="",0,SUMIF('Attendance Report - Option 1'!$P$11:$P$315,$D633,'Attendance Report - Option 1'!$Q$11:$Q$315)/86400)</x:f>
        <x:v>0.06018518518518518</x:v>
      </x:c>
      <x:c r="F633" t="str">
        <x:f>IF(E633=0,"Did not attend",IF(E633&gt;='Read Me'!$E$2/86400,"Fully attended","Partially attended"))</x:f>
        <x:v>Partially attended</x:v>
      </x:c>
      <x:c r="G633" t="n">
        <x:f>IF($D633="",0,SUMIF('Attendance Report - Option 2'!$P$11:$P$412,$D633,'Attendance Report - Option 2'!$Q$11:$Q$412)/86400)</x:f>
        <x:v>0</x:v>
      </x:c>
      <x:c r="H633" t="str">
        <x:f>IF(G633=0,"Did not attend",IF(G633&gt;='Read Me'!$E$2/86400,"Fully attended","Partially attended"))</x:f>
        <x:v>Did not attend</x:v>
      </x:c>
      <x:c r="I633" t="n">
        <x:f>E633+G633</x:f>
        <x:v>0.06018518518518518</x:v>
      </x:c>
      <x:c r="J633" t="str">
        <x:f>IF(I633=0,"Did not attend",IF(I633&gt;='Read Me'!$E$2/86400,"Fully attended","Partially attended"))</x:f>
        <x:v>Partially attended</x:v>
      </x:c>
      <x:c r="K633" t="str">
        <x:f>IF($D633="","No",IF(COUNTIF('Attendance Report - Option 1'!$P$11:$P$315,$D633)&gt;0,"Yes","No"))</x:f>
        <x:v>Yes</x:v>
      </x:c>
      <x:c r="L633" t="str">
        <x:f>IF($D633="","No",IF(COUNTIF('Attendance Report - Option 2'!$P$11:$P$412,$D633)&gt;0,"Yes","No"))</x:f>
        <x:v>No</x:v>
      </x:c>
    </x:row>
    <x:row r="634">
      <x:c r="A634" t="str">
        <x:f>'EMA Assurance Employee List'!A635</x:f>
        <x:v>Ruth Uwera</x:v>
      </x:c>
      <x:c r="B634" t="str">
        <x:f>IF(C634="KE","Kenya",IF(C634="UG","Uganda",IF(C634="MU","Mauritius",IF(C634="TZ","Tanzania",IF(C634="RW","Rwanda",IF(C634="ZA","South Africa",IF(C634="ZM","Zambia","")))))))</x:f>
        <x:v>Rwanda</x:v>
      </x:c>
      <x:c r="C634" t="str">
        <x:f>'EMA Assurance Employee List'!B635</x:f>
        <x:v>RW</x:v>
      </x:c>
      <x:c r="D634" t="str">
        <x:f>'EMA Assurance Employee List'!D635</x:f>
        <x:v>ruth.uwera@pwc.com</x:v>
      </x:c>
      <x:c r="E634" t="n">
        <x:f>IF($D634="",0,SUMIF('Attendance Report - Option 1'!$P$11:$P$315,$D634,'Attendance Report - Option 1'!$Q$11:$Q$315)/86400)</x:f>
        <x:v>0.04380787037037037</x:v>
      </x:c>
      <x:c r="F634" t="str">
        <x:f>IF(E634=0,"Did not attend",IF(E634&gt;='Read Me'!$E$2/86400,"Fully attended","Partially attended"))</x:f>
        <x:v>Partially attended</x:v>
      </x:c>
      <x:c r="G634" t="n">
        <x:f>IF($D634="",0,SUMIF('Attendance Report - Option 2'!$P$11:$P$412,$D634,'Attendance Report - Option 2'!$Q$11:$Q$412)/86400)</x:f>
        <x:v>0</x:v>
      </x:c>
      <x:c r="H634" t="str">
        <x:f>IF(G634=0,"Did not attend",IF(G634&gt;='Read Me'!$E$2/86400,"Fully attended","Partially attended"))</x:f>
        <x:v>Did not attend</x:v>
      </x:c>
      <x:c r="I634" t="n">
        <x:f>E634+G634</x:f>
        <x:v>0.04380787037037037</x:v>
      </x:c>
      <x:c r="J634" t="str">
        <x:f>IF(I634=0,"Did not attend",IF(I634&gt;='Read Me'!$E$2/86400,"Fully attended","Partially attended"))</x:f>
        <x:v>Partially attended</x:v>
      </x:c>
      <x:c r="K634" t="str">
        <x:f>IF($D634="","No",IF(COUNTIF('Attendance Report - Option 1'!$P$11:$P$315,$D634)&gt;0,"Yes","No"))</x:f>
        <x:v>Yes</x:v>
      </x:c>
      <x:c r="L634" t="str">
        <x:f>IF($D634="","No",IF(COUNTIF('Attendance Report - Option 2'!$P$11:$P$412,$D634)&gt;0,"Yes","No"))</x:f>
        <x:v>No</x:v>
      </x:c>
    </x:row>
    <x:row r="635">
      <x:c r="A635" t="str">
        <x:f>'EMA Assurance Employee List'!A636</x:f>
        <x:v>Sabryya Moos</x:v>
      </x:c>
      <x:c r="B635" t="str">
        <x:f>IF(C635="KE","Kenya",IF(C635="UG","Uganda",IF(C635="MU","Mauritius",IF(C635="TZ","Tanzania",IF(C635="RW","Rwanda",IF(C635="ZA","South Africa",IF(C635="ZM","Zambia","")))))))</x:f>
        <x:v>Mauritius</x:v>
      </x:c>
      <x:c r="C635" t="str">
        <x:f>'EMA Assurance Employee List'!B636</x:f>
        <x:v>MU</x:v>
      </x:c>
      <x:c r="D635" t="str">
        <x:f>'EMA Assurance Employee List'!D636</x:f>
        <x:v>sabryya.moos@pwc.com</x:v>
      </x:c>
      <x:c r="E635" t="n">
        <x:f>IF($D635="",0,SUMIF('Attendance Report - Option 1'!$P$11:$P$315,$D635,'Attendance Report - Option 1'!$Q$11:$Q$315)/86400)</x:f>
        <x:v>0.07174768518518519</x:v>
      </x:c>
      <x:c r="F635" t="str">
        <x:f>IF(E635=0,"Did not attend",IF(E635&gt;='Read Me'!$E$2/86400,"Fully attended","Partially attended"))</x:f>
        <x:v>Fully attended</x:v>
      </x:c>
      <x:c r="G635" t="n">
        <x:f>IF($D635="",0,SUMIF('Attendance Report - Option 2'!$P$11:$P$412,$D635,'Attendance Report - Option 2'!$Q$11:$Q$412)/86400)</x:f>
        <x:v>0</x:v>
      </x:c>
      <x:c r="H635" t="str">
        <x:f>IF(G635=0,"Did not attend",IF(G635&gt;='Read Me'!$E$2/86400,"Fully attended","Partially attended"))</x:f>
        <x:v>Did not attend</x:v>
      </x:c>
      <x:c r="I635" t="n">
        <x:f>E635+G635</x:f>
        <x:v>0.07174768518518519</x:v>
      </x:c>
      <x:c r="J635" t="str">
        <x:f>IF(I635=0,"Did not attend",IF(I635&gt;='Read Me'!$E$2/86400,"Fully attended","Partially attended"))</x:f>
        <x:v>Fully attended</x:v>
      </x:c>
      <x:c r="K635" t="str">
        <x:f>IF($D635="","No",IF(COUNTIF('Attendance Report - Option 1'!$P$11:$P$315,$D635)&gt;0,"Yes","No"))</x:f>
        <x:v>Yes</x:v>
      </x:c>
      <x:c r="L635" t="str">
        <x:f>IF($D635="","No",IF(COUNTIF('Attendance Report - Option 2'!$P$11:$P$412,$D635)&gt;0,"Yes","No"))</x:f>
        <x:v>No</x:v>
      </x:c>
    </x:row>
    <x:row r="636">
      <x:c r="A636" t="str">
        <x:f>'EMA Assurance Employee List'!A637</x:f>
        <x:v>Sadia Emamdee</x:v>
      </x:c>
      <x:c r="B636" t="str">
        <x:f>IF(C636="KE","Kenya",IF(C636="UG","Uganda",IF(C636="MU","Mauritius",IF(C636="TZ","Tanzania",IF(C636="RW","Rwanda",IF(C636="ZA","South Africa",IF(C636="ZM","Zambia","")))))))</x:f>
        <x:v>Mauritius</x:v>
      </x:c>
      <x:c r="C636" t="str">
        <x:f>'EMA Assurance Employee List'!B637</x:f>
        <x:v>MU</x:v>
      </x:c>
      <x:c r="D636" t="str">
        <x:f>'EMA Assurance Employee List'!D637</x:f>
        <x:v>sadia.emamdee@pwc.com</x:v>
      </x:c>
      <x:c r="E636" t="n">
        <x:f>IF($D636="",0,SUMIF('Attendance Report - Option 1'!$P$11:$P$315,$D636,'Attendance Report - Option 1'!$Q$11:$Q$315)/86400)</x:f>
        <x:v>0</x:v>
      </x:c>
      <x:c r="F636" t="str">
        <x:f>IF(E636=0,"Did not attend",IF(E636&gt;='Read Me'!$E$2/86400,"Fully attended","Partially attended"))</x:f>
        <x:v>Did not attend</x:v>
      </x:c>
      <x:c r="G636" t="n">
        <x:f>IF($D636="",0,SUMIF('Attendance Report - Option 2'!$P$11:$P$412,$D636,'Attendance Report - Option 2'!$Q$11:$Q$412)/86400)</x:f>
        <x:v>0.08140046296296297</x:v>
      </x:c>
      <x:c r="H636" t="str">
        <x:f>IF(G636=0,"Did not attend",IF(G636&gt;='Read Me'!$E$2/86400,"Fully attended","Partially attended"))</x:f>
        <x:v>Fully attended</x:v>
      </x:c>
      <x:c r="I636" t="n">
        <x:f>E636+G636</x:f>
        <x:v>0.08140046296296297</x:v>
      </x:c>
      <x:c r="J636" t="str">
        <x:f>IF(I636=0,"Did not attend",IF(I636&gt;='Read Me'!$E$2/86400,"Fully attended","Partially attended"))</x:f>
        <x:v>Fully attended</x:v>
      </x:c>
      <x:c r="K636" t="str">
        <x:f>IF($D636="","No",IF(COUNTIF('Attendance Report - Option 1'!$P$11:$P$315,$D636)&gt;0,"Yes","No"))</x:f>
        <x:v>No</x:v>
      </x:c>
      <x:c r="L636" t="str">
        <x:f>IF($D636="","No",IF(COUNTIF('Attendance Report - Option 2'!$P$11:$P$412,$D636)&gt;0,"Yes","No"))</x:f>
        <x:v>Yes</x:v>
      </x:c>
    </x:row>
    <x:row r="637">
      <x:c r="A637" t="str">
        <x:f>'EMA Assurance Employee List'!A638</x:f>
        <x:v>Sadishen Vythilingum</x:v>
      </x:c>
      <x:c r="B637" t="str">
        <x:f>IF(C637="KE","Kenya",IF(C637="UG","Uganda",IF(C637="MU","Mauritius",IF(C637="TZ","Tanzania",IF(C637="RW","Rwanda",IF(C637="ZA","South Africa",IF(C637="ZM","Zambia","")))))))</x:f>
        <x:v>Mauritius</x:v>
      </x:c>
      <x:c r="C637" t="str">
        <x:f>'EMA Assurance Employee List'!B638</x:f>
        <x:v>MU</x:v>
      </x:c>
      <x:c r="D637" t="str">
        <x:f>'EMA Assurance Employee List'!D638</x:f>
        <x:v>sadishen.vythilingum@pwc.com</x:v>
      </x:c>
      <x:c r="E637" t="n">
        <x:f>IF($D637="",0,SUMIF('Attendance Report - Option 1'!$P$11:$P$315,$D637,'Attendance Report - Option 1'!$Q$11:$Q$315)/86400)</x:f>
        <x:v>0</x:v>
      </x:c>
      <x:c r="F637" t="str">
        <x:f>IF(E637=0,"Did not attend",IF(E637&gt;='Read Me'!$E$2/86400,"Fully attended","Partially attended"))</x:f>
        <x:v>Did not attend</x:v>
      </x:c>
      <x:c r="G637" t="n">
        <x:f>IF($D637="",0,SUMIF('Attendance Report - Option 2'!$P$11:$P$412,$D637,'Attendance Report - Option 2'!$Q$11:$Q$412)/86400)</x:f>
        <x:v>0.09004629629629629</x:v>
      </x:c>
      <x:c r="H637" t="str">
        <x:f>IF(G637=0,"Did not attend",IF(G637&gt;='Read Me'!$E$2/86400,"Fully attended","Partially attended"))</x:f>
        <x:v>Fully attended</x:v>
      </x:c>
      <x:c r="I637" t="n">
        <x:f>E637+G637</x:f>
        <x:v>0.09004629629629629</x:v>
      </x:c>
      <x:c r="J637" t="str">
        <x:f>IF(I637=0,"Did not attend",IF(I637&gt;='Read Me'!$E$2/86400,"Fully attended","Partially attended"))</x:f>
        <x:v>Fully attended</x:v>
      </x:c>
      <x:c r="K637" t="str">
        <x:f>IF($D637="","No",IF(COUNTIF('Attendance Report - Option 1'!$P$11:$P$315,$D637)&gt;0,"Yes","No"))</x:f>
        <x:v>No</x:v>
      </x:c>
      <x:c r="L637" t="str">
        <x:f>IF($D637="","No",IF(COUNTIF('Attendance Report - Option 2'!$P$11:$P$412,$D637)&gt;0,"Yes","No"))</x:f>
        <x:v>Yes</x:v>
      </x:c>
    </x:row>
    <x:row r="638">
      <x:c r="A638" t="str">
        <x:f>'EMA Assurance Employee List'!A639</x:f>
        <x:v>Safia Abdulkadir</x:v>
      </x:c>
      <x:c r="B638" t="str">
        <x:f>IF(C638="KE","Kenya",IF(C638="UG","Uganda",IF(C638="MU","Mauritius",IF(C638="TZ","Tanzania",IF(C638="RW","Rwanda",IF(C638="ZA","South Africa",IF(C638="ZM","Zambia","")))))))</x:f>
        <x:v>Kenya</x:v>
      </x:c>
      <x:c r="C638" t="str">
        <x:f>'EMA Assurance Employee List'!B639</x:f>
        <x:v>KE</x:v>
      </x:c>
      <x:c r="D638" t="str">
        <x:f>'EMA Assurance Employee List'!D639</x:f>
        <x:v>safia.abdulkadir@pwc.com</x:v>
      </x:c>
      <x:c r="E638" t="n">
        <x:f>IF($D638="",0,SUMIF('Attendance Report - Option 1'!$P$11:$P$315,$D638,'Attendance Report - Option 1'!$Q$11:$Q$315)/86400)</x:f>
        <x:v>0.010844907407407407</x:v>
      </x:c>
      <x:c r="F638" t="str">
        <x:f>IF(E638=0,"Did not attend",IF(E638&gt;='Read Me'!$E$2/86400,"Fully attended","Partially attended"))</x:f>
        <x:v>Partially attended</x:v>
      </x:c>
      <x:c r="G638" t="n">
        <x:f>IF($D638="",0,SUMIF('Attendance Report - Option 2'!$P$11:$P$412,$D638,'Attendance Report - Option 2'!$Q$11:$Q$412)/86400)</x:f>
        <x:v>0</x:v>
      </x:c>
      <x:c r="H638" t="str">
        <x:f>IF(G638=0,"Did not attend",IF(G638&gt;='Read Me'!$E$2/86400,"Fully attended","Partially attended"))</x:f>
        <x:v>Did not attend</x:v>
      </x:c>
      <x:c r="I638" t="n">
        <x:f>E638+G638</x:f>
        <x:v>0.010844907407407407</x:v>
      </x:c>
      <x:c r="J638" t="str">
        <x:f>IF(I638=0,"Did not attend",IF(I638&gt;='Read Me'!$E$2/86400,"Fully attended","Partially attended"))</x:f>
        <x:v>Partially attended</x:v>
      </x:c>
      <x:c r="K638" t="str">
        <x:f>IF($D638="","No",IF(COUNTIF('Attendance Report - Option 1'!$P$11:$P$315,$D638)&gt;0,"Yes","No"))</x:f>
        <x:v>Yes</x:v>
      </x:c>
      <x:c r="L638" t="str">
        <x:f>IF($D638="","No",IF(COUNTIF('Attendance Report - Option 2'!$P$11:$P$412,$D638)&gt;0,"Yes","No"))</x:f>
        <x:v>No</x:v>
      </x:c>
    </x:row>
    <x:row r="639">
      <x:c r="A639" t="str">
        <x:f>'EMA Assurance Employee List'!A640</x:f>
        <x:v>Sahil Ramyed</x:v>
      </x:c>
      <x:c r="B639" t="str">
        <x:f>IF(C639="KE","Kenya",IF(C639="UG","Uganda",IF(C639="MU","Mauritius",IF(C639="TZ","Tanzania",IF(C639="RW","Rwanda",IF(C639="ZA","South Africa",IF(C639="ZM","Zambia","")))))))</x:f>
        <x:v>Mauritius</x:v>
      </x:c>
      <x:c r="C639" t="str">
        <x:f>'EMA Assurance Employee List'!B640</x:f>
        <x:v>MU</x:v>
      </x:c>
      <x:c r="D639" t="str">
        <x:f>'EMA Assurance Employee List'!D640</x:f>
        <x:v>sahil.ramyed@pwc.com</x:v>
      </x:c>
      <x:c r="E639" t="n">
        <x:f>IF($D639="",0,SUMIF('Attendance Report - Option 1'!$P$11:$P$315,$D639,'Attendance Report - Option 1'!$Q$11:$Q$315)/86400)</x:f>
        <x:v>0</x:v>
      </x:c>
      <x:c r="F639" t="str">
        <x:f>IF(E639=0,"Did not attend",IF(E639&gt;='Read Me'!$E$2/86400,"Fully attended","Partially attended"))</x:f>
        <x:v>Did not attend</x:v>
      </x:c>
      <x:c r="G639" t="n">
        <x:f>IF($D639="",0,SUMIF('Attendance Report - Option 2'!$P$11:$P$412,$D639,'Attendance Report - Option 2'!$Q$11:$Q$412)/86400)</x:f>
        <x:v>0.054247685185185184</x:v>
      </x:c>
      <x:c r="H639" t="str">
        <x:f>IF(G639=0,"Did not attend",IF(G639&gt;='Read Me'!$E$2/86400,"Fully attended","Partially attended"))</x:f>
        <x:v>Partially attended</x:v>
      </x:c>
      <x:c r="I639" t="n">
        <x:f>E639+G639</x:f>
        <x:v>0.054247685185185184</x:v>
      </x:c>
      <x:c r="J639" t="str">
        <x:f>IF(I639=0,"Did not attend",IF(I639&gt;='Read Me'!$E$2/86400,"Fully attended","Partially attended"))</x:f>
        <x:v>Partially attended</x:v>
      </x:c>
      <x:c r="K639" t="str">
        <x:f>IF($D639="","No",IF(COUNTIF('Attendance Report - Option 1'!$P$11:$P$315,$D639)&gt;0,"Yes","No"))</x:f>
        <x:v>No</x:v>
      </x:c>
      <x:c r="L639" t="str">
        <x:f>IF($D639="","No",IF(COUNTIF('Attendance Report - Option 2'!$P$11:$P$412,$D639)&gt;0,"Yes","No"))</x:f>
        <x:v>Yes</x:v>
      </x:c>
    </x:row>
    <x:row r="640">
      <x:c r="A640" t="str">
        <x:f>'EMA Assurance Employee List'!A641</x:f>
        <x:v>Shafeeka Bauluck</x:v>
      </x:c>
      <x:c r="B640" t="str">
        <x:f>IF(C640="KE","Kenya",IF(C640="UG","Uganda",IF(C640="MU","Mauritius",IF(C640="TZ","Tanzania",IF(C640="RW","Rwanda",IF(C640="ZA","South Africa",IF(C640="ZM","Zambia","")))))))</x:f>
        <x:v>Mauritius</x:v>
      </x:c>
      <x:c r="C640" t="str">
        <x:f>'EMA Assurance Employee List'!B641</x:f>
        <x:v>MU</x:v>
      </x:c>
      <x:c r="D640" t="str">
        <x:f>'EMA Assurance Employee List'!D641</x:f>
        <x:v>shafeeka.bauluck@pwc.com</x:v>
      </x:c>
      <x:c r="E640" t="n">
        <x:f>IF($D640="",0,SUMIF('Attendance Report - Option 1'!$P$11:$P$315,$D640,'Attendance Report - Option 1'!$Q$11:$Q$315)/86400)</x:f>
        <x:v>0.010868055555555556</x:v>
      </x:c>
      <x:c r="F640" t="str">
        <x:f>IF(E640=0,"Did not attend",IF(E640&gt;='Read Me'!$E$2/86400,"Fully attended","Partially attended"))</x:f>
        <x:v>Partially attended</x:v>
      </x:c>
      <x:c r="G640" t="n">
        <x:f>IF($D640="",0,SUMIF('Attendance Report - Option 2'!$P$11:$P$412,$D640,'Attendance Report - Option 2'!$Q$11:$Q$412)/86400)</x:f>
        <x:v>0</x:v>
      </x:c>
      <x:c r="H640" t="str">
        <x:f>IF(G640=0,"Did not attend",IF(G640&gt;='Read Me'!$E$2/86400,"Fully attended","Partially attended"))</x:f>
        <x:v>Did not attend</x:v>
      </x:c>
      <x:c r="I640" t="n">
        <x:f>E640+G640</x:f>
        <x:v>0.010868055555555556</x:v>
      </x:c>
      <x:c r="J640" t="str">
        <x:f>IF(I640=0,"Did not attend",IF(I640&gt;='Read Me'!$E$2/86400,"Fully attended","Partially attended"))</x:f>
        <x:v>Partially attended</x:v>
      </x:c>
      <x:c r="K640" t="str">
        <x:f>IF($D640="","No",IF(COUNTIF('Attendance Report - Option 1'!$P$11:$P$315,$D640)&gt;0,"Yes","No"))</x:f>
        <x:v>Yes</x:v>
      </x:c>
      <x:c r="L640" t="str">
        <x:f>IF($D640="","No",IF(COUNTIF('Attendance Report - Option 2'!$P$11:$P$412,$D640)&gt;0,"Yes","No"))</x:f>
        <x:v>No</x:v>
      </x:c>
    </x:row>
    <x:row r="641">
      <x:c r="A641" t="str">
        <x:f>'EMA Assurance Employee List'!A642</x:f>
        <x:v>Shakil Torabally</x:v>
      </x:c>
      <x:c r="B641" t="str">
        <x:f>IF(C641="KE","Kenya",IF(C641="UG","Uganda",IF(C641="MU","Mauritius",IF(C641="TZ","Tanzania",IF(C641="RW","Rwanda",IF(C641="ZA","South Africa",IF(C641="ZM","Zambia","")))))))</x:f>
        <x:v>Mauritius</x:v>
      </x:c>
      <x:c r="C641" t="str">
        <x:f>'EMA Assurance Employee List'!B642</x:f>
        <x:v>MU</x:v>
      </x:c>
      <x:c r="D641" t="str">
        <x:f>'EMA Assurance Employee List'!D642</x:f>
        <x:v>shakil.torabally@pwc.com</x:v>
      </x:c>
      <x:c r="E641" t="n">
        <x:f>IF($D641="",0,SUMIF('Attendance Report - Option 1'!$P$11:$P$315,$D641,'Attendance Report - Option 1'!$Q$11:$Q$315)/86400)</x:f>
        <x:v>0.08659722222222223</x:v>
      </x:c>
      <x:c r="F641" t="str">
        <x:f>IF(E641=0,"Did not attend",IF(E641&gt;='Read Me'!$E$2/86400,"Fully attended","Partially attended"))</x:f>
        <x:v>Fully attended</x:v>
      </x:c>
      <x:c r="G641" t="n">
        <x:f>IF($D641="",0,SUMIF('Attendance Report - Option 2'!$P$11:$P$412,$D641,'Attendance Report - Option 2'!$Q$11:$Q$412)/86400)</x:f>
        <x:v>0</x:v>
      </x:c>
      <x:c r="H641" t="str">
        <x:f>IF(G641=0,"Did not attend",IF(G641&gt;='Read Me'!$E$2/86400,"Fully attended","Partially attended"))</x:f>
        <x:v>Did not attend</x:v>
      </x:c>
      <x:c r="I641" t="n">
        <x:f>E641+G641</x:f>
        <x:v>0.08659722222222223</x:v>
      </x:c>
      <x:c r="J641" t="str">
        <x:f>IF(I641=0,"Did not attend",IF(I641&gt;='Read Me'!$E$2/86400,"Fully attended","Partially attended"))</x:f>
        <x:v>Fully attended</x:v>
      </x:c>
      <x:c r="K641" t="str">
        <x:f>IF($D641="","No",IF(COUNTIF('Attendance Report - Option 1'!$P$11:$P$315,$D641)&gt;0,"Yes","No"))</x:f>
        <x:v>Yes</x:v>
      </x:c>
      <x:c r="L641" t="str">
        <x:f>IF($D641="","No",IF(COUNTIF('Attendance Report - Option 2'!$P$11:$P$412,$D641)&gt;0,"Yes","No"))</x:f>
        <x:v>No</x:v>
      </x:c>
    </x:row>
    <x:row r="642">
      <x:c r="A642" t="str">
        <x:f>'EMA Assurance Employee List'!A643</x:f>
        <x:v>Shania Ersapah</x:v>
      </x:c>
      <x:c r="B642" t="str">
        <x:f>IF(C642="KE","Kenya",IF(C642="UG","Uganda",IF(C642="MU","Mauritius",IF(C642="TZ","Tanzania",IF(C642="RW","Rwanda",IF(C642="ZA","South Africa",IF(C642="ZM","Zambia","")))))))</x:f>
        <x:v>Mauritius</x:v>
      </x:c>
      <x:c r="C642" t="str">
        <x:f>'EMA Assurance Employee List'!B643</x:f>
        <x:v>MU</x:v>
      </x:c>
      <x:c r="D642" t="str">
        <x:f>'EMA Assurance Employee List'!D643</x:f>
        <x:v>shania.ersapah@pwc.com</x:v>
      </x:c>
      <x:c r="E642" t="n">
        <x:f>IF($D642="",0,SUMIF('Attendance Report - Option 1'!$P$11:$P$315,$D642,'Attendance Report - Option 1'!$Q$11:$Q$315)/86400)</x:f>
        <x:v>0</x:v>
      </x:c>
      <x:c r="F642" t="str">
        <x:f>IF(E642=0,"Did not attend",IF(E642&gt;='Read Me'!$E$2/86400,"Fully attended","Partially attended"))</x:f>
        <x:v>Did not attend</x:v>
      </x:c>
      <x:c r="G642" t="n">
        <x:f>IF($D642="",0,SUMIF('Attendance Report - Option 2'!$P$11:$P$412,$D642,'Attendance Report - Option 2'!$Q$11:$Q$412)/86400)</x:f>
        <x:v>0.08729166666666667</x:v>
      </x:c>
      <x:c r="H642" t="str">
        <x:f>IF(G642=0,"Did not attend",IF(G642&gt;='Read Me'!$E$2/86400,"Fully attended","Partially attended"))</x:f>
        <x:v>Fully attended</x:v>
      </x:c>
      <x:c r="I642" t="n">
        <x:f>E642+G642</x:f>
        <x:v>0.08729166666666667</x:v>
      </x:c>
      <x:c r="J642" t="str">
        <x:f>IF(I642=0,"Did not attend",IF(I642&gt;='Read Me'!$E$2/86400,"Fully attended","Partially attended"))</x:f>
        <x:v>Fully attended</x:v>
      </x:c>
      <x:c r="K642" t="str">
        <x:f>IF($D642="","No",IF(COUNTIF('Attendance Report - Option 1'!$P$11:$P$315,$D642)&gt;0,"Yes","No"))</x:f>
        <x:v>No</x:v>
      </x:c>
      <x:c r="L642" t="str">
        <x:f>IF($D642="","No",IF(COUNTIF('Attendance Report - Option 2'!$P$11:$P$412,$D642)&gt;0,"Yes","No"))</x:f>
        <x:v>Yes</x:v>
      </x:c>
    </x:row>
    <x:row r="643">
      <x:c r="A643" t="str">
        <x:f>'EMA Assurance Employee List'!A644</x:f>
        <x:v>Sheila Atuhaire</x:v>
      </x:c>
      <x:c r="B643" t="str">
        <x:f>IF(C643="KE","Kenya",IF(C643="UG","Uganda",IF(C643="MU","Mauritius",IF(C643="TZ","Tanzania",IF(C643="RW","Rwanda",IF(C643="ZA","South Africa",IF(C643="ZM","Zambia","")))))))</x:f>
        <x:v>Uganda</x:v>
      </x:c>
      <x:c r="C643" t="str">
        <x:f>'EMA Assurance Employee List'!B644</x:f>
        <x:v>UG</x:v>
      </x:c>
      <x:c r="D643" t="str">
        <x:f>'EMA Assurance Employee List'!D644</x:f>
        <x:v>sheila.atuhaire@pwc.com</x:v>
      </x:c>
      <x:c r="E643" t="n">
        <x:f>IF($D643="",0,SUMIF('Attendance Report - Option 1'!$P$11:$P$315,$D643,'Attendance Report - Option 1'!$Q$11:$Q$315)/86400)</x:f>
        <x:v>0</x:v>
      </x:c>
      <x:c r="F643" t="str">
        <x:f>IF(E643=0,"Did not attend",IF(E643&gt;='Read Me'!$E$2/86400,"Fully attended","Partially attended"))</x:f>
        <x:v>Did not attend</x:v>
      </x:c>
      <x:c r="G643" t="n">
        <x:f>IF($D643="",0,SUMIF('Attendance Report - Option 2'!$P$11:$P$412,$D643,'Attendance Report - Option 2'!$Q$11:$Q$412)/86400)</x:f>
        <x:v>0.07653935185185186</x:v>
      </x:c>
      <x:c r="H643" t="str">
        <x:f>IF(G643=0,"Did not attend",IF(G643&gt;='Read Me'!$E$2/86400,"Fully attended","Partially attended"))</x:f>
        <x:v>Fully attended</x:v>
      </x:c>
      <x:c r="I643" t="n">
        <x:f>E643+G643</x:f>
        <x:v>0.07653935185185186</x:v>
      </x:c>
      <x:c r="J643" t="str">
        <x:f>IF(I643=0,"Did not attend",IF(I643&gt;='Read Me'!$E$2/86400,"Fully attended","Partially attended"))</x:f>
        <x:v>Fully attended</x:v>
      </x:c>
      <x:c r="K643" t="str">
        <x:f>IF($D643="","No",IF(COUNTIF('Attendance Report - Option 1'!$P$11:$P$315,$D643)&gt;0,"Yes","No"))</x:f>
        <x:v>No</x:v>
      </x:c>
      <x:c r="L643" t="str">
        <x:f>IF($D643="","No",IF(COUNTIF('Attendance Report - Option 2'!$P$11:$P$412,$D643)&gt;0,"Yes","No"))</x:f>
        <x:v>Yes</x:v>
      </x:c>
    </x:row>
    <x:row r="644">
      <x:c r="A644" t="str">
        <x:f>'EMA Assurance Employee List'!A645</x:f>
        <x:v>Sheila Brelu-Brelu</x:v>
      </x:c>
      <x:c r="B644" t="str">
        <x:f>IF(C644="KE","Kenya",IF(C644="UG","Uganda",IF(C644="MU","Mauritius",IF(C644="TZ","Tanzania",IF(C644="RW","Rwanda",IF(C644="ZA","South Africa",IF(C644="ZM","Zambia","")))))))</x:f>
        <x:v>Mauritius</x:v>
      </x:c>
      <x:c r="C644" t="str">
        <x:f>'EMA Assurance Employee List'!B645</x:f>
        <x:v>MU</x:v>
      </x:c>
      <x:c r="D644" t="str">
        <x:f>'EMA Assurance Employee List'!D645</x:f>
        <x:v>sheila.brelu-brelu@pwc.com</x:v>
      </x:c>
      <x:c r="E644" t="n">
        <x:f>IF($D644="",0,SUMIF('Attendance Report - Option 1'!$P$11:$P$315,$D644,'Attendance Report - Option 1'!$Q$11:$Q$315)/86400)</x:f>
        <x:v>0</x:v>
      </x:c>
      <x:c r="F644" t="str">
        <x:f>IF(E644=0,"Did not attend",IF(E644&gt;='Read Me'!$E$2/86400,"Fully attended","Partially attended"))</x:f>
        <x:v>Did not attend</x:v>
      </x:c>
      <x:c r="G644" t="n">
        <x:f>IF($D644="",0,SUMIF('Attendance Report - Option 2'!$P$11:$P$412,$D644,'Attendance Report - Option 2'!$Q$11:$Q$412)/86400)</x:f>
        <x:v>0.053460648148148146</x:v>
      </x:c>
      <x:c r="H644" t="str">
        <x:f>IF(G644=0,"Did not attend",IF(G644&gt;='Read Me'!$E$2/86400,"Fully attended","Partially attended"))</x:f>
        <x:v>Partially attended</x:v>
      </x:c>
      <x:c r="I644" t="n">
        <x:f>E644+G644</x:f>
        <x:v>0.053460648148148146</x:v>
      </x:c>
      <x:c r="J644" t="str">
        <x:f>IF(I644=0,"Did not attend",IF(I644&gt;='Read Me'!$E$2/86400,"Fully attended","Partially attended"))</x:f>
        <x:v>Partially attended</x:v>
      </x:c>
      <x:c r="K644" t="str">
        <x:f>IF($D644="","No",IF(COUNTIF('Attendance Report - Option 1'!$P$11:$P$315,$D644)&gt;0,"Yes","No"))</x:f>
        <x:v>No</x:v>
      </x:c>
      <x:c r="L644" t="str">
        <x:f>IF($D644="","No",IF(COUNTIF('Attendance Report - Option 2'!$P$11:$P$412,$D644)&gt;0,"Yes","No"))</x:f>
        <x:v>Yes</x:v>
      </x:c>
    </x:row>
    <x:row r="645">
      <x:c r="A645" t="str">
        <x:f>'EMA Assurance Employee List'!A646</x:f>
        <x:v>Sofia Hauroo</x:v>
      </x:c>
      <x:c r="B645" t="str">
        <x:f>IF(C645="KE","Kenya",IF(C645="UG","Uganda",IF(C645="MU","Mauritius",IF(C645="TZ","Tanzania",IF(C645="RW","Rwanda",IF(C645="ZA","South Africa",IF(C645="ZM","Zambia","")))))))</x:f>
        <x:v>Mauritius</x:v>
      </x:c>
      <x:c r="C645" t="str">
        <x:f>'EMA Assurance Employee List'!B646</x:f>
        <x:v>MU</x:v>
      </x:c>
      <x:c r="D645" t="str">
        <x:f>'EMA Assurance Employee List'!D646</x:f>
        <x:v>sofia.hauroo@pwc.com</x:v>
      </x:c>
      <x:c r="E645" t="n">
        <x:f>IF($D645="",0,SUMIF('Attendance Report - Option 1'!$P$11:$P$315,$D645,'Attendance Report - Option 1'!$Q$11:$Q$315)/86400)</x:f>
        <x:v>0</x:v>
      </x:c>
      <x:c r="F645" t="str">
        <x:f>IF(E645=0,"Did not attend",IF(E645&gt;='Read Me'!$E$2/86400,"Fully attended","Partially attended"))</x:f>
        <x:v>Did not attend</x:v>
      </x:c>
      <x:c r="G645" t="n">
        <x:f>IF($D645="",0,SUMIF('Attendance Report - Option 2'!$P$11:$P$412,$D645,'Attendance Report - Option 2'!$Q$11:$Q$412)/86400)</x:f>
        <x:v>0.01670138888888889</x:v>
      </x:c>
      <x:c r="H645" t="str">
        <x:f>IF(G645=0,"Did not attend",IF(G645&gt;='Read Me'!$E$2/86400,"Fully attended","Partially attended"))</x:f>
        <x:v>Partially attended</x:v>
      </x:c>
      <x:c r="I645" t="n">
        <x:f>E645+G645</x:f>
        <x:v>0.01670138888888889</x:v>
      </x:c>
      <x:c r="J645" t="str">
        <x:f>IF(I645=0,"Did not attend",IF(I645&gt;='Read Me'!$E$2/86400,"Fully attended","Partially attended"))</x:f>
        <x:v>Partially attended</x:v>
      </x:c>
      <x:c r="K645" t="str">
        <x:f>IF($D645="","No",IF(COUNTIF('Attendance Report - Option 1'!$P$11:$P$315,$D645)&gt;0,"Yes","No"))</x:f>
        <x:v>No</x:v>
      </x:c>
      <x:c r="L645" t="str">
        <x:f>IF($D645="","No",IF(COUNTIF('Attendance Report - Option 2'!$P$11:$P$412,$D645)&gt;0,"Yes","No"))</x:f>
        <x:v>Yes</x:v>
      </x:c>
    </x:row>
    <x:row r="646">
      <x:c r="A646" t="str">
        <x:f>'EMA Assurance Employee List'!A647</x:f>
        <x:v>Stanford Phiri</x:v>
      </x:c>
      <x:c r="B646" t="str">
        <x:f>IF(C646="KE","Kenya",IF(C646="UG","Uganda",IF(C646="MU","Mauritius",IF(C646="TZ","Tanzania",IF(C646="RW","Rwanda",IF(C646="ZA","South Africa",IF(C646="ZM","Zambia","")))))))</x:f>
        <x:v>Zambia</x:v>
      </x:c>
      <x:c r="C646" t="str">
        <x:f>'EMA Assurance Employee List'!B647</x:f>
        <x:v>ZM</x:v>
      </x:c>
      <x:c r="D646" t="str">
        <x:f>'EMA Assurance Employee List'!D647</x:f>
        <x:v>stanford.m.phiri@pwc.com</x:v>
      </x:c>
      <x:c r="E646" t="n">
        <x:f>IF($D646="",0,SUMIF('Attendance Report - Option 1'!$P$11:$P$315,$D646,'Attendance Report - Option 1'!$Q$11:$Q$315)/86400)</x:f>
        <x:v>0</x:v>
      </x:c>
      <x:c r="F646" t="str">
        <x:f>IF(E646=0,"Did not attend",IF(E646&gt;='Read Me'!$E$2/86400,"Fully attended","Partially attended"))</x:f>
        <x:v>Did not attend</x:v>
      </x:c>
      <x:c r="G646" t="n">
        <x:f>IF($D646="",0,SUMIF('Attendance Report - Option 2'!$P$11:$P$412,$D646,'Attendance Report - Option 2'!$Q$11:$Q$412)/86400)</x:f>
        <x:v>0.0682175925925926</x:v>
      </x:c>
      <x:c r="H646" t="str">
        <x:f>IF(G646=0,"Did not attend",IF(G646&gt;='Read Me'!$E$2/86400,"Fully attended","Partially attended"))</x:f>
        <x:v>Fully attended</x:v>
      </x:c>
      <x:c r="I646" t="n">
        <x:f>E646+G646</x:f>
        <x:v>0.0682175925925926</x:v>
      </x:c>
      <x:c r="J646" t="str">
        <x:f>IF(I646=0,"Did not attend",IF(I646&gt;='Read Me'!$E$2/86400,"Fully attended","Partially attended"))</x:f>
        <x:v>Fully attended</x:v>
      </x:c>
      <x:c r="K646" t="str">
        <x:f>IF($D646="","No",IF(COUNTIF('Attendance Report - Option 1'!$P$11:$P$315,$D646)&gt;0,"Yes","No"))</x:f>
        <x:v>No</x:v>
      </x:c>
      <x:c r="L646" t="str">
        <x:f>IF($D646="","No",IF(COUNTIF('Attendance Report - Option 2'!$P$11:$P$412,$D646)&gt;0,"Yes","No"))</x:f>
        <x:v>Yes</x:v>
      </x:c>
    </x:row>
    <x:row r="647">
      <x:c r="A647" t="str">
        <x:f>'EMA Assurance Employee List'!A648</x:f>
        <x:v>Successful Amani</x:v>
      </x:c>
      <x:c r="B647" t="str">
        <x:f>IF(C647="KE","Kenya",IF(C647="UG","Uganda",IF(C647="MU","Mauritius",IF(C647="TZ","Tanzania",IF(C647="RW","Rwanda",IF(C647="ZA","South Africa",IF(C647="ZM","Zambia","")))))))</x:f>
        <x:v>Tanzania</x:v>
      </x:c>
      <x:c r="C647" t="str">
        <x:f>'EMA Assurance Employee List'!B648</x:f>
        <x:v>TZ</x:v>
      </x:c>
      <x:c r="D647" t="str">
        <x:f>'EMA Assurance Employee List'!D648</x:f>
        <x:v>successful.amani@pwc.com</x:v>
      </x:c>
      <x:c r="E647" t="n">
        <x:f>IF($D647="",0,SUMIF('Attendance Report - Option 1'!$P$11:$P$315,$D647,'Attendance Report - Option 1'!$Q$11:$Q$315)/86400)</x:f>
        <x:v>0</x:v>
      </x:c>
      <x:c r="F647" t="str">
        <x:f>IF(E647=0,"Did not attend",IF(E647&gt;='Read Me'!$E$2/86400,"Fully attended","Partially attended"))</x:f>
        <x:v>Did not attend</x:v>
      </x:c>
      <x:c r="G647" t="n">
        <x:f>IF($D647="",0,SUMIF('Attendance Report - Option 2'!$P$11:$P$412,$D647,'Attendance Report - Option 2'!$Q$11:$Q$412)/86400)</x:f>
        <x:v>0.08568287037037037</x:v>
      </x:c>
      <x:c r="H647" t="str">
        <x:f>IF(G647=0,"Did not attend",IF(G647&gt;='Read Me'!$E$2/86400,"Fully attended","Partially attended"))</x:f>
        <x:v>Fully attended</x:v>
      </x:c>
      <x:c r="I647" t="n">
        <x:f>E647+G647</x:f>
        <x:v>0.08568287037037037</x:v>
      </x:c>
      <x:c r="J647" t="str">
        <x:f>IF(I647=0,"Did not attend",IF(I647&gt;='Read Me'!$E$2/86400,"Fully attended","Partially attended"))</x:f>
        <x:v>Fully attended</x:v>
      </x:c>
      <x:c r="K647" t="str">
        <x:f>IF($D647="","No",IF(COUNTIF('Attendance Report - Option 1'!$P$11:$P$315,$D647)&gt;0,"Yes","No"))</x:f>
        <x:v>No</x:v>
      </x:c>
      <x:c r="L647" t="str">
        <x:f>IF($D647="","No",IF(COUNTIF('Attendance Report - Option 2'!$P$11:$P$412,$D647)&gt;0,"Yes","No"))</x:f>
        <x:v>Yes</x:v>
      </x:c>
    </x:row>
    <x:row r="648">
      <x:c r="A648" t="str">
        <x:f>'EMA Assurance Employee List'!A649</x:f>
        <x:v>Sudarshani Cooshna</x:v>
      </x:c>
      <x:c r="B648" t="str">
        <x:f>IF(C648="KE","Kenya",IF(C648="UG","Uganda",IF(C648="MU","Mauritius",IF(C648="TZ","Tanzania",IF(C648="RW","Rwanda",IF(C648="ZA","South Africa",IF(C648="ZM","Zambia","")))))))</x:f>
        <x:v>Mauritius</x:v>
      </x:c>
      <x:c r="C648" t="str">
        <x:f>'EMA Assurance Employee List'!B649</x:f>
        <x:v>MU</x:v>
      </x:c>
      <x:c r="D648" t="str">
        <x:f>'EMA Assurance Employee List'!D649</x:f>
        <x:v>darshani.cooshna@pwc.com</x:v>
      </x:c>
      <x:c r="E648" t="n">
        <x:f>IF($D648="",0,SUMIF('Attendance Report - Option 1'!$P$11:$P$315,$D648,'Attendance Report - Option 1'!$Q$11:$Q$315)/86400)</x:f>
        <x:v>0.03934027777777778</x:v>
      </x:c>
      <x:c r="F648" t="str">
        <x:f>IF(E648=0,"Did not attend",IF(E648&gt;='Read Me'!$E$2/86400,"Fully attended","Partially attended"))</x:f>
        <x:v>Partially attended</x:v>
      </x:c>
      <x:c r="G648" t="n">
        <x:f>IF($D648="",0,SUMIF('Attendance Report - Option 2'!$P$11:$P$412,$D648,'Attendance Report - Option 2'!$Q$11:$Q$412)/86400)</x:f>
        <x:v>0.08137731481481482</x:v>
      </x:c>
      <x:c r="H648" t="str">
        <x:f>IF(G648=0,"Did not attend",IF(G648&gt;='Read Me'!$E$2/86400,"Fully attended","Partially attended"))</x:f>
        <x:v>Fully attended</x:v>
      </x:c>
      <x:c r="I648" t="n">
        <x:f>E648+G648</x:f>
        <x:v>0.1207175925925926</x:v>
      </x:c>
      <x:c r="J648" t="str">
        <x:f>IF(I648=0,"Did not attend",IF(I648&gt;='Read Me'!$E$2/86400,"Fully attended","Partially attended"))</x:f>
        <x:v>Fully attended</x:v>
      </x:c>
      <x:c r="K648" t="str">
        <x:f>IF($D648="","No",IF(COUNTIF('Attendance Report - Option 1'!$P$11:$P$315,$D648)&gt;0,"Yes","No"))</x:f>
        <x:v>Yes</x:v>
      </x:c>
      <x:c r="L648" t="str">
        <x:f>IF($D648="","No",IF(COUNTIF('Attendance Report - Option 2'!$P$11:$P$412,$D648)&gt;0,"Yes","No"))</x:f>
        <x:v>Yes</x:v>
      </x:c>
    </x:row>
    <x:row r="649">
      <x:c r="A649" t="str">
        <x:f>'EMA Assurance Employee List'!A650</x:f>
        <x:v>Susan Mugera</x:v>
      </x:c>
      <x:c r="B649" t="str">
        <x:f>IF(C649="KE","Kenya",IF(C649="UG","Uganda",IF(C649="MU","Mauritius",IF(C649="TZ","Tanzania",IF(C649="RW","Rwanda",IF(C649="ZA","South Africa",IF(C649="ZM","Zambia","")))))))</x:f>
        <x:v>Uganda</x:v>
      </x:c>
      <x:c r="C649" t="str">
        <x:f>'EMA Assurance Employee List'!B650</x:f>
        <x:v>UG</x:v>
      </x:c>
      <x:c r="D649" t="str">
        <x:f>'EMA Assurance Employee List'!D650</x:f>
        <x:v>susan.m.mugera@pwc.com</x:v>
      </x:c>
      <x:c r="E649" t="n">
        <x:f>IF($D649="",0,SUMIF('Attendance Report - Option 1'!$P$11:$P$315,$D649,'Attendance Report - Option 1'!$Q$11:$Q$315)/86400)</x:f>
        <x:v>0</x:v>
      </x:c>
      <x:c r="F649" t="str">
        <x:f>IF(E649=0,"Did not attend",IF(E649&gt;='Read Me'!$E$2/86400,"Fully attended","Partially attended"))</x:f>
        <x:v>Did not attend</x:v>
      </x:c>
      <x:c r="G649" t="n">
        <x:f>IF($D649="",0,SUMIF('Attendance Report - Option 2'!$P$11:$P$412,$D649,'Attendance Report - Option 2'!$Q$11:$Q$412)/86400)</x:f>
        <x:v>0.060625</x:v>
      </x:c>
      <x:c r="H649" t="str">
        <x:f>IF(G649=0,"Did not attend",IF(G649&gt;='Read Me'!$E$2/86400,"Fully attended","Partially attended"))</x:f>
        <x:v>Partially attended</x:v>
      </x:c>
      <x:c r="I649" t="n">
        <x:f>E649+G649</x:f>
        <x:v>0.060625</x:v>
      </x:c>
      <x:c r="J649" t="str">
        <x:f>IF(I649=0,"Did not attend",IF(I649&gt;='Read Me'!$E$2/86400,"Fully attended","Partially attended"))</x:f>
        <x:v>Partially attended</x:v>
      </x:c>
      <x:c r="K649" t="str">
        <x:f>IF($D649="","No",IF(COUNTIF('Attendance Report - Option 1'!$P$11:$P$315,$D649)&gt;0,"Yes","No"))</x:f>
        <x:v>No</x:v>
      </x:c>
      <x:c r="L649" t="str">
        <x:f>IF($D649="","No",IF(COUNTIF('Attendance Report - Option 2'!$P$11:$P$412,$D649)&gt;0,"Yes","No"))</x:f>
        <x:v>Yes</x:v>
      </x:c>
    </x:row>
    <x:row r="650">
      <x:c r="A650" t="str">
        <x:f>'EMA Assurance Employee List'!A651</x:f>
        <x:v>Sylvia Keter</x:v>
      </x:c>
      <x:c r="B650" t="str">
        <x:f>IF(C650="KE","Kenya",IF(C650="UG","Uganda",IF(C650="MU","Mauritius",IF(C650="TZ","Tanzania",IF(C650="RW","Rwanda",IF(C650="ZA","South Africa",IF(C650="ZM","Zambia","")))))))</x:f>
        <x:v>Kenya</x:v>
      </x:c>
      <x:c r="C650" t="str">
        <x:f>'EMA Assurance Employee List'!B651</x:f>
        <x:v>KE</x:v>
      </x:c>
      <x:c r="D650" t="str">
        <x:f>'EMA Assurance Employee List'!D651</x:f>
        <x:v>sylvia.keter@pwc.com</x:v>
      </x:c>
      <x:c r="E650" t="n">
        <x:f>IF($D650="",0,SUMIF('Attendance Report - Option 1'!$P$11:$P$315,$D650,'Attendance Report - Option 1'!$Q$11:$Q$315)/86400)</x:f>
        <x:v>0</x:v>
      </x:c>
      <x:c r="F650" t="str">
        <x:f>IF(E650=0,"Did not attend",IF(E650&gt;='Read Me'!$E$2/86400,"Fully attended","Partially attended"))</x:f>
        <x:v>Did not attend</x:v>
      </x:c>
      <x:c r="G650" t="n">
        <x:f>IF($D650="",0,SUMIF('Attendance Report - Option 2'!$P$11:$P$412,$D650,'Attendance Report - Option 2'!$Q$11:$Q$412)/86400)</x:f>
        <x:v>0.011805555555555555</x:v>
      </x:c>
      <x:c r="H650" t="str">
        <x:f>IF(G650=0,"Did not attend",IF(G650&gt;='Read Me'!$E$2/86400,"Fully attended","Partially attended"))</x:f>
        <x:v>Partially attended</x:v>
      </x:c>
      <x:c r="I650" t="n">
        <x:f>E650+G650</x:f>
        <x:v>0.011805555555555555</x:v>
      </x:c>
      <x:c r="J650" t="str">
        <x:f>IF(I650=0,"Did not attend",IF(I650&gt;='Read Me'!$E$2/86400,"Fully attended","Partially attended"))</x:f>
        <x:v>Partially attended</x:v>
      </x:c>
      <x:c r="K650" t="str">
        <x:f>IF($D650="","No",IF(COUNTIF('Attendance Report - Option 1'!$P$11:$P$315,$D650)&gt;0,"Yes","No"))</x:f>
        <x:v>No</x:v>
      </x:c>
      <x:c r="L650" t="str">
        <x:f>IF($D650="","No",IF(COUNTIF('Attendance Report - Option 2'!$P$11:$P$412,$D650)&gt;0,"Yes","No"))</x:f>
        <x:v>Yes</x:v>
      </x:c>
    </x:row>
    <x:row r="651">
      <x:c r="A651" t="str">
        <x:f>'EMA Assurance Employee List'!A652</x:f>
        <x:v>Tabo Mwiya</x:v>
      </x:c>
      <x:c r="B651" t="str">
        <x:f>IF(C651="KE","Kenya",IF(C651="UG","Uganda",IF(C651="MU","Mauritius",IF(C651="TZ","Tanzania",IF(C651="RW","Rwanda",IF(C651="ZA","South Africa",IF(C651="ZM","Zambia","")))))))</x:f>
        <x:v>Zambia</x:v>
      </x:c>
      <x:c r="C651" t="str">
        <x:f>'EMA Assurance Employee List'!B652</x:f>
        <x:v>ZM</x:v>
      </x:c>
      <x:c r="D651" t="str">
        <x:f>'EMA Assurance Employee List'!D652</x:f>
        <x:v>tabo.mwiya@pwc.com</x:v>
      </x:c>
      <x:c r="E651" t="n">
        <x:f>IF($D651="",0,SUMIF('Attendance Report - Option 1'!$P$11:$P$315,$D651,'Attendance Report - Option 1'!$Q$11:$Q$315)/86400)</x:f>
        <x:v>0</x:v>
      </x:c>
      <x:c r="F651" t="str">
        <x:f>IF(E651=0,"Did not attend",IF(E651&gt;='Read Me'!$E$2/86400,"Fully attended","Partially attended"))</x:f>
        <x:v>Did not attend</x:v>
      </x:c>
      <x:c r="G651" t="n">
        <x:f>IF($D651="",0,SUMIF('Attendance Report - Option 2'!$P$11:$P$412,$D651,'Attendance Report - Option 2'!$Q$11:$Q$412)/86400)</x:f>
        <x:v>0.07859953703703704</x:v>
      </x:c>
      <x:c r="H651" t="str">
        <x:f>IF(G651=0,"Did not attend",IF(G651&gt;='Read Me'!$E$2/86400,"Fully attended","Partially attended"))</x:f>
        <x:v>Fully attended</x:v>
      </x:c>
      <x:c r="I651" t="n">
        <x:f>E651+G651</x:f>
        <x:v>0.07859953703703704</x:v>
      </x:c>
      <x:c r="J651" t="str">
        <x:f>IF(I651=0,"Did not attend",IF(I651&gt;='Read Me'!$E$2/86400,"Fully attended","Partially attended"))</x:f>
        <x:v>Fully attended</x:v>
      </x:c>
      <x:c r="K651" t="str">
        <x:f>IF($D651="","No",IF(COUNTIF('Attendance Report - Option 1'!$P$11:$P$315,$D651)&gt;0,"Yes","No"))</x:f>
        <x:v>No</x:v>
      </x:c>
      <x:c r="L651" t="str">
        <x:f>IF($D651="","No",IF(COUNTIF('Attendance Report - Option 2'!$P$11:$P$412,$D651)&gt;0,"Yes","No"))</x:f>
        <x:v>Yes</x:v>
      </x:c>
    </x:row>
    <x:row r="652">
      <x:c r="A652" t="str">
        <x:f>'EMA Assurance Employee List'!A653</x:f>
        <x:v>Teresia Kilawe</x:v>
      </x:c>
      <x:c r="B652" t="str">
        <x:f>IF(C652="KE","Kenya",IF(C652="UG","Uganda",IF(C652="MU","Mauritius",IF(C652="TZ","Tanzania",IF(C652="RW","Rwanda",IF(C652="ZA","South Africa",IF(C652="ZM","Zambia","")))))))</x:f>
        <x:v>Tanzania</x:v>
      </x:c>
      <x:c r="C652" t="str">
        <x:f>'EMA Assurance Employee List'!B653</x:f>
        <x:v>TZ</x:v>
      </x:c>
      <x:c r="D652" t="str">
        <x:f>'EMA Assurance Employee List'!D653</x:f>
        <x:v>teresia.kilawe@pwc.com</x:v>
      </x:c>
      <x:c r="E652" t="n">
        <x:f>IF($D652="",0,SUMIF('Attendance Report - Option 1'!$P$11:$P$315,$D652,'Attendance Report - Option 1'!$Q$11:$Q$315)/86400)</x:f>
        <x:v>0.0717824074074074</x:v>
      </x:c>
      <x:c r="F652" t="str">
        <x:f>IF(E652=0,"Did not attend",IF(E652&gt;='Read Me'!$E$2/86400,"Fully attended","Partially attended"))</x:f>
        <x:v>Fully attended</x:v>
      </x:c>
      <x:c r="G652" t="n">
        <x:f>IF($D652="",0,SUMIF('Attendance Report - Option 2'!$P$11:$P$412,$D652,'Attendance Report - Option 2'!$Q$11:$Q$412)/86400)</x:f>
        <x:v>0</x:v>
      </x:c>
      <x:c r="H652" t="str">
        <x:f>IF(G652=0,"Did not attend",IF(G652&gt;='Read Me'!$E$2/86400,"Fully attended","Partially attended"))</x:f>
        <x:v>Did not attend</x:v>
      </x:c>
      <x:c r="I652" t="n">
        <x:f>E652+G652</x:f>
        <x:v>0.0717824074074074</x:v>
      </x:c>
      <x:c r="J652" t="str">
        <x:f>IF(I652=0,"Did not attend",IF(I652&gt;='Read Me'!$E$2/86400,"Fully attended","Partially attended"))</x:f>
        <x:v>Fully attended</x:v>
      </x:c>
      <x:c r="K652" t="str">
        <x:f>IF($D652="","No",IF(COUNTIF('Attendance Report - Option 1'!$P$11:$P$315,$D652)&gt;0,"Yes","No"))</x:f>
        <x:v>Yes</x:v>
      </x:c>
      <x:c r="L652" t="str">
        <x:f>IF($D652="","No",IF(COUNTIF('Attendance Report - Option 2'!$P$11:$P$412,$D652)&gt;0,"Yes","No"))</x:f>
        <x:v>No</x:v>
      </x:c>
    </x:row>
    <x:row r="653">
      <x:c r="A653" t="str">
        <x:f>'EMA Assurance Employee List'!A654</x:f>
        <x:v>Theresa Bazudde</x:v>
      </x:c>
      <x:c r="B653" t="str">
        <x:f>IF(C653="KE","Kenya",IF(C653="UG","Uganda",IF(C653="MU","Mauritius",IF(C653="TZ","Tanzania",IF(C653="RW","Rwanda",IF(C653="ZA","South Africa",IF(C653="ZM","Zambia","")))))))</x:f>
        <x:v>Uganda</x:v>
      </x:c>
      <x:c r="C653" t="str">
        <x:f>'EMA Assurance Employee List'!B654</x:f>
        <x:v>UG</x:v>
      </x:c>
      <x:c r="D653" t="str">
        <x:f>'EMA Assurance Employee List'!D654</x:f>
        <x:v>theresa.bazudde@pwc.com</x:v>
      </x:c>
      <x:c r="E653" t="n">
        <x:f>IF($D653="",0,SUMIF('Attendance Report - Option 1'!$P$11:$P$315,$D653,'Attendance Report - Option 1'!$Q$11:$Q$315)/86400)</x:f>
        <x:v>0</x:v>
      </x:c>
      <x:c r="F653" t="str">
        <x:f>IF(E653=0,"Did not attend",IF(E653&gt;='Read Me'!$E$2/86400,"Fully attended","Partially attended"))</x:f>
        <x:v>Did not attend</x:v>
      </x:c>
      <x:c r="G653" t="n">
        <x:f>IF($D653="",0,SUMIF('Attendance Report - Option 2'!$P$11:$P$412,$D653,'Attendance Report - Option 2'!$Q$11:$Q$412)/86400)</x:f>
        <x:v>0.06896990740740741</x:v>
      </x:c>
      <x:c r="H653" t="str">
        <x:f>IF(G653=0,"Did not attend",IF(G653&gt;='Read Me'!$E$2/86400,"Fully attended","Partially attended"))</x:f>
        <x:v>Fully attended</x:v>
      </x:c>
      <x:c r="I653" t="n">
        <x:f>E653+G653</x:f>
        <x:v>0.06896990740740741</x:v>
      </x:c>
      <x:c r="J653" t="str">
        <x:f>IF(I653=0,"Did not attend",IF(I653&gt;='Read Me'!$E$2/86400,"Fully attended","Partially attended"))</x:f>
        <x:v>Fully attended</x:v>
      </x:c>
      <x:c r="K653" t="str">
        <x:f>IF($D653="","No",IF(COUNTIF('Attendance Report - Option 1'!$P$11:$P$315,$D653)&gt;0,"Yes","No"))</x:f>
        <x:v>No</x:v>
      </x:c>
      <x:c r="L653" t="str">
        <x:f>IF($D653="","No",IF(COUNTIF('Attendance Report - Option 2'!$P$11:$P$412,$D653)&gt;0,"Yes","No"))</x:f>
        <x:v>Yes</x:v>
      </x:c>
    </x:row>
    <x:row r="654">
      <x:c r="A654" t="str">
        <x:f>'EMA Assurance Employee List'!A655</x:f>
        <x:v>Tirzah Atwiine</x:v>
      </x:c>
      <x:c r="B654" t="str">
        <x:f>IF(C654="KE","Kenya",IF(C654="UG","Uganda",IF(C654="MU","Mauritius",IF(C654="TZ","Tanzania",IF(C654="RW","Rwanda",IF(C654="ZA","South Africa",IF(C654="ZM","Zambia","")))))))</x:f>
        <x:v>Uganda</x:v>
      </x:c>
      <x:c r="C654" t="str">
        <x:f>'EMA Assurance Employee List'!B655</x:f>
        <x:v>UG</x:v>
      </x:c>
      <x:c r="D654" t="str">
        <x:f>'EMA Assurance Employee List'!D655</x:f>
        <x:v>tirzah.atwiine@pwc.com</x:v>
      </x:c>
      <x:c r="E654" t="n">
        <x:f>IF($D654="",0,SUMIF('Attendance Report - Option 1'!$P$11:$P$315,$D654,'Attendance Report - Option 1'!$Q$11:$Q$315)/86400)</x:f>
        <x:v>0.08449074074074074</x:v>
      </x:c>
      <x:c r="F654" t="str">
        <x:f>IF(E654=0,"Did not attend",IF(E654&gt;='Read Me'!$E$2/86400,"Fully attended","Partially attended"))</x:f>
        <x:v>Fully attended</x:v>
      </x:c>
      <x:c r="G654" t="n">
        <x:f>IF($D654="",0,SUMIF('Attendance Report - Option 2'!$P$11:$P$412,$D654,'Attendance Report - Option 2'!$Q$11:$Q$412)/86400)</x:f>
        <x:v>0</x:v>
      </x:c>
      <x:c r="H654" t="str">
        <x:f>IF(G654=0,"Did not attend",IF(G654&gt;='Read Me'!$E$2/86400,"Fully attended","Partially attended"))</x:f>
        <x:v>Did not attend</x:v>
      </x:c>
      <x:c r="I654" t="n">
        <x:f>E654+G654</x:f>
        <x:v>0.08449074074074074</x:v>
      </x:c>
      <x:c r="J654" t="str">
        <x:f>IF(I654=0,"Did not attend",IF(I654&gt;='Read Me'!$E$2/86400,"Fully attended","Partially attended"))</x:f>
        <x:v>Fully attended</x:v>
      </x:c>
      <x:c r="K654" t="str">
        <x:f>IF($D654="","No",IF(COUNTIF('Attendance Report - Option 1'!$P$11:$P$315,$D654)&gt;0,"Yes","No"))</x:f>
        <x:v>Yes</x:v>
      </x:c>
      <x:c r="L654" t="str">
        <x:f>IF($D654="","No",IF(COUNTIF('Attendance Report - Option 2'!$P$11:$P$412,$D654)&gt;0,"Yes","No"))</x:f>
        <x:v>No</x:v>
      </x:c>
    </x:row>
    <x:row r="655">
      <x:c r="A655" t="str">
        <x:f>'EMA Assurance Employee List'!A656</x:f>
        <x:v>Tushita Ruttun</x:v>
      </x:c>
      <x:c r="B655" t="str">
        <x:f>IF(C655="KE","Kenya",IF(C655="UG","Uganda",IF(C655="MU","Mauritius",IF(C655="TZ","Tanzania",IF(C655="RW","Rwanda",IF(C655="ZA","South Africa",IF(C655="ZM","Zambia","")))))))</x:f>
        <x:v>Mauritius</x:v>
      </x:c>
      <x:c r="C655" t="str">
        <x:f>'EMA Assurance Employee List'!B656</x:f>
        <x:v>MU</x:v>
      </x:c>
      <x:c r="D655" t="str">
        <x:f>'EMA Assurance Employee List'!D656</x:f>
        <x:v>tushita.ruttun@pwc.com</x:v>
      </x:c>
      <x:c r="E655" t="n">
        <x:f>IF($D655="",0,SUMIF('Attendance Report - Option 1'!$P$11:$P$315,$D655,'Attendance Report - Option 1'!$Q$11:$Q$315)/86400)</x:f>
        <x:v>0</x:v>
      </x:c>
      <x:c r="F655" t="str">
        <x:f>IF(E655=0,"Did not attend",IF(E655&gt;='Read Me'!$E$2/86400,"Fully attended","Partially attended"))</x:f>
        <x:v>Did not attend</x:v>
      </x:c>
      <x:c r="G655" t="n">
        <x:f>IF($D655="",0,SUMIF('Attendance Report - Option 2'!$P$11:$P$412,$D655,'Attendance Report - Option 2'!$Q$11:$Q$412)/86400)</x:f>
        <x:v>0.05361111111111111</x:v>
      </x:c>
      <x:c r="H655" t="str">
        <x:f>IF(G655=0,"Did not attend",IF(G655&gt;='Read Me'!$E$2/86400,"Fully attended","Partially attended"))</x:f>
        <x:v>Partially attended</x:v>
      </x:c>
      <x:c r="I655" t="n">
        <x:f>E655+G655</x:f>
        <x:v>0.05361111111111111</x:v>
      </x:c>
      <x:c r="J655" t="str">
        <x:f>IF(I655=0,"Did not attend",IF(I655&gt;='Read Me'!$E$2/86400,"Fully attended","Partially attended"))</x:f>
        <x:v>Partially attended</x:v>
      </x:c>
      <x:c r="K655" t="str">
        <x:f>IF($D655="","No",IF(COUNTIF('Attendance Report - Option 1'!$P$11:$P$315,$D655)&gt;0,"Yes","No"))</x:f>
        <x:v>No</x:v>
      </x:c>
      <x:c r="L655" t="str">
        <x:f>IF($D655="","No",IF(COUNTIF('Attendance Report - Option 2'!$P$11:$P$412,$D655)&gt;0,"Yes","No"))</x:f>
        <x:v>Yes</x:v>
      </x:c>
    </x:row>
    <x:row r="656">
      <x:c r="A656" t="str">
        <x:f>'EMA Assurance Employee List'!A657</x:f>
        <x:v>Umair Moniaruth</x:v>
      </x:c>
      <x:c r="B656" t="str">
        <x:f>IF(C656="KE","Kenya",IF(C656="UG","Uganda",IF(C656="MU","Mauritius",IF(C656="TZ","Tanzania",IF(C656="RW","Rwanda",IF(C656="ZA","South Africa",IF(C656="ZM","Zambia","")))))))</x:f>
        <x:v>Mauritius</x:v>
      </x:c>
      <x:c r="C656" t="str">
        <x:f>'EMA Assurance Employee List'!B657</x:f>
        <x:v>MU</x:v>
      </x:c>
      <x:c r="D656" t="str">
        <x:f>'EMA Assurance Employee List'!D657</x:f>
        <x:v>umair.moniaruth@pwc.com</x:v>
      </x:c>
      <x:c r="E656" t="n">
        <x:f>IF($D656="",0,SUMIF('Attendance Report - Option 1'!$P$11:$P$315,$D656,'Attendance Report - Option 1'!$Q$11:$Q$315)/86400)</x:f>
        <x:v>0</x:v>
      </x:c>
      <x:c r="F656" t="str">
        <x:f>IF(E656=0,"Did not attend",IF(E656&gt;='Read Me'!$E$2/86400,"Fully attended","Partially attended"))</x:f>
        <x:v>Did not attend</x:v>
      </x:c>
      <x:c r="G656" t="n">
        <x:f>IF($D656="",0,SUMIF('Attendance Report - Option 2'!$P$11:$P$412,$D656,'Attendance Report - Option 2'!$Q$11:$Q$412)/86400)</x:f>
        <x:v>0.08045138888888889</x:v>
      </x:c>
      <x:c r="H656" t="str">
        <x:f>IF(G656=0,"Did not attend",IF(G656&gt;='Read Me'!$E$2/86400,"Fully attended","Partially attended"))</x:f>
        <x:v>Fully attended</x:v>
      </x:c>
      <x:c r="I656" t="n">
        <x:f>E656+G656</x:f>
        <x:v>0.08045138888888889</x:v>
      </x:c>
      <x:c r="J656" t="str">
        <x:f>IF(I656=0,"Did not attend",IF(I656&gt;='Read Me'!$E$2/86400,"Fully attended","Partially attended"))</x:f>
        <x:v>Fully attended</x:v>
      </x:c>
      <x:c r="K656" t="str">
        <x:f>IF($D656="","No",IF(COUNTIF('Attendance Report - Option 1'!$P$11:$P$315,$D656)&gt;0,"Yes","No"))</x:f>
        <x:v>No</x:v>
      </x:c>
      <x:c r="L656" t="str">
        <x:f>IF($D656="","No",IF(COUNTIF('Attendance Report - Option 2'!$P$11:$P$412,$D656)&gt;0,"Yes","No"))</x:f>
        <x:v>Yes</x:v>
      </x:c>
    </x:row>
    <x:row r="657">
      <x:c r="A657" t="str">
        <x:f>'EMA Assurance Employee List'!A658</x:f>
        <x:v>Ved Neeraye</x:v>
      </x:c>
      <x:c r="B657" t="str">
        <x:f>IF(C657="KE","Kenya",IF(C657="UG","Uganda",IF(C657="MU","Mauritius",IF(C657="TZ","Tanzania",IF(C657="RW","Rwanda",IF(C657="ZA","South Africa",IF(C657="ZM","Zambia","")))))))</x:f>
        <x:v>Mauritius</x:v>
      </x:c>
      <x:c r="C657" t="str">
        <x:f>'EMA Assurance Employee List'!B658</x:f>
        <x:v>MU</x:v>
      </x:c>
      <x:c r="D657" t="str">
        <x:f>'EMA Assurance Employee List'!D658</x:f>
        <x:v>vedsagar.neeraye@pwc.com</x:v>
      </x:c>
      <x:c r="E657" t="n">
        <x:f>IF($D657="",0,SUMIF('Attendance Report - Option 1'!$P$11:$P$315,$D657,'Attendance Report - Option 1'!$Q$11:$Q$315)/86400)</x:f>
        <x:v>0</x:v>
      </x:c>
      <x:c r="F657" t="str">
        <x:f>IF(E657=0,"Did not attend",IF(E657&gt;='Read Me'!$E$2/86400,"Fully attended","Partially attended"))</x:f>
        <x:v>Did not attend</x:v>
      </x:c>
      <x:c r="G657" t="n">
        <x:f>IF($D657="",0,SUMIF('Attendance Report - Option 2'!$P$11:$P$412,$D657,'Attendance Report - Option 2'!$Q$11:$Q$412)/86400)</x:f>
        <x:v>0.08990740740740741</x:v>
      </x:c>
      <x:c r="H657" t="str">
        <x:f>IF(G657=0,"Did not attend",IF(G657&gt;='Read Me'!$E$2/86400,"Fully attended","Partially attended"))</x:f>
        <x:v>Fully attended</x:v>
      </x:c>
      <x:c r="I657" t="n">
        <x:f>E657+G657</x:f>
        <x:v>0.08990740740740741</x:v>
      </x:c>
      <x:c r="J657" t="str">
        <x:f>IF(I657=0,"Did not attend",IF(I657&gt;='Read Me'!$E$2/86400,"Fully attended","Partially attended"))</x:f>
        <x:v>Fully attended</x:v>
      </x:c>
      <x:c r="K657" t="str">
        <x:f>IF($D657="","No",IF(COUNTIF('Attendance Report - Option 1'!$P$11:$P$315,$D657)&gt;0,"Yes","No"))</x:f>
        <x:v>No</x:v>
      </x:c>
      <x:c r="L657" t="str">
        <x:f>IF($D657="","No",IF(COUNTIF('Attendance Report - Option 2'!$P$11:$P$412,$D657)&gt;0,"Yes","No"))</x:f>
        <x:v>Yes</x:v>
      </x:c>
    </x:row>
    <x:row r="658">
      <x:c r="A658" t="str">
        <x:f>'EMA Assurance Employee List'!A659</x:f>
        <x:v>Victor Mbago</x:v>
      </x:c>
      <x:c r="B658" t="str">
        <x:f>IF(C658="KE","Kenya",IF(C658="UG","Uganda",IF(C658="MU","Mauritius",IF(C658="TZ","Tanzania",IF(C658="RW","Rwanda",IF(C658="ZA","South Africa",IF(C658="ZM","Zambia","")))))))</x:f>
        <x:v>Kenya</x:v>
      </x:c>
      <x:c r="C658" t="str">
        <x:f>'EMA Assurance Employee List'!B659</x:f>
        <x:v>KE</x:v>
      </x:c>
      <x:c r="D658" t="str">
        <x:f>'EMA Assurance Employee List'!D659</x:f>
        <x:v>victor.mbago@pwc.com</x:v>
      </x:c>
      <x:c r="E658" t="n">
        <x:f>IF($D658="",0,SUMIF('Attendance Report - Option 1'!$P$11:$P$315,$D658,'Attendance Report - Option 1'!$Q$11:$Q$315)/86400)</x:f>
        <x:v>0</x:v>
      </x:c>
      <x:c r="F658" t="str">
        <x:f>IF(E658=0,"Did not attend",IF(E658&gt;='Read Me'!$E$2/86400,"Fully attended","Partially attended"))</x:f>
        <x:v>Did not attend</x:v>
      </x:c>
      <x:c r="G658" t="n">
        <x:f>IF($D658="",0,SUMIF('Attendance Report - Option 2'!$P$11:$P$412,$D658,'Attendance Report - Option 2'!$Q$11:$Q$412)/86400)</x:f>
        <x:v>0.054293981481481485</x:v>
      </x:c>
      <x:c r="H658" t="str">
        <x:f>IF(G658=0,"Did not attend",IF(G658&gt;='Read Me'!$E$2/86400,"Fully attended","Partially attended"))</x:f>
        <x:v>Partially attended</x:v>
      </x:c>
      <x:c r="I658" t="n">
        <x:f>E658+G658</x:f>
        <x:v>0.054293981481481485</x:v>
      </x:c>
      <x:c r="J658" t="str">
        <x:f>IF(I658=0,"Did not attend",IF(I658&gt;='Read Me'!$E$2/86400,"Fully attended","Partially attended"))</x:f>
        <x:v>Partially attended</x:v>
      </x:c>
      <x:c r="K658" t="str">
        <x:f>IF($D658="","No",IF(COUNTIF('Attendance Report - Option 1'!$P$11:$P$315,$D658)&gt;0,"Yes","No"))</x:f>
        <x:v>No</x:v>
      </x:c>
      <x:c r="L658" t="str">
        <x:f>IF($D658="","No",IF(COUNTIF('Attendance Report - Option 2'!$P$11:$P$412,$D658)&gt;0,"Yes","No"))</x:f>
        <x:v>Yes</x:v>
      </x:c>
    </x:row>
    <x:row r="659">
      <x:c r="A659" t="str">
        <x:f>'EMA Assurance Employee List'!A660</x:f>
        <x:v>Victoria Mihayo</x:v>
      </x:c>
      <x:c r="B659" t="str">
        <x:f>IF(C659="KE","Kenya",IF(C659="UG","Uganda",IF(C659="MU","Mauritius",IF(C659="TZ","Tanzania",IF(C659="RW","Rwanda",IF(C659="ZA","South Africa",IF(C659="ZM","Zambia","")))))))</x:f>
        <x:v>Tanzania</x:v>
      </x:c>
      <x:c r="C659" t="str">
        <x:f>'EMA Assurance Employee List'!B660</x:f>
        <x:v>TZ</x:v>
      </x:c>
      <x:c r="D659" t="str">
        <x:f>'EMA Assurance Employee List'!D660</x:f>
        <x:v>victoria.mihayo@pwc.com</x:v>
      </x:c>
      <x:c r="E659" t="n">
        <x:f>IF($D659="",0,SUMIF('Attendance Report - Option 1'!$P$11:$P$315,$D659,'Attendance Report - Option 1'!$Q$11:$Q$315)/86400)</x:f>
        <x:v>0</x:v>
      </x:c>
      <x:c r="F659" t="str">
        <x:f>IF(E659=0,"Did not attend",IF(E659&gt;='Read Me'!$E$2/86400,"Fully attended","Partially attended"))</x:f>
        <x:v>Did not attend</x:v>
      </x:c>
      <x:c r="G659" t="n">
        <x:f>IF($D659="",0,SUMIF('Attendance Report - Option 2'!$P$11:$P$412,$D659,'Attendance Report - Option 2'!$Q$11:$Q$412)/86400)</x:f>
        <x:v>0.05925925925925926</x:v>
      </x:c>
      <x:c r="H659" t="str">
        <x:f>IF(G659=0,"Did not attend",IF(G659&gt;='Read Me'!$E$2/86400,"Fully attended","Partially attended"))</x:f>
        <x:v>Partially attended</x:v>
      </x:c>
      <x:c r="I659" t="n">
        <x:f>E659+G659</x:f>
        <x:v>0.05925925925925926</x:v>
      </x:c>
      <x:c r="J659" t="str">
        <x:f>IF(I659=0,"Did not attend",IF(I659&gt;='Read Me'!$E$2/86400,"Fully attended","Partially attended"))</x:f>
        <x:v>Partially attended</x:v>
      </x:c>
      <x:c r="K659" t="str">
        <x:f>IF($D659="","No",IF(COUNTIF('Attendance Report - Option 1'!$P$11:$P$315,$D659)&gt;0,"Yes","No"))</x:f>
        <x:v>No</x:v>
      </x:c>
      <x:c r="L659" t="str">
        <x:f>IF($D659="","No",IF(COUNTIF('Attendance Report - Option 2'!$P$11:$P$412,$D659)&gt;0,"Yes","No"))</x:f>
        <x:v>Yes</x:v>
      </x:c>
    </x:row>
    <x:row r="660">
      <x:c r="A660" t="str">
        <x:f>'EMA Assurance Employee List'!A661</x:f>
        <x:v>Victoria Titus</x:v>
      </x:c>
      <x:c r="B660" t="str">
        <x:f>IF(C660="KE","Kenya",IF(C660="UG","Uganda",IF(C660="MU","Mauritius",IF(C660="TZ","Tanzania",IF(C660="RW","Rwanda",IF(C660="ZA","South Africa",IF(C660="ZM","Zambia","")))))))</x:f>
        <x:v>Kenya</x:v>
      </x:c>
      <x:c r="C660" t="str">
        <x:f>'EMA Assurance Employee List'!B661</x:f>
        <x:v>KE</x:v>
      </x:c>
      <x:c r="D660" t="str">
        <x:f>'EMA Assurance Employee List'!D661</x:f>
        <x:v>victoria.titus@pwc.com</x:v>
      </x:c>
      <x:c r="E660" t="n">
        <x:f>IF($D660="",0,SUMIF('Attendance Report - Option 1'!$P$11:$P$315,$D660,'Attendance Report - Option 1'!$Q$11:$Q$315)/86400)</x:f>
        <x:v>0</x:v>
      </x:c>
      <x:c r="F660" t="str">
        <x:f>IF(E660=0,"Did not attend",IF(E660&gt;='Read Me'!$E$2/86400,"Fully attended","Partially attended"))</x:f>
        <x:v>Did not attend</x:v>
      </x:c>
      <x:c r="G660" t="n">
        <x:f>IF($D660="",0,SUMIF('Attendance Report - Option 2'!$P$11:$P$412,$D660,'Attendance Report - Option 2'!$Q$11:$Q$412)/86400)</x:f>
        <x:v>0.08619212962962963</x:v>
      </x:c>
      <x:c r="H660" t="str">
        <x:f>IF(G660=0,"Did not attend",IF(G660&gt;='Read Me'!$E$2/86400,"Fully attended","Partially attended"))</x:f>
        <x:v>Fully attended</x:v>
      </x:c>
      <x:c r="I660" t="n">
        <x:f>E660+G660</x:f>
        <x:v>0.08619212962962963</x:v>
      </x:c>
      <x:c r="J660" t="str">
        <x:f>IF(I660=0,"Did not attend",IF(I660&gt;='Read Me'!$E$2/86400,"Fully attended","Partially attended"))</x:f>
        <x:v>Fully attended</x:v>
      </x:c>
      <x:c r="K660" t="str">
        <x:f>IF($D660="","No",IF(COUNTIF('Attendance Report - Option 1'!$P$11:$P$315,$D660)&gt;0,"Yes","No"))</x:f>
        <x:v>No</x:v>
      </x:c>
      <x:c r="L660" t="str">
        <x:f>IF($D660="","No",IF(COUNTIF('Attendance Report - Option 2'!$P$11:$P$412,$D660)&gt;0,"Yes","No"))</x:f>
        <x:v>Yes</x:v>
      </x:c>
    </x:row>
    <x:row r="661">
      <x:c r="A661" t="str">
        <x:f>'EMA Assurance Employee List'!A662</x:f>
        <x:v>Vivek Allan</x:v>
      </x:c>
      <x:c r="B661" t="str">
        <x:f>IF(C661="KE","Kenya",IF(C661="UG","Uganda",IF(C661="MU","Mauritius",IF(C661="TZ","Tanzania",IF(C661="RW","Rwanda",IF(C661="ZA","South Africa",IF(C661="ZM","Zambia","")))))))</x:f>
        <x:v>Mauritius</x:v>
      </x:c>
      <x:c r="C661" t="str">
        <x:f>'EMA Assurance Employee List'!B662</x:f>
        <x:v>MU</x:v>
      </x:c>
      <x:c r="D661" t="str">
        <x:f>'EMA Assurance Employee List'!D662</x:f>
        <x:v>vivek.allan@pwc.com</x:v>
      </x:c>
      <x:c r="E661" t="n">
        <x:f>IF($D661="",0,SUMIF('Attendance Report - Option 1'!$P$11:$P$315,$D661,'Attendance Report - Option 1'!$Q$11:$Q$315)/86400)</x:f>
        <x:v>0</x:v>
      </x:c>
      <x:c r="F661" t="str">
        <x:f>IF(E661=0,"Did not attend",IF(E661&gt;='Read Me'!$E$2/86400,"Fully attended","Partially attended"))</x:f>
        <x:v>Did not attend</x:v>
      </x:c>
      <x:c r="G661" t="n">
        <x:f>IF($D661="",0,SUMIF('Attendance Report - Option 2'!$P$11:$P$412,$D661,'Attendance Report - Option 2'!$Q$11:$Q$412)/86400)</x:f>
        <x:v>0.07842592592592593</x:v>
      </x:c>
      <x:c r="H661" t="str">
        <x:f>IF(G661=0,"Did not attend",IF(G661&gt;='Read Me'!$E$2/86400,"Fully attended","Partially attended"))</x:f>
        <x:v>Fully attended</x:v>
      </x:c>
      <x:c r="I661" t="n">
        <x:f>E661+G661</x:f>
        <x:v>0.07842592592592593</x:v>
      </x:c>
      <x:c r="J661" t="str">
        <x:f>IF(I661=0,"Did not attend",IF(I661&gt;='Read Me'!$E$2/86400,"Fully attended","Partially attended"))</x:f>
        <x:v>Fully attended</x:v>
      </x:c>
      <x:c r="K661" t="str">
        <x:f>IF($D661="","No",IF(COUNTIF('Attendance Report - Option 1'!$P$11:$P$315,$D661)&gt;0,"Yes","No"))</x:f>
        <x:v>No</x:v>
      </x:c>
      <x:c r="L661" t="str">
        <x:f>IF($D661="","No",IF(COUNTIF('Attendance Report - Option 2'!$P$11:$P$412,$D661)&gt;0,"Yes","No"))</x:f>
        <x:v>Yes</x:v>
      </x:c>
    </x:row>
    <x:row r="662">
      <x:c r="A662" t="str">
        <x:f>'EMA Assurance Employee List'!A663</x:f>
        <x:v>Vivek Nuckcheddee</x:v>
      </x:c>
      <x:c r="B662" t="str">
        <x:f>IF(C662="KE","Kenya",IF(C662="UG","Uganda",IF(C662="MU","Mauritius",IF(C662="TZ","Tanzania",IF(C662="RW","Rwanda",IF(C662="ZA","South Africa",IF(C662="ZM","Zambia","")))))))</x:f>
        <x:v>Mauritius</x:v>
      </x:c>
      <x:c r="C662" t="str">
        <x:f>'EMA Assurance Employee List'!B663</x:f>
        <x:v>MU</x:v>
      </x:c>
      <x:c r="D662" t="str">
        <x:f>'EMA Assurance Employee List'!D663</x:f>
        <x:v>vivek.nuckcheddee@pwc.com</x:v>
      </x:c>
      <x:c r="E662" t="n">
        <x:f>IF($D662="",0,SUMIF('Attendance Report - Option 1'!$P$11:$P$315,$D662,'Attendance Report - Option 1'!$Q$11:$Q$315)/86400)</x:f>
        <x:v>0.04715277777777778</x:v>
      </x:c>
      <x:c r="F662" t="str">
        <x:f>IF(E662=0,"Did not attend",IF(E662&gt;='Read Me'!$E$2/86400,"Fully attended","Partially attended"))</x:f>
        <x:v>Partially attended</x:v>
      </x:c>
      <x:c r="G662" t="n">
        <x:f>IF($D662="",0,SUMIF('Attendance Report - Option 2'!$P$11:$P$412,$D662,'Attendance Report - Option 2'!$Q$11:$Q$412)/86400)</x:f>
        <x:v>0.08574074074074074</x:v>
      </x:c>
      <x:c r="H662" t="str">
        <x:f>IF(G662=0,"Did not attend",IF(G662&gt;='Read Me'!$E$2/86400,"Fully attended","Partially attended"))</x:f>
        <x:v>Fully attended</x:v>
      </x:c>
      <x:c r="I662" t="n">
        <x:f>E662+G662</x:f>
        <x:v>0.13289351851851852</x:v>
      </x:c>
      <x:c r="J662" t="str">
        <x:f>IF(I662=0,"Did not attend",IF(I662&gt;='Read Me'!$E$2/86400,"Fully attended","Partially attended"))</x:f>
        <x:v>Fully attended</x:v>
      </x:c>
      <x:c r="K662" t="str">
        <x:f>IF($D662="","No",IF(COUNTIF('Attendance Report - Option 1'!$P$11:$P$315,$D662)&gt;0,"Yes","No"))</x:f>
        <x:v>Yes</x:v>
      </x:c>
      <x:c r="L662" t="str">
        <x:f>IF($D662="","No",IF(COUNTIF('Attendance Report - Option 2'!$P$11:$P$412,$D662)&gt;0,"Yes","No"))</x:f>
        <x:v>Yes</x:v>
      </x:c>
    </x:row>
    <x:row r="663">
      <x:c r="A663" t="str">
        <x:f>'EMA Assurance Employee List'!A664</x:f>
        <x:v>Wambui Gitau</x:v>
      </x:c>
      <x:c r="B663" t="str">
        <x:f>IF(C663="KE","Kenya",IF(C663="UG","Uganda",IF(C663="MU","Mauritius",IF(C663="TZ","Tanzania",IF(C663="RW","Rwanda",IF(C663="ZA","South Africa",IF(C663="ZM","Zambia","")))))))</x:f>
        <x:v>Kenya</x:v>
      </x:c>
      <x:c r="C663" t="str">
        <x:f>'EMA Assurance Employee List'!B664</x:f>
        <x:v>KE</x:v>
      </x:c>
      <x:c r="D663" t="str">
        <x:f>'EMA Assurance Employee List'!D664</x:f>
        <x:v>wambui.gitau@pwc.com</x:v>
      </x:c>
      <x:c r="E663" t="n">
        <x:f>IF($D663="",0,SUMIF('Attendance Report - Option 1'!$P$11:$P$315,$D663,'Attendance Report - Option 1'!$Q$11:$Q$315)/86400)</x:f>
        <x:v>0</x:v>
      </x:c>
      <x:c r="F663" t="str">
        <x:f>IF(E663=0,"Did not attend",IF(E663&gt;='Read Me'!$E$2/86400,"Fully attended","Partially attended"))</x:f>
        <x:v>Did not attend</x:v>
      </x:c>
      <x:c r="G663" t="n">
        <x:f>IF($D663="",0,SUMIF('Attendance Report - Option 2'!$P$11:$P$412,$D663,'Attendance Report - Option 2'!$Q$11:$Q$412)/86400)</x:f>
        <x:v>0.0030324074074074073</x:v>
      </x:c>
      <x:c r="H663" t="str">
        <x:f>IF(G663=0,"Did not attend",IF(G663&gt;='Read Me'!$E$2/86400,"Fully attended","Partially attended"))</x:f>
        <x:v>Partially attended</x:v>
      </x:c>
      <x:c r="I663" t="n">
        <x:f>E663+G663</x:f>
        <x:v>0.0030324074074074073</x:v>
      </x:c>
      <x:c r="J663" t="str">
        <x:f>IF(I663=0,"Did not attend",IF(I663&gt;='Read Me'!$E$2/86400,"Fully attended","Partially attended"))</x:f>
        <x:v>Partially attended</x:v>
      </x:c>
      <x:c r="K663" t="str">
        <x:f>IF($D663="","No",IF(COUNTIF('Attendance Report - Option 1'!$P$11:$P$315,$D663)&gt;0,"Yes","No"))</x:f>
        <x:v>No</x:v>
      </x:c>
      <x:c r="L663" t="str">
        <x:f>IF($D663="","No",IF(COUNTIF('Attendance Report - Option 2'!$P$11:$P$412,$D663)&gt;0,"Yes","No"))</x:f>
        <x:v>Yes</x:v>
      </x:c>
    </x:row>
    <x:row r="664">
      <x:c r="A664" t="str">
        <x:f>'EMA Assurance Employee List'!A665</x:f>
        <x:v>Witness Meena</x:v>
      </x:c>
      <x:c r="B664" t="str">
        <x:f>IF(C664="KE","Kenya",IF(C664="UG","Uganda",IF(C664="MU","Mauritius",IF(C664="TZ","Tanzania",IF(C664="RW","Rwanda",IF(C664="ZA","South Africa",IF(C664="ZM","Zambia","")))))))</x:f>
        <x:v>Tanzania</x:v>
      </x:c>
      <x:c r="C664" t="str">
        <x:f>'EMA Assurance Employee List'!B665</x:f>
        <x:v>TZ</x:v>
      </x:c>
      <x:c r="D664" t="str">
        <x:f>'EMA Assurance Employee List'!D665</x:f>
        <x:v>witness.meena@pwc.com</x:v>
      </x:c>
      <x:c r="E664" t="n">
        <x:f>IF($D664="",0,SUMIF('Attendance Report - Option 1'!$P$11:$P$315,$D664,'Attendance Report - Option 1'!$Q$11:$Q$315)/86400)</x:f>
        <x:v>0.07232638888888888</x:v>
      </x:c>
      <x:c r="F664" t="str">
        <x:f>IF(E664=0,"Did not attend",IF(E664&gt;='Read Me'!$E$2/86400,"Fully attended","Partially attended"))</x:f>
        <x:v>Fully attended</x:v>
      </x:c>
      <x:c r="G664" t="n">
        <x:f>IF($D664="",0,SUMIF('Attendance Report - Option 2'!$P$11:$P$412,$D664,'Attendance Report - Option 2'!$Q$11:$Q$412)/86400)</x:f>
        <x:v>0</x:v>
      </x:c>
      <x:c r="H664" t="str">
        <x:f>IF(G664=0,"Did not attend",IF(G664&gt;='Read Me'!$E$2/86400,"Fully attended","Partially attended"))</x:f>
        <x:v>Did not attend</x:v>
      </x:c>
      <x:c r="I664" t="n">
        <x:f>E664+G664</x:f>
        <x:v>0.07232638888888888</x:v>
      </x:c>
      <x:c r="J664" t="str">
        <x:f>IF(I664=0,"Did not attend",IF(I664&gt;='Read Me'!$E$2/86400,"Fully attended","Partially attended"))</x:f>
        <x:v>Fully attended</x:v>
      </x:c>
      <x:c r="K664" t="str">
        <x:f>IF($D664="","No",IF(COUNTIF('Attendance Report - Option 1'!$P$11:$P$315,$D664)&gt;0,"Yes","No"))</x:f>
        <x:v>Yes</x:v>
      </x:c>
      <x:c r="L664" t="str">
        <x:f>IF($D664="","No",IF(COUNTIF('Attendance Report - Option 2'!$P$11:$P$412,$D664)&gt;0,"Yes","No"))</x:f>
        <x:v>No</x:v>
      </x:c>
    </x:row>
    <x:row r="665">
      <x:c r="A665" t="str">
        <x:f>'EMA Assurance Employee List'!A666</x:f>
        <x:v>Yash Bucchoo</x:v>
      </x:c>
      <x:c r="B665" t="str">
        <x:f>IF(C665="KE","Kenya",IF(C665="UG","Uganda",IF(C665="MU","Mauritius",IF(C665="TZ","Tanzania",IF(C665="RW","Rwanda",IF(C665="ZA","South Africa",IF(C665="ZM","Zambia","")))))))</x:f>
        <x:v>Mauritius</x:v>
      </x:c>
      <x:c r="C665" t="str">
        <x:f>'EMA Assurance Employee List'!B666</x:f>
        <x:v>MU</x:v>
      </x:c>
      <x:c r="D665" t="str">
        <x:f>'EMA Assurance Employee List'!D666</x:f>
        <x:v>yash.bucchoo@pwc.com</x:v>
      </x:c>
      <x:c r="E665" t="n">
        <x:f>IF($D665="",0,SUMIF('Attendance Report - Option 1'!$P$11:$P$315,$D665,'Attendance Report - Option 1'!$Q$11:$Q$315)/86400)</x:f>
        <x:v>0</x:v>
      </x:c>
      <x:c r="F665" t="str">
        <x:f>IF(E665=0,"Did not attend",IF(E665&gt;='Read Me'!$E$2/86400,"Fully attended","Partially attended"))</x:f>
        <x:v>Did not attend</x:v>
      </x:c>
      <x:c r="G665" t="n">
        <x:f>IF($D665="",0,SUMIF('Attendance Report - Option 2'!$P$11:$P$412,$D665,'Attendance Report - Option 2'!$Q$11:$Q$412)/86400)</x:f>
        <x:v>0.06783564814814814</x:v>
      </x:c>
      <x:c r="H665" t="str">
        <x:f>IF(G665=0,"Did not attend",IF(G665&gt;='Read Me'!$E$2/86400,"Fully attended","Partially attended"))</x:f>
        <x:v>Fully attended</x:v>
      </x:c>
      <x:c r="I665" t="n">
        <x:f>E665+G665</x:f>
        <x:v>0.06783564814814814</x:v>
      </x:c>
      <x:c r="J665" t="str">
        <x:f>IF(I665=0,"Did not attend",IF(I665&gt;='Read Me'!$E$2/86400,"Fully attended","Partially attended"))</x:f>
        <x:v>Fully attended</x:v>
      </x:c>
      <x:c r="K665" t="str">
        <x:f>IF($D665="","No",IF(COUNTIF('Attendance Report - Option 1'!$P$11:$P$315,$D665)&gt;0,"Yes","No"))</x:f>
        <x:v>No</x:v>
      </x:c>
      <x:c r="L665" t="str">
        <x:f>IF($D665="","No",IF(COUNTIF('Attendance Report - Option 2'!$P$11:$P$412,$D665)&gt;0,"Yes","No"))</x:f>
        <x:v>Yes</x:v>
      </x:c>
    </x:row>
    <x:row r="666">
      <x:c r="A666" t="str">
        <x:f>'EMA Assurance Employee List'!A667</x:f>
        <x:v>Yashna Kowlessur</x:v>
      </x:c>
      <x:c r="B666" t="str">
        <x:f>IF(C666="KE","Kenya",IF(C666="UG","Uganda",IF(C666="MU","Mauritius",IF(C666="TZ","Tanzania",IF(C666="RW","Rwanda",IF(C666="ZA","South Africa",IF(C666="ZM","Zambia","")))))))</x:f>
        <x:v>Mauritius</x:v>
      </x:c>
      <x:c r="C666" t="str">
        <x:f>'EMA Assurance Employee List'!B667</x:f>
        <x:v>MU</x:v>
      </x:c>
      <x:c r="D666" t="str">
        <x:f>'EMA Assurance Employee List'!D667</x:f>
        <x:v>yashna.kowlessur@pwc.com</x:v>
      </x:c>
      <x:c r="E666" t="n">
        <x:f>IF($D666="",0,SUMIF('Attendance Report - Option 1'!$P$11:$P$315,$D666,'Attendance Report - Option 1'!$Q$11:$Q$315)/86400)</x:f>
        <x:v>0</x:v>
      </x:c>
      <x:c r="F666" t="str">
        <x:f>IF(E666=0,"Did not attend",IF(E666&gt;='Read Me'!$E$2/86400,"Fully attended","Partially attended"))</x:f>
        <x:v>Did not attend</x:v>
      </x:c>
      <x:c r="G666" t="n">
        <x:f>IF($D666="",0,SUMIF('Attendance Report - Option 2'!$P$11:$P$412,$D666,'Attendance Report - Option 2'!$Q$11:$Q$412)/86400)</x:f>
        <x:v>0.0895949074074074</x:v>
      </x:c>
      <x:c r="H666" t="str">
        <x:f>IF(G666=0,"Did not attend",IF(G666&gt;='Read Me'!$E$2/86400,"Fully attended","Partially attended"))</x:f>
        <x:v>Fully attended</x:v>
      </x:c>
      <x:c r="I666" t="n">
        <x:f>E666+G666</x:f>
        <x:v>0.0895949074074074</x:v>
      </x:c>
      <x:c r="J666" t="str">
        <x:f>IF(I666=0,"Did not attend",IF(I666&gt;='Read Me'!$E$2/86400,"Fully attended","Partially attended"))</x:f>
        <x:v>Fully attended</x:v>
      </x:c>
      <x:c r="K666" t="str">
        <x:f>IF($D666="","No",IF(COUNTIF('Attendance Report - Option 1'!$P$11:$P$315,$D666)&gt;0,"Yes","No"))</x:f>
        <x:v>No</x:v>
      </x:c>
      <x:c r="L666" t="str">
        <x:f>IF($D666="","No",IF(COUNTIF('Attendance Report - Option 2'!$P$11:$P$412,$D666)&gt;0,"Yes","No"))</x:f>
        <x:v>Yes</x:v>
      </x:c>
    </x:row>
    <x:row r="667">
      <x:c r="A667" t="str">
        <x:f>'EMA Assurance Employee List'!A668</x:f>
        <x:v>Yasiirah Peerbux</x:v>
      </x:c>
      <x:c r="B667" t="str">
        <x:f>IF(C667="KE","Kenya",IF(C667="UG","Uganda",IF(C667="MU","Mauritius",IF(C667="TZ","Tanzania",IF(C667="RW","Rwanda",IF(C667="ZA","South Africa",IF(C667="ZM","Zambia","")))))))</x:f>
        <x:v>Mauritius</x:v>
      </x:c>
      <x:c r="C667" t="str">
        <x:f>'EMA Assurance Employee List'!B668</x:f>
        <x:v>MU</x:v>
      </x:c>
      <x:c r="D667" t="str">
        <x:f>'EMA Assurance Employee List'!D668</x:f>
        <x:v>yasiirah.peerbux@pwc.com</x:v>
      </x:c>
      <x:c r="E667" t="n">
        <x:f>IF($D667="",0,SUMIF('Attendance Report - Option 1'!$P$11:$P$315,$D667,'Attendance Report - Option 1'!$Q$11:$Q$315)/86400)</x:f>
        <x:v>0.03840277777777778</x:v>
      </x:c>
      <x:c r="F667" t="str">
        <x:f>IF(E667=0,"Did not attend",IF(E667&gt;='Read Me'!$E$2/86400,"Fully attended","Partially attended"))</x:f>
        <x:v>Partially attended</x:v>
      </x:c>
      <x:c r="G667" t="n">
        <x:f>IF($D667="",0,SUMIF('Attendance Report - Option 2'!$P$11:$P$412,$D667,'Attendance Report - Option 2'!$Q$11:$Q$412)/86400)</x:f>
        <x:v>0.08011574074074074</x:v>
      </x:c>
      <x:c r="H667" t="str">
        <x:f>IF(G667=0,"Did not attend",IF(G667&gt;='Read Me'!$E$2/86400,"Fully attended","Partially attended"))</x:f>
        <x:v>Fully attended</x:v>
      </x:c>
      <x:c r="I667" t="n">
        <x:f>E667+G667</x:f>
        <x:v>0.11851851851851852</x:v>
      </x:c>
      <x:c r="J667" t="str">
        <x:f>IF(I667=0,"Did not attend",IF(I667&gt;='Read Me'!$E$2/86400,"Fully attended","Partially attended"))</x:f>
        <x:v>Fully attended</x:v>
      </x:c>
      <x:c r="K667" t="str">
        <x:f>IF($D667="","No",IF(COUNTIF('Attendance Report - Option 1'!$P$11:$P$315,$D667)&gt;0,"Yes","No"))</x:f>
        <x:v>Yes</x:v>
      </x:c>
      <x:c r="L667" t="str">
        <x:f>IF($D667="","No",IF(COUNTIF('Attendance Report - Option 2'!$P$11:$P$412,$D667)&gt;0,"Yes","No"))</x:f>
        <x:v>Yes</x:v>
      </x:c>
    </x:row>
    <x:row r="668">
      <x:c r="A668" t="str">
        <x:f>'EMA Assurance Employee List'!A669</x:f>
        <x:v>Yohane Mwanza</x:v>
      </x:c>
      <x:c r="B668" t="str">
        <x:f>IF(C668="KE","Kenya",IF(C668="UG","Uganda",IF(C668="MU","Mauritius",IF(C668="TZ","Tanzania",IF(C668="RW","Rwanda",IF(C668="ZA","South Africa",IF(C668="ZM","Zambia","")))))))</x:f>
        <x:v>Zambia</x:v>
      </x:c>
      <x:c r="C668" t="str">
        <x:f>'EMA Assurance Employee List'!B669</x:f>
        <x:v>ZM</x:v>
      </x:c>
      <x:c r="D668" t="str">
        <x:f>'EMA Assurance Employee List'!D669</x:f>
        <x:v>yohane.y.mwanza@pwc.com</x:v>
      </x:c>
      <x:c r="E668" t="n">
        <x:f>IF($D668="",0,SUMIF('Attendance Report - Option 1'!$P$11:$P$315,$D668,'Attendance Report - Option 1'!$Q$11:$Q$315)/86400)</x:f>
        <x:v>0</x:v>
      </x:c>
      <x:c r="F668" t="str">
        <x:f>IF(E668=0,"Did not attend",IF(E668&gt;='Read Me'!$E$2/86400,"Fully attended","Partially attended"))</x:f>
        <x:v>Did not attend</x:v>
      </x:c>
      <x:c r="G668" t="n">
        <x:f>IF($D668="",0,SUMIF('Attendance Report - Option 2'!$P$11:$P$412,$D668,'Attendance Report - Option 2'!$Q$11:$Q$412)/86400)</x:f>
        <x:v>0.07320601851851852</x:v>
      </x:c>
      <x:c r="H668" t="str">
        <x:f>IF(G668=0,"Did not attend",IF(G668&gt;='Read Me'!$E$2/86400,"Fully attended","Partially attended"))</x:f>
        <x:v>Fully attended</x:v>
      </x:c>
      <x:c r="I668" t="n">
        <x:f>E668+G668</x:f>
        <x:v>0.07320601851851852</x:v>
      </x:c>
      <x:c r="J668" t="str">
        <x:f>IF(I668=0,"Did not attend",IF(I668&gt;='Read Me'!$E$2/86400,"Fully attended","Partially attended"))</x:f>
        <x:v>Fully attended</x:v>
      </x:c>
      <x:c r="K668" t="str">
        <x:f>IF($D668="","No",IF(COUNTIF('Attendance Report - Option 1'!$P$11:$P$315,$D668)&gt;0,"Yes","No"))</x:f>
        <x:v>No</x:v>
      </x:c>
      <x:c r="L668" t="str">
        <x:f>IF($D668="","No",IF(COUNTIF('Attendance Report - Option 2'!$P$11:$P$412,$D668)&gt;0,"Yes","No"))</x:f>
        <x:v>Yes</x:v>
      </x:c>
    </x:row>
    <x:row r="669">
      <x:c r="A669" t="str">
        <x:f>'EMA Assurance Employee List'!A670</x:f>
        <x:v>Yusto Mwaigwisya</x:v>
      </x:c>
      <x:c r="B669" t="str">
        <x:f>IF(C669="KE","Kenya",IF(C669="UG","Uganda",IF(C669="MU","Mauritius",IF(C669="TZ","Tanzania",IF(C669="RW","Rwanda",IF(C669="ZA","South Africa",IF(C669="ZM","Zambia","")))))))</x:f>
        <x:v>Tanzania</x:v>
      </x:c>
      <x:c r="C669" t="str">
        <x:f>'EMA Assurance Employee List'!B670</x:f>
        <x:v>TZ</x:v>
      </x:c>
      <x:c r="D669" t="str">
        <x:f>'EMA Assurance Employee List'!D670</x:f>
        <x:v>yusto.mwaigwisya@pwc.com</x:v>
      </x:c>
      <x:c r="E669" t="n">
        <x:f>IF($D669="",0,SUMIF('Attendance Report - Option 1'!$P$11:$P$315,$D669,'Attendance Report - Option 1'!$Q$11:$Q$315)/86400)</x:f>
        <x:v>0.08689814814814815</x:v>
      </x:c>
      <x:c r="F669" t="str">
        <x:f>IF(E669=0,"Did not attend",IF(E669&gt;='Read Me'!$E$2/86400,"Fully attended","Partially attended"))</x:f>
        <x:v>Fully attended</x:v>
      </x:c>
      <x:c r="G669" t="n">
        <x:f>IF($D669="",0,SUMIF('Attendance Report - Option 2'!$P$11:$P$412,$D669,'Attendance Report - Option 2'!$Q$11:$Q$412)/86400)</x:f>
        <x:v>0</x:v>
      </x:c>
      <x:c r="H669" t="str">
        <x:f>IF(G669=0,"Did not attend",IF(G669&gt;='Read Me'!$E$2/86400,"Fully attended","Partially attended"))</x:f>
        <x:v>Did not attend</x:v>
      </x:c>
      <x:c r="I669" t="n">
        <x:f>E669+G669</x:f>
        <x:v>0.08689814814814815</x:v>
      </x:c>
      <x:c r="J669" t="str">
        <x:f>IF(I669=0,"Did not attend",IF(I669&gt;='Read Me'!$E$2/86400,"Fully attended","Partially attended"))</x:f>
        <x:v>Fully attended</x:v>
      </x:c>
      <x:c r="K669" t="str">
        <x:f>IF($D669="","No",IF(COUNTIF('Attendance Report - Option 1'!$P$11:$P$315,$D669)&gt;0,"Yes","No"))</x:f>
        <x:v>Yes</x:v>
      </x:c>
      <x:c r="L669" t="str">
        <x:f>IF($D669="","No",IF(COUNTIF('Attendance Report - Option 2'!$P$11:$P$412,$D669)&gt;0,"Yes","No"))</x:f>
        <x:v>No</x:v>
      </x:c>
    </x:row>
    <x:row r="670">
      <x:c r="A670" t="str">
        <x:f>'EMA Assurance Employee List'!A671</x:f>
        <x:v>Zaynah Burkuth</x:v>
      </x:c>
      <x:c r="B670" t="str">
        <x:f>IF(C670="KE","Kenya",IF(C670="UG","Uganda",IF(C670="MU","Mauritius",IF(C670="TZ","Tanzania",IF(C670="RW","Rwanda",IF(C670="ZA","South Africa",IF(C670="ZM","Zambia","")))))))</x:f>
        <x:v>Mauritius</x:v>
      </x:c>
      <x:c r="C670" t="str">
        <x:f>'EMA Assurance Employee List'!B671</x:f>
        <x:v>MU</x:v>
      </x:c>
      <x:c r="D670" t="str">
        <x:f>'EMA Assurance Employee List'!D671</x:f>
        <x:v>zaynah.z.burkuth@pwc.com</x:v>
      </x:c>
      <x:c r="E670" t="n">
        <x:f>IF($D670="",0,SUMIF('Attendance Report - Option 1'!$P$11:$P$315,$D670,'Attendance Report - Option 1'!$Q$11:$Q$315)/86400)</x:f>
        <x:v>0</x:v>
      </x:c>
      <x:c r="F670" t="str">
        <x:f>IF(E670=0,"Did not attend",IF(E670&gt;='Read Me'!$E$2/86400,"Fully attended","Partially attended"))</x:f>
        <x:v>Did not attend</x:v>
      </x:c>
      <x:c r="G670" t="n">
        <x:f>IF($D670="",0,SUMIF('Attendance Report - Option 2'!$P$11:$P$412,$D670,'Attendance Report - Option 2'!$Q$11:$Q$412)/86400)</x:f>
        <x:v>0.08673611111111111</x:v>
      </x:c>
      <x:c r="H670" t="str">
        <x:f>IF(G670=0,"Did not attend",IF(G670&gt;='Read Me'!$E$2/86400,"Fully attended","Partially attended"))</x:f>
        <x:v>Fully attended</x:v>
      </x:c>
      <x:c r="I670" t="n">
        <x:f>E670+G670</x:f>
        <x:v>0.08673611111111111</x:v>
      </x:c>
      <x:c r="J670" t="str">
        <x:f>IF(I670=0,"Did not attend",IF(I670&gt;='Read Me'!$E$2/86400,"Fully attended","Partially attended"))</x:f>
        <x:v>Fully attended</x:v>
      </x:c>
      <x:c r="K670" t="str">
        <x:f>IF($D670="","No",IF(COUNTIF('Attendance Report - Option 1'!$P$11:$P$315,$D670)&gt;0,"Yes","No"))</x:f>
        <x:v>No</x:v>
      </x:c>
      <x:c r="L670" t="str">
        <x:f>IF($D670="","No",IF(COUNTIF('Attendance Report - Option 2'!$P$11:$P$412,$D670)&gt;0,"Yes","No"))</x:f>
        <x:v>Yes</x:v>
      </x:c>
    </x:row>
  </x:sheetData>
  <x:conditionalFormatting sqref="F2:F446">
    <x:cfRule type="expression" dxfId="0" priority="1">
      <x:formula>F2="Fully attended"</x:formula>
    </x:cfRule>
    <x:cfRule type="expression" dxfId="1" priority="2">
      <x:formula>F2="Partially attended"</x:formula>
    </x:cfRule>
    <x:cfRule type="expression" dxfId="2" priority="3">
      <x:formula>F2="Did not attend"</x:formula>
    </x:cfRule>
  </x:conditionalFormatting>
  <x:conditionalFormatting sqref="H2:H446">
    <x:cfRule type="expression" dxfId="3" priority="4">
      <x:formula>H2="Fully attended"</x:formula>
    </x:cfRule>
    <x:cfRule type="expression" dxfId="4" priority="5">
      <x:formula>H2="Partially attended"</x:formula>
    </x:cfRule>
    <x:cfRule type="expression" dxfId="5" priority="6">
      <x:formula>H2="Did not attend"</x:formula>
    </x:cfRule>
  </x:conditionalFormatting>
  <x:conditionalFormatting sqref="J2:J446">
    <x:cfRule type="expression" dxfId="6" priority="7">
      <x:formula>J2="Fully attended"</x:formula>
    </x:cfRule>
    <x:cfRule type="expression" dxfId="7" priority="8">
      <x:formula>J2="Partially attended"</x:formula>
    </x:cfRule>
    <x:cfRule type="expression" dxfId="8" priority="9">
      <x:formula>J2="Did not attend"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59367e0c37462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18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6" customHeight="1">
      <x:c r="A1" s="8" t="str">
        <x:v>Country</x:v>
      </x:c>
      <x:c r="B1" s="8" t="str">
        <x:v>Country Code</x:v>
      </x:c>
      <x:c r="C1" s="8" t="str">
        <x:v>Eligible Employees</x:v>
      </x:c>
      <x:c r="D1" s="8" t="str">
        <x:v>Option 1 - Fully</x:v>
      </x:c>
      <x:c r="E1" s="8" t="str">
        <x:v>Option 1 - Partial</x:v>
      </x:c>
      <x:c r="F1" s="8" t="str">
        <x:v>Option 1 - Did Not Attend</x:v>
      </x:c>
      <x:c r="G1" s="8" t="str">
        <x:v>Option 2 - Fully</x:v>
      </x:c>
      <x:c r="H1" s="8" t="str">
        <x:v>Option 2 - Partial</x:v>
      </x:c>
      <x:c r="I1" s="8" t="str">
        <x:v>Option 2 - Did Not Attend</x:v>
      </x:c>
      <x:c r="J1" s="8" t="str">
        <x:v>Combined - Fully</x:v>
      </x:c>
      <x:c r="K1" s="8" t="str">
        <x:v>Combined - Partial</x:v>
      </x:c>
      <x:c r="L1" s="8" t="str">
        <x:v>Combined - Did Not Attend</x:v>
      </x:c>
      <x:c r="M1" s="28" t="str">
        <x:v>Meeting Type</x:v>
      </x:c>
      <x:c r="N1" s="28" t="str">
        <x:v>Fully Attended</x:v>
      </x:c>
      <x:c r="O1" s="28" t="str">
        <x:v>Partially Attended</x:v>
      </x:c>
      <x:c r="P1" s="28" t="str">
        <x:v>Did Not Attend</x:v>
      </x:c>
      <x:c r="Q1" s="28" t="str">
        <x:v>Eligible Employees</x:v>
      </x:c>
    </x:row>
    <x:row r="2">
      <x:c r="A2" t="str">
        <x:v>Kenya</x:v>
      </x:c>
      <x:c r="B2" t="str">
        <x:v>KE</x:v>
      </x:c>
      <x:c r="C2" t="n">
        <x:f>COUNTIF('Employee Attendance'!$B$2:$B$670,$A2)</x:f>
        <x:v>187</x:v>
      </x:c>
      <x:c r="D2" t="n">
        <x:f>COUNTIFS('Employee Attendance'!$B$2:$B$670,$A2,'Employee Attendance'!$F$2:$F$670,"Fully attended")</x:f>
        <x:v>66</x:v>
      </x:c>
      <x:c r="E2" t="n">
        <x:f>COUNTIFS('Employee Attendance'!$B$2:$B$670,$A2,'Employee Attendance'!$F$2:$F$670,"Partially attended")</x:f>
        <x:v>27</x:v>
      </x:c>
      <x:c r="F2" t="n">
        <x:f>COUNTIFS('Employee Attendance'!$B$2:$B$670,$A2,'Employee Attendance'!$F$2:$F$670,"Did not attend")</x:f>
        <x:v>94</x:v>
      </x:c>
      <x:c r="G2" t="n">
        <x:f>COUNTIFS('Employee Attendance'!$B$2:$B$670,$A2,'Employee Attendance'!$H$2:$H$670,"Fully attended")</x:f>
        <x:v>63</x:v>
      </x:c>
      <x:c r="H2" t="n">
        <x:f>COUNTIFS('Employee Attendance'!$B$2:$B$670,$A2,'Employee Attendance'!$H$2:$H$670,"Partially attended")</x:f>
        <x:v>39</x:v>
      </x:c>
      <x:c r="I2" t="n">
        <x:f>COUNTIFS('Employee Attendance'!$B$2:$B$670,$A2,'Employee Attendance'!$H$2:$H$670,"Did not attend")</x:f>
        <x:v>85</x:v>
      </x:c>
      <x:c r="J2" t="n">
        <x:f>COUNTIFS('Employee Attendance'!$B$2:$B$670,$A2,'Employee Attendance'!$J$2:$J$670,"Fully attended")</x:f>
        <x:v>127</x:v>
      </x:c>
      <x:c r="K2" t="n">
        <x:f>COUNTIFS('Employee Attendance'!$B$2:$B$670,$A2,'Employee Attendance'!$J$2:$J$670,"Partially attended")</x:f>
        <x:v>47</x:v>
      </x:c>
      <x:c r="L2" t="n">
        <x:f>COUNTIFS('Employee Attendance'!$B$2:$B$670,$A2,'Employee Attendance'!$J$2:$J$670,"Did not attend")</x:f>
        <x:v>13</x:v>
      </x:c>
      <x:c r="M2" s="34" t="str">
        <x:v>Option 1</x:v>
      </x:c>
      <x:c r="N2" s="34" t="n">
        <x:f>SUM(D2:D8)</x:f>
        <x:v>205</x:v>
      </x:c>
      <x:c r="O2" s="34" t="n">
        <x:f>SUM(E2:E8)</x:f>
        <x:v>99</x:v>
      </x:c>
      <x:c r="P2" s="34" t="n">
        <x:f>SUM(F2:F8)</x:f>
        <x:v>365</x:v>
      </x:c>
      <x:c r="Q2" s="34" t="n">
        <x:f>$C$9</x:f>
        <x:v>669</x:v>
      </x:c>
    </x:row>
    <x:row r="3">
      <x:c r="A3" t="str">
        <x:v>Uganda</x:v>
      </x:c>
      <x:c r="B3" t="str">
        <x:v>UG</x:v>
      </x:c>
      <x:c r="C3" t="n">
        <x:f>COUNTIF('Employee Attendance'!$B$2:$B$670,$A3)</x:f>
        <x:v>60</x:v>
      </x:c>
      <x:c r="D3" t="n">
        <x:f>COUNTIFS('Employee Attendance'!$B$2:$B$670,$A3,'Employee Attendance'!$F$2:$F$670,"Fully attended")</x:f>
        <x:v>16</x:v>
      </x:c>
      <x:c r="E3" t="n">
        <x:f>COUNTIFS('Employee Attendance'!$B$2:$B$670,$A3,'Employee Attendance'!$F$2:$F$670,"Partially attended")</x:f>
        <x:v>7</x:v>
      </x:c>
      <x:c r="F3" t="n">
        <x:f>COUNTIFS('Employee Attendance'!$B$2:$B$670,$A3,'Employee Attendance'!$F$2:$F$670,"Did not attend")</x:f>
        <x:v>37</x:v>
      </x:c>
      <x:c r="G3" t="n">
        <x:f>COUNTIFS('Employee Attendance'!$B$2:$B$670,$A3,'Employee Attendance'!$H$2:$H$670,"Fully attended")</x:f>
        <x:v>33</x:v>
      </x:c>
      <x:c r="H3" t="n">
        <x:f>COUNTIFS('Employee Attendance'!$B$2:$B$670,$A3,'Employee Attendance'!$H$2:$H$670,"Partially attended")</x:f>
        <x:v>6</x:v>
      </x:c>
      <x:c r="I3" t="n">
        <x:f>COUNTIFS('Employee Attendance'!$B$2:$B$670,$A3,'Employee Attendance'!$H$2:$H$670,"Did not attend")</x:f>
        <x:v>21</x:v>
      </x:c>
      <x:c r="J3" t="n">
        <x:f>COUNTIFS('Employee Attendance'!$B$2:$B$670,$A3,'Employee Attendance'!$J$2:$J$670,"Fully attended")</x:f>
        <x:v>49</x:v>
      </x:c>
      <x:c r="K3" t="n">
        <x:f>COUNTIFS('Employee Attendance'!$B$2:$B$670,$A3,'Employee Attendance'!$J$2:$J$670,"Partially attended")</x:f>
        <x:v>8</x:v>
      </x:c>
      <x:c r="L3" t="n">
        <x:f>COUNTIFS('Employee Attendance'!$B$2:$B$670,$A3,'Employee Attendance'!$J$2:$J$670,"Did not attend")</x:f>
        <x:v>3</x:v>
      </x:c>
      <x:c r="M3" s="34" t="str">
        <x:v>Option 2</x:v>
      </x:c>
      <x:c r="N3" s="34" t="n">
        <x:f>SUM(G2:G8)</x:f>
        <x:v>273</x:v>
      </x:c>
      <x:c r="O3" s="34" t="n">
        <x:f>SUM(H2:H8)</x:f>
        <x:v>129</x:v>
      </x:c>
      <x:c r="P3" s="34" t="n">
        <x:f>SUM(I2:I8)</x:f>
        <x:v>267</x:v>
      </x:c>
      <x:c r="Q3" s="34" t="n">
        <x:f>$C$9</x:f>
        <x:v>669</x:v>
      </x:c>
    </x:row>
    <x:row r="4">
      <x:c r="A4" t="str">
        <x:v>Mauritius</x:v>
      </x:c>
      <x:c r="B4" t="str">
        <x:v>MU</x:v>
      </x:c>
      <x:c r="C4" t="n">
        <x:f>COUNTIF('Employee Attendance'!$B$2:$B$670,$A4)</x:f>
        <x:v>180</x:v>
      </x:c>
      <x:c r="D4" t="n">
        <x:f>COUNTIFS('Employee Attendance'!$B$2:$B$670,$A4,'Employee Attendance'!$F$2:$F$670,"Fully attended")</x:f>
        <x:v>26</x:v>
      </x:c>
      <x:c r="E4" t="n">
        <x:f>COUNTIFS('Employee Attendance'!$B$2:$B$670,$A4,'Employee Attendance'!$F$2:$F$670,"Partially attended")</x:f>
        <x:v>27</x:v>
      </x:c>
      <x:c r="F4" t="n">
        <x:f>COUNTIFS('Employee Attendance'!$B$2:$B$670,$A4,'Employee Attendance'!$F$2:$F$670,"Did not attend")</x:f>
        <x:v>127</x:v>
      </x:c>
      <x:c r="G4" t="n">
        <x:f>COUNTIFS('Employee Attendance'!$B$2:$B$670,$A4,'Employee Attendance'!$H$2:$H$670,"Fully attended")</x:f>
        <x:v>106</x:v>
      </x:c>
      <x:c r="H4" t="n">
        <x:f>COUNTIFS('Employee Attendance'!$B$2:$B$670,$A4,'Employee Attendance'!$H$2:$H$670,"Partially attended")</x:f>
        <x:v>29</x:v>
      </x:c>
      <x:c r="I4" t="n">
        <x:f>COUNTIFS('Employee Attendance'!$B$2:$B$670,$A4,'Employee Attendance'!$H$2:$H$670,"Did not attend")</x:f>
        <x:v>45</x:v>
      </x:c>
      <x:c r="J4" t="n">
        <x:f>COUNTIFS('Employee Attendance'!$B$2:$B$670,$A4,'Employee Attendance'!$J$2:$J$670,"Fully attended")</x:f>
        <x:v>132</x:v>
      </x:c>
      <x:c r="K4" t="n">
        <x:f>COUNTIFS('Employee Attendance'!$B$2:$B$670,$A4,'Employee Attendance'!$J$2:$J$670,"Partially attended")</x:f>
        <x:v>35</x:v>
      </x:c>
      <x:c r="L4" t="n">
        <x:f>COUNTIFS('Employee Attendance'!$B$2:$B$670,$A4,'Employee Attendance'!$J$2:$J$670,"Did not attend")</x:f>
        <x:v>13</x:v>
      </x:c>
      <x:c r="M4" s="34" t="str">
        <x:v>Combined</x:v>
      </x:c>
      <x:c r="N4" s="34" t="n">
        <x:f>SUM(J2:J8)</x:f>
        <x:v>471</x:v>
      </x:c>
      <x:c r="O4" s="34" t="n">
        <x:f>SUM(K2:K8)</x:f>
        <x:v>157</x:v>
      </x:c>
      <x:c r="P4" s="34" t="n">
        <x:f>SUM(L2:L8)</x:f>
        <x:v>41</x:v>
      </x:c>
      <x:c r="Q4" s="34" t="n">
        <x:f>$C$9</x:f>
        <x:v>669</x:v>
      </x:c>
    </x:row>
    <x:row r="5">
      <x:c r="A5" t="str">
        <x:v>Tanzania</x:v>
      </x:c>
      <x:c r="B5" t="str">
        <x:v>TZ</x:v>
      </x:c>
      <x:c r="C5" t="n">
        <x:f>COUNTIF('Employee Attendance'!$B$2:$B$670,$A5)</x:f>
        <x:v>125</x:v>
      </x:c>
      <x:c r="D5" t="n">
        <x:f>COUNTIFS('Employee Attendance'!$B$2:$B$670,$A5,'Employee Attendance'!$F$2:$F$670,"Fully attended")</x:f>
        <x:v>55</x:v>
      </x:c>
      <x:c r="E5" t="n">
        <x:f>COUNTIFS('Employee Attendance'!$B$2:$B$670,$A5,'Employee Attendance'!$F$2:$F$670,"Partially attended")</x:f>
        <x:v>16</x:v>
      </x:c>
      <x:c r="F5" t="n">
        <x:f>COUNTIFS('Employee Attendance'!$B$2:$B$670,$A5,'Employee Attendance'!$F$2:$F$670,"Did not attend")</x:f>
        <x:v>54</x:v>
      </x:c>
      <x:c r="G5" t="n">
        <x:f>COUNTIFS('Employee Attendance'!$B$2:$B$670,$A5,'Employee Attendance'!$H$2:$H$670,"Fully attended")</x:f>
        <x:v>42</x:v>
      </x:c>
      <x:c r="H5" t="n">
        <x:f>COUNTIFS('Employee Attendance'!$B$2:$B$670,$A5,'Employee Attendance'!$H$2:$H$670,"Partially attended")</x:f>
        <x:v>26</x:v>
      </x:c>
      <x:c r="I5" t="n">
        <x:f>COUNTIFS('Employee Attendance'!$B$2:$B$670,$A5,'Employee Attendance'!$H$2:$H$670,"Did not attend")</x:f>
        <x:v>57</x:v>
      </x:c>
      <x:c r="J5" t="n">
        <x:f>COUNTIFS('Employee Attendance'!$B$2:$B$670,$A5,'Employee Attendance'!$J$2:$J$670,"Fully attended")</x:f>
        <x:v>96</x:v>
      </x:c>
      <x:c r="K5" t="n">
        <x:f>COUNTIFS('Employee Attendance'!$B$2:$B$670,$A5,'Employee Attendance'!$J$2:$J$670,"Partially attended")</x:f>
        <x:v>24</x:v>
      </x:c>
      <x:c r="L5" t="n">
        <x:f>COUNTIFS('Employee Attendance'!$B$2:$B$670,$A5,'Employee Attendance'!$J$2:$J$670,"Did not attend")</x:f>
        <x:v>5</x:v>
      </x:c>
      <x:c r="M5"/>
      <x:c r="N5"/>
      <x:c r="O5"/>
      <x:c r="P5"/>
      <x:c r="Q5"/>
    </x:row>
    <x:row r="6">
      <x:c r="A6" t="str">
        <x:v>Rwanda</x:v>
      </x:c>
      <x:c r="B6" t="str">
        <x:v>RW</x:v>
      </x:c>
      <x:c r="C6" t="n">
        <x:f>COUNTIF('Employee Attendance'!$B$2:$B$670,$A6)</x:f>
        <x:v>37</x:v>
      </x:c>
      <x:c r="D6" t="n">
        <x:f>COUNTIFS('Employee Attendance'!$B$2:$B$670,$A6,'Employee Attendance'!$F$2:$F$670,"Fully attended")</x:f>
        <x:v>14</x:v>
      </x:c>
      <x:c r="E6" t="n">
        <x:f>COUNTIFS('Employee Attendance'!$B$2:$B$670,$A6,'Employee Attendance'!$F$2:$F$670,"Partially attended")</x:f>
        <x:v>9</x:v>
      </x:c>
      <x:c r="F6" t="n">
        <x:f>COUNTIFS('Employee Attendance'!$B$2:$B$670,$A6,'Employee Attendance'!$F$2:$F$670,"Did not attend")</x:f>
        <x:v>14</x:v>
      </x:c>
      <x:c r="G6" t="n">
        <x:f>COUNTIFS('Employee Attendance'!$B$2:$B$670,$A6,'Employee Attendance'!$H$2:$H$670,"Fully attended")</x:f>
        <x:v>7</x:v>
      </x:c>
      <x:c r="H6" t="n">
        <x:f>COUNTIFS('Employee Attendance'!$B$2:$B$670,$A6,'Employee Attendance'!$H$2:$H$670,"Partially attended")</x:f>
        <x:v>6</x:v>
      </x:c>
      <x:c r="I6" t="n">
        <x:f>COUNTIFS('Employee Attendance'!$B$2:$B$670,$A6,'Employee Attendance'!$H$2:$H$670,"Did not attend")</x:f>
        <x:v>24</x:v>
      </x:c>
      <x:c r="J6" t="n">
        <x:f>COUNTIFS('Employee Attendance'!$B$2:$B$670,$A6,'Employee Attendance'!$J$2:$J$670,"Fully attended")</x:f>
        <x:v>21</x:v>
      </x:c>
      <x:c r="K6" t="n">
        <x:f>COUNTIFS('Employee Attendance'!$B$2:$B$670,$A6,'Employee Attendance'!$J$2:$J$670,"Partially attended")</x:f>
        <x:v>13</x:v>
      </x:c>
      <x:c r="L6" t="n">
        <x:f>COUNTIFS('Employee Attendance'!$B$2:$B$670,$A6,'Employee Attendance'!$J$2:$J$670,"Did not attend")</x:f>
        <x:v>3</x:v>
      </x:c>
      <x:c r="M6"/>
      <x:c r="N6"/>
      <x:c r="O6"/>
      <x:c r="P6"/>
      <x:c r="Q6"/>
    </x:row>
    <x:row r="7">
      <x:c r="A7" t="str">
        <x:v>South Africa</x:v>
      </x:c>
      <x:c r="B7" t="str">
        <x:v>ZA</x:v>
      </x:c>
      <x:c r="C7" t="n">
        <x:f>COUNTIF('Employee Attendance'!$B$2:$B$670,$A7)</x:f>
        <x:v>4</x:v>
      </x:c>
      <x:c r="D7" t="n">
        <x:f>COUNTIFS('Employee Attendance'!$B$2:$B$670,$A7,'Employee Attendance'!$F$2:$F$670,"Fully attended")</x:f>
        <x:v>3</x:v>
      </x:c>
      <x:c r="E7" t="n">
        <x:f>COUNTIFS('Employee Attendance'!$B$2:$B$670,$A7,'Employee Attendance'!$F$2:$F$670,"Partially attended")</x:f>
        <x:v>0</x:v>
      </x:c>
      <x:c r="F7" t="n">
        <x:f>COUNTIFS('Employee Attendance'!$B$2:$B$670,$A7,'Employee Attendance'!$F$2:$F$670,"Did not attend")</x:f>
        <x:v>1</x:v>
      </x:c>
      <x:c r="G7" t="n">
        <x:f>COUNTIFS('Employee Attendance'!$B$2:$B$670,$A7,'Employee Attendance'!$H$2:$H$670,"Fully attended")</x:f>
        <x:v>1</x:v>
      </x:c>
      <x:c r="H7" t="n">
        <x:f>COUNTIFS('Employee Attendance'!$B$2:$B$670,$A7,'Employee Attendance'!$H$2:$H$670,"Partially attended")</x:f>
        <x:v>1</x:v>
      </x:c>
      <x:c r="I7" t="n">
        <x:f>COUNTIFS('Employee Attendance'!$B$2:$B$670,$A7,'Employee Attendance'!$H$2:$H$670,"Did not attend")</x:f>
        <x:v>2</x:v>
      </x:c>
      <x:c r="J7" t="n">
        <x:f>COUNTIFS('Employee Attendance'!$B$2:$B$670,$A7,'Employee Attendance'!$J$2:$J$670,"Fully attended")</x:f>
        <x:v>3</x:v>
      </x:c>
      <x:c r="K7" t="n">
        <x:f>COUNTIFS('Employee Attendance'!$B$2:$B$670,$A7,'Employee Attendance'!$J$2:$J$670,"Partially attended")</x:f>
        <x:v>1</x:v>
      </x:c>
      <x:c r="L7" t="n">
        <x:f>COUNTIFS('Employee Attendance'!$B$2:$B$670,$A7,'Employee Attendance'!$J$2:$J$670,"Did not attend")</x:f>
        <x:v>0</x:v>
      </x:c>
      <x:c r="M7"/>
      <x:c r="N7"/>
      <x:c r="O7"/>
      <x:c r="P7"/>
      <x:c r="Q7"/>
    </x:row>
    <x:row r="8">
      <x:c r="A8" t="str">
        <x:v>Zambia</x:v>
      </x:c>
      <x:c r="B8" t="str">
        <x:v>ZM</x:v>
      </x:c>
      <x:c r="C8" t="n">
        <x:f>COUNTIF('Employee Attendance'!$B$2:$B$670,$A8)</x:f>
        <x:v>76</x:v>
      </x:c>
      <x:c r="D8" t="n">
        <x:f>COUNTIFS('Employee Attendance'!$B$2:$B$670,$A8,'Employee Attendance'!$F$2:$F$670,"Fully attended")</x:f>
        <x:v>25</x:v>
      </x:c>
      <x:c r="E8" t="n">
        <x:f>COUNTIFS('Employee Attendance'!$B$2:$B$670,$A8,'Employee Attendance'!$F$2:$F$670,"Partially attended")</x:f>
        <x:v>13</x:v>
      </x:c>
      <x:c r="F8" t="n">
        <x:f>COUNTIFS('Employee Attendance'!$B$2:$B$670,$A8,'Employee Attendance'!$F$2:$F$670,"Did not attend")</x:f>
        <x:v>38</x:v>
      </x:c>
      <x:c r="G8" t="n">
        <x:f>COUNTIFS('Employee Attendance'!$B$2:$B$670,$A8,'Employee Attendance'!$H$2:$H$670,"Fully attended")</x:f>
        <x:v>21</x:v>
      </x:c>
      <x:c r="H8" t="n">
        <x:f>COUNTIFS('Employee Attendance'!$B$2:$B$670,$A8,'Employee Attendance'!$H$2:$H$670,"Partially attended")</x:f>
        <x:v>22</x:v>
      </x:c>
      <x:c r="I8" t="n">
        <x:f>COUNTIFS('Employee Attendance'!$B$2:$B$670,$A8,'Employee Attendance'!$H$2:$H$670,"Did not attend")</x:f>
        <x:v>33</x:v>
      </x:c>
      <x:c r="J8" t="n">
        <x:f>COUNTIFS('Employee Attendance'!$B$2:$B$670,$A8,'Employee Attendance'!$J$2:$J$670,"Fully attended")</x:f>
        <x:v>43</x:v>
      </x:c>
      <x:c r="K8" t="n">
        <x:f>COUNTIFS('Employee Attendance'!$B$2:$B$670,$A8,'Employee Attendance'!$J$2:$J$670,"Partially attended")</x:f>
        <x:v>29</x:v>
      </x:c>
      <x:c r="L8" t="n">
        <x:f>COUNTIFS('Employee Attendance'!$B$2:$B$670,$A8,'Employee Attendance'!$J$2:$J$670,"Did not attend")</x:f>
        <x:v>4</x:v>
      </x:c>
      <x:c r="M8"/>
      <x:c r="N8"/>
      <x:c r="O8"/>
      <x:c r="P8"/>
      <x:c r="Q8"/>
    </x:row>
    <x:row r="9">
      <x:c r="A9" s="21" t="str">
        <x:v>TOTAL</x:v>
      </x:c>
      <x:c r="B9" s="21" t="str"/>
      <x:c r="C9" s="21" t="n">
        <x:f>SUM(C2:C8)</x:f>
        <x:v>669</x:v>
      </x:c>
      <x:c r="D9" s="21" t="n">
        <x:f>SUM(D2:D8)</x:f>
        <x:v>205</x:v>
      </x:c>
      <x:c r="E9" s="21" t="n">
        <x:f>SUM(E2:E8)</x:f>
        <x:v>99</x:v>
      </x:c>
      <x:c r="F9" s="21" t="n">
        <x:f>SUM(F2:F8)</x:f>
        <x:v>365</x:v>
      </x:c>
      <x:c r="G9" s="21" t="n">
        <x:f>SUM(G2:G8)</x:f>
        <x:v>273</x:v>
      </x:c>
      <x:c r="H9" s="21" t="n">
        <x:f>SUM(H2:H8)</x:f>
        <x:v>129</x:v>
      </x:c>
      <x:c r="I9" s="21" t="n">
        <x:f>SUM(I2:I8)</x:f>
        <x:v>267</x:v>
      </x:c>
      <x:c r="J9" s="21" t="n">
        <x:f>SUM(J2:J8)</x:f>
        <x:v>471</x:v>
      </x:c>
      <x:c r="K9" s="21" t="n">
        <x:f>SUM(K2:K8)</x:f>
        <x:v>157</x:v>
      </x:c>
      <x:c r="L9" s="21" t="n">
        <x:f>SUM(L2:L8)</x:f>
        <x:v>41</x:v>
      </x:c>
      <x:c r="M9"/>
      <x:c r="N9"/>
      <x:c r="O9"/>
      <x:c r="P9"/>
      <x:c r="Q9"/>
    </x:row>
  </x:sheetData>
  <x:pageMargins left="0.7" right="0.7" top="0.75" bottom="0.75" header="0.3" footer="0.3"/>
  <x:tableParts count="2">
    <x:tablePart xmlns:r="http://schemas.openxmlformats.org/officeDocument/2006/relationships" r:id="Reeecb021d1754e80"/>
    <x:tablePart xmlns:r="http://schemas.openxmlformats.org/officeDocument/2006/relationships" r:id="R6038bd5e2f004b9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3" hidden="0" customWidth="1"/>
    <x:col min="4" max="4" width="34" hidden="0" customWidth="1"/>
    <x:col min="5" max="5" width="18" hidden="0" customWidth="1"/>
    <x:col min="6" max="6" width="18" hidden="0" customWidth="1"/>
    <x:col min="7" max="7" width="17" hidden="0" customWidth="1"/>
    <x:col min="8" max="8" width="22" hidden="0" customWidth="1"/>
    <x:col min="9" max="9" width="13" hidden="0" customWidth="1"/>
  </x:cols>
  <x:sheetData>
    <x:row r="1" ht="32" customHeight="1">
      <x:c r="A1" s="8" t="str">
        <x:v>Employee Name</x:v>
      </x:c>
      <x:c r="B1" s="8" t="str">
        <x:v>Country</x:v>
      </x:c>
      <x:c r="C1" s="8" t="str">
        <x:v>Country Code</x:v>
      </x:c>
      <x:c r="D1" s="8" t="str">
        <x:v>Normalized Email</x:v>
      </x:c>
      <x:c r="E1" s="8" t="str">
        <x:v>Meeting Type</x:v>
      </x:c>
      <x:c r="F1" s="8" t="str">
        <x:v>Duration</x:v>
      </x:c>
      <x:c r="G1" s="8" t="str">
        <x:v>Duration Seconds</x:v>
      </x:c>
      <x:c r="H1" s="8" t="str">
        <x:v>Attendance Status</x:v>
      </x:c>
      <x:c r="I1" s="8" t="str">
        <x:v>Present?</x:v>
      </x:c>
    </x:row>
    <x:row r="2">
      <x:c r="A2" t="str">
        <x:f>'Employee Attendance'!A2</x:f>
        <x:v>Aaliya Nubheebucus</x:v>
      </x:c>
      <x:c r="B2" t="str">
        <x:f>'Employee Attendance'!B2</x:f>
        <x:v>Mauritius</x:v>
      </x:c>
      <x:c r="C2" t="str">
        <x:f>'Employee Attendance'!C2</x:f>
        <x:v>MU</x:v>
      </x:c>
      <x:c r="D2" t="str">
        <x:f>'Employee Attendance'!D2</x:f>
        <x:v>aaliya.nubheebucus@pwc.com</x:v>
      </x:c>
      <x:c r="E2" t="str">
        <x:f>"Option 1"</x:f>
        <x:v>Option 1</x:v>
      </x:c>
      <x:c r="F2" s="14" t="n">
        <x:f>'Employee Attendance'!E2</x:f>
        <x:v>0</x:v>
      </x:c>
      <x:c r="G2" t="n">
        <x:f>F2*86400</x:f>
        <x:v>0</x:v>
      </x:c>
      <x:c r="H2" t="str">
        <x:f>'Employee Attendance'!F2</x:f>
        <x:v>Did not attend</x:v>
      </x:c>
      <x:c r="I2" t="str">
        <x:f>'Employee Attendance'!K2</x:f>
        <x:v>No</x:v>
      </x:c>
    </x:row>
    <x:row r="3">
      <x:c r="A3" t="str">
        <x:f>'Employee Attendance'!A2</x:f>
        <x:v>Aaliya Nubheebucus</x:v>
      </x:c>
      <x:c r="B3" t="str">
        <x:f>'Employee Attendance'!B2</x:f>
        <x:v>Mauritius</x:v>
      </x:c>
      <x:c r="C3" t="str">
        <x:f>'Employee Attendance'!C2</x:f>
        <x:v>MU</x:v>
      </x:c>
      <x:c r="D3" t="str">
        <x:f>'Employee Attendance'!D2</x:f>
        <x:v>aaliya.nubheebucus@pwc.com</x:v>
      </x:c>
      <x:c r="E3" t="str">
        <x:f>"Option 2"</x:f>
        <x:v>Option 2</x:v>
      </x:c>
      <x:c r="F3" s="14" t="n">
        <x:f>'Employee Attendance'!G2</x:f>
        <x:v>0.06241898148148148</x:v>
      </x:c>
      <x:c r="G3" t="n">
        <x:f>F3*86400</x:f>
        <x:v>5393</x:v>
      </x:c>
      <x:c r="H3" t="str">
        <x:f>'Employee Attendance'!H2</x:f>
        <x:v>Partially attended</x:v>
      </x:c>
      <x:c r="I3" t="str">
        <x:f>'Employee Attendance'!L2</x:f>
        <x:v>Yes</x:v>
      </x:c>
    </x:row>
    <x:row r="4">
      <x:c r="A4" t="str">
        <x:f>'Employee Attendance'!A2</x:f>
        <x:v>Aaliya Nubheebucus</x:v>
      </x:c>
      <x:c r="B4" t="str">
        <x:f>'Employee Attendance'!B2</x:f>
        <x:v>Mauritius</x:v>
      </x:c>
      <x:c r="C4" t="str">
        <x:f>'Employee Attendance'!C2</x:f>
        <x:v>MU</x:v>
      </x:c>
      <x:c r="D4" t="str">
        <x:f>'Employee Attendance'!D2</x:f>
        <x:v>aaliya.nubheebucus@pwc.com</x:v>
      </x:c>
      <x:c r="E4" t="str">
        <x:f>"Combined"</x:f>
        <x:v>Combined</x:v>
      </x:c>
      <x:c r="F4" s="14" t="n">
        <x:f>'Employee Attendance'!I2</x:f>
        <x:v>0.06241898148148148</x:v>
      </x:c>
      <x:c r="G4" t="n">
        <x:f>F4*86400</x:f>
        <x:v>5393</x:v>
      </x:c>
      <x:c r="H4" t="str">
        <x:f>'Employee Attendance'!J2</x:f>
        <x:v>Partially attended</x:v>
      </x:c>
      <x:c r="I4" t="str">
        <x:f>IF(OR('Employee Attendance'!K2="Yes",'Employee Attendance'!L2="Yes"),"Yes","No")</x:f>
        <x:v>Yes</x:v>
      </x:c>
    </x:row>
    <x:row r="5">
      <x:c r="A5" t="str">
        <x:f>'Employee Attendance'!A3</x:f>
        <x:v>Abdulswamadu Ssekajja</x:v>
      </x:c>
      <x:c r="B5" t="str">
        <x:f>'Employee Attendance'!B3</x:f>
        <x:v>Uganda</x:v>
      </x:c>
      <x:c r="C5" t="str">
        <x:f>'Employee Attendance'!C3</x:f>
        <x:v>UG</x:v>
      </x:c>
      <x:c r="D5" t="str">
        <x:f>'Employee Attendance'!D3</x:f>
        <x:v>abdulswamadu.ssekajja@pwc.com</x:v>
      </x:c>
      <x:c r="E5" t="str">
        <x:f>"Option 1"</x:f>
        <x:v>Option 1</x:v>
      </x:c>
      <x:c r="F5" s="14" t="n">
        <x:f>'Employee Attendance'!E3</x:f>
        <x:v>0</x:v>
      </x:c>
      <x:c r="G5" t="n">
        <x:f>F5*86400</x:f>
        <x:v>0</x:v>
      </x:c>
      <x:c r="H5" t="str">
        <x:f>'Employee Attendance'!F3</x:f>
        <x:v>Did not attend</x:v>
      </x:c>
      <x:c r="I5" t="str">
        <x:f>'Employee Attendance'!K3</x:f>
        <x:v>No</x:v>
      </x:c>
    </x:row>
    <x:row r="6">
      <x:c r="A6" t="str">
        <x:f>'Employee Attendance'!A3</x:f>
        <x:v>Abdulswamadu Ssekajja</x:v>
      </x:c>
      <x:c r="B6" t="str">
        <x:f>'Employee Attendance'!B3</x:f>
        <x:v>Uganda</x:v>
      </x:c>
      <x:c r="C6" t="str">
        <x:f>'Employee Attendance'!C3</x:f>
        <x:v>UG</x:v>
      </x:c>
      <x:c r="D6" t="str">
        <x:f>'Employee Attendance'!D3</x:f>
        <x:v>abdulswamadu.ssekajja@pwc.com</x:v>
      </x:c>
      <x:c r="E6" t="str">
        <x:f>"Option 2"</x:f>
        <x:v>Option 2</x:v>
      </x:c>
      <x:c r="F6" s="14" t="n">
        <x:f>'Employee Attendance'!G3</x:f>
        <x:v>0.06775462962962962</x:v>
      </x:c>
      <x:c r="G6" t="n">
        <x:f>F6*86400</x:f>
        <x:v>5853.999999999999</x:v>
      </x:c>
      <x:c r="H6" t="str">
        <x:f>'Employee Attendance'!H3</x:f>
        <x:v>Fully attended</x:v>
      </x:c>
      <x:c r="I6" t="str">
        <x:f>'Employee Attendance'!L3</x:f>
        <x:v>Yes</x:v>
      </x:c>
    </x:row>
    <x:row r="7">
      <x:c r="A7" t="str">
        <x:f>'Employee Attendance'!A3</x:f>
        <x:v>Abdulswamadu Ssekajja</x:v>
      </x:c>
      <x:c r="B7" t="str">
        <x:f>'Employee Attendance'!B3</x:f>
        <x:v>Uganda</x:v>
      </x:c>
      <x:c r="C7" t="str">
        <x:f>'Employee Attendance'!C3</x:f>
        <x:v>UG</x:v>
      </x:c>
      <x:c r="D7" t="str">
        <x:f>'Employee Attendance'!D3</x:f>
        <x:v>abdulswamadu.ssekajja@pwc.com</x:v>
      </x:c>
      <x:c r="E7" t="str">
        <x:f>"Combined"</x:f>
        <x:v>Combined</x:v>
      </x:c>
      <x:c r="F7" s="14" t="n">
        <x:f>'Employee Attendance'!I3</x:f>
        <x:v>0.06775462962962962</x:v>
      </x:c>
      <x:c r="G7" t="n">
        <x:f>F7*86400</x:f>
        <x:v>5853.999999999999</x:v>
      </x:c>
      <x:c r="H7" t="str">
        <x:f>'Employee Attendance'!J3</x:f>
        <x:v>Fully attended</x:v>
      </x:c>
      <x:c r="I7" t="str">
        <x:f>IF(OR('Employee Attendance'!K3="Yes",'Employee Attendance'!L3="Yes"),"Yes","No")</x:f>
        <x:v>Yes</x:v>
      </x:c>
    </x:row>
    <x:row r="8">
      <x:c r="A8" t="str">
        <x:f>'Employee Attendance'!A4</x:f>
        <x:v>Abel Legesse</x:v>
      </x:c>
      <x:c r="B8" t="str">
        <x:f>'Employee Attendance'!B4</x:f>
        <x:v>Kenya</x:v>
      </x:c>
      <x:c r="C8" t="str">
        <x:f>'Employee Attendance'!C4</x:f>
        <x:v>KE</x:v>
      </x:c>
      <x:c r="D8" t="str">
        <x:f>'Employee Attendance'!D4</x:f>
        <x:v>abel.legesse@pwc.com</x:v>
      </x:c>
      <x:c r="E8" t="str">
        <x:f>"Option 1"</x:f>
        <x:v>Option 1</x:v>
      </x:c>
      <x:c r="F8" s="14" t="n">
        <x:f>'Employee Attendance'!E4</x:f>
        <x:v>0</x:v>
      </x:c>
      <x:c r="G8" t="n">
        <x:f>F8*86400</x:f>
        <x:v>0</x:v>
      </x:c>
      <x:c r="H8" t="str">
        <x:f>'Employee Attendance'!F4</x:f>
        <x:v>Did not attend</x:v>
      </x:c>
      <x:c r="I8" t="str">
        <x:f>'Employee Attendance'!K4</x:f>
        <x:v>No</x:v>
      </x:c>
    </x:row>
    <x:row r="9">
      <x:c r="A9" t="str">
        <x:f>'Employee Attendance'!A4</x:f>
        <x:v>Abel Legesse</x:v>
      </x:c>
      <x:c r="B9" t="str">
        <x:f>'Employee Attendance'!B4</x:f>
        <x:v>Kenya</x:v>
      </x:c>
      <x:c r="C9" t="str">
        <x:f>'Employee Attendance'!C4</x:f>
        <x:v>KE</x:v>
      </x:c>
      <x:c r="D9" t="str">
        <x:f>'Employee Attendance'!D4</x:f>
        <x:v>abel.legesse@pwc.com</x:v>
      </x:c>
      <x:c r="E9" t="str">
        <x:f>"Option 2"</x:f>
        <x:v>Option 2</x:v>
      </x:c>
      <x:c r="F9" s="14" t="n">
        <x:f>'Employee Attendance'!G4</x:f>
        <x:v>0.07605324074074074</x:v>
      </x:c>
      <x:c r="G9" t="n">
        <x:f>F9*86400</x:f>
        <x:v>6571</x:v>
      </x:c>
      <x:c r="H9" t="str">
        <x:f>'Employee Attendance'!H4</x:f>
        <x:v>Fully attended</x:v>
      </x:c>
      <x:c r="I9" t="str">
        <x:f>'Employee Attendance'!L4</x:f>
        <x:v>Yes</x:v>
      </x:c>
    </x:row>
    <x:row r="10">
      <x:c r="A10" t="str">
        <x:f>'Employee Attendance'!A4</x:f>
        <x:v>Abel Legesse</x:v>
      </x:c>
      <x:c r="B10" t="str">
        <x:f>'Employee Attendance'!B4</x:f>
        <x:v>Kenya</x:v>
      </x:c>
      <x:c r="C10" t="str">
        <x:f>'Employee Attendance'!C4</x:f>
        <x:v>KE</x:v>
      </x:c>
      <x:c r="D10" t="str">
        <x:f>'Employee Attendance'!D4</x:f>
        <x:v>abel.legesse@pwc.com</x:v>
      </x:c>
      <x:c r="E10" t="str">
        <x:f>"Combined"</x:f>
        <x:v>Combined</x:v>
      </x:c>
      <x:c r="F10" s="14" t="n">
        <x:f>'Employee Attendance'!I4</x:f>
        <x:v>0.07605324074074074</x:v>
      </x:c>
      <x:c r="G10" t="n">
        <x:f>F10*86400</x:f>
        <x:v>6571</x:v>
      </x:c>
      <x:c r="H10" t="str">
        <x:f>'Employee Attendance'!J4</x:f>
        <x:v>Fully attended</x:v>
      </x:c>
      <x:c r="I10" t="str">
        <x:f>IF(OR('Employee Attendance'!K4="Yes",'Employee Attendance'!L4="Yes"),"Yes","No")</x:f>
        <x:v>Yes</x:v>
      </x:c>
    </x:row>
    <x:row r="11">
      <x:c r="A11" t="str">
        <x:f>'Employee Attendance'!A5</x:f>
        <x:v>Abigael Kimani</x:v>
      </x:c>
      <x:c r="B11" t="str">
        <x:f>'Employee Attendance'!B5</x:f>
        <x:v>Kenya</x:v>
      </x:c>
      <x:c r="C11" t="str">
        <x:f>'Employee Attendance'!C5</x:f>
        <x:v>KE</x:v>
      </x:c>
      <x:c r="D11" t="str">
        <x:f>'Employee Attendance'!D5</x:f>
        <x:v>abigael.kimani@pwc.com</x:v>
      </x:c>
      <x:c r="E11" t="str">
        <x:f>"Option 1"</x:f>
        <x:v>Option 1</x:v>
      </x:c>
      <x:c r="F11" s="14" t="n">
        <x:f>'Employee Attendance'!E5</x:f>
        <x:v>0.0627662037037037</x:v>
      </x:c>
      <x:c r="G11" t="n">
        <x:f>F11*86400</x:f>
        <x:v>5423</x:v>
      </x:c>
      <x:c r="H11" t="str">
        <x:f>'Employee Attendance'!F5</x:f>
        <x:v>Fully attended</x:v>
      </x:c>
      <x:c r="I11" t="str">
        <x:f>'Employee Attendance'!K5</x:f>
        <x:v>Yes</x:v>
      </x:c>
    </x:row>
    <x:row r="12">
      <x:c r="A12" t="str">
        <x:f>'Employee Attendance'!A5</x:f>
        <x:v>Abigael Kimani</x:v>
      </x:c>
      <x:c r="B12" t="str">
        <x:f>'Employee Attendance'!B5</x:f>
        <x:v>Kenya</x:v>
      </x:c>
      <x:c r="C12" t="str">
        <x:f>'Employee Attendance'!C5</x:f>
        <x:v>KE</x:v>
      </x:c>
      <x:c r="D12" t="str">
        <x:f>'Employee Attendance'!D5</x:f>
        <x:v>abigael.kimani@pwc.com</x:v>
      </x:c>
      <x:c r="E12" t="str">
        <x:f>"Option 2"</x:f>
        <x:v>Option 2</x:v>
      </x:c>
      <x:c r="F12" s="14" t="n">
        <x:f>'Employee Attendance'!G5</x:f>
        <x:v>0</x:v>
      </x:c>
      <x:c r="G12" t="n">
        <x:f>F12*86400</x:f>
        <x:v>0</x:v>
      </x:c>
      <x:c r="H12" t="str">
        <x:f>'Employee Attendance'!H5</x:f>
        <x:v>Did not attend</x:v>
      </x:c>
      <x:c r="I12" t="str">
        <x:f>'Employee Attendance'!L5</x:f>
        <x:v>No</x:v>
      </x:c>
    </x:row>
    <x:row r="13">
      <x:c r="A13" t="str">
        <x:f>'Employee Attendance'!A5</x:f>
        <x:v>Abigael Kimani</x:v>
      </x:c>
      <x:c r="B13" t="str">
        <x:f>'Employee Attendance'!B5</x:f>
        <x:v>Kenya</x:v>
      </x:c>
      <x:c r="C13" t="str">
        <x:f>'Employee Attendance'!C5</x:f>
        <x:v>KE</x:v>
      </x:c>
      <x:c r="D13" t="str">
        <x:f>'Employee Attendance'!D5</x:f>
        <x:v>abigael.kimani@pwc.com</x:v>
      </x:c>
      <x:c r="E13" t="str">
        <x:f>"Combined"</x:f>
        <x:v>Combined</x:v>
      </x:c>
      <x:c r="F13" s="14" t="n">
        <x:f>'Employee Attendance'!I5</x:f>
        <x:v>0.0627662037037037</x:v>
      </x:c>
      <x:c r="G13" t="n">
        <x:f>F13*86400</x:f>
        <x:v>5423</x:v>
      </x:c>
      <x:c r="H13" t="str">
        <x:f>'Employee Attendance'!J5</x:f>
        <x:v>Fully attended</x:v>
      </x:c>
      <x:c r="I13" t="str">
        <x:f>IF(OR('Employee Attendance'!K5="Yes",'Employee Attendance'!L5="Yes"),"Yes","No")</x:f>
        <x:v>Yes</x:v>
      </x:c>
    </x:row>
    <x:row r="14">
      <x:c r="A14" t="str">
        <x:f>'Employee Attendance'!A6</x:f>
        <x:v>Adrian Oile</x:v>
      </x:c>
      <x:c r="B14" t="str">
        <x:f>'Employee Attendance'!B6</x:f>
        <x:v>Kenya</x:v>
      </x:c>
      <x:c r="C14" t="str">
        <x:f>'Employee Attendance'!C6</x:f>
        <x:v>KE</x:v>
      </x:c>
      <x:c r="D14" t="str">
        <x:f>'Employee Attendance'!D6</x:f>
        <x:v>adrian.oile@pwc.com</x:v>
      </x:c>
      <x:c r="E14" t="str">
        <x:f>"Option 1"</x:f>
        <x:v>Option 1</x:v>
      </x:c>
      <x:c r="F14" s="14" t="n">
        <x:f>'Employee Attendance'!E6</x:f>
        <x:v>0</x:v>
      </x:c>
      <x:c r="G14" t="n">
        <x:f>F14*86400</x:f>
        <x:v>0</x:v>
      </x:c>
      <x:c r="H14" t="str">
        <x:f>'Employee Attendance'!F6</x:f>
        <x:v>Did not attend</x:v>
      </x:c>
      <x:c r="I14" t="str">
        <x:f>'Employee Attendance'!K6</x:f>
        <x:v>No</x:v>
      </x:c>
    </x:row>
    <x:row r="15">
      <x:c r="A15" t="str">
        <x:f>'Employee Attendance'!A6</x:f>
        <x:v>Adrian Oile</x:v>
      </x:c>
      <x:c r="B15" t="str">
        <x:f>'Employee Attendance'!B6</x:f>
        <x:v>Kenya</x:v>
      </x:c>
      <x:c r="C15" t="str">
        <x:f>'Employee Attendance'!C6</x:f>
        <x:v>KE</x:v>
      </x:c>
      <x:c r="D15" t="str">
        <x:f>'Employee Attendance'!D6</x:f>
        <x:v>adrian.oile@pwc.com</x:v>
      </x:c>
      <x:c r="E15" t="str">
        <x:f>"Option 2"</x:f>
        <x:v>Option 2</x:v>
      </x:c>
      <x:c r="F15" s="14" t="n">
        <x:f>'Employee Attendance'!G6</x:f>
        <x:v>0.05303240740740741</x:v>
      </x:c>
      <x:c r="G15" t="n">
        <x:f>F15*86400</x:f>
        <x:v>4582</x:v>
      </x:c>
      <x:c r="H15" t="str">
        <x:f>'Employee Attendance'!H6</x:f>
        <x:v>Partially attended</x:v>
      </x:c>
      <x:c r="I15" t="str">
        <x:f>'Employee Attendance'!L6</x:f>
        <x:v>Yes</x:v>
      </x:c>
    </x:row>
    <x:row r="16">
      <x:c r="A16" t="str">
        <x:f>'Employee Attendance'!A6</x:f>
        <x:v>Adrian Oile</x:v>
      </x:c>
      <x:c r="B16" t="str">
        <x:f>'Employee Attendance'!B6</x:f>
        <x:v>Kenya</x:v>
      </x:c>
      <x:c r="C16" t="str">
        <x:f>'Employee Attendance'!C6</x:f>
        <x:v>KE</x:v>
      </x:c>
      <x:c r="D16" t="str">
        <x:f>'Employee Attendance'!D6</x:f>
        <x:v>adrian.oile@pwc.com</x:v>
      </x:c>
      <x:c r="E16" t="str">
        <x:f>"Combined"</x:f>
        <x:v>Combined</x:v>
      </x:c>
      <x:c r="F16" s="14" t="n">
        <x:f>'Employee Attendance'!I6</x:f>
        <x:v>0.05303240740740741</x:v>
      </x:c>
      <x:c r="G16" t="n">
        <x:f>F16*86400</x:f>
        <x:v>4582</x:v>
      </x:c>
      <x:c r="H16" t="str">
        <x:f>'Employee Attendance'!J6</x:f>
        <x:v>Partially attended</x:v>
      </x:c>
      <x:c r="I16" t="str">
        <x:f>IF(OR('Employee Attendance'!K6="Yes",'Employee Attendance'!L6="Yes"),"Yes","No")</x:f>
        <x:v>Yes</x:v>
      </x:c>
    </x:row>
    <x:row r="17">
      <x:c r="A17" t="str">
        <x:f>'Employee Attendance'!A7</x:f>
        <x:v>Aime Niyokwizerwa</x:v>
      </x:c>
      <x:c r="B17" t="str">
        <x:f>'Employee Attendance'!B7</x:f>
        <x:v>Rwanda</x:v>
      </x:c>
      <x:c r="C17" t="str">
        <x:f>'Employee Attendance'!C7</x:f>
        <x:v>RW</x:v>
      </x:c>
      <x:c r="D17" t="str">
        <x:f>'Employee Attendance'!D7</x:f>
        <x:v>aime.niyokwizerwa@pwc.com</x:v>
      </x:c>
      <x:c r="E17" t="str">
        <x:f>"Option 1"</x:f>
        <x:v>Option 1</x:v>
      </x:c>
      <x:c r="F17" s="14" t="n">
        <x:f>'Employee Attendance'!E7</x:f>
        <x:v>0.028356481481481483</x:v>
      </x:c>
      <x:c r="G17" t="n">
        <x:f>F17*86400</x:f>
        <x:v>2450</x:v>
      </x:c>
      <x:c r="H17" t="str">
        <x:f>'Employee Attendance'!F7</x:f>
        <x:v>Partially attended</x:v>
      </x:c>
      <x:c r="I17" t="str">
        <x:f>'Employee Attendance'!K7</x:f>
        <x:v>Yes</x:v>
      </x:c>
    </x:row>
    <x:row r="18">
      <x:c r="A18" t="str">
        <x:f>'Employee Attendance'!A7</x:f>
        <x:v>Aime Niyokwizerwa</x:v>
      </x:c>
      <x:c r="B18" t="str">
        <x:f>'Employee Attendance'!B7</x:f>
        <x:v>Rwanda</x:v>
      </x:c>
      <x:c r="C18" t="str">
        <x:f>'Employee Attendance'!C7</x:f>
        <x:v>RW</x:v>
      </x:c>
      <x:c r="D18" t="str">
        <x:f>'Employee Attendance'!D7</x:f>
        <x:v>aime.niyokwizerwa@pwc.com</x:v>
      </x:c>
      <x:c r="E18" t="str">
        <x:f>"Option 2"</x:f>
        <x:v>Option 2</x:v>
      </x:c>
      <x:c r="F18" s="14" t="n">
        <x:f>'Employee Attendance'!G7</x:f>
        <x:v>0</x:v>
      </x:c>
      <x:c r="G18" t="n">
        <x:f>F18*86400</x:f>
        <x:v>0</x:v>
      </x:c>
      <x:c r="H18" t="str">
        <x:f>'Employee Attendance'!H7</x:f>
        <x:v>Did not attend</x:v>
      </x:c>
      <x:c r="I18" t="str">
        <x:f>'Employee Attendance'!L7</x:f>
        <x:v>No</x:v>
      </x:c>
    </x:row>
    <x:row r="19">
      <x:c r="A19" t="str">
        <x:f>'Employee Attendance'!A7</x:f>
        <x:v>Aime Niyokwizerwa</x:v>
      </x:c>
      <x:c r="B19" t="str">
        <x:f>'Employee Attendance'!B7</x:f>
        <x:v>Rwanda</x:v>
      </x:c>
      <x:c r="C19" t="str">
        <x:f>'Employee Attendance'!C7</x:f>
        <x:v>RW</x:v>
      </x:c>
      <x:c r="D19" t="str">
        <x:f>'Employee Attendance'!D7</x:f>
        <x:v>aime.niyokwizerwa@pwc.com</x:v>
      </x:c>
      <x:c r="E19" t="str">
        <x:f>"Combined"</x:f>
        <x:v>Combined</x:v>
      </x:c>
      <x:c r="F19" s="14" t="n">
        <x:f>'Employee Attendance'!I7</x:f>
        <x:v>0.028356481481481483</x:v>
      </x:c>
      <x:c r="G19" t="n">
        <x:f>F19*86400</x:f>
        <x:v>2450</x:v>
      </x:c>
      <x:c r="H19" t="str">
        <x:f>'Employee Attendance'!J7</x:f>
        <x:v>Partially attended</x:v>
      </x:c>
      <x:c r="I19" t="str">
        <x:f>IF(OR('Employee Attendance'!K7="Yes",'Employee Attendance'!L7="Yes"),"Yes","No")</x:f>
        <x:v>Yes</x:v>
      </x:c>
    </x:row>
    <x:row r="20">
      <x:c r="A20" t="str">
        <x:f>'Employee Attendance'!A8</x:f>
        <x:v>Akinyemi Awodumila</x:v>
      </x:c>
      <x:c r="B20" t="str">
        <x:f>'Employee Attendance'!B8</x:f>
        <x:v>Kenya</x:v>
      </x:c>
      <x:c r="C20" t="str">
        <x:f>'Employee Attendance'!C8</x:f>
        <x:v>KE</x:v>
      </x:c>
      <x:c r="D20" t="str">
        <x:f>'Employee Attendance'!D8</x:f>
        <x:v>akinyemi.awodumila@pwc.com</x:v>
      </x:c>
      <x:c r="E20" t="str">
        <x:f>"Option 1"</x:f>
        <x:v>Option 1</x:v>
      </x:c>
      <x:c r="F20" s="14" t="n">
        <x:f>'Employee Attendance'!E8</x:f>
        <x:v>0.08149305555555555</x:v>
      </x:c>
      <x:c r="G20" t="n">
        <x:f>F20*86400</x:f>
        <x:v>7041</x:v>
      </x:c>
      <x:c r="H20" t="str">
        <x:f>'Employee Attendance'!F8</x:f>
        <x:v>Fully attended</x:v>
      </x:c>
      <x:c r="I20" t="str">
        <x:f>'Employee Attendance'!K8</x:f>
        <x:v>Yes</x:v>
      </x:c>
    </x:row>
    <x:row r="21">
      <x:c r="A21" t="str">
        <x:f>'Employee Attendance'!A8</x:f>
        <x:v>Akinyemi Awodumila</x:v>
      </x:c>
      <x:c r="B21" t="str">
        <x:f>'Employee Attendance'!B8</x:f>
        <x:v>Kenya</x:v>
      </x:c>
      <x:c r="C21" t="str">
        <x:f>'Employee Attendance'!C8</x:f>
        <x:v>KE</x:v>
      </x:c>
      <x:c r="D21" t="str">
        <x:f>'Employee Attendance'!D8</x:f>
        <x:v>akinyemi.awodumila@pwc.com</x:v>
      </x:c>
      <x:c r="E21" t="str">
        <x:f>"Option 2"</x:f>
        <x:v>Option 2</x:v>
      </x:c>
      <x:c r="F21" s="14" t="n">
        <x:f>'Employee Attendance'!G8</x:f>
        <x:v>0</x:v>
      </x:c>
      <x:c r="G21" t="n">
        <x:f>F21*86400</x:f>
        <x:v>0</x:v>
      </x:c>
      <x:c r="H21" t="str">
        <x:f>'Employee Attendance'!H8</x:f>
        <x:v>Did not attend</x:v>
      </x:c>
      <x:c r="I21" t="str">
        <x:f>'Employee Attendance'!L8</x:f>
        <x:v>No</x:v>
      </x:c>
    </x:row>
    <x:row r="22">
      <x:c r="A22" t="str">
        <x:f>'Employee Attendance'!A8</x:f>
        <x:v>Akinyemi Awodumila</x:v>
      </x:c>
      <x:c r="B22" t="str">
        <x:f>'Employee Attendance'!B8</x:f>
        <x:v>Kenya</x:v>
      </x:c>
      <x:c r="C22" t="str">
        <x:f>'Employee Attendance'!C8</x:f>
        <x:v>KE</x:v>
      </x:c>
      <x:c r="D22" t="str">
        <x:f>'Employee Attendance'!D8</x:f>
        <x:v>akinyemi.awodumila@pwc.com</x:v>
      </x:c>
      <x:c r="E22" t="str">
        <x:f>"Combined"</x:f>
        <x:v>Combined</x:v>
      </x:c>
      <x:c r="F22" s="14" t="n">
        <x:f>'Employee Attendance'!I8</x:f>
        <x:v>0.08149305555555555</x:v>
      </x:c>
      <x:c r="G22" t="n">
        <x:f>F22*86400</x:f>
        <x:v>7041</x:v>
      </x:c>
      <x:c r="H22" t="str">
        <x:f>'Employee Attendance'!J8</x:f>
        <x:v>Fully attended</x:v>
      </x:c>
      <x:c r="I22" t="str">
        <x:f>IF(OR('Employee Attendance'!K8="Yes",'Employee Attendance'!L8="Yes"),"Yes","No")</x:f>
        <x:v>Yes</x:v>
      </x:c>
    </x:row>
    <x:row r="23">
      <x:c r="A23" t="str">
        <x:f>'Employee Attendance'!A9</x:f>
        <x:v>Alfred Mwendwa</x:v>
      </x:c>
      <x:c r="B23" t="str">
        <x:f>'Employee Attendance'!B9</x:f>
        <x:v>Kenya</x:v>
      </x:c>
      <x:c r="C23" t="str">
        <x:f>'Employee Attendance'!C9</x:f>
        <x:v>KE</x:v>
      </x:c>
      <x:c r="D23" t="str">
        <x:f>'Employee Attendance'!D9</x:f>
        <x:v>alfred.mwendwa@pwc.com</x:v>
      </x:c>
      <x:c r="E23" t="str">
        <x:f>"Option 1"</x:f>
        <x:v>Option 1</x:v>
      </x:c>
      <x:c r="F23" s="14" t="n">
        <x:f>'Employee Attendance'!E9</x:f>
        <x:v>0.07806712962962963</x:v>
      </x:c>
      <x:c r="G23" t="n">
        <x:f>F23*86400</x:f>
        <x:v>6745</x:v>
      </x:c>
      <x:c r="H23" t="str">
        <x:f>'Employee Attendance'!F9</x:f>
        <x:v>Fully attended</x:v>
      </x:c>
      <x:c r="I23" t="str">
        <x:f>'Employee Attendance'!K9</x:f>
        <x:v>Yes</x:v>
      </x:c>
    </x:row>
    <x:row r="24">
      <x:c r="A24" t="str">
        <x:f>'Employee Attendance'!A9</x:f>
        <x:v>Alfred Mwendwa</x:v>
      </x:c>
      <x:c r="B24" t="str">
        <x:f>'Employee Attendance'!B9</x:f>
        <x:v>Kenya</x:v>
      </x:c>
      <x:c r="C24" t="str">
        <x:f>'Employee Attendance'!C9</x:f>
        <x:v>KE</x:v>
      </x:c>
      <x:c r="D24" t="str">
        <x:f>'Employee Attendance'!D9</x:f>
        <x:v>alfred.mwendwa@pwc.com</x:v>
      </x:c>
      <x:c r="E24" t="str">
        <x:f>"Option 2"</x:f>
        <x:v>Option 2</x:v>
      </x:c>
      <x:c r="F24" s="14" t="n">
        <x:f>'Employee Attendance'!G9</x:f>
        <x:v>0</x:v>
      </x:c>
      <x:c r="G24" t="n">
        <x:f>F24*86400</x:f>
        <x:v>0</x:v>
      </x:c>
      <x:c r="H24" t="str">
        <x:f>'Employee Attendance'!H9</x:f>
        <x:v>Did not attend</x:v>
      </x:c>
      <x:c r="I24" t="str">
        <x:f>'Employee Attendance'!L9</x:f>
        <x:v>No</x:v>
      </x:c>
    </x:row>
    <x:row r="25">
      <x:c r="A25" t="str">
        <x:f>'Employee Attendance'!A9</x:f>
        <x:v>Alfred Mwendwa</x:v>
      </x:c>
      <x:c r="B25" t="str">
        <x:f>'Employee Attendance'!B9</x:f>
        <x:v>Kenya</x:v>
      </x:c>
      <x:c r="C25" t="str">
        <x:f>'Employee Attendance'!C9</x:f>
        <x:v>KE</x:v>
      </x:c>
      <x:c r="D25" t="str">
        <x:f>'Employee Attendance'!D9</x:f>
        <x:v>alfred.mwendwa@pwc.com</x:v>
      </x:c>
      <x:c r="E25" t="str">
        <x:f>"Combined"</x:f>
        <x:v>Combined</x:v>
      </x:c>
      <x:c r="F25" s="14" t="n">
        <x:f>'Employee Attendance'!I9</x:f>
        <x:v>0.07806712962962963</x:v>
      </x:c>
      <x:c r="G25" t="n">
        <x:f>F25*86400</x:f>
        <x:v>6745</x:v>
      </x:c>
      <x:c r="H25" t="str">
        <x:f>'Employee Attendance'!J9</x:f>
        <x:v>Fully attended</x:v>
      </x:c>
      <x:c r="I25" t="str">
        <x:f>IF(OR('Employee Attendance'!K9="Yes",'Employee Attendance'!L9="Yes"),"Yes","No")</x:f>
        <x:v>Yes</x:v>
      </x:c>
    </x:row>
    <x:row r="26">
      <x:c r="A26" t="str">
        <x:f>'Employee Attendance'!A10</x:f>
        <x:v>Alice Muchemi</x:v>
      </x:c>
      <x:c r="B26" t="str">
        <x:f>'Employee Attendance'!B10</x:f>
        <x:v>Rwanda</x:v>
      </x:c>
      <x:c r="C26" t="str">
        <x:f>'Employee Attendance'!C10</x:f>
        <x:v>RW</x:v>
      </x:c>
      <x:c r="D26" t="str">
        <x:f>'Employee Attendance'!D10</x:f>
        <x:v>alice.muchemi@pwc.com</x:v>
      </x:c>
      <x:c r="E26" t="str">
        <x:f>"Option 1"</x:f>
        <x:v>Option 1</x:v>
      </x:c>
      <x:c r="F26" s="14" t="n">
        <x:f>'Employee Attendance'!E10</x:f>
        <x:v>0.08148148148148149</x:v>
      </x:c>
      <x:c r="G26" t="n">
        <x:f>F26*86400</x:f>
        <x:v>7040.000000000001</x:v>
      </x:c>
      <x:c r="H26" t="str">
        <x:f>'Employee Attendance'!F10</x:f>
        <x:v>Fully attended</x:v>
      </x:c>
      <x:c r="I26" t="str">
        <x:f>'Employee Attendance'!K10</x:f>
        <x:v>Yes</x:v>
      </x:c>
    </x:row>
    <x:row r="27">
      <x:c r="A27" t="str">
        <x:f>'Employee Attendance'!A10</x:f>
        <x:v>Alice Muchemi</x:v>
      </x:c>
      <x:c r="B27" t="str">
        <x:f>'Employee Attendance'!B10</x:f>
        <x:v>Rwanda</x:v>
      </x:c>
      <x:c r="C27" t="str">
        <x:f>'Employee Attendance'!C10</x:f>
        <x:v>RW</x:v>
      </x:c>
      <x:c r="D27" t="str">
        <x:f>'Employee Attendance'!D10</x:f>
        <x:v>alice.muchemi@pwc.com</x:v>
      </x:c>
      <x:c r="E27" t="str">
        <x:f>"Option 2"</x:f>
        <x:v>Option 2</x:v>
      </x:c>
      <x:c r="F27" s="14" t="n">
        <x:f>'Employee Attendance'!G10</x:f>
        <x:v>0</x:v>
      </x:c>
      <x:c r="G27" t="n">
        <x:f>F27*86400</x:f>
        <x:v>0</x:v>
      </x:c>
      <x:c r="H27" t="str">
        <x:f>'Employee Attendance'!H10</x:f>
        <x:v>Did not attend</x:v>
      </x:c>
      <x:c r="I27" t="str">
        <x:f>'Employee Attendance'!L10</x:f>
        <x:v>No</x:v>
      </x:c>
    </x:row>
    <x:row r="28">
      <x:c r="A28" t="str">
        <x:f>'Employee Attendance'!A10</x:f>
        <x:v>Alice Muchemi</x:v>
      </x:c>
      <x:c r="B28" t="str">
        <x:f>'Employee Attendance'!B10</x:f>
        <x:v>Rwanda</x:v>
      </x:c>
      <x:c r="C28" t="str">
        <x:f>'Employee Attendance'!C10</x:f>
        <x:v>RW</x:v>
      </x:c>
      <x:c r="D28" t="str">
        <x:f>'Employee Attendance'!D10</x:f>
        <x:v>alice.muchemi@pwc.com</x:v>
      </x:c>
      <x:c r="E28" t="str">
        <x:f>"Combined"</x:f>
        <x:v>Combined</x:v>
      </x:c>
      <x:c r="F28" s="14" t="n">
        <x:f>'Employee Attendance'!I10</x:f>
        <x:v>0.08148148148148149</x:v>
      </x:c>
      <x:c r="G28" t="n">
        <x:f>F28*86400</x:f>
        <x:v>7040.000000000001</x:v>
      </x:c>
      <x:c r="H28" t="str">
        <x:f>'Employee Attendance'!J10</x:f>
        <x:v>Fully attended</x:v>
      </x:c>
      <x:c r="I28" t="str">
        <x:f>IF(OR('Employee Attendance'!K10="Yes",'Employee Attendance'!L10="Yes"),"Yes","No")</x:f>
        <x:v>Yes</x:v>
      </x:c>
    </x:row>
    <x:row r="29">
      <x:c r="A29" t="str">
        <x:f>'Employee Attendance'!A11</x:f>
        <x:v>Alice Nderitu</x:v>
      </x:c>
      <x:c r="B29" t="str">
        <x:f>'Employee Attendance'!B11</x:f>
        <x:v>Kenya</x:v>
      </x:c>
      <x:c r="C29" t="str">
        <x:f>'Employee Attendance'!C11</x:f>
        <x:v>KE</x:v>
      </x:c>
      <x:c r="D29" t="str">
        <x:f>'Employee Attendance'!D11</x:f>
        <x:v>alice.nderitu@pwc.com</x:v>
      </x:c>
      <x:c r="E29" t="str">
        <x:f>"Option 1"</x:f>
        <x:v>Option 1</x:v>
      </x:c>
      <x:c r="F29" s="14" t="n">
        <x:f>'Employee Attendance'!E11</x:f>
        <x:v>0.08074074074074074</x:v>
      </x:c>
      <x:c r="G29" t="n">
        <x:f>F29*86400</x:f>
        <x:v>6976</x:v>
      </x:c>
      <x:c r="H29" t="str">
        <x:f>'Employee Attendance'!F11</x:f>
        <x:v>Fully attended</x:v>
      </x:c>
      <x:c r="I29" t="str">
        <x:f>'Employee Attendance'!K11</x:f>
        <x:v>Yes</x:v>
      </x:c>
    </x:row>
    <x:row r="30">
      <x:c r="A30" t="str">
        <x:f>'Employee Attendance'!A11</x:f>
        <x:v>Alice Nderitu</x:v>
      </x:c>
      <x:c r="B30" t="str">
        <x:f>'Employee Attendance'!B11</x:f>
        <x:v>Kenya</x:v>
      </x:c>
      <x:c r="C30" t="str">
        <x:f>'Employee Attendance'!C11</x:f>
        <x:v>KE</x:v>
      </x:c>
      <x:c r="D30" t="str">
        <x:f>'Employee Attendance'!D11</x:f>
        <x:v>alice.nderitu@pwc.com</x:v>
      </x:c>
      <x:c r="E30" t="str">
        <x:f>"Option 2"</x:f>
        <x:v>Option 2</x:v>
      </x:c>
      <x:c r="F30" s="14" t="n">
        <x:f>'Employee Attendance'!G11</x:f>
        <x:v>0.08506944444444445</x:v>
      </x:c>
      <x:c r="G30" t="n">
        <x:f>F30*86400</x:f>
        <x:v>7350</x:v>
      </x:c>
      <x:c r="H30" t="str">
        <x:f>'Employee Attendance'!H11</x:f>
        <x:v>Fully attended</x:v>
      </x:c>
      <x:c r="I30" t="str">
        <x:f>'Employee Attendance'!L11</x:f>
        <x:v>Yes</x:v>
      </x:c>
    </x:row>
    <x:row r="31">
      <x:c r="A31" t="str">
        <x:f>'Employee Attendance'!A11</x:f>
        <x:v>Alice Nderitu</x:v>
      </x:c>
      <x:c r="B31" t="str">
        <x:f>'Employee Attendance'!B11</x:f>
        <x:v>Kenya</x:v>
      </x:c>
      <x:c r="C31" t="str">
        <x:f>'Employee Attendance'!C11</x:f>
        <x:v>KE</x:v>
      </x:c>
      <x:c r="D31" t="str">
        <x:f>'Employee Attendance'!D11</x:f>
        <x:v>alice.nderitu@pwc.com</x:v>
      </x:c>
      <x:c r="E31" t="str">
        <x:f>"Combined"</x:f>
        <x:v>Combined</x:v>
      </x:c>
      <x:c r="F31" s="14" t="n">
        <x:f>'Employee Attendance'!I11</x:f>
        <x:v>0.1658101851851852</x:v>
      </x:c>
      <x:c r="G31" t="n">
        <x:f>F31*86400</x:f>
        <x:v>14326.000000000002</x:v>
      </x:c>
      <x:c r="H31" t="str">
        <x:f>'Employee Attendance'!J11</x:f>
        <x:v>Fully attended</x:v>
      </x:c>
      <x:c r="I31" t="str">
        <x:f>IF(OR('Employee Attendance'!K11="Yes",'Employee Attendance'!L11="Yes"),"Yes","No")</x:f>
        <x:v>Yes</x:v>
      </x:c>
    </x:row>
    <x:row r="32">
      <x:c r="A32" t="str">
        <x:f>'Employee Attendance'!A12</x:f>
        <x:v>Alice Ngetich</x:v>
      </x:c>
      <x:c r="B32" t="str">
        <x:f>'Employee Attendance'!B12</x:f>
        <x:v>Kenya</x:v>
      </x:c>
      <x:c r="C32" t="str">
        <x:f>'Employee Attendance'!C12</x:f>
        <x:v>KE</x:v>
      </x:c>
      <x:c r="D32" t="str">
        <x:f>'Employee Attendance'!D12</x:f>
        <x:v>alice.ngetich@pwc.com</x:v>
      </x:c>
      <x:c r="E32" t="str">
        <x:f>"Option 1"</x:f>
        <x:v>Option 1</x:v>
      </x:c>
      <x:c r="F32" s="14" t="n">
        <x:f>'Employee Attendance'!E12</x:f>
        <x:v>0.08052083333333333</x:v>
      </x:c>
      <x:c r="G32" t="n">
        <x:f>F32*86400</x:f>
        <x:v>6957</x:v>
      </x:c>
      <x:c r="H32" t="str">
        <x:f>'Employee Attendance'!F12</x:f>
        <x:v>Fully attended</x:v>
      </x:c>
      <x:c r="I32" t="str">
        <x:f>'Employee Attendance'!K12</x:f>
        <x:v>Yes</x:v>
      </x:c>
    </x:row>
    <x:row r="33">
      <x:c r="A33" t="str">
        <x:f>'Employee Attendance'!A12</x:f>
        <x:v>Alice Ngetich</x:v>
      </x:c>
      <x:c r="B33" t="str">
        <x:f>'Employee Attendance'!B12</x:f>
        <x:v>Kenya</x:v>
      </x:c>
      <x:c r="C33" t="str">
        <x:f>'Employee Attendance'!C12</x:f>
        <x:v>KE</x:v>
      </x:c>
      <x:c r="D33" t="str">
        <x:f>'Employee Attendance'!D12</x:f>
        <x:v>alice.ngetich@pwc.com</x:v>
      </x:c>
      <x:c r="E33" t="str">
        <x:f>"Option 2"</x:f>
        <x:v>Option 2</x:v>
      </x:c>
      <x:c r="F33" s="14" t="n">
        <x:f>'Employee Attendance'!G12</x:f>
        <x:v>0</x:v>
      </x:c>
      <x:c r="G33" t="n">
        <x:f>F33*86400</x:f>
        <x:v>0</x:v>
      </x:c>
      <x:c r="H33" t="str">
        <x:f>'Employee Attendance'!H12</x:f>
        <x:v>Did not attend</x:v>
      </x:c>
      <x:c r="I33" t="str">
        <x:f>'Employee Attendance'!L12</x:f>
        <x:v>No</x:v>
      </x:c>
    </x:row>
    <x:row r="34">
      <x:c r="A34" t="str">
        <x:f>'Employee Attendance'!A12</x:f>
        <x:v>Alice Ngetich</x:v>
      </x:c>
      <x:c r="B34" t="str">
        <x:f>'Employee Attendance'!B12</x:f>
        <x:v>Kenya</x:v>
      </x:c>
      <x:c r="C34" t="str">
        <x:f>'Employee Attendance'!C12</x:f>
        <x:v>KE</x:v>
      </x:c>
      <x:c r="D34" t="str">
        <x:f>'Employee Attendance'!D12</x:f>
        <x:v>alice.ngetich@pwc.com</x:v>
      </x:c>
      <x:c r="E34" t="str">
        <x:f>"Combined"</x:f>
        <x:v>Combined</x:v>
      </x:c>
      <x:c r="F34" s="14" t="n">
        <x:f>'Employee Attendance'!I12</x:f>
        <x:v>0.08052083333333333</x:v>
      </x:c>
      <x:c r="G34" t="n">
        <x:f>F34*86400</x:f>
        <x:v>6957</x:v>
      </x:c>
      <x:c r="H34" t="str">
        <x:f>'Employee Attendance'!J12</x:f>
        <x:v>Fully attended</x:v>
      </x:c>
      <x:c r="I34" t="str">
        <x:f>IF(OR('Employee Attendance'!K12="Yes",'Employee Attendance'!L12="Yes"),"Yes","No")</x:f>
        <x:v>Yes</x:v>
      </x:c>
    </x:row>
    <x:row r="35">
      <x:c r="A35" t="str">
        <x:f>'Employee Attendance'!A13</x:f>
        <x:v>Allen Alfred</x:v>
      </x:c>
      <x:c r="B35" t="str">
        <x:f>'Employee Attendance'!B13</x:f>
        <x:v>Tanzania</x:v>
      </x:c>
      <x:c r="C35" t="str">
        <x:f>'Employee Attendance'!C13</x:f>
        <x:v>TZ</x:v>
      </x:c>
      <x:c r="D35" t="str">
        <x:f>'Employee Attendance'!D13</x:f>
        <x:v>allen.alfred@pwc.com</x:v>
      </x:c>
      <x:c r="E35" t="str">
        <x:f>"Option 1"</x:f>
        <x:v>Option 1</x:v>
      </x:c>
      <x:c r="F35" s="14" t="n">
        <x:f>'Employee Attendance'!E13</x:f>
        <x:v>0</x:v>
      </x:c>
      <x:c r="G35" t="n">
        <x:f>F35*86400</x:f>
        <x:v>0</x:v>
      </x:c>
      <x:c r="H35" t="str">
        <x:f>'Employee Attendance'!F13</x:f>
        <x:v>Did not attend</x:v>
      </x:c>
      <x:c r="I35" t="str">
        <x:f>'Employee Attendance'!K13</x:f>
        <x:v>No</x:v>
      </x:c>
    </x:row>
    <x:row r="36">
      <x:c r="A36" t="str">
        <x:f>'Employee Attendance'!A13</x:f>
        <x:v>Allen Alfred</x:v>
      </x:c>
      <x:c r="B36" t="str">
        <x:f>'Employee Attendance'!B13</x:f>
        <x:v>Tanzania</x:v>
      </x:c>
      <x:c r="C36" t="str">
        <x:f>'Employee Attendance'!C13</x:f>
        <x:v>TZ</x:v>
      </x:c>
      <x:c r="D36" t="str">
        <x:f>'Employee Attendance'!D13</x:f>
        <x:v>allen.alfred@pwc.com</x:v>
      </x:c>
      <x:c r="E36" t="str">
        <x:f>"Option 2"</x:f>
        <x:v>Option 2</x:v>
      </x:c>
      <x:c r="F36" s="14" t="n">
        <x:f>'Employee Attendance'!G13</x:f>
        <x:v>0.06953703703703704</x:v>
      </x:c>
      <x:c r="G36" t="n">
        <x:f>F36*86400</x:f>
        <x:v>6008</x:v>
      </x:c>
      <x:c r="H36" t="str">
        <x:f>'Employee Attendance'!H13</x:f>
        <x:v>Fully attended</x:v>
      </x:c>
      <x:c r="I36" t="str">
        <x:f>'Employee Attendance'!L13</x:f>
        <x:v>Yes</x:v>
      </x:c>
    </x:row>
    <x:row r="37">
      <x:c r="A37" t="str">
        <x:f>'Employee Attendance'!A13</x:f>
        <x:v>Allen Alfred</x:v>
      </x:c>
      <x:c r="B37" t="str">
        <x:f>'Employee Attendance'!B13</x:f>
        <x:v>Tanzania</x:v>
      </x:c>
      <x:c r="C37" t="str">
        <x:f>'Employee Attendance'!C13</x:f>
        <x:v>TZ</x:v>
      </x:c>
      <x:c r="D37" t="str">
        <x:f>'Employee Attendance'!D13</x:f>
        <x:v>allen.alfred@pwc.com</x:v>
      </x:c>
      <x:c r="E37" t="str">
        <x:f>"Combined"</x:f>
        <x:v>Combined</x:v>
      </x:c>
      <x:c r="F37" s="14" t="n">
        <x:f>'Employee Attendance'!I13</x:f>
        <x:v>0.06953703703703704</x:v>
      </x:c>
      <x:c r="G37" t="n">
        <x:f>F37*86400</x:f>
        <x:v>6008</x:v>
      </x:c>
      <x:c r="H37" t="str">
        <x:f>'Employee Attendance'!J13</x:f>
        <x:v>Fully attended</x:v>
      </x:c>
      <x:c r="I37" t="str">
        <x:f>IF(OR('Employee Attendance'!K13="Yes",'Employee Attendance'!L13="Yes"),"Yes","No")</x:f>
        <x:v>Yes</x:v>
      </x:c>
    </x:row>
    <x:row r="38">
      <x:c r="A38" t="str">
        <x:f>'Employee Attendance'!A14</x:f>
        <x:v>Alpha Mukazi</x:v>
      </x:c>
      <x:c r="B38" t="str">
        <x:f>'Employee Attendance'!B14</x:f>
        <x:v>Rwanda</x:v>
      </x:c>
      <x:c r="C38" t="str">
        <x:f>'Employee Attendance'!C14</x:f>
        <x:v>RW</x:v>
      </x:c>
      <x:c r="D38" t="str">
        <x:f>'Employee Attendance'!D14</x:f>
        <x:v>alpha.mukazi@pwc.com</x:v>
      </x:c>
      <x:c r="E38" t="str">
        <x:f>"Option 1"</x:f>
        <x:v>Option 1</x:v>
      </x:c>
      <x:c r="F38" s="14" t="n">
        <x:f>'Employee Attendance'!E14</x:f>
        <x:v>0.07930555555555556</x:v>
      </x:c>
      <x:c r="G38" t="n">
        <x:f>F38*86400</x:f>
        <x:v>6852</x:v>
      </x:c>
      <x:c r="H38" t="str">
        <x:f>'Employee Attendance'!F14</x:f>
        <x:v>Fully attended</x:v>
      </x:c>
      <x:c r="I38" t="str">
        <x:f>'Employee Attendance'!K14</x:f>
        <x:v>Yes</x:v>
      </x:c>
    </x:row>
    <x:row r="39">
      <x:c r="A39" t="str">
        <x:f>'Employee Attendance'!A14</x:f>
        <x:v>Alpha Mukazi</x:v>
      </x:c>
      <x:c r="B39" t="str">
        <x:f>'Employee Attendance'!B14</x:f>
        <x:v>Rwanda</x:v>
      </x:c>
      <x:c r="C39" t="str">
        <x:f>'Employee Attendance'!C14</x:f>
        <x:v>RW</x:v>
      </x:c>
      <x:c r="D39" t="str">
        <x:f>'Employee Attendance'!D14</x:f>
        <x:v>alpha.mukazi@pwc.com</x:v>
      </x:c>
      <x:c r="E39" t="str">
        <x:f>"Option 2"</x:f>
        <x:v>Option 2</x:v>
      </x:c>
      <x:c r="F39" s="14" t="n">
        <x:f>'Employee Attendance'!G14</x:f>
        <x:v>0</x:v>
      </x:c>
      <x:c r="G39" t="n">
        <x:f>F39*86400</x:f>
        <x:v>0</x:v>
      </x:c>
      <x:c r="H39" t="str">
        <x:f>'Employee Attendance'!H14</x:f>
        <x:v>Did not attend</x:v>
      </x:c>
      <x:c r="I39" t="str">
        <x:f>'Employee Attendance'!L14</x:f>
        <x:v>No</x:v>
      </x:c>
    </x:row>
    <x:row r="40">
      <x:c r="A40" t="str">
        <x:f>'Employee Attendance'!A14</x:f>
        <x:v>Alpha Mukazi</x:v>
      </x:c>
      <x:c r="B40" t="str">
        <x:f>'Employee Attendance'!B14</x:f>
        <x:v>Rwanda</x:v>
      </x:c>
      <x:c r="C40" t="str">
        <x:f>'Employee Attendance'!C14</x:f>
        <x:v>RW</x:v>
      </x:c>
      <x:c r="D40" t="str">
        <x:f>'Employee Attendance'!D14</x:f>
        <x:v>alpha.mukazi@pwc.com</x:v>
      </x:c>
      <x:c r="E40" t="str">
        <x:f>"Combined"</x:f>
        <x:v>Combined</x:v>
      </x:c>
      <x:c r="F40" s="14" t="n">
        <x:f>'Employee Attendance'!I14</x:f>
        <x:v>0.07930555555555556</x:v>
      </x:c>
      <x:c r="G40" t="n">
        <x:f>F40*86400</x:f>
        <x:v>6852</x:v>
      </x:c>
      <x:c r="H40" t="str">
        <x:f>'Employee Attendance'!J14</x:f>
        <x:v>Fully attended</x:v>
      </x:c>
      <x:c r="I40" t="str">
        <x:f>IF(OR('Employee Attendance'!K14="Yes",'Employee Attendance'!L14="Yes"),"Yes","No")</x:f>
        <x:v>Yes</x:v>
      </x:c>
    </x:row>
    <x:row r="41">
      <x:c r="A41" t="str">
        <x:f>'Employee Attendance'!A15</x:f>
        <x:v>Alphonce Odhiambo</x:v>
      </x:c>
      <x:c r="B41" t="str">
        <x:f>'Employee Attendance'!B15</x:f>
        <x:v>Tanzania</x:v>
      </x:c>
      <x:c r="C41" t="str">
        <x:f>'Employee Attendance'!C15</x:f>
        <x:v>TZ</x:v>
      </x:c>
      <x:c r="D41" t="str">
        <x:f>'Employee Attendance'!D15</x:f>
        <x:v>alphonce.o.odhiambo@pwc.com</x:v>
      </x:c>
      <x:c r="E41" t="str">
        <x:f>"Option 1"</x:f>
        <x:v>Option 1</x:v>
      </x:c>
      <x:c r="F41" s="14" t="n">
        <x:f>'Employee Attendance'!E15</x:f>
        <x:v>0.07833333333333334</x:v>
      </x:c>
      <x:c r="G41" t="n">
        <x:f>F41*86400</x:f>
        <x:v>6768</x:v>
      </x:c>
      <x:c r="H41" t="str">
        <x:f>'Employee Attendance'!F15</x:f>
        <x:v>Fully attended</x:v>
      </x:c>
      <x:c r="I41" t="str">
        <x:f>'Employee Attendance'!K15</x:f>
        <x:v>Yes</x:v>
      </x:c>
    </x:row>
    <x:row r="42">
      <x:c r="A42" t="str">
        <x:f>'Employee Attendance'!A15</x:f>
        <x:v>Alphonce Odhiambo</x:v>
      </x:c>
      <x:c r="B42" t="str">
        <x:f>'Employee Attendance'!B15</x:f>
        <x:v>Tanzania</x:v>
      </x:c>
      <x:c r="C42" t="str">
        <x:f>'Employee Attendance'!C15</x:f>
        <x:v>TZ</x:v>
      </x:c>
      <x:c r="D42" t="str">
        <x:f>'Employee Attendance'!D15</x:f>
        <x:v>alphonce.o.odhiambo@pwc.com</x:v>
      </x:c>
      <x:c r="E42" t="str">
        <x:f>"Option 2"</x:f>
        <x:v>Option 2</x:v>
      </x:c>
      <x:c r="F42" s="14" t="n">
        <x:f>'Employee Attendance'!G15</x:f>
        <x:v>0</x:v>
      </x:c>
      <x:c r="G42" t="n">
        <x:f>F42*86400</x:f>
        <x:v>0</x:v>
      </x:c>
      <x:c r="H42" t="str">
        <x:f>'Employee Attendance'!H15</x:f>
        <x:v>Did not attend</x:v>
      </x:c>
      <x:c r="I42" t="str">
        <x:f>'Employee Attendance'!L15</x:f>
        <x:v>No</x:v>
      </x:c>
    </x:row>
    <x:row r="43">
      <x:c r="A43" t="str">
        <x:f>'Employee Attendance'!A15</x:f>
        <x:v>Alphonce Odhiambo</x:v>
      </x:c>
      <x:c r="B43" t="str">
        <x:f>'Employee Attendance'!B15</x:f>
        <x:v>Tanzania</x:v>
      </x:c>
      <x:c r="C43" t="str">
        <x:f>'Employee Attendance'!C15</x:f>
        <x:v>TZ</x:v>
      </x:c>
      <x:c r="D43" t="str">
        <x:f>'Employee Attendance'!D15</x:f>
        <x:v>alphonce.o.odhiambo@pwc.com</x:v>
      </x:c>
      <x:c r="E43" t="str">
        <x:f>"Combined"</x:f>
        <x:v>Combined</x:v>
      </x:c>
      <x:c r="F43" s="14" t="n">
        <x:f>'Employee Attendance'!I15</x:f>
        <x:v>0.07833333333333334</x:v>
      </x:c>
      <x:c r="G43" t="n">
        <x:f>F43*86400</x:f>
        <x:v>6768</x:v>
      </x:c>
      <x:c r="H43" t="str">
        <x:f>'Employee Attendance'!J15</x:f>
        <x:v>Fully attended</x:v>
      </x:c>
      <x:c r="I43" t="str">
        <x:f>IF(OR('Employee Attendance'!K15="Yes",'Employee Attendance'!L15="Yes"),"Yes","No")</x:f>
        <x:v>Yes</x:v>
      </x:c>
    </x:row>
    <x:row r="44">
      <x:c r="A44" t="str">
        <x:f>'Employee Attendance'!A16</x:f>
        <x:v>Altar Inganji</x:v>
      </x:c>
      <x:c r="B44" t="str">
        <x:f>'Employee Attendance'!B16</x:f>
        <x:v>Kenya</x:v>
      </x:c>
      <x:c r="C44" t="str">
        <x:f>'Employee Attendance'!C16</x:f>
        <x:v>KE</x:v>
      </x:c>
      <x:c r="D44" t="str">
        <x:f>'Employee Attendance'!D16</x:f>
        <x:v>altar.inganji@pwc.com</x:v>
      </x:c>
      <x:c r="E44" t="str">
        <x:f>"Option 1"</x:f>
        <x:v>Option 1</x:v>
      </x:c>
      <x:c r="F44" s="14" t="n">
        <x:f>'Employee Attendance'!E16</x:f>
        <x:v>0</x:v>
      </x:c>
      <x:c r="G44" t="n">
        <x:f>F44*86400</x:f>
        <x:v>0</x:v>
      </x:c>
      <x:c r="H44" t="str">
        <x:f>'Employee Attendance'!F16</x:f>
        <x:v>Did not attend</x:v>
      </x:c>
      <x:c r="I44" t="str">
        <x:f>'Employee Attendance'!K16</x:f>
        <x:v>No</x:v>
      </x:c>
    </x:row>
    <x:row r="45">
      <x:c r="A45" t="str">
        <x:f>'Employee Attendance'!A16</x:f>
        <x:v>Altar Inganji</x:v>
      </x:c>
      <x:c r="B45" t="str">
        <x:f>'Employee Attendance'!B16</x:f>
        <x:v>Kenya</x:v>
      </x:c>
      <x:c r="C45" t="str">
        <x:f>'Employee Attendance'!C16</x:f>
        <x:v>KE</x:v>
      </x:c>
      <x:c r="D45" t="str">
        <x:f>'Employee Attendance'!D16</x:f>
        <x:v>altar.inganji@pwc.com</x:v>
      </x:c>
      <x:c r="E45" t="str">
        <x:f>"Option 2"</x:f>
        <x:v>Option 2</x:v>
      </x:c>
      <x:c r="F45" s="14" t="n">
        <x:f>'Employee Attendance'!G16</x:f>
        <x:v>0.08791666666666667</x:v>
      </x:c>
      <x:c r="G45" t="n">
        <x:f>F45*86400</x:f>
        <x:v>7596</x:v>
      </x:c>
      <x:c r="H45" t="str">
        <x:f>'Employee Attendance'!H16</x:f>
        <x:v>Fully attended</x:v>
      </x:c>
      <x:c r="I45" t="str">
        <x:f>'Employee Attendance'!L16</x:f>
        <x:v>Yes</x:v>
      </x:c>
    </x:row>
    <x:row r="46">
      <x:c r="A46" t="str">
        <x:f>'Employee Attendance'!A16</x:f>
        <x:v>Altar Inganji</x:v>
      </x:c>
      <x:c r="B46" t="str">
        <x:f>'Employee Attendance'!B16</x:f>
        <x:v>Kenya</x:v>
      </x:c>
      <x:c r="C46" t="str">
        <x:f>'Employee Attendance'!C16</x:f>
        <x:v>KE</x:v>
      </x:c>
      <x:c r="D46" t="str">
        <x:f>'Employee Attendance'!D16</x:f>
        <x:v>altar.inganji@pwc.com</x:v>
      </x:c>
      <x:c r="E46" t="str">
        <x:f>"Combined"</x:f>
        <x:v>Combined</x:v>
      </x:c>
      <x:c r="F46" s="14" t="n">
        <x:f>'Employee Attendance'!I16</x:f>
        <x:v>0.08791666666666667</x:v>
      </x:c>
      <x:c r="G46" t="n">
        <x:f>F46*86400</x:f>
        <x:v>7596</x:v>
      </x:c>
      <x:c r="H46" t="str">
        <x:f>'Employee Attendance'!J16</x:f>
        <x:v>Fully attended</x:v>
      </x:c>
      <x:c r="I46" t="str">
        <x:f>IF(OR('Employee Attendance'!K16="Yes",'Employee Attendance'!L16="Yes"),"Yes","No")</x:f>
        <x:v>Yes</x:v>
      </x:c>
    </x:row>
    <x:row r="47">
      <x:c r="A47" t="str">
        <x:f>'Employee Attendance'!A17</x:f>
        <x:v>Alvine Oyonga</x:v>
      </x:c>
      <x:c r="B47" t="str">
        <x:f>'Employee Attendance'!B17</x:f>
        <x:v>Kenya</x:v>
      </x:c>
      <x:c r="C47" t="str">
        <x:f>'Employee Attendance'!C17</x:f>
        <x:v>KE</x:v>
      </x:c>
      <x:c r="D47" t="str">
        <x:f>'Employee Attendance'!D17</x:f>
        <x:v>alvine.oyonga@pwc.com</x:v>
      </x:c>
      <x:c r="E47" t="str">
        <x:f>"Option 1"</x:f>
        <x:v>Option 1</x:v>
      </x:c>
      <x:c r="F47" s="14" t="n">
        <x:f>'Employee Attendance'!E17</x:f>
        <x:v>0.08135416666666667</x:v>
      </x:c>
      <x:c r="G47" t="n">
        <x:f>F47*86400</x:f>
        <x:v>7029</x:v>
      </x:c>
      <x:c r="H47" t="str">
        <x:f>'Employee Attendance'!F17</x:f>
        <x:v>Fully attended</x:v>
      </x:c>
      <x:c r="I47" t="str">
        <x:f>'Employee Attendance'!K17</x:f>
        <x:v>Yes</x:v>
      </x:c>
    </x:row>
    <x:row r="48">
      <x:c r="A48" t="str">
        <x:f>'Employee Attendance'!A17</x:f>
        <x:v>Alvine Oyonga</x:v>
      </x:c>
      <x:c r="B48" t="str">
        <x:f>'Employee Attendance'!B17</x:f>
        <x:v>Kenya</x:v>
      </x:c>
      <x:c r="C48" t="str">
        <x:f>'Employee Attendance'!C17</x:f>
        <x:v>KE</x:v>
      </x:c>
      <x:c r="D48" t="str">
        <x:f>'Employee Attendance'!D17</x:f>
        <x:v>alvine.oyonga@pwc.com</x:v>
      </x:c>
      <x:c r="E48" t="str">
        <x:f>"Option 2"</x:f>
        <x:v>Option 2</x:v>
      </x:c>
      <x:c r="F48" s="14" t="n">
        <x:f>'Employee Attendance'!G17</x:f>
        <x:v>0.06773148148148148</x:v>
      </x:c>
      <x:c r="G48" t="n">
        <x:f>F48*86400</x:f>
        <x:v>5851.999999999999</x:v>
      </x:c>
      <x:c r="H48" t="str">
        <x:f>'Employee Attendance'!H17</x:f>
        <x:v>Fully attended</x:v>
      </x:c>
      <x:c r="I48" t="str">
        <x:f>'Employee Attendance'!L17</x:f>
        <x:v>Yes</x:v>
      </x:c>
    </x:row>
    <x:row r="49">
      <x:c r="A49" t="str">
        <x:f>'Employee Attendance'!A17</x:f>
        <x:v>Alvine Oyonga</x:v>
      </x:c>
      <x:c r="B49" t="str">
        <x:f>'Employee Attendance'!B17</x:f>
        <x:v>Kenya</x:v>
      </x:c>
      <x:c r="C49" t="str">
        <x:f>'Employee Attendance'!C17</x:f>
        <x:v>KE</x:v>
      </x:c>
      <x:c r="D49" t="str">
        <x:f>'Employee Attendance'!D17</x:f>
        <x:v>alvine.oyonga@pwc.com</x:v>
      </x:c>
      <x:c r="E49" t="str">
        <x:f>"Combined"</x:f>
        <x:v>Combined</x:v>
      </x:c>
      <x:c r="F49" s="14" t="n">
        <x:f>'Employee Attendance'!I17</x:f>
        <x:v>0.14908564814814815</x:v>
      </x:c>
      <x:c r="G49" t="n">
        <x:f>F49*86400</x:f>
        <x:v>12881</x:v>
      </x:c>
      <x:c r="H49" t="str">
        <x:f>'Employee Attendance'!J17</x:f>
        <x:v>Fully attended</x:v>
      </x:c>
      <x:c r="I49" t="str">
        <x:f>IF(OR('Employee Attendance'!K17="Yes",'Employee Attendance'!L17="Yes"),"Yes","No")</x:f>
        <x:v>Yes</x:v>
      </x:c>
    </x:row>
    <x:row r="50">
      <x:c r="A50" t="str">
        <x:f>'Employee Attendance'!A18</x:f>
        <x:v>Amani Mbajo</x:v>
      </x:c>
      <x:c r="B50" t="str">
        <x:f>'Employee Attendance'!B18</x:f>
        <x:v>Tanzania</x:v>
      </x:c>
      <x:c r="C50" t="str">
        <x:f>'Employee Attendance'!C18</x:f>
        <x:v>TZ</x:v>
      </x:c>
      <x:c r="D50" t="str">
        <x:f>'Employee Attendance'!D18</x:f>
        <x:v>amani.mbajo@pwc.com</x:v>
      </x:c>
      <x:c r="E50" t="str">
        <x:f>"Option 1"</x:f>
        <x:v>Option 1</x:v>
      </x:c>
      <x:c r="F50" s="14" t="n">
        <x:f>'Employee Attendance'!E18</x:f>
        <x:v>0</x:v>
      </x:c>
      <x:c r="G50" t="n">
        <x:f>F50*86400</x:f>
        <x:v>0</x:v>
      </x:c>
      <x:c r="H50" t="str">
        <x:f>'Employee Attendance'!F18</x:f>
        <x:v>Did not attend</x:v>
      </x:c>
      <x:c r="I50" t="str">
        <x:f>'Employee Attendance'!K18</x:f>
        <x:v>No</x:v>
      </x:c>
    </x:row>
    <x:row r="51">
      <x:c r="A51" t="str">
        <x:f>'Employee Attendance'!A18</x:f>
        <x:v>Amani Mbajo</x:v>
      </x:c>
      <x:c r="B51" t="str">
        <x:f>'Employee Attendance'!B18</x:f>
        <x:v>Tanzania</x:v>
      </x:c>
      <x:c r="C51" t="str">
        <x:f>'Employee Attendance'!C18</x:f>
        <x:v>TZ</x:v>
      </x:c>
      <x:c r="D51" t="str">
        <x:f>'Employee Attendance'!D18</x:f>
        <x:v>amani.mbajo@pwc.com</x:v>
      </x:c>
      <x:c r="E51" t="str">
        <x:f>"Option 2"</x:f>
        <x:v>Option 2</x:v>
      </x:c>
      <x:c r="F51" s="14" t="n">
        <x:f>'Employee Attendance'!G18</x:f>
        <x:v>0.088125</x:v>
      </x:c>
      <x:c r="G51" t="n">
        <x:f>F51*86400</x:f>
        <x:v>7614</x:v>
      </x:c>
      <x:c r="H51" t="str">
        <x:f>'Employee Attendance'!H18</x:f>
        <x:v>Fully attended</x:v>
      </x:c>
      <x:c r="I51" t="str">
        <x:f>'Employee Attendance'!L18</x:f>
        <x:v>Yes</x:v>
      </x:c>
    </x:row>
    <x:row r="52">
      <x:c r="A52" t="str">
        <x:f>'Employee Attendance'!A18</x:f>
        <x:v>Amani Mbajo</x:v>
      </x:c>
      <x:c r="B52" t="str">
        <x:f>'Employee Attendance'!B18</x:f>
        <x:v>Tanzania</x:v>
      </x:c>
      <x:c r="C52" t="str">
        <x:f>'Employee Attendance'!C18</x:f>
        <x:v>TZ</x:v>
      </x:c>
      <x:c r="D52" t="str">
        <x:f>'Employee Attendance'!D18</x:f>
        <x:v>amani.mbajo@pwc.com</x:v>
      </x:c>
      <x:c r="E52" t="str">
        <x:f>"Combined"</x:f>
        <x:v>Combined</x:v>
      </x:c>
      <x:c r="F52" s="14" t="n">
        <x:f>'Employee Attendance'!I18</x:f>
        <x:v>0.088125</x:v>
      </x:c>
      <x:c r="G52" t="n">
        <x:f>F52*86400</x:f>
        <x:v>7614</x:v>
      </x:c>
      <x:c r="H52" t="str">
        <x:f>'Employee Attendance'!J18</x:f>
        <x:v>Fully attended</x:v>
      </x:c>
      <x:c r="I52" t="str">
        <x:f>IF(OR('Employee Attendance'!K18="Yes",'Employee Attendance'!L18="Yes"),"Yes","No")</x:f>
        <x:v>Yes</x:v>
      </x:c>
    </x:row>
    <x:row r="53">
      <x:c r="A53" t="str">
        <x:f>'Employee Attendance'!A19</x:f>
        <x:v>Amos Masangwa</x:v>
      </x:c>
      <x:c r="B53" t="str">
        <x:f>'Employee Attendance'!B19</x:f>
        <x:v>Tanzania</x:v>
      </x:c>
      <x:c r="C53" t="str">
        <x:f>'Employee Attendance'!C19</x:f>
        <x:v>TZ</x:v>
      </x:c>
      <x:c r="D53" t="str">
        <x:f>'Employee Attendance'!D19</x:f>
        <x:v>amos.masangwa@pwc.com</x:v>
      </x:c>
      <x:c r="E53" t="str">
        <x:f>"Option 1"</x:f>
        <x:v>Option 1</x:v>
      </x:c>
      <x:c r="F53" s="14" t="n">
        <x:f>'Employee Attendance'!E19</x:f>
        <x:v>0</x:v>
      </x:c>
      <x:c r="G53" t="n">
        <x:f>F53*86400</x:f>
        <x:v>0</x:v>
      </x:c>
      <x:c r="H53" t="str">
        <x:f>'Employee Attendance'!F19</x:f>
        <x:v>Did not attend</x:v>
      </x:c>
      <x:c r="I53" t="str">
        <x:f>'Employee Attendance'!K19</x:f>
        <x:v>No</x:v>
      </x:c>
    </x:row>
    <x:row r="54">
      <x:c r="A54" t="str">
        <x:f>'Employee Attendance'!A19</x:f>
        <x:v>Amos Masangwa</x:v>
      </x:c>
      <x:c r="B54" t="str">
        <x:f>'Employee Attendance'!B19</x:f>
        <x:v>Tanzania</x:v>
      </x:c>
      <x:c r="C54" t="str">
        <x:f>'Employee Attendance'!C19</x:f>
        <x:v>TZ</x:v>
      </x:c>
      <x:c r="D54" t="str">
        <x:f>'Employee Attendance'!D19</x:f>
        <x:v>amos.masangwa@pwc.com</x:v>
      </x:c>
      <x:c r="E54" t="str">
        <x:f>"Option 2"</x:f>
        <x:v>Option 2</x:v>
      </x:c>
      <x:c r="F54" s="14" t="n">
        <x:f>'Employee Attendance'!G19</x:f>
        <x:v>0.019282407407407408</x:v>
      </x:c>
      <x:c r="G54" t="n">
        <x:f>F54*86400</x:f>
        <x:v>1666</x:v>
      </x:c>
      <x:c r="H54" t="str">
        <x:f>'Employee Attendance'!H19</x:f>
        <x:v>Partially attended</x:v>
      </x:c>
      <x:c r="I54" t="str">
        <x:f>'Employee Attendance'!L19</x:f>
        <x:v>Yes</x:v>
      </x:c>
    </x:row>
    <x:row r="55">
      <x:c r="A55" t="str">
        <x:f>'Employee Attendance'!A19</x:f>
        <x:v>Amos Masangwa</x:v>
      </x:c>
      <x:c r="B55" t="str">
        <x:f>'Employee Attendance'!B19</x:f>
        <x:v>Tanzania</x:v>
      </x:c>
      <x:c r="C55" t="str">
        <x:f>'Employee Attendance'!C19</x:f>
        <x:v>TZ</x:v>
      </x:c>
      <x:c r="D55" t="str">
        <x:f>'Employee Attendance'!D19</x:f>
        <x:v>amos.masangwa@pwc.com</x:v>
      </x:c>
      <x:c r="E55" t="str">
        <x:f>"Combined"</x:f>
        <x:v>Combined</x:v>
      </x:c>
      <x:c r="F55" s="14" t="n">
        <x:f>'Employee Attendance'!I19</x:f>
        <x:v>0.019282407407407408</x:v>
      </x:c>
      <x:c r="G55" t="n">
        <x:f>F55*86400</x:f>
        <x:v>1666</x:v>
      </x:c>
      <x:c r="H55" t="str">
        <x:f>'Employee Attendance'!J19</x:f>
        <x:v>Partially attended</x:v>
      </x:c>
      <x:c r="I55" t="str">
        <x:f>IF(OR('Employee Attendance'!K19="Yes",'Employee Attendance'!L19="Yes"),"Yes","No")</x:f>
        <x:v>Yes</x:v>
      </x:c>
    </x:row>
    <x:row r="56">
      <x:c r="A56" t="str">
        <x:f>'Employee Attendance'!A20</x:f>
        <x:v>Andrew Chibuye</x:v>
      </x:c>
      <x:c r="B56" t="str">
        <x:f>'Employee Attendance'!B20</x:f>
        <x:v>Zambia</x:v>
      </x:c>
      <x:c r="C56" t="str">
        <x:f>'Employee Attendance'!C20</x:f>
        <x:v>ZM</x:v>
      </x:c>
      <x:c r="D56" t="str">
        <x:f>'Employee Attendance'!D20</x:f>
        <x:v>andrew.chibuye@pwc.com</x:v>
      </x:c>
      <x:c r="E56" t="str">
        <x:f>"Option 1"</x:f>
        <x:v>Option 1</x:v>
      </x:c>
      <x:c r="F56" s="14" t="n">
        <x:f>'Employee Attendance'!E20</x:f>
        <x:v>0.08268518518518518</x:v>
      </x:c>
      <x:c r="G56" t="n">
        <x:f>F56*86400</x:f>
        <x:v>7144</x:v>
      </x:c>
      <x:c r="H56" t="str">
        <x:f>'Employee Attendance'!F20</x:f>
        <x:v>Fully attended</x:v>
      </x:c>
      <x:c r="I56" t="str">
        <x:f>'Employee Attendance'!K20</x:f>
        <x:v>Yes</x:v>
      </x:c>
    </x:row>
    <x:row r="57">
      <x:c r="A57" t="str">
        <x:f>'Employee Attendance'!A20</x:f>
        <x:v>Andrew Chibuye</x:v>
      </x:c>
      <x:c r="B57" t="str">
        <x:f>'Employee Attendance'!B20</x:f>
        <x:v>Zambia</x:v>
      </x:c>
      <x:c r="C57" t="str">
        <x:f>'Employee Attendance'!C20</x:f>
        <x:v>ZM</x:v>
      </x:c>
      <x:c r="D57" t="str">
        <x:f>'Employee Attendance'!D20</x:f>
        <x:v>andrew.chibuye@pwc.com</x:v>
      </x:c>
      <x:c r="E57" t="str">
        <x:f>"Option 2"</x:f>
        <x:v>Option 2</x:v>
      </x:c>
      <x:c r="F57" s="14" t="n">
        <x:f>'Employee Attendance'!G20</x:f>
        <x:v>0.07362268518518518</x:v>
      </x:c>
      <x:c r="G57" t="n">
        <x:f>F57*86400</x:f>
        <x:v>6360.999999999999</x:v>
      </x:c>
      <x:c r="H57" t="str">
        <x:f>'Employee Attendance'!H20</x:f>
        <x:v>Fully attended</x:v>
      </x:c>
      <x:c r="I57" t="str">
        <x:f>'Employee Attendance'!L20</x:f>
        <x:v>Yes</x:v>
      </x:c>
    </x:row>
    <x:row r="58">
      <x:c r="A58" t="str">
        <x:f>'Employee Attendance'!A20</x:f>
        <x:v>Andrew Chibuye</x:v>
      </x:c>
      <x:c r="B58" t="str">
        <x:f>'Employee Attendance'!B20</x:f>
        <x:v>Zambia</x:v>
      </x:c>
      <x:c r="C58" t="str">
        <x:f>'Employee Attendance'!C20</x:f>
        <x:v>ZM</x:v>
      </x:c>
      <x:c r="D58" t="str">
        <x:f>'Employee Attendance'!D20</x:f>
        <x:v>andrew.chibuye@pwc.com</x:v>
      </x:c>
      <x:c r="E58" t="str">
        <x:f>"Combined"</x:f>
        <x:v>Combined</x:v>
      </x:c>
      <x:c r="F58" s="14" t="n">
        <x:f>'Employee Attendance'!I20</x:f>
        <x:v>0.15630787037037036</x:v>
      </x:c>
      <x:c r="G58" t="n">
        <x:f>F58*86400</x:f>
        <x:v>13505</x:v>
      </x:c>
      <x:c r="H58" t="str">
        <x:f>'Employee Attendance'!J20</x:f>
        <x:v>Fully attended</x:v>
      </x:c>
      <x:c r="I58" t="str">
        <x:f>IF(OR('Employee Attendance'!K20="Yes",'Employee Attendance'!L20="Yes"),"Yes","No")</x:f>
        <x:v>Yes</x:v>
      </x:c>
    </x:row>
    <x:row r="59">
      <x:c r="A59" t="str">
        <x:f>'Employee Attendance'!A21</x:f>
        <x:v>Andrew Musyimi</x:v>
      </x:c>
      <x:c r="B59" t="str">
        <x:f>'Employee Attendance'!B21</x:f>
        <x:v>Kenya</x:v>
      </x:c>
      <x:c r="C59" t="str">
        <x:f>'Employee Attendance'!C21</x:f>
        <x:v>KE</x:v>
      </x:c>
      <x:c r="D59" t="str">
        <x:f>'Employee Attendance'!D21</x:f>
        <x:v>andrew.musyimi@pwc.com</x:v>
      </x:c>
      <x:c r="E59" t="str">
        <x:f>"Option 1"</x:f>
        <x:v>Option 1</x:v>
      </x:c>
      <x:c r="F59" s="14" t="n">
        <x:f>'Employee Attendance'!E21</x:f>
        <x:v>0</x:v>
      </x:c>
      <x:c r="G59" t="n">
        <x:f>F59*86400</x:f>
        <x:v>0</x:v>
      </x:c>
      <x:c r="H59" t="str">
        <x:f>'Employee Attendance'!F21</x:f>
        <x:v>Did not attend</x:v>
      </x:c>
      <x:c r="I59" t="str">
        <x:f>'Employee Attendance'!K21</x:f>
        <x:v>No</x:v>
      </x:c>
    </x:row>
    <x:row r="60">
      <x:c r="A60" t="str">
        <x:f>'Employee Attendance'!A21</x:f>
        <x:v>Andrew Musyimi</x:v>
      </x:c>
      <x:c r="B60" t="str">
        <x:f>'Employee Attendance'!B21</x:f>
        <x:v>Kenya</x:v>
      </x:c>
      <x:c r="C60" t="str">
        <x:f>'Employee Attendance'!C21</x:f>
        <x:v>KE</x:v>
      </x:c>
      <x:c r="D60" t="str">
        <x:f>'Employee Attendance'!D21</x:f>
        <x:v>andrew.musyimi@pwc.com</x:v>
      </x:c>
      <x:c r="E60" t="str">
        <x:f>"Option 2"</x:f>
        <x:v>Option 2</x:v>
      </x:c>
      <x:c r="F60" s="14" t="n">
        <x:f>'Employee Attendance'!G21</x:f>
        <x:v>0.08614583333333334</x:v>
      </x:c>
      <x:c r="G60" t="n">
        <x:f>F60*86400</x:f>
        <x:v>7443</x:v>
      </x:c>
      <x:c r="H60" t="str">
        <x:f>'Employee Attendance'!H21</x:f>
        <x:v>Fully attended</x:v>
      </x:c>
      <x:c r="I60" t="str">
        <x:f>'Employee Attendance'!L21</x:f>
        <x:v>Yes</x:v>
      </x:c>
    </x:row>
    <x:row r="61">
      <x:c r="A61" t="str">
        <x:f>'Employee Attendance'!A21</x:f>
        <x:v>Andrew Musyimi</x:v>
      </x:c>
      <x:c r="B61" t="str">
        <x:f>'Employee Attendance'!B21</x:f>
        <x:v>Kenya</x:v>
      </x:c>
      <x:c r="C61" t="str">
        <x:f>'Employee Attendance'!C21</x:f>
        <x:v>KE</x:v>
      </x:c>
      <x:c r="D61" t="str">
        <x:f>'Employee Attendance'!D21</x:f>
        <x:v>andrew.musyimi@pwc.com</x:v>
      </x:c>
      <x:c r="E61" t="str">
        <x:f>"Combined"</x:f>
        <x:v>Combined</x:v>
      </x:c>
      <x:c r="F61" s="14" t="n">
        <x:f>'Employee Attendance'!I21</x:f>
        <x:v>0.08614583333333334</x:v>
      </x:c>
      <x:c r="G61" t="n">
        <x:f>F61*86400</x:f>
        <x:v>7443</x:v>
      </x:c>
      <x:c r="H61" t="str">
        <x:f>'Employee Attendance'!J21</x:f>
        <x:v>Fully attended</x:v>
      </x:c>
      <x:c r="I61" t="str">
        <x:f>IF(OR('Employee Attendance'!K21="Yes",'Employee Attendance'!L21="Yes"),"Yes","No")</x:f>
        <x:v>Yes</x:v>
      </x:c>
    </x:row>
    <x:row r="62">
      <x:c r="A62" t="str">
        <x:f>'Employee Attendance'!A22</x:f>
        <x:v>Anel Eksteen</x:v>
      </x:c>
      <x:c r="B62" t="str">
        <x:f>'Employee Attendance'!B22</x:f>
        <x:v>South Africa</x:v>
      </x:c>
      <x:c r="C62" t="str">
        <x:f>'Employee Attendance'!C22</x:f>
        <x:v>ZA</x:v>
      </x:c>
      <x:c r="D62" t="str">
        <x:f>'Employee Attendance'!D22</x:f>
        <x:v>anel.eksteen@pwc.com</x:v>
      </x:c>
      <x:c r="E62" t="str">
        <x:f>"Option 1"</x:f>
        <x:v>Option 1</x:v>
      </x:c>
      <x:c r="F62" s="14" t="n">
        <x:f>'Employee Attendance'!E22</x:f>
        <x:v>0.0796412037037037</x:v>
      </x:c>
      <x:c r="G62" t="n">
        <x:f>F62*86400</x:f>
        <x:v>6881</x:v>
      </x:c>
      <x:c r="H62" t="str">
        <x:f>'Employee Attendance'!F22</x:f>
        <x:v>Fully attended</x:v>
      </x:c>
      <x:c r="I62" t="str">
        <x:f>'Employee Attendance'!K22</x:f>
        <x:v>Yes</x:v>
      </x:c>
    </x:row>
    <x:row r="63">
      <x:c r="A63" t="str">
        <x:f>'Employee Attendance'!A22</x:f>
        <x:v>Anel Eksteen</x:v>
      </x:c>
      <x:c r="B63" t="str">
        <x:f>'Employee Attendance'!B22</x:f>
        <x:v>South Africa</x:v>
      </x:c>
      <x:c r="C63" t="str">
        <x:f>'Employee Attendance'!C22</x:f>
        <x:v>ZA</x:v>
      </x:c>
      <x:c r="D63" t="str">
        <x:f>'Employee Attendance'!D22</x:f>
        <x:v>anel.eksteen@pwc.com</x:v>
      </x:c>
      <x:c r="E63" t="str">
        <x:f>"Option 2"</x:f>
        <x:v>Option 2</x:v>
      </x:c>
      <x:c r="F63" s="14" t="n">
        <x:f>'Employee Attendance'!G22</x:f>
        <x:v>0.08761574074074074</x:v>
      </x:c>
      <x:c r="G63" t="n">
        <x:f>F63*86400</x:f>
        <x:v>7570</x:v>
      </x:c>
      <x:c r="H63" t="str">
        <x:f>'Employee Attendance'!H22</x:f>
        <x:v>Fully attended</x:v>
      </x:c>
      <x:c r="I63" t="str">
        <x:f>'Employee Attendance'!L22</x:f>
        <x:v>Yes</x:v>
      </x:c>
    </x:row>
    <x:row r="64">
      <x:c r="A64" t="str">
        <x:f>'Employee Attendance'!A22</x:f>
        <x:v>Anel Eksteen</x:v>
      </x:c>
      <x:c r="B64" t="str">
        <x:f>'Employee Attendance'!B22</x:f>
        <x:v>South Africa</x:v>
      </x:c>
      <x:c r="C64" t="str">
        <x:f>'Employee Attendance'!C22</x:f>
        <x:v>ZA</x:v>
      </x:c>
      <x:c r="D64" t="str">
        <x:f>'Employee Attendance'!D22</x:f>
        <x:v>anel.eksteen@pwc.com</x:v>
      </x:c>
      <x:c r="E64" t="str">
        <x:f>"Combined"</x:f>
        <x:v>Combined</x:v>
      </x:c>
      <x:c r="F64" s="14" t="n">
        <x:f>'Employee Attendance'!I22</x:f>
        <x:v>0.16725694444444444</x:v>
      </x:c>
      <x:c r="G64" t="n">
        <x:f>F64*86400</x:f>
        <x:v>14451</x:v>
      </x:c>
      <x:c r="H64" t="str">
        <x:f>'Employee Attendance'!J22</x:f>
        <x:v>Fully attended</x:v>
      </x:c>
      <x:c r="I64" t="str">
        <x:f>IF(OR('Employee Attendance'!K22="Yes",'Employee Attendance'!L22="Yes"),"Yes","No")</x:f>
        <x:v>Yes</x:v>
      </x:c>
    </x:row>
    <x:row r="65">
      <x:c r="A65" t="str">
        <x:f>'Employee Attendance'!A23</x:f>
        <x:v>Anesius Kambei</x:v>
      </x:c>
      <x:c r="B65" t="str">
        <x:f>'Employee Attendance'!B23</x:f>
        <x:v>Tanzania</x:v>
      </x:c>
      <x:c r="C65" t="str">
        <x:f>'Employee Attendance'!C23</x:f>
        <x:v>TZ</x:v>
      </x:c>
      <x:c r="D65" t="str">
        <x:f>'Employee Attendance'!D23</x:f>
        <x:v>anesius.kambei@pwc.com</x:v>
      </x:c>
      <x:c r="E65" t="str">
        <x:f>"Option 1"</x:f>
        <x:v>Option 1</x:v>
      </x:c>
      <x:c r="F65" s="14" t="n">
        <x:f>'Employee Attendance'!E23</x:f>
        <x:v>0</x:v>
      </x:c>
      <x:c r="G65" t="n">
        <x:f>F65*86400</x:f>
        <x:v>0</x:v>
      </x:c>
      <x:c r="H65" t="str">
        <x:f>'Employee Attendance'!F23</x:f>
        <x:v>Did not attend</x:v>
      </x:c>
      <x:c r="I65" t="str">
        <x:f>'Employee Attendance'!K23</x:f>
        <x:v>No</x:v>
      </x:c>
    </x:row>
    <x:row r="66">
      <x:c r="A66" t="str">
        <x:f>'Employee Attendance'!A23</x:f>
        <x:v>Anesius Kambei</x:v>
      </x:c>
      <x:c r="B66" t="str">
        <x:f>'Employee Attendance'!B23</x:f>
        <x:v>Tanzania</x:v>
      </x:c>
      <x:c r="C66" t="str">
        <x:f>'Employee Attendance'!C23</x:f>
        <x:v>TZ</x:v>
      </x:c>
      <x:c r="D66" t="str">
        <x:f>'Employee Attendance'!D23</x:f>
        <x:v>anesius.kambei@pwc.com</x:v>
      </x:c>
      <x:c r="E66" t="str">
        <x:f>"Option 2"</x:f>
        <x:v>Option 2</x:v>
      </x:c>
      <x:c r="F66" s="14" t="n">
        <x:f>'Employee Attendance'!G23</x:f>
        <x:v>0</x:v>
      </x:c>
      <x:c r="G66" t="n">
        <x:f>F66*86400</x:f>
        <x:v>0</x:v>
      </x:c>
      <x:c r="H66" t="str">
        <x:f>'Employee Attendance'!H23</x:f>
        <x:v>Did not attend</x:v>
      </x:c>
      <x:c r="I66" t="str">
        <x:f>'Employee Attendance'!L23</x:f>
        <x:v>No</x:v>
      </x:c>
    </x:row>
    <x:row r="67">
      <x:c r="A67" t="str">
        <x:f>'Employee Attendance'!A23</x:f>
        <x:v>Anesius Kambei</x:v>
      </x:c>
      <x:c r="B67" t="str">
        <x:f>'Employee Attendance'!B23</x:f>
        <x:v>Tanzania</x:v>
      </x:c>
      <x:c r="C67" t="str">
        <x:f>'Employee Attendance'!C23</x:f>
        <x:v>TZ</x:v>
      </x:c>
      <x:c r="D67" t="str">
        <x:f>'Employee Attendance'!D23</x:f>
        <x:v>anesius.kambei@pwc.com</x:v>
      </x:c>
      <x:c r="E67" t="str">
        <x:f>"Combined"</x:f>
        <x:v>Combined</x:v>
      </x:c>
      <x:c r="F67" s="14" t="n">
        <x:f>'Employee Attendance'!I23</x:f>
        <x:v>0</x:v>
      </x:c>
      <x:c r="G67" t="n">
        <x:f>F67*86400</x:f>
        <x:v>0</x:v>
      </x:c>
      <x:c r="H67" t="str">
        <x:f>'Employee Attendance'!J23</x:f>
        <x:v>Did not attend</x:v>
      </x:c>
      <x:c r="I67" t="str">
        <x:f>IF(OR('Employee Attendance'!K23="Yes",'Employee Attendance'!L23="Yes"),"Yes","No")</x:f>
        <x:v>No</x:v>
      </x:c>
    </x:row>
    <x:row r="68">
      <x:c r="A68" t="str">
        <x:f>'Employee Attendance'!A24</x:f>
        <x:v>Angel Qamara</x:v>
      </x:c>
      <x:c r="B68" t="str">
        <x:f>'Employee Attendance'!B24</x:f>
        <x:v>Tanzania</x:v>
      </x:c>
      <x:c r="C68" t="str">
        <x:f>'Employee Attendance'!C24</x:f>
        <x:v>TZ</x:v>
      </x:c>
      <x:c r="D68" t="str">
        <x:f>'Employee Attendance'!D24</x:f>
        <x:v>angel.qamara@pwc.com</x:v>
      </x:c>
      <x:c r="E68" t="str">
        <x:f>"Option 1"</x:f>
        <x:v>Option 1</x:v>
      </x:c>
      <x:c r="F68" s="14" t="n">
        <x:f>'Employee Attendance'!E24</x:f>
        <x:v>0.07167824074074074</x:v>
      </x:c>
      <x:c r="G68" t="n">
        <x:f>F68*86400</x:f>
        <x:v>6193</x:v>
      </x:c>
      <x:c r="H68" t="str">
        <x:f>'Employee Attendance'!F24</x:f>
        <x:v>Fully attended</x:v>
      </x:c>
      <x:c r="I68" t="str">
        <x:f>'Employee Attendance'!K24</x:f>
        <x:v>Yes</x:v>
      </x:c>
    </x:row>
    <x:row r="69">
      <x:c r="A69" t="str">
        <x:f>'Employee Attendance'!A24</x:f>
        <x:v>Angel Qamara</x:v>
      </x:c>
      <x:c r="B69" t="str">
        <x:f>'Employee Attendance'!B24</x:f>
        <x:v>Tanzania</x:v>
      </x:c>
      <x:c r="C69" t="str">
        <x:f>'Employee Attendance'!C24</x:f>
        <x:v>TZ</x:v>
      </x:c>
      <x:c r="D69" t="str">
        <x:f>'Employee Attendance'!D24</x:f>
        <x:v>angel.qamara@pwc.com</x:v>
      </x:c>
      <x:c r="E69" t="str">
        <x:f>"Option 2"</x:f>
        <x:v>Option 2</x:v>
      </x:c>
      <x:c r="F69" s="14" t="n">
        <x:f>'Employee Attendance'!G24</x:f>
        <x:v>0.09048611111111111</x:v>
      </x:c>
      <x:c r="G69" t="n">
        <x:f>F69*86400</x:f>
        <x:v>7818</x:v>
      </x:c>
      <x:c r="H69" t="str">
        <x:f>'Employee Attendance'!H24</x:f>
        <x:v>Fully attended</x:v>
      </x:c>
      <x:c r="I69" t="str">
        <x:f>'Employee Attendance'!L24</x:f>
        <x:v>Yes</x:v>
      </x:c>
    </x:row>
    <x:row r="70">
      <x:c r="A70" t="str">
        <x:f>'Employee Attendance'!A24</x:f>
        <x:v>Angel Qamara</x:v>
      </x:c>
      <x:c r="B70" t="str">
        <x:f>'Employee Attendance'!B24</x:f>
        <x:v>Tanzania</x:v>
      </x:c>
      <x:c r="C70" t="str">
        <x:f>'Employee Attendance'!C24</x:f>
        <x:v>TZ</x:v>
      </x:c>
      <x:c r="D70" t="str">
        <x:f>'Employee Attendance'!D24</x:f>
        <x:v>angel.qamara@pwc.com</x:v>
      </x:c>
      <x:c r="E70" t="str">
        <x:f>"Combined"</x:f>
        <x:v>Combined</x:v>
      </x:c>
      <x:c r="F70" s="14" t="n">
        <x:f>'Employee Attendance'!I24</x:f>
        <x:v>0.16216435185185185</x:v>
      </x:c>
      <x:c r="G70" t="n">
        <x:f>F70*86400</x:f>
        <x:v>14011</x:v>
      </x:c>
      <x:c r="H70" t="str">
        <x:f>'Employee Attendance'!J24</x:f>
        <x:v>Fully attended</x:v>
      </x:c>
      <x:c r="I70" t="str">
        <x:f>IF(OR('Employee Attendance'!K24="Yes",'Employee Attendance'!L24="Yes"),"Yes","No")</x:f>
        <x:v>Yes</x:v>
      </x:c>
    </x:row>
    <x:row r="71">
      <x:c r="A71" t="str">
        <x:f>'Employee Attendance'!A25</x:f>
        <x:v>Angelah Mumbia</x:v>
      </x:c>
      <x:c r="B71" t="str">
        <x:f>'Employee Attendance'!B25</x:f>
        <x:v>Kenya</x:v>
      </x:c>
      <x:c r="C71" t="str">
        <x:f>'Employee Attendance'!C25</x:f>
        <x:v>KE</x:v>
      </x:c>
      <x:c r="D71" t="str">
        <x:f>'Employee Attendance'!D25</x:f>
        <x:v>angelah.mumbia@pwc.com</x:v>
      </x:c>
      <x:c r="E71" t="str">
        <x:f>"Option 1"</x:f>
        <x:v>Option 1</x:v>
      </x:c>
      <x:c r="F71" s="14" t="n">
        <x:f>'Employee Attendance'!E25</x:f>
        <x:v>0</x:v>
      </x:c>
      <x:c r="G71" t="n">
        <x:f>F71*86400</x:f>
        <x:v>0</x:v>
      </x:c>
      <x:c r="H71" t="str">
        <x:f>'Employee Attendance'!F25</x:f>
        <x:v>Did not attend</x:v>
      </x:c>
      <x:c r="I71" t="str">
        <x:f>'Employee Attendance'!K25</x:f>
        <x:v>No</x:v>
      </x:c>
    </x:row>
    <x:row r="72">
      <x:c r="A72" t="str">
        <x:f>'Employee Attendance'!A25</x:f>
        <x:v>Angelah Mumbia</x:v>
      </x:c>
      <x:c r="B72" t="str">
        <x:f>'Employee Attendance'!B25</x:f>
        <x:v>Kenya</x:v>
      </x:c>
      <x:c r="C72" t="str">
        <x:f>'Employee Attendance'!C25</x:f>
        <x:v>KE</x:v>
      </x:c>
      <x:c r="D72" t="str">
        <x:f>'Employee Attendance'!D25</x:f>
        <x:v>angelah.mumbia@pwc.com</x:v>
      </x:c>
      <x:c r="E72" t="str">
        <x:f>"Option 2"</x:f>
        <x:v>Option 2</x:v>
      </x:c>
      <x:c r="F72" s="14" t="n">
        <x:f>'Employee Attendance'!G25</x:f>
        <x:v>0.08238425925925925</x:v>
      </x:c>
      <x:c r="G72" t="n">
        <x:f>F72*86400</x:f>
        <x:v>7118</x:v>
      </x:c>
      <x:c r="H72" t="str">
        <x:f>'Employee Attendance'!H25</x:f>
        <x:v>Fully attended</x:v>
      </x:c>
      <x:c r="I72" t="str">
        <x:f>'Employee Attendance'!L25</x:f>
        <x:v>Yes</x:v>
      </x:c>
    </x:row>
    <x:row r="73">
      <x:c r="A73" t="str">
        <x:f>'Employee Attendance'!A25</x:f>
        <x:v>Angelah Mumbia</x:v>
      </x:c>
      <x:c r="B73" t="str">
        <x:f>'Employee Attendance'!B25</x:f>
        <x:v>Kenya</x:v>
      </x:c>
      <x:c r="C73" t="str">
        <x:f>'Employee Attendance'!C25</x:f>
        <x:v>KE</x:v>
      </x:c>
      <x:c r="D73" t="str">
        <x:f>'Employee Attendance'!D25</x:f>
        <x:v>angelah.mumbia@pwc.com</x:v>
      </x:c>
      <x:c r="E73" t="str">
        <x:f>"Combined"</x:f>
        <x:v>Combined</x:v>
      </x:c>
      <x:c r="F73" s="14" t="n">
        <x:f>'Employee Attendance'!I25</x:f>
        <x:v>0.08238425925925925</x:v>
      </x:c>
      <x:c r="G73" t="n">
        <x:f>F73*86400</x:f>
        <x:v>7118</x:v>
      </x:c>
      <x:c r="H73" t="str">
        <x:f>'Employee Attendance'!J25</x:f>
        <x:v>Fully attended</x:v>
      </x:c>
      <x:c r="I73" t="str">
        <x:f>IF(OR('Employee Attendance'!K25="Yes",'Employee Attendance'!L25="Yes"),"Yes","No")</x:f>
        <x:v>Yes</x:v>
      </x:c>
    </x:row>
    <x:row r="74">
      <x:c r="A74" t="str">
        <x:f>'Employee Attendance'!A26</x:f>
        <x:v>Angella Mwai</x:v>
      </x:c>
      <x:c r="B74" t="str">
        <x:f>'Employee Attendance'!B26</x:f>
        <x:v>Kenya</x:v>
      </x:c>
      <x:c r="C74" t="str">
        <x:f>'Employee Attendance'!C26</x:f>
        <x:v>KE</x:v>
      </x:c>
      <x:c r="D74" t="str">
        <x:f>'Employee Attendance'!D26</x:f>
        <x:v>angella.mwai@pwc.com</x:v>
      </x:c>
      <x:c r="E74" t="str">
        <x:f>"Option 1"</x:f>
        <x:v>Option 1</x:v>
      </x:c>
      <x:c r="F74" s="14" t="n">
        <x:f>'Employee Attendance'!E26</x:f>
        <x:v>0</x:v>
      </x:c>
      <x:c r="G74" t="n">
        <x:f>F74*86400</x:f>
        <x:v>0</x:v>
      </x:c>
      <x:c r="H74" t="str">
        <x:f>'Employee Attendance'!F26</x:f>
        <x:v>Did not attend</x:v>
      </x:c>
      <x:c r="I74" t="str">
        <x:f>'Employee Attendance'!K26</x:f>
        <x:v>No</x:v>
      </x:c>
    </x:row>
    <x:row r="75">
      <x:c r="A75" t="str">
        <x:f>'Employee Attendance'!A26</x:f>
        <x:v>Angella Mwai</x:v>
      </x:c>
      <x:c r="B75" t="str">
        <x:f>'Employee Attendance'!B26</x:f>
        <x:v>Kenya</x:v>
      </x:c>
      <x:c r="C75" t="str">
        <x:f>'Employee Attendance'!C26</x:f>
        <x:v>KE</x:v>
      </x:c>
      <x:c r="D75" t="str">
        <x:f>'Employee Attendance'!D26</x:f>
        <x:v>angella.mwai@pwc.com</x:v>
      </x:c>
      <x:c r="E75" t="str">
        <x:f>"Option 2"</x:f>
        <x:v>Option 2</x:v>
      </x:c>
      <x:c r="F75" s="14" t="n">
        <x:f>'Employee Attendance'!G26</x:f>
        <x:v>0.06497685185185186</x:v>
      </x:c>
      <x:c r="G75" t="n">
        <x:f>F75*86400</x:f>
        <x:v>5614</x:v>
      </x:c>
      <x:c r="H75" t="str">
        <x:f>'Employee Attendance'!H26</x:f>
        <x:v>Fully attended</x:v>
      </x:c>
      <x:c r="I75" t="str">
        <x:f>'Employee Attendance'!L26</x:f>
        <x:v>Yes</x:v>
      </x:c>
    </x:row>
    <x:row r="76">
      <x:c r="A76" t="str">
        <x:f>'Employee Attendance'!A26</x:f>
        <x:v>Angella Mwai</x:v>
      </x:c>
      <x:c r="B76" t="str">
        <x:f>'Employee Attendance'!B26</x:f>
        <x:v>Kenya</x:v>
      </x:c>
      <x:c r="C76" t="str">
        <x:f>'Employee Attendance'!C26</x:f>
        <x:v>KE</x:v>
      </x:c>
      <x:c r="D76" t="str">
        <x:f>'Employee Attendance'!D26</x:f>
        <x:v>angella.mwai@pwc.com</x:v>
      </x:c>
      <x:c r="E76" t="str">
        <x:f>"Combined"</x:f>
        <x:v>Combined</x:v>
      </x:c>
      <x:c r="F76" s="14" t="n">
        <x:f>'Employee Attendance'!I26</x:f>
        <x:v>0.06497685185185186</x:v>
      </x:c>
      <x:c r="G76" t="n">
        <x:f>F76*86400</x:f>
        <x:v>5614</x:v>
      </x:c>
      <x:c r="H76" t="str">
        <x:f>'Employee Attendance'!J26</x:f>
        <x:v>Fully attended</x:v>
      </x:c>
      <x:c r="I76" t="str">
        <x:f>IF(OR('Employee Attendance'!K26="Yes",'Employee Attendance'!L26="Yes"),"Yes","No")</x:f>
        <x:v>Yes</x:v>
      </x:c>
    </x:row>
    <x:row r="77">
      <x:c r="A77" t="str">
        <x:f>'Employee Attendance'!A27</x:f>
        <x:v>Anish Ramdhonee</x:v>
      </x:c>
      <x:c r="B77" t="str">
        <x:f>'Employee Attendance'!B27</x:f>
        <x:v>Mauritius</x:v>
      </x:c>
      <x:c r="C77" t="str">
        <x:f>'Employee Attendance'!C27</x:f>
        <x:v>MU</x:v>
      </x:c>
      <x:c r="D77" t="str">
        <x:f>'Employee Attendance'!D27</x:f>
        <x:v>anish.r.ramdhonee@pwc.com</x:v>
      </x:c>
      <x:c r="E77" t="str">
        <x:f>"Option 1"</x:f>
        <x:v>Option 1</x:v>
      </x:c>
      <x:c r="F77" s="14" t="n">
        <x:f>'Employee Attendance'!E27</x:f>
        <x:v>0</x:v>
      </x:c>
      <x:c r="G77" t="n">
        <x:f>F77*86400</x:f>
        <x:v>0</x:v>
      </x:c>
      <x:c r="H77" t="str">
        <x:f>'Employee Attendance'!F27</x:f>
        <x:v>Did not attend</x:v>
      </x:c>
      <x:c r="I77" t="str">
        <x:f>'Employee Attendance'!K27</x:f>
        <x:v>No</x:v>
      </x:c>
    </x:row>
    <x:row r="78">
      <x:c r="A78" t="str">
        <x:f>'Employee Attendance'!A27</x:f>
        <x:v>Anish Ramdhonee</x:v>
      </x:c>
      <x:c r="B78" t="str">
        <x:f>'Employee Attendance'!B27</x:f>
        <x:v>Mauritius</x:v>
      </x:c>
      <x:c r="C78" t="str">
        <x:f>'Employee Attendance'!C27</x:f>
        <x:v>MU</x:v>
      </x:c>
      <x:c r="D78" t="str">
        <x:f>'Employee Attendance'!D27</x:f>
        <x:v>anish.r.ramdhonee@pwc.com</x:v>
      </x:c>
      <x:c r="E78" t="str">
        <x:f>"Option 2"</x:f>
        <x:v>Option 2</x:v>
      </x:c>
      <x:c r="F78" s="14" t="n">
        <x:f>'Employee Attendance'!G27</x:f>
        <x:v>0.08798611111111111</x:v>
      </x:c>
      <x:c r="G78" t="n">
        <x:f>F78*86400</x:f>
        <x:v>7602</x:v>
      </x:c>
      <x:c r="H78" t="str">
        <x:f>'Employee Attendance'!H27</x:f>
        <x:v>Fully attended</x:v>
      </x:c>
      <x:c r="I78" t="str">
        <x:f>'Employee Attendance'!L27</x:f>
        <x:v>Yes</x:v>
      </x:c>
    </x:row>
    <x:row r="79">
      <x:c r="A79" t="str">
        <x:f>'Employee Attendance'!A27</x:f>
        <x:v>Anish Ramdhonee</x:v>
      </x:c>
      <x:c r="B79" t="str">
        <x:f>'Employee Attendance'!B27</x:f>
        <x:v>Mauritius</x:v>
      </x:c>
      <x:c r="C79" t="str">
        <x:f>'Employee Attendance'!C27</x:f>
        <x:v>MU</x:v>
      </x:c>
      <x:c r="D79" t="str">
        <x:f>'Employee Attendance'!D27</x:f>
        <x:v>anish.r.ramdhonee@pwc.com</x:v>
      </x:c>
      <x:c r="E79" t="str">
        <x:f>"Combined"</x:f>
        <x:v>Combined</x:v>
      </x:c>
      <x:c r="F79" s="14" t="n">
        <x:f>'Employee Attendance'!I27</x:f>
        <x:v>0.08798611111111111</x:v>
      </x:c>
      <x:c r="G79" t="n">
        <x:f>F79*86400</x:f>
        <x:v>7602</x:v>
      </x:c>
      <x:c r="H79" t="str">
        <x:f>'Employee Attendance'!J27</x:f>
        <x:v>Fully attended</x:v>
      </x:c>
      <x:c r="I79" t="str">
        <x:f>IF(OR('Employee Attendance'!K27="Yes",'Employee Attendance'!L27="Yes"),"Yes","No")</x:f>
        <x:v>Yes</x:v>
      </x:c>
    </x:row>
    <x:row r="80">
      <x:c r="A80" t="str">
        <x:f>'Employee Attendance'!A28</x:f>
        <x:v>Anjela Papiah</x:v>
      </x:c>
      <x:c r="B80" t="str">
        <x:f>'Employee Attendance'!B28</x:f>
        <x:v>Mauritius</x:v>
      </x:c>
      <x:c r="C80" t="str">
        <x:f>'Employee Attendance'!C28</x:f>
        <x:v>MU</x:v>
      </x:c>
      <x:c r="D80" t="str">
        <x:f>'Employee Attendance'!D28</x:f>
        <x:v>anjelah.papiah@pwc.com</x:v>
      </x:c>
      <x:c r="E80" t="str">
        <x:f>"Option 1"</x:f>
        <x:v>Option 1</x:v>
      </x:c>
      <x:c r="F80" s="14" t="n">
        <x:f>'Employee Attendance'!E28</x:f>
        <x:v>0</x:v>
      </x:c>
      <x:c r="G80" t="n">
        <x:f>F80*86400</x:f>
        <x:v>0</x:v>
      </x:c>
      <x:c r="H80" t="str">
        <x:f>'Employee Attendance'!F28</x:f>
        <x:v>Did not attend</x:v>
      </x:c>
      <x:c r="I80" t="str">
        <x:f>'Employee Attendance'!K28</x:f>
        <x:v>No</x:v>
      </x:c>
    </x:row>
    <x:row r="81">
      <x:c r="A81" t="str">
        <x:f>'Employee Attendance'!A28</x:f>
        <x:v>Anjela Papiah</x:v>
      </x:c>
      <x:c r="B81" t="str">
        <x:f>'Employee Attendance'!B28</x:f>
        <x:v>Mauritius</x:v>
      </x:c>
      <x:c r="C81" t="str">
        <x:f>'Employee Attendance'!C28</x:f>
        <x:v>MU</x:v>
      </x:c>
      <x:c r="D81" t="str">
        <x:f>'Employee Attendance'!D28</x:f>
        <x:v>anjelah.papiah@pwc.com</x:v>
      </x:c>
      <x:c r="E81" t="str">
        <x:f>"Option 2"</x:f>
        <x:v>Option 2</x:v>
      </x:c>
      <x:c r="F81" s="14" t="n">
        <x:f>'Employee Attendance'!G28</x:f>
        <x:v>0.07805555555555556</x:v>
      </x:c>
      <x:c r="G81" t="n">
        <x:f>F81*86400</x:f>
        <x:v>6744</x:v>
      </x:c>
      <x:c r="H81" t="str">
        <x:f>'Employee Attendance'!H28</x:f>
        <x:v>Fully attended</x:v>
      </x:c>
      <x:c r="I81" t="str">
        <x:f>'Employee Attendance'!L28</x:f>
        <x:v>Yes</x:v>
      </x:c>
    </x:row>
    <x:row r="82">
      <x:c r="A82" t="str">
        <x:f>'Employee Attendance'!A28</x:f>
        <x:v>Anjela Papiah</x:v>
      </x:c>
      <x:c r="B82" t="str">
        <x:f>'Employee Attendance'!B28</x:f>
        <x:v>Mauritius</x:v>
      </x:c>
      <x:c r="C82" t="str">
        <x:f>'Employee Attendance'!C28</x:f>
        <x:v>MU</x:v>
      </x:c>
      <x:c r="D82" t="str">
        <x:f>'Employee Attendance'!D28</x:f>
        <x:v>anjelah.papiah@pwc.com</x:v>
      </x:c>
      <x:c r="E82" t="str">
        <x:f>"Combined"</x:f>
        <x:v>Combined</x:v>
      </x:c>
      <x:c r="F82" s="14" t="n">
        <x:f>'Employee Attendance'!I28</x:f>
        <x:v>0.07805555555555556</x:v>
      </x:c>
      <x:c r="G82" t="n">
        <x:f>F82*86400</x:f>
        <x:v>6744</x:v>
      </x:c>
      <x:c r="H82" t="str">
        <x:f>'Employee Attendance'!J28</x:f>
        <x:v>Fully attended</x:v>
      </x:c>
      <x:c r="I82" t="str">
        <x:f>IF(OR('Employee Attendance'!K28="Yes",'Employee Attendance'!L28="Yes"),"Yes","No")</x:f>
        <x:v>Yes</x:v>
      </x:c>
    </x:row>
    <x:row r="83">
      <x:c r="A83" t="str">
        <x:f>'Employee Attendance'!A29</x:f>
        <x:v>Anju Sunnassy</x:v>
      </x:c>
      <x:c r="B83" t="str">
        <x:f>'Employee Attendance'!B29</x:f>
        <x:v>Mauritius</x:v>
      </x:c>
      <x:c r="C83" t="str">
        <x:f>'Employee Attendance'!C29</x:f>
        <x:v>MU</x:v>
      </x:c>
      <x:c r="D83" t="str">
        <x:f>'Employee Attendance'!D29</x:f>
        <x:v>anju.sunnassy@pwc.com</x:v>
      </x:c>
      <x:c r="E83" t="str">
        <x:f>"Option 1"</x:f>
        <x:v>Option 1</x:v>
      </x:c>
      <x:c r="F83" s="14" t="n">
        <x:f>'Employee Attendance'!E29</x:f>
        <x:v>0</x:v>
      </x:c>
      <x:c r="G83" t="n">
        <x:f>F83*86400</x:f>
        <x:v>0</x:v>
      </x:c>
      <x:c r="H83" t="str">
        <x:f>'Employee Attendance'!F29</x:f>
        <x:v>Did not attend</x:v>
      </x:c>
      <x:c r="I83" t="str">
        <x:f>'Employee Attendance'!K29</x:f>
        <x:v>No</x:v>
      </x:c>
    </x:row>
    <x:row r="84">
      <x:c r="A84" t="str">
        <x:f>'Employee Attendance'!A29</x:f>
        <x:v>Anju Sunnassy</x:v>
      </x:c>
      <x:c r="B84" t="str">
        <x:f>'Employee Attendance'!B29</x:f>
        <x:v>Mauritius</x:v>
      </x:c>
      <x:c r="C84" t="str">
        <x:f>'Employee Attendance'!C29</x:f>
        <x:v>MU</x:v>
      </x:c>
      <x:c r="D84" t="str">
        <x:f>'Employee Attendance'!D29</x:f>
        <x:v>anju.sunnassy@pwc.com</x:v>
      </x:c>
      <x:c r="E84" t="str">
        <x:f>"Option 2"</x:f>
        <x:v>Option 2</x:v>
      </x:c>
      <x:c r="F84" s="14" t="n">
        <x:f>'Employee Attendance'!G29</x:f>
        <x:v>0.08733796296296296</x:v>
      </x:c>
      <x:c r="G84" t="n">
        <x:f>F84*86400</x:f>
        <x:v>7546</x:v>
      </x:c>
      <x:c r="H84" t="str">
        <x:f>'Employee Attendance'!H29</x:f>
        <x:v>Fully attended</x:v>
      </x:c>
      <x:c r="I84" t="str">
        <x:f>'Employee Attendance'!L29</x:f>
        <x:v>Yes</x:v>
      </x:c>
    </x:row>
    <x:row r="85">
      <x:c r="A85" t="str">
        <x:f>'Employee Attendance'!A29</x:f>
        <x:v>Anju Sunnassy</x:v>
      </x:c>
      <x:c r="B85" t="str">
        <x:f>'Employee Attendance'!B29</x:f>
        <x:v>Mauritius</x:v>
      </x:c>
      <x:c r="C85" t="str">
        <x:f>'Employee Attendance'!C29</x:f>
        <x:v>MU</x:v>
      </x:c>
      <x:c r="D85" t="str">
        <x:f>'Employee Attendance'!D29</x:f>
        <x:v>anju.sunnassy@pwc.com</x:v>
      </x:c>
      <x:c r="E85" t="str">
        <x:f>"Combined"</x:f>
        <x:v>Combined</x:v>
      </x:c>
      <x:c r="F85" s="14" t="n">
        <x:f>'Employee Attendance'!I29</x:f>
        <x:v>0.08733796296296296</x:v>
      </x:c>
      <x:c r="G85" t="n">
        <x:f>F85*86400</x:f>
        <x:v>7546</x:v>
      </x:c>
      <x:c r="H85" t="str">
        <x:f>'Employee Attendance'!J29</x:f>
        <x:v>Fully attended</x:v>
      </x:c>
      <x:c r="I85" t="str">
        <x:f>IF(OR('Employee Attendance'!K29="Yes",'Employee Attendance'!L29="Yes"),"Yes","No")</x:f>
        <x:v>Yes</x:v>
      </x:c>
    </x:row>
    <x:row r="86">
      <x:c r="A86" t="str">
        <x:f>'Employee Attendance'!A30</x:f>
        <x:v>Ann Muchoki</x:v>
      </x:c>
      <x:c r="B86" t="str">
        <x:f>'Employee Attendance'!B30</x:f>
        <x:v>Kenya</x:v>
      </x:c>
      <x:c r="C86" t="str">
        <x:f>'Employee Attendance'!C30</x:f>
        <x:v>KE</x:v>
      </x:c>
      <x:c r="D86" t="str">
        <x:f>'Employee Attendance'!D30</x:f>
        <x:v>ann.muchoki@pwc.com</x:v>
      </x:c>
      <x:c r="E86" t="str">
        <x:f>"Option 1"</x:f>
        <x:v>Option 1</x:v>
      </x:c>
      <x:c r="F86" s="14" t="n">
        <x:f>'Employee Attendance'!E30</x:f>
        <x:v>0.0007523148148148148</x:v>
      </x:c>
      <x:c r="G86" t="n">
        <x:f>F86*86400</x:f>
        <x:v>65</x:v>
      </x:c>
      <x:c r="H86" t="str">
        <x:f>'Employee Attendance'!F30</x:f>
        <x:v>Partially attended</x:v>
      </x:c>
      <x:c r="I86" t="str">
        <x:f>'Employee Attendance'!K30</x:f>
        <x:v>Yes</x:v>
      </x:c>
    </x:row>
    <x:row r="87">
      <x:c r="A87" t="str">
        <x:f>'Employee Attendance'!A30</x:f>
        <x:v>Ann Muchoki</x:v>
      </x:c>
      <x:c r="B87" t="str">
        <x:f>'Employee Attendance'!B30</x:f>
        <x:v>Kenya</x:v>
      </x:c>
      <x:c r="C87" t="str">
        <x:f>'Employee Attendance'!C30</x:f>
        <x:v>KE</x:v>
      </x:c>
      <x:c r="D87" t="str">
        <x:f>'Employee Attendance'!D30</x:f>
        <x:v>ann.muchoki@pwc.com</x:v>
      </x:c>
      <x:c r="E87" t="str">
        <x:f>"Option 2"</x:f>
        <x:v>Option 2</x:v>
      </x:c>
      <x:c r="F87" s="14" t="n">
        <x:f>'Employee Attendance'!G30</x:f>
        <x:v>0.01733796296296296</x:v>
      </x:c>
      <x:c r="G87" t="n">
        <x:f>F87*86400</x:f>
        <x:v>1497.9999999999998</x:v>
      </x:c>
      <x:c r="H87" t="str">
        <x:f>'Employee Attendance'!H30</x:f>
        <x:v>Partially attended</x:v>
      </x:c>
      <x:c r="I87" t="str">
        <x:f>'Employee Attendance'!L30</x:f>
        <x:v>Yes</x:v>
      </x:c>
    </x:row>
    <x:row r="88">
      <x:c r="A88" t="str">
        <x:f>'Employee Attendance'!A30</x:f>
        <x:v>Ann Muchoki</x:v>
      </x:c>
      <x:c r="B88" t="str">
        <x:f>'Employee Attendance'!B30</x:f>
        <x:v>Kenya</x:v>
      </x:c>
      <x:c r="C88" t="str">
        <x:f>'Employee Attendance'!C30</x:f>
        <x:v>KE</x:v>
      </x:c>
      <x:c r="D88" t="str">
        <x:f>'Employee Attendance'!D30</x:f>
        <x:v>ann.muchoki@pwc.com</x:v>
      </x:c>
      <x:c r="E88" t="str">
        <x:f>"Combined"</x:f>
        <x:v>Combined</x:v>
      </x:c>
      <x:c r="F88" s="14" t="n">
        <x:f>'Employee Attendance'!I30</x:f>
        <x:v>0.018090277777777775</x:v>
      </x:c>
      <x:c r="G88" t="n">
        <x:f>F88*86400</x:f>
        <x:v>1562.9999999999998</x:v>
      </x:c>
      <x:c r="H88" t="str">
        <x:f>'Employee Attendance'!J30</x:f>
        <x:v>Partially attended</x:v>
      </x:c>
      <x:c r="I88" t="str">
        <x:f>IF(OR('Employee Attendance'!K30="Yes",'Employee Attendance'!L30="Yes"),"Yes","No")</x:f>
        <x:v>Yes</x:v>
      </x:c>
    </x:row>
    <x:row r="89">
      <x:c r="A89" t="str">
        <x:f>'Employee Attendance'!A31</x:f>
        <x:v>Anna Mlay</x:v>
      </x:c>
      <x:c r="B89" t="str">
        <x:f>'Employee Attendance'!B31</x:f>
        <x:v>Tanzania</x:v>
      </x:c>
      <x:c r="C89" t="str">
        <x:f>'Employee Attendance'!C31</x:f>
        <x:v>TZ</x:v>
      </x:c>
      <x:c r="D89" t="str">
        <x:f>'Employee Attendance'!D31</x:f>
        <x:v>anna.mlay@pwc.com</x:v>
      </x:c>
      <x:c r="E89" t="str">
        <x:f>"Option 1"</x:f>
        <x:v>Option 1</x:v>
      </x:c>
      <x:c r="F89" s="14" t="n">
        <x:f>'Employee Attendance'!E31</x:f>
        <x:v>0</x:v>
      </x:c>
      <x:c r="G89" t="n">
        <x:f>F89*86400</x:f>
        <x:v>0</x:v>
      </x:c>
      <x:c r="H89" t="str">
        <x:f>'Employee Attendance'!F31</x:f>
        <x:v>Did not attend</x:v>
      </x:c>
      <x:c r="I89" t="str">
        <x:f>'Employee Attendance'!K31</x:f>
        <x:v>No</x:v>
      </x:c>
    </x:row>
    <x:row r="90">
      <x:c r="A90" t="str">
        <x:f>'Employee Attendance'!A31</x:f>
        <x:v>Anna Mlay</x:v>
      </x:c>
      <x:c r="B90" t="str">
        <x:f>'Employee Attendance'!B31</x:f>
        <x:v>Tanzania</x:v>
      </x:c>
      <x:c r="C90" t="str">
        <x:f>'Employee Attendance'!C31</x:f>
        <x:v>TZ</x:v>
      </x:c>
      <x:c r="D90" t="str">
        <x:f>'Employee Attendance'!D31</x:f>
        <x:v>anna.mlay@pwc.com</x:v>
      </x:c>
      <x:c r="E90" t="str">
        <x:f>"Option 2"</x:f>
        <x:v>Option 2</x:v>
      </x:c>
      <x:c r="F90" s="14" t="n">
        <x:f>'Employee Attendance'!G31</x:f>
        <x:v>0.06149305555555556</x:v>
      </x:c>
      <x:c r="G90" t="n">
        <x:f>F90*86400</x:f>
        <x:v>5313</x:v>
      </x:c>
      <x:c r="H90" t="str">
        <x:f>'Employee Attendance'!H31</x:f>
        <x:v>Partially attended</x:v>
      </x:c>
      <x:c r="I90" t="str">
        <x:f>'Employee Attendance'!L31</x:f>
        <x:v>Yes</x:v>
      </x:c>
    </x:row>
    <x:row r="91">
      <x:c r="A91" t="str">
        <x:f>'Employee Attendance'!A31</x:f>
        <x:v>Anna Mlay</x:v>
      </x:c>
      <x:c r="B91" t="str">
        <x:f>'Employee Attendance'!B31</x:f>
        <x:v>Tanzania</x:v>
      </x:c>
      <x:c r="C91" t="str">
        <x:f>'Employee Attendance'!C31</x:f>
        <x:v>TZ</x:v>
      </x:c>
      <x:c r="D91" t="str">
        <x:f>'Employee Attendance'!D31</x:f>
        <x:v>anna.mlay@pwc.com</x:v>
      </x:c>
      <x:c r="E91" t="str">
        <x:f>"Combined"</x:f>
        <x:v>Combined</x:v>
      </x:c>
      <x:c r="F91" s="14" t="n">
        <x:f>'Employee Attendance'!I31</x:f>
        <x:v>0.06149305555555556</x:v>
      </x:c>
      <x:c r="G91" t="n">
        <x:f>F91*86400</x:f>
        <x:v>5313</x:v>
      </x:c>
      <x:c r="H91" t="str">
        <x:f>'Employee Attendance'!J31</x:f>
        <x:v>Partially attended</x:v>
      </x:c>
      <x:c r="I91" t="str">
        <x:f>IF(OR('Employee Attendance'!K31="Yes",'Employee Attendance'!L31="Yes"),"Yes","No")</x:f>
        <x:v>Yes</x:v>
      </x:c>
    </x:row>
    <x:row r="92">
      <x:c r="A92" t="str">
        <x:f>'Employee Attendance'!A32</x:f>
        <x:v>Annah Mwikali</x:v>
      </x:c>
      <x:c r="B92" t="str">
        <x:f>'Employee Attendance'!B32</x:f>
        <x:v>Kenya</x:v>
      </x:c>
      <x:c r="C92" t="str">
        <x:f>'Employee Attendance'!C32</x:f>
        <x:v>KE</x:v>
      </x:c>
      <x:c r="D92" t="str">
        <x:f>'Employee Attendance'!D32</x:f>
        <x:v>annah.mwikali@pwc.com</x:v>
      </x:c>
      <x:c r="E92" t="str">
        <x:f>"Option 1"</x:f>
        <x:v>Option 1</x:v>
      </x:c>
      <x:c r="F92" s="14" t="n">
        <x:f>'Employee Attendance'!E32</x:f>
        <x:v>0</x:v>
      </x:c>
      <x:c r="G92" t="n">
        <x:f>F92*86400</x:f>
        <x:v>0</x:v>
      </x:c>
      <x:c r="H92" t="str">
        <x:f>'Employee Attendance'!F32</x:f>
        <x:v>Did not attend</x:v>
      </x:c>
      <x:c r="I92" t="str">
        <x:f>'Employee Attendance'!K32</x:f>
        <x:v>No</x:v>
      </x:c>
    </x:row>
    <x:row r="93">
      <x:c r="A93" t="str">
        <x:f>'Employee Attendance'!A32</x:f>
        <x:v>Annah Mwikali</x:v>
      </x:c>
      <x:c r="B93" t="str">
        <x:f>'Employee Attendance'!B32</x:f>
        <x:v>Kenya</x:v>
      </x:c>
      <x:c r="C93" t="str">
        <x:f>'Employee Attendance'!C32</x:f>
        <x:v>KE</x:v>
      </x:c>
      <x:c r="D93" t="str">
        <x:f>'Employee Attendance'!D32</x:f>
        <x:v>annah.mwikali@pwc.com</x:v>
      </x:c>
      <x:c r="E93" t="str">
        <x:f>"Option 2"</x:f>
        <x:v>Option 2</x:v>
      </x:c>
      <x:c r="F93" s="14" t="n">
        <x:f>'Employee Attendance'!G32</x:f>
        <x:v>0.08307870370370371</x:v>
      </x:c>
      <x:c r="G93" t="n">
        <x:f>F93*86400</x:f>
        <x:v>7178.000000000001</x:v>
      </x:c>
      <x:c r="H93" t="str">
        <x:f>'Employee Attendance'!H32</x:f>
        <x:v>Fully attended</x:v>
      </x:c>
      <x:c r="I93" t="str">
        <x:f>'Employee Attendance'!L32</x:f>
        <x:v>Yes</x:v>
      </x:c>
    </x:row>
    <x:row r="94">
      <x:c r="A94" t="str">
        <x:f>'Employee Attendance'!A32</x:f>
        <x:v>Annah Mwikali</x:v>
      </x:c>
      <x:c r="B94" t="str">
        <x:f>'Employee Attendance'!B32</x:f>
        <x:v>Kenya</x:v>
      </x:c>
      <x:c r="C94" t="str">
        <x:f>'Employee Attendance'!C32</x:f>
        <x:v>KE</x:v>
      </x:c>
      <x:c r="D94" t="str">
        <x:f>'Employee Attendance'!D32</x:f>
        <x:v>annah.mwikali@pwc.com</x:v>
      </x:c>
      <x:c r="E94" t="str">
        <x:f>"Combined"</x:f>
        <x:v>Combined</x:v>
      </x:c>
      <x:c r="F94" s="14" t="n">
        <x:f>'Employee Attendance'!I32</x:f>
        <x:v>0.08307870370370371</x:v>
      </x:c>
      <x:c r="G94" t="n">
        <x:f>F94*86400</x:f>
        <x:v>7178.000000000001</x:v>
      </x:c>
      <x:c r="H94" t="str">
        <x:f>'Employee Attendance'!J32</x:f>
        <x:v>Fully attended</x:v>
      </x:c>
      <x:c r="I94" t="str">
        <x:f>IF(OR('Employee Attendance'!K32="Yes",'Employee Attendance'!L32="Yes"),"Yes","No")</x:f>
        <x:v>Yes</x:v>
      </x:c>
    </x:row>
    <x:row r="95">
      <x:c r="A95" t="str">
        <x:f>'Employee Attendance'!A33</x:f>
        <x:v>Anneria Bender</x:v>
      </x:c>
      <x:c r="B95" t="str">
        <x:f>'Employee Attendance'!B33</x:f>
        <x:v>Mauritius</x:v>
      </x:c>
      <x:c r="C95" t="str">
        <x:f>'Employee Attendance'!C33</x:f>
        <x:v>MU</x:v>
      </x:c>
      <x:c r="D95" t="str">
        <x:f>'Employee Attendance'!D33</x:f>
        <x:v>anneria.b.bender@pwc.com</x:v>
      </x:c>
      <x:c r="E95" t="str">
        <x:f>"Option 1"</x:f>
        <x:v>Option 1</x:v>
      </x:c>
      <x:c r="F95" s="14" t="n">
        <x:f>'Employee Attendance'!E33</x:f>
        <x:v>0</x:v>
      </x:c>
      <x:c r="G95" t="n">
        <x:f>F95*86400</x:f>
        <x:v>0</x:v>
      </x:c>
      <x:c r="H95" t="str">
        <x:f>'Employee Attendance'!F33</x:f>
        <x:v>Did not attend</x:v>
      </x:c>
      <x:c r="I95" t="str">
        <x:f>'Employee Attendance'!K33</x:f>
        <x:v>No</x:v>
      </x:c>
    </x:row>
    <x:row r="96">
      <x:c r="A96" t="str">
        <x:f>'Employee Attendance'!A33</x:f>
        <x:v>Anneria Bender</x:v>
      </x:c>
      <x:c r="B96" t="str">
        <x:f>'Employee Attendance'!B33</x:f>
        <x:v>Mauritius</x:v>
      </x:c>
      <x:c r="C96" t="str">
        <x:f>'Employee Attendance'!C33</x:f>
        <x:v>MU</x:v>
      </x:c>
      <x:c r="D96" t="str">
        <x:f>'Employee Attendance'!D33</x:f>
        <x:v>anneria.b.bender@pwc.com</x:v>
      </x:c>
      <x:c r="E96" t="str">
        <x:f>"Option 2"</x:f>
        <x:v>Option 2</x:v>
      </x:c>
      <x:c r="F96" s="14" t="n">
        <x:f>'Employee Attendance'!G33</x:f>
        <x:v>0</x:v>
      </x:c>
      <x:c r="G96" t="n">
        <x:f>F96*86400</x:f>
        <x:v>0</x:v>
      </x:c>
      <x:c r="H96" t="str">
        <x:f>'Employee Attendance'!H33</x:f>
        <x:v>Did not attend</x:v>
      </x:c>
      <x:c r="I96" t="str">
        <x:f>'Employee Attendance'!L33</x:f>
        <x:v>No</x:v>
      </x:c>
    </x:row>
    <x:row r="97">
      <x:c r="A97" t="str">
        <x:f>'Employee Attendance'!A33</x:f>
        <x:v>Anneria Bender</x:v>
      </x:c>
      <x:c r="B97" t="str">
        <x:f>'Employee Attendance'!B33</x:f>
        <x:v>Mauritius</x:v>
      </x:c>
      <x:c r="C97" t="str">
        <x:f>'Employee Attendance'!C33</x:f>
        <x:v>MU</x:v>
      </x:c>
      <x:c r="D97" t="str">
        <x:f>'Employee Attendance'!D33</x:f>
        <x:v>anneria.b.bender@pwc.com</x:v>
      </x:c>
      <x:c r="E97" t="str">
        <x:f>"Combined"</x:f>
        <x:v>Combined</x:v>
      </x:c>
      <x:c r="F97" s="14" t="n">
        <x:f>'Employee Attendance'!I33</x:f>
        <x:v>0</x:v>
      </x:c>
      <x:c r="G97" t="n">
        <x:f>F97*86400</x:f>
        <x:v>0</x:v>
      </x:c>
      <x:c r="H97" t="str">
        <x:f>'Employee Attendance'!J33</x:f>
        <x:v>Did not attend</x:v>
      </x:c>
      <x:c r="I97" t="str">
        <x:f>IF(OR('Employee Attendance'!K33="Yes",'Employee Attendance'!L33="Yes"),"Yes","No")</x:f>
        <x:v>No</x:v>
      </x:c>
    </x:row>
    <x:row r="98">
      <x:c r="A98" t="str">
        <x:f>'Employee Attendance'!A34</x:f>
        <x:v>Anthony Njeeh</x:v>
      </x:c>
      <x:c r="B98" t="str">
        <x:f>'Employee Attendance'!B34</x:f>
        <x:v>Rwanda</x:v>
      </x:c>
      <x:c r="C98" t="str">
        <x:f>'Employee Attendance'!C34</x:f>
        <x:v>RW</x:v>
      </x:c>
      <x:c r="D98" t="str">
        <x:f>'Employee Attendance'!D34</x:f>
        <x:v>anthony.k.njeeh@pwc.com</x:v>
      </x:c>
      <x:c r="E98" t="str">
        <x:f>"Option 1"</x:f>
        <x:v>Option 1</x:v>
      </x:c>
      <x:c r="F98" s="14" t="n">
        <x:f>'Employee Attendance'!E34</x:f>
        <x:v>0</x:v>
      </x:c>
      <x:c r="G98" t="n">
        <x:f>F98*86400</x:f>
        <x:v>0</x:v>
      </x:c>
      <x:c r="H98" t="str">
        <x:f>'Employee Attendance'!F34</x:f>
        <x:v>Did not attend</x:v>
      </x:c>
      <x:c r="I98" t="str">
        <x:f>'Employee Attendance'!K34</x:f>
        <x:v>No</x:v>
      </x:c>
    </x:row>
    <x:row r="99">
      <x:c r="A99" t="str">
        <x:f>'Employee Attendance'!A34</x:f>
        <x:v>Anthony Njeeh</x:v>
      </x:c>
      <x:c r="B99" t="str">
        <x:f>'Employee Attendance'!B34</x:f>
        <x:v>Rwanda</x:v>
      </x:c>
      <x:c r="C99" t="str">
        <x:f>'Employee Attendance'!C34</x:f>
        <x:v>RW</x:v>
      </x:c>
      <x:c r="D99" t="str">
        <x:f>'Employee Attendance'!D34</x:f>
        <x:v>anthony.k.njeeh@pwc.com</x:v>
      </x:c>
      <x:c r="E99" t="str">
        <x:f>"Option 2"</x:f>
        <x:v>Option 2</x:v>
      </x:c>
      <x:c r="F99" s="14" t="n">
        <x:f>'Employee Attendance'!G34</x:f>
        <x:v>0.0862962962962963</x:v>
      </x:c>
      <x:c r="G99" t="n">
        <x:f>F99*86400</x:f>
        <x:v>7456</x:v>
      </x:c>
      <x:c r="H99" t="str">
        <x:f>'Employee Attendance'!H34</x:f>
        <x:v>Fully attended</x:v>
      </x:c>
      <x:c r="I99" t="str">
        <x:f>'Employee Attendance'!L34</x:f>
        <x:v>Yes</x:v>
      </x:c>
    </x:row>
    <x:row r="100">
      <x:c r="A100" t="str">
        <x:f>'Employee Attendance'!A34</x:f>
        <x:v>Anthony Njeeh</x:v>
      </x:c>
      <x:c r="B100" t="str">
        <x:f>'Employee Attendance'!B34</x:f>
        <x:v>Rwanda</x:v>
      </x:c>
      <x:c r="C100" t="str">
        <x:f>'Employee Attendance'!C34</x:f>
        <x:v>RW</x:v>
      </x:c>
      <x:c r="D100" t="str">
        <x:f>'Employee Attendance'!D34</x:f>
        <x:v>anthony.k.njeeh@pwc.com</x:v>
      </x:c>
      <x:c r="E100" t="str">
        <x:f>"Combined"</x:f>
        <x:v>Combined</x:v>
      </x:c>
      <x:c r="F100" s="14" t="n">
        <x:f>'Employee Attendance'!I34</x:f>
        <x:v>0.0862962962962963</x:v>
      </x:c>
      <x:c r="G100" t="n">
        <x:f>F100*86400</x:f>
        <x:v>7456</x:v>
      </x:c>
      <x:c r="H100" t="str">
        <x:f>'Employee Attendance'!J34</x:f>
        <x:v>Fully attended</x:v>
      </x:c>
      <x:c r="I100" t="str">
        <x:f>IF(OR('Employee Attendance'!K34="Yes",'Employee Attendance'!L34="Yes"),"Yes","No")</x:f>
        <x:v>Yes</x:v>
      </x:c>
    </x:row>
    <x:row r="101">
      <x:c r="A101" t="str">
        <x:f>'Employee Attendance'!A35</x:f>
        <x:v>Antony Waweru</x:v>
      </x:c>
      <x:c r="B101" t="str">
        <x:f>'Employee Attendance'!B35</x:f>
        <x:v>Kenya</x:v>
      </x:c>
      <x:c r="C101" t="str">
        <x:f>'Employee Attendance'!C35</x:f>
        <x:v>KE</x:v>
      </x:c>
      <x:c r="D101" t="str">
        <x:f>'Employee Attendance'!D35</x:f>
        <x:v>antony.waweru@pwc.com</x:v>
      </x:c>
      <x:c r="E101" t="str">
        <x:f>"Option 1"</x:f>
        <x:v>Option 1</x:v>
      </x:c>
      <x:c r="F101" s="14" t="n">
        <x:f>'Employee Attendance'!E35</x:f>
        <x:v>0</x:v>
      </x:c>
      <x:c r="G101" t="n">
        <x:f>F101*86400</x:f>
        <x:v>0</x:v>
      </x:c>
      <x:c r="H101" t="str">
        <x:f>'Employee Attendance'!F35</x:f>
        <x:v>Did not attend</x:v>
      </x:c>
      <x:c r="I101" t="str">
        <x:f>'Employee Attendance'!K35</x:f>
        <x:v>No</x:v>
      </x:c>
    </x:row>
    <x:row r="102">
      <x:c r="A102" t="str">
        <x:f>'Employee Attendance'!A35</x:f>
        <x:v>Antony Waweru</x:v>
      </x:c>
      <x:c r="B102" t="str">
        <x:f>'Employee Attendance'!B35</x:f>
        <x:v>Kenya</x:v>
      </x:c>
      <x:c r="C102" t="str">
        <x:f>'Employee Attendance'!C35</x:f>
        <x:v>KE</x:v>
      </x:c>
      <x:c r="D102" t="str">
        <x:f>'Employee Attendance'!D35</x:f>
        <x:v>antony.waweru@pwc.com</x:v>
      </x:c>
      <x:c r="E102" t="str">
        <x:f>"Option 2"</x:f>
        <x:v>Option 2</x:v>
      </x:c>
      <x:c r="F102" s="14" t="n">
        <x:f>'Employee Attendance'!G35</x:f>
        <x:v>0.0639699074074074</x:v>
      </x:c>
      <x:c r="G102" t="n">
        <x:f>F102*86400</x:f>
        <x:v>5527</x:v>
      </x:c>
      <x:c r="H102" t="str">
        <x:f>'Employee Attendance'!H35</x:f>
        <x:v>Fully attended</x:v>
      </x:c>
      <x:c r="I102" t="str">
        <x:f>'Employee Attendance'!L35</x:f>
        <x:v>Yes</x:v>
      </x:c>
    </x:row>
    <x:row r="103">
      <x:c r="A103" t="str">
        <x:f>'Employee Attendance'!A35</x:f>
        <x:v>Antony Waweru</x:v>
      </x:c>
      <x:c r="B103" t="str">
        <x:f>'Employee Attendance'!B35</x:f>
        <x:v>Kenya</x:v>
      </x:c>
      <x:c r="C103" t="str">
        <x:f>'Employee Attendance'!C35</x:f>
        <x:v>KE</x:v>
      </x:c>
      <x:c r="D103" t="str">
        <x:f>'Employee Attendance'!D35</x:f>
        <x:v>antony.waweru@pwc.com</x:v>
      </x:c>
      <x:c r="E103" t="str">
        <x:f>"Combined"</x:f>
        <x:v>Combined</x:v>
      </x:c>
      <x:c r="F103" s="14" t="n">
        <x:f>'Employee Attendance'!I35</x:f>
        <x:v>0.0639699074074074</x:v>
      </x:c>
      <x:c r="G103" t="n">
        <x:f>F103*86400</x:f>
        <x:v>5527</x:v>
      </x:c>
      <x:c r="H103" t="str">
        <x:f>'Employee Attendance'!J35</x:f>
        <x:v>Fully attended</x:v>
      </x:c>
      <x:c r="I103" t="str">
        <x:f>IF(OR('Employee Attendance'!K35="Yes",'Employee Attendance'!L35="Yes"),"Yes","No")</x:f>
        <x:v>Yes</x:v>
      </x:c>
    </x:row>
    <x:row r="104">
      <x:c r="A104" t="str">
        <x:f>'Employee Attendance'!A36</x:f>
        <x:v>Antony Wawira</x:v>
      </x:c>
      <x:c r="B104" t="str">
        <x:f>'Employee Attendance'!B36</x:f>
        <x:v>Kenya</x:v>
      </x:c>
      <x:c r="C104" t="str">
        <x:f>'Employee Attendance'!C36</x:f>
        <x:v>KE</x:v>
      </x:c>
      <x:c r="D104" t="str">
        <x:f>'Employee Attendance'!D36</x:f>
        <x:v>antony.wawira@pwc.com</x:v>
      </x:c>
      <x:c r="E104" t="str">
        <x:f>"Option 1"</x:f>
        <x:v>Option 1</x:v>
      </x:c>
      <x:c r="F104" s="14" t="n">
        <x:f>'Employee Attendance'!E36</x:f>
        <x:v>0.05219907407407407</x:v>
      </x:c>
      <x:c r="G104" t="n">
        <x:f>F104*86400</x:f>
        <x:v>4510</x:v>
      </x:c>
      <x:c r="H104" t="str">
        <x:f>'Employee Attendance'!F36</x:f>
        <x:v>Partially attended</x:v>
      </x:c>
      <x:c r="I104" t="str">
        <x:f>'Employee Attendance'!K36</x:f>
        <x:v>Yes</x:v>
      </x:c>
    </x:row>
    <x:row r="105">
      <x:c r="A105" t="str">
        <x:f>'Employee Attendance'!A36</x:f>
        <x:v>Antony Wawira</x:v>
      </x:c>
      <x:c r="B105" t="str">
        <x:f>'Employee Attendance'!B36</x:f>
        <x:v>Kenya</x:v>
      </x:c>
      <x:c r="C105" t="str">
        <x:f>'Employee Attendance'!C36</x:f>
        <x:v>KE</x:v>
      </x:c>
      <x:c r="D105" t="str">
        <x:f>'Employee Attendance'!D36</x:f>
        <x:v>antony.wawira@pwc.com</x:v>
      </x:c>
      <x:c r="E105" t="str">
        <x:f>"Option 2"</x:f>
        <x:v>Option 2</x:v>
      </x:c>
      <x:c r="F105" s="14" t="n">
        <x:f>'Employee Attendance'!G36</x:f>
        <x:v>0</x:v>
      </x:c>
      <x:c r="G105" t="n">
        <x:f>F105*86400</x:f>
        <x:v>0</x:v>
      </x:c>
      <x:c r="H105" t="str">
        <x:f>'Employee Attendance'!H36</x:f>
        <x:v>Did not attend</x:v>
      </x:c>
      <x:c r="I105" t="str">
        <x:f>'Employee Attendance'!L36</x:f>
        <x:v>No</x:v>
      </x:c>
    </x:row>
    <x:row r="106">
      <x:c r="A106" t="str">
        <x:f>'Employee Attendance'!A36</x:f>
        <x:v>Antony Wawira</x:v>
      </x:c>
      <x:c r="B106" t="str">
        <x:f>'Employee Attendance'!B36</x:f>
        <x:v>Kenya</x:v>
      </x:c>
      <x:c r="C106" t="str">
        <x:f>'Employee Attendance'!C36</x:f>
        <x:v>KE</x:v>
      </x:c>
      <x:c r="D106" t="str">
        <x:f>'Employee Attendance'!D36</x:f>
        <x:v>antony.wawira@pwc.com</x:v>
      </x:c>
      <x:c r="E106" t="str">
        <x:f>"Combined"</x:f>
        <x:v>Combined</x:v>
      </x:c>
      <x:c r="F106" s="14" t="n">
        <x:f>'Employee Attendance'!I36</x:f>
        <x:v>0.05219907407407407</x:v>
      </x:c>
      <x:c r="G106" t="n">
        <x:f>F106*86400</x:f>
        <x:v>4510</x:v>
      </x:c>
      <x:c r="H106" t="str">
        <x:f>'Employee Attendance'!J36</x:f>
        <x:v>Partially attended</x:v>
      </x:c>
      <x:c r="I106" t="str">
        <x:f>IF(OR('Employee Attendance'!K36="Yes",'Employee Attendance'!L36="Yes"),"Yes","No")</x:f>
        <x:v>Yes</x:v>
      </x:c>
    </x:row>
    <x:row r="107">
      <x:c r="A107" t="str">
        <x:f>'Employee Attendance'!A37</x:f>
        <x:v>Anusha Jokhoo</x:v>
      </x:c>
      <x:c r="B107" t="str">
        <x:f>'Employee Attendance'!B37</x:f>
        <x:v>Mauritius</x:v>
      </x:c>
      <x:c r="C107" t="str">
        <x:f>'Employee Attendance'!C37</x:f>
        <x:v>MU</x:v>
      </x:c>
      <x:c r="D107" t="str">
        <x:f>'Employee Attendance'!D37</x:f>
        <x:v>anusha.jokhoo@pwc.com</x:v>
      </x:c>
      <x:c r="E107" t="str">
        <x:f>"Option 1"</x:f>
        <x:v>Option 1</x:v>
      </x:c>
      <x:c r="F107" s="14" t="n">
        <x:f>'Employee Attendance'!E37</x:f>
        <x:v>0.030150462962962962</x:v>
      </x:c>
      <x:c r="G107" t="n">
        <x:f>F107*86400</x:f>
        <x:v>2605</x:v>
      </x:c>
      <x:c r="H107" t="str">
        <x:f>'Employee Attendance'!F37</x:f>
        <x:v>Partially attended</x:v>
      </x:c>
      <x:c r="I107" t="str">
        <x:f>'Employee Attendance'!K37</x:f>
        <x:v>Yes</x:v>
      </x:c>
    </x:row>
    <x:row r="108">
      <x:c r="A108" t="str">
        <x:f>'Employee Attendance'!A37</x:f>
        <x:v>Anusha Jokhoo</x:v>
      </x:c>
      <x:c r="B108" t="str">
        <x:f>'Employee Attendance'!B37</x:f>
        <x:v>Mauritius</x:v>
      </x:c>
      <x:c r="C108" t="str">
        <x:f>'Employee Attendance'!C37</x:f>
        <x:v>MU</x:v>
      </x:c>
      <x:c r="D108" t="str">
        <x:f>'Employee Attendance'!D37</x:f>
        <x:v>anusha.jokhoo@pwc.com</x:v>
      </x:c>
      <x:c r="E108" t="str">
        <x:f>"Option 2"</x:f>
        <x:v>Option 2</x:v>
      </x:c>
      <x:c r="F108" s="14" t="n">
        <x:f>'Employee Attendance'!G37</x:f>
        <x:v>0.07931712962962963</x:v>
      </x:c>
      <x:c r="G108" t="n">
        <x:f>F108*86400</x:f>
        <x:v>6853</x:v>
      </x:c>
      <x:c r="H108" t="str">
        <x:f>'Employee Attendance'!H37</x:f>
        <x:v>Fully attended</x:v>
      </x:c>
      <x:c r="I108" t="str">
        <x:f>'Employee Attendance'!L37</x:f>
        <x:v>Yes</x:v>
      </x:c>
    </x:row>
    <x:row r="109">
      <x:c r="A109" t="str">
        <x:f>'Employee Attendance'!A37</x:f>
        <x:v>Anusha Jokhoo</x:v>
      </x:c>
      <x:c r="B109" t="str">
        <x:f>'Employee Attendance'!B37</x:f>
        <x:v>Mauritius</x:v>
      </x:c>
      <x:c r="C109" t="str">
        <x:f>'Employee Attendance'!C37</x:f>
        <x:v>MU</x:v>
      </x:c>
      <x:c r="D109" t="str">
        <x:f>'Employee Attendance'!D37</x:f>
        <x:v>anusha.jokhoo@pwc.com</x:v>
      </x:c>
      <x:c r="E109" t="str">
        <x:f>"Combined"</x:f>
        <x:v>Combined</x:v>
      </x:c>
      <x:c r="F109" s="14" t="n">
        <x:f>'Employee Attendance'!I37</x:f>
        <x:v>0.10946759259259259</x:v>
      </x:c>
      <x:c r="G109" t="n">
        <x:f>F109*86400</x:f>
        <x:v>9458</x:v>
      </x:c>
      <x:c r="H109" t="str">
        <x:f>'Employee Attendance'!J37</x:f>
        <x:v>Fully attended</x:v>
      </x:c>
      <x:c r="I109" t="str">
        <x:f>IF(OR('Employee Attendance'!K37="Yes",'Employee Attendance'!L37="Yes"),"Yes","No")</x:f>
        <x:v>Yes</x:v>
      </x:c>
    </x:row>
    <x:row r="110">
      <x:c r="A110" t="str">
        <x:f>'Employee Attendance'!A38</x:f>
        <x:v>Ashvi Puholoo</x:v>
      </x:c>
      <x:c r="B110" t="str">
        <x:f>'Employee Attendance'!B38</x:f>
        <x:v>Mauritius</x:v>
      </x:c>
      <x:c r="C110" t="str">
        <x:f>'Employee Attendance'!C38</x:f>
        <x:v>MU</x:v>
      </x:c>
      <x:c r="D110" t="str">
        <x:f>'Employee Attendance'!D38</x:f>
        <x:v>ashvi.p.puholoo@pwc.com</x:v>
      </x:c>
      <x:c r="E110" t="str">
        <x:f>"Option 1"</x:f>
        <x:v>Option 1</x:v>
      </x:c>
      <x:c r="F110" s="14" t="n">
        <x:f>'Employee Attendance'!E38</x:f>
        <x:v>0.08253472222222222</x:v>
      </x:c>
      <x:c r="G110" t="n">
        <x:f>F110*86400</x:f>
        <x:v>7131</x:v>
      </x:c>
      <x:c r="H110" t="str">
        <x:f>'Employee Attendance'!F38</x:f>
        <x:v>Fully attended</x:v>
      </x:c>
      <x:c r="I110" t="str">
        <x:f>'Employee Attendance'!K38</x:f>
        <x:v>Yes</x:v>
      </x:c>
    </x:row>
    <x:row r="111">
      <x:c r="A111" t="str">
        <x:f>'Employee Attendance'!A38</x:f>
        <x:v>Ashvi Puholoo</x:v>
      </x:c>
      <x:c r="B111" t="str">
        <x:f>'Employee Attendance'!B38</x:f>
        <x:v>Mauritius</x:v>
      </x:c>
      <x:c r="C111" t="str">
        <x:f>'Employee Attendance'!C38</x:f>
        <x:v>MU</x:v>
      </x:c>
      <x:c r="D111" t="str">
        <x:f>'Employee Attendance'!D38</x:f>
        <x:v>ashvi.p.puholoo@pwc.com</x:v>
      </x:c>
      <x:c r="E111" t="str">
        <x:f>"Option 2"</x:f>
        <x:v>Option 2</x:v>
      </x:c>
      <x:c r="F111" s="14" t="n">
        <x:f>'Employee Attendance'!G38</x:f>
        <x:v>0</x:v>
      </x:c>
      <x:c r="G111" t="n">
        <x:f>F111*86400</x:f>
        <x:v>0</x:v>
      </x:c>
      <x:c r="H111" t="str">
        <x:f>'Employee Attendance'!H38</x:f>
        <x:v>Did not attend</x:v>
      </x:c>
      <x:c r="I111" t="str">
        <x:f>'Employee Attendance'!L38</x:f>
        <x:v>No</x:v>
      </x:c>
    </x:row>
    <x:row r="112">
      <x:c r="A112" t="str">
        <x:f>'Employee Attendance'!A38</x:f>
        <x:v>Ashvi Puholoo</x:v>
      </x:c>
      <x:c r="B112" t="str">
        <x:f>'Employee Attendance'!B38</x:f>
        <x:v>Mauritius</x:v>
      </x:c>
      <x:c r="C112" t="str">
        <x:f>'Employee Attendance'!C38</x:f>
        <x:v>MU</x:v>
      </x:c>
      <x:c r="D112" t="str">
        <x:f>'Employee Attendance'!D38</x:f>
        <x:v>ashvi.p.puholoo@pwc.com</x:v>
      </x:c>
      <x:c r="E112" t="str">
        <x:f>"Combined"</x:f>
        <x:v>Combined</x:v>
      </x:c>
      <x:c r="F112" s="14" t="n">
        <x:f>'Employee Attendance'!I38</x:f>
        <x:v>0.08253472222222222</x:v>
      </x:c>
      <x:c r="G112" t="n">
        <x:f>F112*86400</x:f>
        <x:v>7131</x:v>
      </x:c>
      <x:c r="H112" t="str">
        <x:f>'Employee Attendance'!J38</x:f>
        <x:v>Fully attended</x:v>
      </x:c>
      <x:c r="I112" t="str">
        <x:f>IF(OR('Employee Attendance'!K38="Yes",'Employee Attendance'!L38="Yes"),"Yes","No")</x:f>
        <x:v>Yes</x:v>
      </x:c>
    </x:row>
    <x:row r="113">
      <x:c r="A113" t="str">
        <x:f>'Employee Attendance'!A39</x:f>
        <x:v>Assery Msangi</x:v>
      </x:c>
      <x:c r="B113" t="str">
        <x:f>'Employee Attendance'!B39</x:f>
        <x:v>Tanzania</x:v>
      </x:c>
      <x:c r="C113" t="str">
        <x:f>'Employee Attendance'!C39</x:f>
        <x:v>TZ</x:v>
      </x:c>
      <x:c r="D113" t="str">
        <x:f>'Employee Attendance'!D39</x:f>
        <x:v>assery.msangi@pwc.com</x:v>
      </x:c>
      <x:c r="E113" t="str">
        <x:f>"Option 1"</x:f>
        <x:v>Option 1</x:v>
      </x:c>
      <x:c r="F113" s="14" t="n">
        <x:f>'Employee Attendance'!E39</x:f>
        <x:v>0.06864583333333334</x:v>
      </x:c>
      <x:c r="G113" t="n">
        <x:f>F113*86400</x:f>
        <x:v>5931</x:v>
      </x:c>
      <x:c r="H113" t="str">
        <x:f>'Employee Attendance'!F39</x:f>
        <x:v>Fully attended</x:v>
      </x:c>
      <x:c r="I113" t="str">
        <x:f>'Employee Attendance'!K39</x:f>
        <x:v>Yes</x:v>
      </x:c>
    </x:row>
    <x:row r="114">
      <x:c r="A114" t="str">
        <x:f>'Employee Attendance'!A39</x:f>
        <x:v>Assery Msangi</x:v>
      </x:c>
      <x:c r="B114" t="str">
        <x:f>'Employee Attendance'!B39</x:f>
        <x:v>Tanzania</x:v>
      </x:c>
      <x:c r="C114" t="str">
        <x:f>'Employee Attendance'!C39</x:f>
        <x:v>TZ</x:v>
      </x:c>
      <x:c r="D114" t="str">
        <x:f>'Employee Attendance'!D39</x:f>
        <x:v>assery.msangi@pwc.com</x:v>
      </x:c>
      <x:c r="E114" t="str">
        <x:f>"Option 2"</x:f>
        <x:v>Option 2</x:v>
      </x:c>
      <x:c r="F114" s="14" t="n">
        <x:f>'Employee Attendance'!G39</x:f>
        <x:v>0.08869212962962963</x:v>
      </x:c>
      <x:c r="G114" t="n">
        <x:f>F114*86400</x:f>
        <x:v>7663</x:v>
      </x:c>
      <x:c r="H114" t="str">
        <x:f>'Employee Attendance'!H39</x:f>
        <x:v>Fully attended</x:v>
      </x:c>
      <x:c r="I114" t="str">
        <x:f>'Employee Attendance'!L39</x:f>
        <x:v>Yes</x:v>
      </x:c>
    </x:row>
    <x:row r="115">
      <x:c r="A115" t="str">
        <x:f>'Employee Attendance'!A39</x:f>
        <x:v>Assery Msangi</x:v>
      </x:c>
      <x:c r="B115" t="str">
        <x:f>'Employee Attendance'!B39</x:f>
        <x:v>Tanzania</x:v>
      </x:c>
      <x:c r="C115" t="str">
        <x:f>'Employee Attendance'!C39</x:f>
        <x:v>TZ</x:v>
      </x:c>
      <x:c r="D115" t="str">
        <x:f>'Employee Attendance'!D39</x:f>
        <x:v>assery.msangi@pwc.com</x:v>
      </x:c>
      <x:c r="E115" t="str">
        <x:f>"Combined"</x:f>
        <x:v>Combined</x:v>
      </x:c>
      <x:c r="F115" s="14" t="n">
        <x:f>'Employee Attendance'!I39</x:f>
        <x:v>0.15733796296296299</x:v>
      </x:c>
      <x:c r="G115" t="n">
        <x:f>F115*86400</x:f>
        <x:v>13594.000000000002</x:v>
      </x:c>
      <x:c r="H115" t="str">
        <x:f>'Employee Attendance'!J39</x:f>
        <x:v>Fully attended</x:v>
      </x:c>
      <x:c r="I115" t="str">
        <x:f>IF(OR('Employee Attendance'!K39="Yes",'Employee Attendance'!L39="Yes"),"Yes","No")</x:f>
        <x:v>Yes</x:v>
      </x:c>
    </x:row>
    <x:row r="116">
      <x:c r="A116" t="str">
        <x:f>'Employee Attendance'!A40</x:f>
        <x:v>Astrid Cassia</x:v>
      </x:c>
      <x:c r="B116" t="str">
        <x:f>'Employee Attendance'!B40</x:f>
        <x:v>Mauritius</x:v>
      </x:c>
      <x:c r="C116" t="str">
        <x:f>'Employee Attendance'!C40</x:f>
        <x:v>MU</x:v>
      </x:c>
      <x:c r="D116" t="str">
        <x:f>'Employee Attendance'!D40</x:f>
        <x:v>astrid.cassia@pwc.com</x:v>
      </x:c>
      <x:c r="E116" t="str">
        <x:f>"Option 1"</x:f>
        <x:v>Option 1</x:v>
      </x:c>
      <x:c r="F116" s="14" t="n">
        <x:f>'Employee Attendance'!E40</x:f>
        <x:v>0</x:v>
      </x:c>
      <x:c r="G116" t="n">
        <x:f>F116*86400</x:f>
        <x:v>0</x:v>
      </x:c>
      <x:c r="H116" t="str">
        <x:f>'Employee Attendance'!F40</x:f>
        <x:v>Did not attend</x:v>
      </x:c>
      <x:c r="I116" t="str">
        <x:f>'Employee Attendance'!K40</x:f>
        <x:v>No</x:v>
      </x:c>
    </x:row>
    <x:row r="117">
      <x:c r="A117" t="str">
        <x:f>'Employee Attendance'!A40</x:f>
        <x:v>Astrid Cassia</x:v>
      </x:c>
      <x:c r="B117" t="str">
        <x:f>'Employee Attendance'!B40</x:f>
        <x:v>Mauritius</x:v>
      </x:c>
      <x:c r="C117" t="str">
        <x:f>'Employee Attendance'!C40</x:f>
        <x:v>MU</x:v>
      </x:c>
      <x:c r="D117" t="str">
        <x:f>'Employee Attendance'!D40</x:f>
        <x:v>astrid.cassia@pwc.com</x:v>
      </x:c>
      <x:c r="E117" t="str">
        <x:f>"Option 2"</x:f>
        <x:v>Option 2</x:v>
      </x:c>
      <x:c r="F117" s="14" t="n">
        <x:f>'Employee Attendance'!G40</x:f>
        <x:v>0</x:v>
      </x:c>
      <x:c r="G117" t="n">
        <x:f>F117*86400</x:f>
        <x:v>0</x:v>
      </x:c>
      <x:c r="H117" t="str">
        <x:f>'Employee Attendance'!H40</x:f>
        <x:v>Did not attend</x:v>
      </x:c>
      <x:c r="I117" t="str">
        <x:f>'Employee Attendance'!L40</x:f>
        <x:v>No</x:v>
      </x:c>
    </x:row>
    <x:row r="118">
      <x:c r="A118" t="str">
        <x:f>'Employee Attendance'!A40</x:f>
        <x:v>Astrid Cassia</x:v>
      </x:c>
      <x:c r="B118" t="str">
        <x:f>'Employee Attendance'!B40</x:f>
        <x:v>Mauritius</x:v>
      </x:c>
      <x:c r="C118" t="str">
        <x:f>'Employee Attendance'!C40</x:f>
        <x:v>MU</x:v>
      </x:c>
      <x:c r="D118" t="str">
        <x:f>'Employee Attendance'!D40</x:f>
        <x:v>astrid.cassia@pwc.com</x:v>
      </x:c>
      <x:c r="E118" t="str">
        <x:f>"Combined"</x:f>
        <x:v>Combined</x:v>
      </x:c>
      <x:c r="F118" s="14" t="n">
        <x:f>'Employee Attendance'!I40</x:f>
        <x:v>0</x:v>
      </x:c>
      <x:c r="G118" t="n">
        <x:f>F118*86400</x:f>
        <x:v>0</x:v>
      </x:c>
      <x:c r="H118" t="str">
        <x:f>'Employee Attendance'!J40</x:f>
        <x:v>Did not attend</x:v>
      </x:c>
      <x:c r="I118" t="str">
        <x:f>IF(OR('Employee Attendance'!K40="Yes",'Employee Attendance'!L40="Yes"),"Yes","No")</x:f>
        <x:v>No</x:v>
      </x:c>
    </x:row>
    <x:row r="119">
      <x:c r="A119" t="str">
        <x:f>'Employee Attendance'!A41</x:f>
        <x:v>Azmiya Khodadin</x:v>
      </x:c>
      <x:c r="B119" t="str">
        <x:f>'Employee Attendance'!B41</x:f>
        <x:v>Mauritius</x:v>
      </x:c>
      <x:c r="C119" t="str">
        <x:f>'Employee Attendance'!C41</x:f>
        <x:v>MU</x:v>
      </x:c>
      <x:c r="D119" t="str">
        <x:f>'Employee Attendance'!D41</x:f>
        <x:v>azmiya.khodadin@pwc.com</x:v>
      </x:c>
      <x:c r="E119" t="str">
        <x:f>"Option 1"</x:f>
        <x:v>Option 1</x:v>
      </x:c>
      <x:c r="F119" s="14" t="n">
        <x:f>'Employee Attendance'!E41</x:f>
        <x:v>0</x:v>
      </x:c>
      <x:c r="G119" t="n">
        <x:f>F119*86400</x:f>
        <x:v>0</x:v>
      </x:c>
      <x:c r="H119" t="str">
        <x:f>'Employee Attendance'!F41</x:f>
        <x:v>Did not attend</x:v>
      </x:c>
      <x:c r="I119" t="str">
        <x:f>'Employee Attendance'!K41</x:f>
        <x:v>No</x:v>
      </x:c>
    </x:row>
    <x:row r="120">
      <x:c r="A120" t="str">
        <x:f>'Employee Attendance'!A41</x:f>
        <x:v>Azmiya Khodadin</x:v>
      </x:c>
      <x:c r="B120" t="str">
        <x:f>'Employee Attendance'!B41</x:f>
        <x:v>Mauritius</x:v>
      </x:c>
      <x:c r="C120" t="str">
        <x:f>'Employee Attendance'!C41</x:f>
        <x:v>MU</x:v>
      </x:c>
      <x:c r="D120" t="str">
        <x:f>'Employee Attendance'!D41</x:f>
        <x:v>azmiya.khodadin@pwc.com</x:v>
      </x:c>
      <x:c r="E120" t="str">
        <x:f>"Option 2"</x:f>
        <x:v>Option 2</x:v>
      </x:c>
      <x:c r="F120" s="14" t="n">
        <x:f>'Employee Attendance'!G41</x:f>
        <x:v>0.018298611111111113</x:v>
      </x:c>
      <x:c r="G120" t="n">
        <x:f>F120*86400</x:f>
        <x:v>1581.0000000000002</x:v>
      </x:c>
      <x:c r="H120" t="str">
        <x:f>'Employee Attendance'!H41</x:f>
        <x:v>Partially attended</x:v>
      </x:c>
      <x:c r="I120" t="str">
        <x:f>'Employee Attendance'!L41</x:f>
        <x:v>Yes</x:v>
      </x:c>
    </x:row>
    <x:row r="121">
      <x:c r="A121" t="str">
        <x:f>'Employee Attendance'!A41</x:f>
        <x:v>Azmiya Khodadin</x:v>
      </x:c>
      <x:c r="B121" t="str">
        <x:f>'Employee Attendance'!B41</x:f>
        <x:v>Mauritius</x:v>
      </x:c>
      <x:c r="C121" t="str">
        <x:f>'Employee Attendance'!C41</x:f>
        <x:v>MU</x:v>
      </x:c>
      <x:c r="D121" t="str">
        <x:f>'Employee Attendance'!D41</x:f>
        <x:v>azmiya.khodadin@pwc.com</x:v>
      </x:c>
      <x:c r="E121" t="str">
        <x:f>"Combined"</x:f>
        <x:v>Combined</x:v>
      </x:c>
      <x:c r="F121" s="14" t="n">
        <x:f>'Employee Attendance'!I41</x:f>
        <x:v>0.018298611111111113</x:v>
      </x:c>
      <x:c r="G121" t="n">
        <x:f>F121*86400</x:f>
        <x:v>1581.0000000000002</x:v>
      </x:c>
      <x:c r="H121" t="str">
        <x:f>'Employee Attendance'!J41</x:f>
        <x:v>Partially attended</x:v>
      </x:c>
      <x:c r="I121" t="str">
        <x:f>IF(OR('Employee Attendance'!K41="Yes",'Employee Attendance'!L41="Yes"),"Yes","No")</x:f>
        <x:v>Yes</x:v>
      </x:c>
    </x:row>
    <x:row r="122">
      <x:c r="A122" t="str">
        <x:f>'Employee Attendance'!A42</x:f>
        <x:v>Babra Truphena</x:v>
      </x:c>
      <x:c r="B122" t="str">
        <x:f>'Employee Attendance'!B42</x:f>
        <x:v>Kenya</x:v>
      </x:c>
      <x:c r="C122" t="str">
        <x:f>'Employee Attendance'!C42</x:f>
        <x:v>KE</x:v>
      </x:c>
      <x:c r="D122" t="str">
        <x:f>'Employee Attendance'!D42</x:f>
        <x:v>babra.truphena@pwc.com</x:v>
      </x:c>
      <x:c r="E122" t="str">
        <x:f>"Option 1"</x:f>
        <x:v>Option 1</x:v>
      </x:c>
      <x:c r="F122" s="14" t="n">
        <x:f>'Employee Attendance'!E42</x:f>
        <x:v>0</x:v>
      </x:c>
      <x:c r="G122" t="n">
        <x:f>F122*86400</x:f>
        <x:v>0</x:v>
      </x:c>
      <x:c r="H122" t="str">
        <x:f>'Employee Attendance'!F42</x:f>
        <x:v>Did not attend</x:v>
      </x:c>
      <x:c r="I122" t="str">
        <x:f>'Employee Attendance'!K42</x:f>
        <x:v>No</x:v>
      </x:c>
    </x:row>
    <x:row r="123">
      <x:c r="A123" t="str">
        <x:f>'Employee Attendance'!A42</x:f>
        <x:v>Babra Truphena</x:v>
      </x:c>
      <x:c r="B123" t="str">
        <x:f>'Employee Attendance'!B42</x:f>
        <x:v>Kenya</x:v>
      </x:c>
      <x:c r="C123" t="str">
        <x:f>'Employee Attendance'!C42</x:f>
        <x:v>KE</x:v>
      </x:c>
      <x:c r="D123" t="str">
        <x:f>'Employee Attendance'!D42</x:f>
        <x:v>babra.truphena@pwc.com</x:v>
      </x:c>
      <x:c r="E123" t="str">
        <x:f>"Option 2"</x:f>
        <x:v>Option 2</x:v>
      </x:c>
      <x:c r="F123" s="14" t="n">
        <x:f>'Employee Attendance'!G42</x:f>
        <x:v>0.04162037037037037</x:v>
      </x:c>
      <x:c r="G123" t="n">
        <x:f>F123*86400</x:f>
        <x:v>3596</x:v>
      </x:c>
      <x:c r="H123" t="str">
        <x:f>'Employee Attendance'!H42</x:f>
        <x:v>Partially attended</x:v>
      </x:c>
      <x:c r="I123" t="str">
        <x:f>'Employee Attendance'!L42</x:f>
        <x:v>Yes</x:v>
      </x:c>
    </x:row>
    <x:row r="124">
      <x:c r="A124" t="str">
        <x:f>'Employee Attendance'!A42</x:f>
        <x:v>Babra Truphena</x:v>
      </x:c>
      <x:c r="B124" t="str">
        <x:f>'Employee Attendance'!B42</x:f>
        <x:v>Kenya</x:v>
      </x:c>
      <x:c r="C124" t="str">
        <x:f>'Employee Attendance'!C42</x:f>
        <x:v>KE</x:v>
      </x:c>
      <x:c r="D124" t="str">
        <x:f>'Employee Attendance'!D42</x:f>
        <x:v>babra.truphena@pwc.com</x:v>
      </x:c>
      <x:c r="E124" t="str">
        <x:f>"Combined"</x:f>
        <x:v>Combined</x:v>
      </x:c>
      <x:c r="F124" s="14" t="n">
        <x:f>'Employee Attendance'!I42</x:f>
        <x:v>0.04162037037037037</x:v>
      </x:c>
      <x:c r="G124" t="n">
        <x:f>F124*86400</x:f>
        <x:v>3596</x:v>
      </x:c>
      <x:c r="H124" t="str">
        <x:f>'Employee Attendance'!J42</x:f>
        <x:v>Partially attended</x:v>
      </x:c>
      <x:c r="I124" t="str">
        <x:f>IF(OR('Employee Attendance'!K42="Yes",'Employee Attendance'!L42="Yes"),"Yes","No")</x:f>
        <x:v>Yes</x:v>
      </x:c>
    </x:row>
    <x:row r="125">
      <x:c r="A125" t="str">
        <x:f>'Employee Attendance'!A43</x:f>
        <x:v>Baraka Pallangyo</x:v>
      </x:c>
      <x:c r="B125" t="str">
        <x:f>'Employee Attendance'!B43</x:f>
        <x:v>Tanzania</x:v>
      </x:c>
      <x:c r="C125" t="str">
        <x:f>'Employee Attendance'!C43</x:f>
        <x:v>TZ</x:v>
      </x:c>
      <x:c r="D125" t="str">
        <x:f>'Employee Attendance'!D43</x:f>
        <x:v>baraka.p.pallangyo@pwc.com</x:v>
      </x:c>
      <x:c r="E125" t="str">
        <x:f>"Option 1"</x:f>
        <x:v>Option 1</x:v>
      </x:c>
      <x:c r="F125" s="14" t="n">
        <x:f>'Employee Attendance'!E43</x:f>
        <x:v>0</x:v>
      </x:c>
      <x:c r="G125" t="n">
        <x:f>F125*86400</x:f>
        <x:v>0</x:v>
      </x:c>
      <x:c r="H125" t="str">
        <x:f>'Employee Attendance'!F43</x:f>
        <x:v>Did not attend</x:v>
      </x:c>
      <x:c r="I125" t="str">
        <x:f>'Employee Attendance'!K43</x:f>
        <x:v>No</x:v>
      </x:c>
    </x:row>
    <x:row r="126">
      <x:c r="A126" t="str">
        <x:f>'Employee Attendance'!A43</x:f>
        <x:v>Baraka Pallangyo</x:v>
      </x:c>
      <x:c r="B126" t="str">
        <x:f>'Employee Attendance'!B43</x:f>
        <x:v>Tanzania</x:v>
      </x:c>
      <x:c r="C126" t="str">
        <x:f>'Employee Attendance'!C43</x:f>
        <x:v>TZ</x:v>
      </x:c>
      <x:c r="D126" t="str">
        <x:f>'Employee Attendance'!D43</x:f>
        <x:v>baraka.p.pallangyo@pwc.com</x:v>
      </x:c>
      <x:c r="E126" t="str">
        <x:f>"Option 2"</x:f>
        <x:v>Option 2</x:v>
      </x:c>
      <x:c r="F126" s="14" t="n">
        <x:f>'Employee Attendance'!G43</x:f>
        <x:v>0.0859375</x:v>
      </x:c>
      <x:c r="G126" t="n">
        <x:f>F126*86400</x:f>
        <x:v>7425</x:v>
      </x:c>
      <x:c r="H126" t="str">
        <x:f>'Employee Attendance'!H43</x:f>
        <x:v>Fully attended</x:v>
      </x:c>
      <x:c r="I126" t="str">
        <x:f>'Employee Attendance'!L43</x:f>
        <x:v>Yes</x:v>
      </x:c>
    </x:row>
    <x:row r="127">
      <x:c r="A127" t="str">
        <x:f>'Employee Attendance'!A43</x:f>
        <x:v>Baraka Pallangyo</x:v>
      </x:c>
      <x:c r="B127" t="str">
        <x:f>'Employee Attendance'!B43</x:f>
        <x:v>Tanzania</x:v>
      </x:c>
      <x:c r="C127" t="str">
        <x:f>'Employee Attendance'!C43</x:f>
        <x:v>TZ</x:v>
      </x:c>
      <x:c r="D127" t="str">
        <x:f>'Employee Attendance'!D43</x:f>
        <x:v>baraka.p.pallangyo@pwc.com</x:v>
      </x:c>
      <x:c r="E127" t="str">
        <x:f>"Combined"</x:f>
        <x:v>Combined</x:v>
      </x:c>
      <x:c r="F127" s="14" t="n">
        <x:f>'Employee Attendance'!I43</x:f>
        <x:v>0.0859375</x:v>
      </x:c>
      <x:c r="G127" t="n">
        <x:f>F127*86400</x:f>
        <x:v>7425</x:v>
      </x:c>
      <x:c r="H127" t="str">
        <x:f>'Employee Attendance'!J43</x:f>
        <x:v>Fully attended</x:v>
      </x:c>
      <x:c r="I127" t="str">
        <x:f>IF(OR('Employee Attendance'!K43="Yes",'Employee Attendance'!L43="Yes"),"Yes","No")</x:f>
        <x:v>Yes</x:v>
      </x:c>
    </x:row>
    <x:row r="128">
      <x:c r="A128" t="str">
        <x:f>'Employee Attendance'!A44</x:f>
        <x:v>Bellonce Nyambura</x:v>
      </x:c>
      <x:c r="B128" t="str">
        <x:f>'Employee Attendance'!B44</x:f>
        <x:v>Kenya</x:v>
      </x:c>
      <x:c r="C128" t="str">
        <x:f>'Employee Attendance'!C44</x:f>
        <x:v>KE</x:v>
      </x:c>
      <x:c r="D128" t="str">
        <x:f>'Employee Attendance'!D44</x:f>
        <x:v>bellonce.nyambura@pwc.com</x:v>
      </x:c>
      <x:c r="E128" t="str">
        <x:f>"Option 1"</x:f>
        <x:v>Option 1</x:v>
      </x:c>
      <x:c r="F128" s="14" t="n">
        <x:f>'Employee Attendance'!E44</x:f>
        <x:v>0</x:v>
      </x:c>
      <x:c r="G128" t="n">
        <x:f>F128*86400</x:f>
        <x:v>0</x:v>
      </x:c>
      <x:c r="H128" t="str">
        <x:f>'Employee Attendance'!F44</x:f>
        <x:v>Did not attend</x:v>
      </x:c>
      <x:c r="I128" t="str">
        <x:f>'Employee Attendance'!K44</x:f>
        <x:v>No</x:v>
      </x:c>
    </x:row>
    <x:row r="129">
      <x:c r="A129" t="str">
        <x:f>'Employee Attendance'!A44</x:f>
        <x:v>Bellonce Nyambura</x:v>
      </x:c>
      <x:c r="B129" t="str">
        <x:f>'Employee Attendance'!B44</x:f>
        <x:v>Kenya</x:v>
      </x:c>
      <x:c r="C129" t="str">
        <x:f>'Employee Attendance'!C44</x:f>
        <x:v>KE</x:v>
      </x:c>
      <x:c r="D129" t="str">
        <x:f>'Employee Attendance'!D44</x:f>
        <x:v>bellonce.nyambura@pwc.com</x:v>
      </x:c>
      <x:c r="E129" t="str">
        <x:f>"Option 2"</x:f>
        <x:v>Option 2</x:v>
      </x:c>
      <x:c r="F129" s="14" t="n">
        <x:f>'Employee Attendance'!G44</x:f>
        <x:v>0.08457175925925926</x:v>
      </x:c>
      <x:c r="G129" t="n">
        <x:f>F129*86400</x:f>
        <x:v>7307</x:v>
      </x:c>
      <x:c r="H129" t="str">
        <x:f>'Employee Attendance'!H44</x:f>
        <x:v>Fully attended</x:v>
      </x:c>
      <x:c r="I129" t="str">
        <x:f>'Employee Attendance'!L44</x:f>
        <x:v>Yes</x:v>
      </x:c>
    </x:row>
    <x:row r="130">
      <x:c r="A130" t="str">
        <x:f>'Employee Attendance'!A44</x:f>
        <x:v>Bellonce Nyambura</x:v>
      </x:c>
      <x:c r="B130" t="str">
        <x:f>'Employee Attendance'!B44</x:f>
        <x:v>Kenya</x:v>
      </x:c>
      <x:c r="C130" t="str">
        <x:f>'Employee Attendance'!C44</x:f>
        <x:v>KE</x:v>
      </x:c>
      <x:c r="D130" t="str">
        <x:f>'Employee Attendance'!D44</x:f>
        <x:v>bellonce.nyambura@pwc.com</x:v>
      </x:c>
      <x:c r="E130" t="str">
        <x:f>"Combined"</x:f>
        <x:v>Combined</x:v>
      </x:c>
      <x:c r="F130" s="14" t="n">
        <x:f>'Employee Attendance'!I44</x:f>
        <x:v>0.08457175925925926</x:v>
      </x:c>
      <x:c r="G130" t="n">
        <x:f>F130*86400</x:f>
        <x:v>7307</x:v>
      </x:c>
      <x:c r="H130" t="str">
        <x:f>'Employee Attendance'!J44</x:f>
        <x:v>Fully attended</x:v>
      </x:c>
      <x:c r="I130" t="str">
        <x:f>IF(OR('Employee Attendance'!K44="Yes",'Employee Attendance'!L44="Yes"),"Yes","No")</x:f>
        <x:v>Yes</x:v>
      </x:c>
    </x:row>
    <x:row r="131">
      <x:c r="A131" t="str">
        <x:f>'Employee Attendance'!A45</x:f>
        <x:v>Ben Victor Kibet</x:v>
      </x:c>
      <x:c r="B131" t="str">
        <x:f>'Employee Attendance'!B45</x:f>
        <x:v>Kenya</x:v>
      </x:c>
      <x:c r="C131" t="str">
        <x:f>'Employee Attendance'!C45</x:f>
        <x:v>KE</x:v>
      </x:c>
      <x:c r="D131" t="str">
        <x:f>'Employee Attendance'!D45</x:f>
        <x:v>ben.kibet@pwc.com</x:v>
      </x:c>
      <x:c r="E131" t="str">
        <x:f>"Option 1"</x:f>
        <x:v>Option 1</x:v>
      </x:c>
      <x:c r="F131" s="14" t="n">
        <x:f>'Employee Attendance'!E45</x:f>
        <x:v>0</x:v>
      </x:c>
      <x:c r="G131" t="n">
        <x:f>F131*86400</x:f>
        <x:v>0</x:v>
      </x:c>
      <x:c r="H131" t="str">
        <x:f>'Employee Attendance'!F45</x:f>
        <x:v>Did not attend</x:v>
      </x:c>
      <x:c r="I131" t="str">
        <x:f>'Employee Attendance'!K45</x:f>
        <x:v>No</x:v>
      </x:c>
    </x:row>
    <x:row r="132">
      <x:c r="A132" t="str">
        <x:f>'Employee Attendance'!A45</x:f>
        <x:v>Ben Victor Kibet</x:v>
      </x:c>
      <x:c r="B132" t="str">
        <x:f>'Employee Attendance'!B45</x:f>
        <x:v>Kenya</x:v>
      </x:c>
      <x:c r="C132" t="str">
        <x:f>'Employee Attendance'!C45</x:f>
        <x:v>KE</x:v>
      </x:c>
      <x:c r="D132" t="str">
        <x:f>'Employee Attendance'!D45</x:f>
        <x:v>ben.kibet@pwc.com</x:v>
      </x:c>
      <x:c r="E132" t="str">
        <x:f>"Option 2"</x:f>
        <x:v>Option 2</x:v>
      </x:c>
      <x:c r="F132" s="14" t="n">
        <x:f>'Employee Attendance'!G45</x:f>
        <x:v>0.0013773148148148147</x:v>
      </x:c>
      <x:c r="G132" t="n">
        <x:f>F132*86400</x:f>
        <x:v>118.99999999999999</x:v>
      </x:c>
      <x:c r="H132" t="str">
        <x:f>'Employee Attendance'!H45</x:f>
        <x:v>Partially attended</x:v>
      </x:c>
      <x:c r="I132" t="str">
        <x:f>'Employee Attendance'!L45</x:f>
        <x:v>Yes</x:v>
      </x:c>
    </x:row>
    <x:row r="133">
      <x:c r="A133" t="str">
        <x:f>'Employee Attendance'!A45</x:f>
        <x:v>Ben Victor Kibet</x:v>
      </x:c>
      <x:c r="B133" t="str">
        <x:f>'Employee Attendance'!B45</x:f>
        <x:v>Kenya</x:v>
      </x:c>
      <x:c r="C133" t="str">
        <x:f>'Employee Attendance'!C45</x:f>
        <x:v>KE</x:v>
      </x:c>
      <x:c r="D133" t="str">
        <x:f>'Employee Attendance'!D45</x:f>
        <x:v>ben.kibet@pwc.com</x:v>
      </x:c>
      <x:c r="E133" t="str">
        <x:f>"Combined"</x:f>
        <x:v>Combined</x:v>
      </x:c>
      <x:c r="F133" s="14" t="n">
        <x:f>'Employee Attendance'!I45</x:f>
        <x:v>0.0013773148148148147</x:v>
      </x:c>
      <x:c r="G133" t="n">
        <x:f>F133*86400</x:f>
        <x:v>118.99999999999999</x:v>
      </x:c>
      <x:c r="H133" t="str">
        <x:f>'Employee Attendance'!J45</x:f>
        <x:v>Partially attended</x:v>
      </x:c>
      <x:c r="I133" t="str">
        <x:f>IF(OR('Employee Attendance'!K45="Yes",'Employee Attendance'!L45="Yes"),"Yes","No")</x:f>
        <x:v>Yes</x:v>
      </x:c>
    </x:row>
    <x:row r="134">
      <x:c r="A134" t="str">
        <x:f>'Employee Attendance'!A46</x:f>
        <x:v>Benard Thiong'o</x:v>
      </x:c>
      <x:c r="B134" t="str">
        <x:f>'Employee Attendance'!B46</x:f>
        <x:v>Kenya</x:v>
      </x:c>
      <x:c r="C134" t="str">
        <x:f>'Employee Attendance'!C46</x:f>
        <x:v>KE</x:v>
      </x:c>
      <x:c r="D134" t="str">
        <x:f>'Employee Attendance'!D46</x:f>
        <x:v>benard.thiongo@pwc.com</x:v>
      </x:c>
      <x:c r="E134" t="str">
        <x:f>"Option 1"</x:f>
        <x:v>Option 1</x:v>
      </x:c>
      <x:c r="F134" s="14" t="n">
        <x:f>'Employee Attendance'!E46</x:f>
        <x:v>0</x:v>
      </x:c>
      <x:c r="G134" t="n">
        <x:f>F134*86400</x:f>
        <x:v>0</x:v>
      </x:c>
      <x:c r="H134" t="str">
        <x:f>'Employee Attendance'!F46</x:f>
        <x:v>Did not attend</x:v>
      </x:c>
      <x:c r="I134" t="str">
        <x:f>'Employee Attendance'!K46</x:f>
        <x:v>No</x:v>
      </x:c>
    </x:row>
    <x:row r="135">
      <x:c r="A135" t="str">
        <x:f>'Employee Attendance'!A46</x:f>
        <x:v>Benard Thiong'o</x:v>
      </x:c>
      <x:c r="B135" t="str">
        <x:f>'Employee Attendance'!B46</x:f>
        <x:v>Kenya</x:v>
      </x:c>
      <x:c r="C135" t="str">
        <x:f>'Employee Attendance'!C46</x:f>
        <x:v>KE</x:v>
      </x:c>
      <x:c r="D135" t="str">
        <x:f>'Employee Attendance'!D46</x:f>
        <x:v>benard.thiongo@pwc.com</x:v>
      </x:c>
      <x:c r="E135" t="str">
        <x:f>"Option 2"</x:f>
        <x:v>Option 2</x:v>
      </x:c>
      <x:c r="F135" s="14" t="n">
        <x:f>'Employee Attendance'!G46</x:f>
        <x:v>0.08422453703703704</x:v>
      </x:c>
      <x:c r="G135" t="n">
        <x:f>F135*86400</x:f>
        <x:v>7277</x:v>
      </x:c>
      <x:c r="H135" t="str">
        <x:f>'Employee Attendance'!H46</x:f>
        <x:v>Fully attended</x:v>
      </x:c>
      <x:c r="I135" t="str">
        <x:f>'Employee Attendance'!L46</x:f>
        <x:v>Yes</x:v>
      </x:c>
    </x:row>
    <x:row r="136">
      <x:c r="A136" t="str">
        <x:f>'Employee Attendance'!A46</x:f>
        <x:v>Benard Thiong'o</x:v>
      </x:c>
      <x:c r="B136" t="str">
        <x:f>'Employee Attendance'!B46</x:f>
        <x:v>Kenya</x:v>
      </x:c>
      <x:c r="C136" t="str">
        <x:f>'Employee Attendance'!C46</x:f>
        <x:v>KE</x:v>
      </x:c>
      <x:c r="D136" t="str">
        <x:f>'Employee Attendance'!D46</x:f>
        <x:v>benard.thiongo@pwc.com</x:v>
      </x:c>
      <x:c r="E136" t="str">
        <x:f>"Combined"</x:f>
        <x:v>Combined</x:v>
      </x:c>
      <x:c r="F136" s="14" t="n">
        <x:f>'Employee Attendance'!I46</x:f>
        <x:v>0.08422453703703704</x:v>
      </x:c>
      <x:c r="G136" t="n">
        <x:f>F136*86400</x:f>
        <x:v>7277</x:v>
      </x:c>
      <x:c r="H136" t="str">
        <x:f>'Employee Attendance'!J46</x:f>
        <x:v>Fully attended</x:v>
      </x:c>
      <x:c r="I136" t="str">
        <x:f>IF(OR('Employee Attendance'!K46="Yes",'Employee Attendance'!L46="Yes"),"Yes","No")</x:f>
        <x:v>Yes</x:v>
      </x:c>
    </x:row>
    <x:row r="137">
      <x:c r="A137" t="str">
        <x:f>'Employee Attendance'!A47</x:f>
        <x:v>Benedict Odero</x:v>
      </x:c>
      <x:c r="B137" t="str">
        <x:f>'Employee Attendance'!B47</x:f>
        <x:v>Kenya</x:v>
      </x:c>
      <x:c r="C137" t="str">
        <x:f>'Employee Attendance'!C47</x:f>
        <x:v>KE</x:v>
      </x:c>
      <x:c r="D137" t="str">
        <x:f>'Employee Attendance'!D47</x:f>
        <x:v>benedict.odero@pwc.com</x:v>
      </x:c>
      <x:c r="E137" t="str">
        <x:f>"Option 1"</x:f>
        <x:v>Option 1</x:v>
      </x:c>
      <x:c r="F137" s="14" t="n">
        <x:f>'Employee Attendance'!E47</x:f>
        <x:v>0.07630787037037037</x:v>
      </x:c>
      <x:c r="G137" t="n">
        <x:f>F137*86400</x:f>
        <x:v>6593</x:v>
      </x:c>
      <x:c r="H137" t="str">
        <x:f>'Employee Attendance'!F47</x:f>
        <x:v>Fully attended</x:v>
      </x:c>
      <x:c r="I137" t="str">
        <x:f>'Employee Attendance'!K47</x:f>
        <x:v>Yes</x:v>
      </x:c>
    </x:row>
    <x:row r="138">
      <x:c r="A138" t="str">
        <x:f>'Employee Attendance'!A47</x:f>
        <x:v>Benedict Odero</x:v>
      </x:c>
      <x:c r="B138" t="str">
        <x:f>'Employee Attendance'!B47</x:f>
        <x:v>Kenya</x:v>
      </x:c>
      <x:c r="C138" t="str">
        <x:f>'Employee Attendance'!C47</x:f>
        <x:v>KE</x:v>
      </x:c>
      <x:c r="D138" t="str">
        <x:f>'Employee Attendance'!D47</x:f>
        <x:v>benedict.odero@pwc.com</x:v>
      </x:c>
      <x:c r="E138" t="str">
        <x:f>"Option 2"</x:f>
        <x:v>Option 2</x:v>
      </x:c>
      <x:c r="F138" s="14" t="n">
        <x:f>'Employee Attendance'!G47</x:f>
        <x:v>0.040914351851851855</x:v>
      </x:c>
      <x:c r="G138" t="n">
        <x:f>F138*86400</x:f>
        <x:v>3535.0000000000005</x:v>
      </x:c>
      <x:c r="H138" t="str">
        <x:f>'Employee Attendance'!H47</x:f>
        <x:v>Partially attended</x:v>
      </x:c>
      <x:c r="I138" t="str">
        <x:f>'Employee Attendance'!L47</x:f>
        <x:v>Yes</x:v>
      </x:c>
    </x:row>
    <x:row r="139">
      <x:c r="A139" t="str">
        <x:f>'Employee Attendance'!A47</x:f>
        <x:v>Benedict Odero</x:v>
      </x:c>
      <x:c r="B139" t="str">
        <x:f>'Employee Attendance'!B47</x:f>
        <x:v>Kenya</x:v>
      </x:c>
      <x:c r="C139" t="str">
        <x:f>'Employee Attendance'!C47</x:f>
        <x:v>KE</x:v>
      </x:c>
      <x:c r="D139" t="str">
        <x:f>'Employee Attendance'!D47</x:f>
        <x:v>benedict.odero@pwc.com</x:v>
      </x:c>
      <x:c r="E139" t="str">
        <x:f>"Combined"</x:f>
        <x:v>Combined</x:v>
      </x:c>
      <x:c r="F139" s="14" t="n">
        <x:f>'Employee Attendance'!I47</x:f>
        <x:v>0.11722222222222223</x:v>
      </x:c>
      <x:c r="G139" t="n">
        <x:f>F139*86400</x:f>
        <x:v>10128</x:v>
      </x:c>
      <x:c r="H139" t="str">
        <x:f>'Employee Attendance'!J47</x:f>
        <x:v>Fully attended</x:v>
      </x:c>
      <x:c r="I139" t="str">
        <x:f>IF(OR('Employee Attendance'!K47="Yes",'Employee Attendance'!L47="Yes"),"Yes","No")</x:f>
        <x:v>Yes</x:v>
      </x:c>
    </x:row>
    <x:row r="140">
      <x:c r="A140" t="str">
        <x:f>'Employee Attendance'!A48</x:f>
        <x:v>Benson Okundi</x:v>
      </x:c>
      <x:c r="B140" t="str">
        <x:f>'Employee Attendance'!B48</x:f>
        <x:v>Kenya</x:v>
      </x:c>
      <x:c r="C140" t="str">
        <x:f>'Employee Attendance'!C48</x:f>
        <x:v>KE</x:v>
      </x:c>
      <x:c r="D140" t="str">
        <x:f>'Employee Attendance'!D48</x:f>
        <x:v>benson.okundi@pwc.com</x:v>
      </x:c>
      <x:c r="E140" t="str">
        <x:f>"Option 1"</x:f>
        <x:v>Option 1</x:v>
      </x:c>
      <x:c r="F140" s="14" t="n">
        <x:f>'Employee Attendance'!E48</x:f>
        <x:v>0</x:v>
      </x:c>
      <x:c r="G140" t="n">
        <x:f>F140*86400</x:f>
        <x:v>0</x:v>
      </x:c>
      <x:c r="H140" t="str">
        <x:f>'Employee Attendance'!F48</x:f>
        <x:v>Did not attend</x:v>
      </x:c>
      <x:c r="I140" t="str">
        <x:f>'Employee Attendance'!K48</x:f>
        <x:v>No</x:v>
      </x:c>
    </x:row>
    <x:row r="141">
      <x:c r="A141" t="str">
        <x:f>'Employee Attendance'!A48</x:f>
        <x:v>Benson Okundi</x:v>
      </x:c>
      <x:c r="B141" t="str">
        <x:f>'Employee Attendance'!B48</x:f>
        <x:v>Kenya</x:v>
      </x:c>
      <x:c r="C141" t="str">
        <x:f>'Employee Attendance'!C48</x:f>
        <x:v>KE</x:v>
      </x:c>
      <x:c r="D141" t="str">
        <x:f>'Employee Attendance'!D48</x:f>
        <x:v>benson.okundi@pwc.com</x:v>
      </x:c>
      <x:c r="E141" t="str">
        <x:f>"Option 2"</x:f>
        <x:v>Option 2</x:v>
      </x:c>
      <x:c r="F141" s="14" t="n">
        <x:f>'Employee Attendance'!G48</x:f>
        <x:v>0.08472222222222223</x:v>
      </x:c>
      <x:c r="G141" t="n">
        <x:f>F141*86400</x:f>
        <x:v>7320</x:v>
      </x:c>
      <x:c r="H141" t="str">
        <x:f>'Employee Attendance'!H48</x:f>
        <x:v>Fully attended</x:v>
      </x:c>
      <x:c r="I141" t="str">
        <x:f>'Employee Attendance'!L48</x:f>
        <x:v>Yes</x:v>
      </x:c>
    </x:row>
    <x:row r="142">
      <x:c r="A142" t="str">
        <x:f>'Employee Attendance'!A48</x:f>
        <x:v>Benson Okundi</x:v>
      </x:c>
      <x:c r="B142" t="str">
        <x:f>'Employee Attendance'!B48</x:f>
        <x:v>Kenya</x:v>
      </x:c>
      <x:c r="C142" t="str">
        <x:f>'Employee Attendance'!C48</x:f>
        <x:v>KE</x:v>
      </x:c>
      <x:c r="D142" t="str">
        <x:f>'Employee Attendance'!D48</x:f>
        <x:v>benson.okundi@pwc.com</x:v>
      </x:c>
      <x:c r="E142" t="str">
        <x:f>"Combined"</x:f>
        <x:v>Combined</x:v>
      </x:c>
      <x:c r="F142" s="14" t="n">
        <x:f>'Employee Attendance'!I48</x:f>
        <x:v>0.08472222222222223</x:v>
      </x:c>
      <x:c r="G142" t="n">
        <x:f>F142*86400</x:f>
        <x:v>7320</x:v>
      </x:c>
      <x:c r="H142" t="str">
        <x:f>'Employee Attendance'!J48</x:f>
        <x:v>Fully attended</x:v>
      </x:c>
      <x:c r="I142" t="str">
        <x:f>IF(OR('Employee Attendance'!K48="Yes",'Employee Attendance'!L48="Yes"),"Yes","No")</x:f>
        <x:v>Yes</x:v>
      </x:c>
    </x:row>
    <x:row r="143">
      <x:c r="A143" t="str">
        <x:f>'Employee Attendance'!A49</x:f>
        <x:v>Bernice Kimacia</x:v>
      </x:c>
      <x:c r="B143" t="str">
        <x:f>'Employee Attendance'!B49</x:f>
        <x:v>Kenya</x:v>
      </x:c>
      <x:c r="C143" t="str">
        <x:f>'Employee Attendance'!C49</x:f>
        <x:v>KE</x:v>
      </x:c>
      <x:c r="D143" t="str">
        <x:f>'Employee Attendance'!D49</x:f>
        <x:v>bernice.kimacia@pwc.com</x:v>
      </x:c>
      <x:c r="E143" t="str">
        <x:f>"Option 1"</x:f>
        <x:v>Option 1</x:v>
      </x:c>
      <x:c r="F143" s="14" t="n">
        <x:f>'Employee Attendance'!E49</x:f>
        <x:v>0.08003472222222222</x:v>
      </x:c>
      <x:c r="G143" t="n">
        <x:f>F143*86400</x:f>
        <x:v>6914.999999999999</x:v>
      </x:c>
      <x:c r="H143" t="str">
        <x:f>'Employee Attendance'!F49</x:f>
        <x:v>Fully attended</x:v>
      </x:c>
      <x:c r="I143" t="str">
        <x:f>'Employee Attendance'!K49</x:f>
        <x:v>Yes</x:v>
      </x:c>
    </x:row>
    <x:row r="144">
      <x:c r="A144" t="str">
        <x:f>'Employee Attendance'!A49</x:f>
        <x:v>Bernice Kimacia</x:v>
      </x:c>
      <x:c r="B144" t="str">
        <x:f>'Employee Attendance'!B49</x:f>
        <x:v>Kenya</x:v>
      </x:c>
      <x:c r="C144" t="str">
        <x:f>'Employee Attendance'!C49</x:f>
        <x:v>KE</x:v>
      </x:c>
      <x:c r="D144" t="str">
        <x:f>'Employee Attendance'!D49</x:f>
        <x:v>bernice.kimacia@pwc.com</x:v>
      </x:c>
      <x:c r="E144" t="str">
        <x:f>"Option 2"</x:f>
        <x:v>Option 2</x:v>
      </x:c>
      <x:c r="F144" s="14" t="n">
        <x:f>'Employee Attendance'!G49</x:f>
        <x:v>0.08575231481481481</x:v>
      </x:c>
      <x:c r="G144" t="n">
        <x:f>F144*86400</x:f>
        <x:v>7408.999999999999</x:v>
      </x:c>
      <x:c r="H144" t="str">
        <x:f>'Employee Attendance'!H49</x:f>
        <x:v>Fully attended</x:v>
      </x:c>
      <x:c r="I144" t="str">
        <x:f>'Employee Attendance'!L49</x:f>
        <x:v>Yes</x:v>
      </x:c>
    </x:row>
    <x:row r="145">
      <x:c r="A145" t="str">
        <x:f>'Employee Attendance'!A49</x:f>
        <x:v>Bernice Kimacia</x:v>
      </x:c>
      <x:c r="B145" t="str">
        <x:f>'Employee Attendance'!B49</x:f>
        <x:v>Kenya</x:v>
      </x:c>
      <x:c r="C145" t="str">
        <x:f>'Employee Attendance'!C49</x:f>
        <x:v>KE</x:v>
      </x:c>
      <x:c r="D145" t="str">
        <x:f>'Employee Attendance'!D49</x:f>
        <x:v>bernice.kimacia@pwc.com</x:v>
      </x:c>
      <x:c r="E145" t="str">
        <x:f>"Combined"</x:f>
        <x:v>Combined</x:v>
      </x:c>
      <x:c r="F145" s="14" t="n">
        <x:f>'Employee Attendance'!I49</x:f>
        <x:v>0.165787037037037</x:v>
      </x:c>
      <x:c r="G145" t="n">
        <x:f>F145*86400</x:f>
        <x:v>14323.999999999998</x:v>
      </x:c>
      <x:c r="H145" t="str">
        <x:f>'Employee Attendance'!J49</x:f>
        <x:v>Fully attended</x:v>
      </x:c>
      <x:c r="I145" t="str">
        <x:f>IF(OR('Employee Attendance'!K49="Yes",'Employee Attendance'!L49="Yes"),"Yes","No")</x:f>
        <x:v>Yes</x:v>
      </x:c>
    </x:row>
    <x:row r="146">
      <x:c r="A146" t="str">
        <x:f>'Employee Attendance'!A50</x:f>
        <x:v>Bertha Pascal</x:v>
      </x:c>
      <x:c r="B146" t="str">
        <x:f>'Employee Attendance'!B50</x:f>
        <x:v>Tanzania</x:v>
      </x:c>
      <x:c r="C146" t="str">
        <x:f>'Employee Attendance'!C50</x:f>
        <x:v>TZ</x:v>
      </x:c>
      <x:c r="D146" t="str">
        <x:f>'Employee Attendance'!D50</x:f>
        <x:v>bertha.p.pascal@pwc.com</x:v>
      </x:c>
      <x:c r="E146" t="str">
        <x:f>"Option 1"</x:f>
        <x:v>Option 1</x:v>
      </x:c>
      <x:c r="F146" s="14" t="n">
        <x:f>'Employee Attendance'!E50</x:f>
        <x:v>0</x:v>
      </x:c>
      <x:c r="G146" t="n">
        <x:f>F146*86400</x:f>
        <x:v>0</x:v>
      </x:c>
      <x:c r="H146" t="str">
        <x:f>'Employee Attendance'!F50</x:f>
        <x:v>Did not attend</x:v>
      </x:c>
      <x:c r="I146" t="str">
        <x:f>'Employee Attendance'!K50</x:f>
        <x:v>No</x:v>
      </x:c>
    </x:row>
    <x:row r="147">
      <x:c r="A147" t="str">
        <x:f>'Employee Attendance'!A50</x:f>
        <x:v>Bertha Pascal</x:v>
      </x:c>
      <x:c r="B147" t="str">
        <x:f>'Employee Attendance'!B50</x:f>
        <x:v>Tanzania</x:v>
      </x:c>
      <x:c r="C147" t="str">
        <x:f>'Employee Attendance'!C50</x:f>
        <x:v>TZ</x:v>
      </x:c>
      <x:c r="D147" t="str">
        <x:f>'Employee Attendance'!D50</x:f>
        <x:v>bertha.p.pascal@pwc.com</x:v>
      </x:c>
      <x:c r="E147" t="str">
        <x:f>"Option 2"</x:f>
        <x:v>Option 2</x:v>
      </x:c>
      <x:c r="F147" s="14" t="n">
        <x:f>'Employee Attendance'!G50</x:f>
        <x:v>0.08543981481481482</x:v>
      </x:c>
      <x:c r="G147" t="n">
        <x:f>F147*86400</x:f>
        <x:v>7382</x:v>
      </x:c>
      <x:c r="H147" t="str">
        <x:f>'Employee Attendance'!H50</x:f>
        <x:v>Fully attended</x:v>
      </x:c>
      <x:c r="I147" t="str">
        <x:f>'Employee Attendance'!L50</x:f>
        <x:v>Yes</x:v>
      </x:c>
    </x:row>
    <x:row r="148">
      <x:c r="A148" t="str">
        <x:f>'Employee Attendance'!A50</x:f>
        <x:v>Bertha Pascal</x:v>
      </x:c>
      <x:c r="B148" t="str">
        <x:f>'Employee Attendance'!B50</x:f>
        <x:v>Tanzania</x:v>
      </x:c>
      <x:c r="C148" t="str">
        <x:f>'Employee Attendance'!C50</x:f>
        <x:v>TZ</x:v>
      </x:c>
      <x:c r="D148" t="str">
        <x:f>'Employee Attendance'!D50</x:f>
        <x:v>bertha.p.pascal@pwc.com</x:v>
      </x:c>
      <x:c r="E148" t="str">
        <x:f>"Combined"</x:f>
        <x:v>Combined</x:v>
      </x:c>
      <x:c r="F148" s="14" t="n">
        <x:f>'Employee Attendance'!I50</x:f>
        <x:v>0.08543981481481482</x:v>
      </x:c>
      <x:c r="G148" t="n">
        <x:f>F148*86400</x:f>
        <x:v>7382</x:v>
      </x:c>
      <x:c r="H148" t="str">
        <x:f>'Employee Attendance'!J50</x:f>
        <x:v>Fully attended</x:v>
      </x:c>
      <x:c r="I148" t="str">
        <x:f>IF(OR('Employee Attendance'!K50="Yes",'Employee Attendance'!L50="Yes"),"Yes","No")</x:f>
        <x:v>Yes</x:v>
      </x:c>
    </x:row>
    <x:row r="149">
      <x:c r="A149" t="str">
        <x:f>'Employee Attendance'!A51</x:f>
        <x:v>Beryl Wasungu</x:v>
      </x:c>
      <x:c r="B149" t="str">
        <x:f>'Employee Attendance'!B51</x:f>
        <x:v>Kenya</x:v>
      </x:c>
      <x:c r="C149" t="str">
        <x:f>'Employee Attendance'!C51</x:f>
        <x:v>KE</x:v>
      </x:c>
      <x:c r="D149" t="str">
        <x:f>'Employee Attendance'!D51</x:f>
        <x:v>beryl.wasungu@pwc.com</x:v>
      </x:c>
      <x:c r="E149" t="str">
        <x:f>"Option 1"</x:f>
        <x:v>Option 1</x:v>
      </x:c>
      <x:c r="F149" s="14" t="n">
        <x:f>'Employee Attendance'!E51</x:f>
        <x:v>0.07309027777777778</x:v>
      </x:c>
      <x:c r="G149" t="n">
        <x:f>F149*86400</x:f>
        <x:v>6315</x:v>
      </x:c>
      <x:c r="H149" t="str">
        <x:f>'Employee Attendance'!F51</x:f>
        <x:v>Fully attended</x:v>
      </x:c>
      <x:c r="I149" t="str">
        <x:f>'Employee Attendance'!K51</x:f>
        <x:v>Yes</x:v>
      </x:c>
    </x:row>
    <x:row r="150">
      <x:c r="A150" t="str">
        <x:f>'Employee Attendance'!A51</x:f>
        <x:v>Beryl Wasungu</x:v>
      </x:c>
      <x:c r="B150" t="str">
        <x:f>'Employee Attendance'!B51</x:f>
        <x:v>Kenya</x:v>
      </x:c>
      <x:c r="C150" t="str">
        <x:f>'Employee Attendance'!C51</x:f>
        <x:v>KE</x:v>
      </x:c>
      <x:c r="D150" t="str">
        <x:f>'Employee Attendance'!D51</x:f>
        <x:v>beryl.wasungu@pwc.com</x:v>
      </x:c>
      <x:c r="E150" t="str">
        <x:f>"Option 2"</x:f>
        <x:v>Option 2</x:v>
      </x:c>
      <x:c r="F150" s="14" t="n">
        <x:f>'Employee Attendance'!G51</x:f>
        <x:v>0</x:v>
      </x:c>
      <x:c r="G150" t="n">
        <x:f>F150*86400</x:f>
        <x:v>0</x:v>
      </x:c>
      <x:c r="H150" t="str">
        <x:f>'Employee Attendance'!H51</x:f>
        <x:v>Did not attend</x:v>
      </x:c>
      <x:c r="I150" t="str">
        <x:f>'Employee Attendance'!L51</x:f>
        <x:v>No</x:v>
      </x:c>
    </x:row>
    <x:row r="151">
      <x:c r="A151" t="str">
        <x:f>'Employee Attendance'!A51</x:f>
        <x:v>Beryl Wasungu</x:v>
      </x:c>
      <x:c r="B151" t="str">
        <x:f>'Employee Attendance'!B51</x:f>
        <x:v>Kenya</x:v>
      </x:c>
      <x:c r="C151" t="str">
        <x:f>'Employee Attendance'!C51</x:f>
        <x:v>KE</x:v>
      </x:c>
      <x:c r="D151" t="str">
        <x:f>'Employee Attendance'!D51</x:f>
        <x:v>beryl.wasungu@pwc.com</x:v>
      </x:c>
      <x:c r="E151" t="str">
        <x:f>"Combined"</x:f>
        <x:v>Combined</x:v>
      </x:c>
      <x:c r="F151" s="14" t="n">
        <x:f>'Employee Attendance'!I51</x:f>
        <x:v>0.07309027777777778</x:v>
      </x:c>
      <x:c r="G151" t="n">
        <x:f>F151*86400</x:f>
        <x:v>6315</x:v>
      </x:c>
      <x:c r="H151" t="str">
        <x:f>'Employee Attendance'!J51</x:f>
        <x:v>Fully attended</x:v>
      </x:c>
      <x:c r="I151" t="str">
        <x:f>IF(OR('Employee Attendance'!K51="Yes",'Employee Attendance'!L51="Yes"),"Yes","No")</x:f>
        <x:v>Yes</x:v>
      </x:c>
    </x:row>
    <x:row r="152">
      <x:c r="A152" t="str">
        <x:f>'Employee Attendance'!A52</x:f>
        <x:v>Bhavesh Naggea</x:v>
      </x:c>
      <x:c r="B152" t="str">
        <x:f>'Employee Attendance'!B52</x:f>
        <x:v>Mauritius</x:v>
      </x:c>
      <x:c r="C152" t="str">
        <x:f>'Employee Attendance'!C52</x:f>
        <x:v>MU</x:v>
      </x:c>
      <x:c r="D152" t="str">
        <x:f>'Employee Attendance'!D52</x:f>
        <x:v>bhavesh.naggea@pwc.com</x:v>
      </x:c>
      <x:c r="E152" t="str">
        <x:f>"Option 1"</x:f>
        <x:v>Option 1</x:v>
      </x:c>
      <x:c r="F152" s="14" t="n">
        <x:f>'Employee Attendance'!E52</x:f>
        <x:v>0.08358796296296296</x:v>
      </x:c>
      <x:c r="G152" t="n">
        <x:f>F152*86400</x:f>
        <x:v>7222</x:v>
      </x:c>
      <x:c r="H152" t="str">
        <x:f>'Employee Attendance'!F52</x:f>
        <x:v>Fully attended</x:v>
      </x:c>
      <x:c r="I152" t="str">
        <x:f>'Employee Attendance'!K52</x:f>
        <x:v>Yes</x:v>
      </x:c>
    </x:row>
    <x:row r="153">
      <x:c r="A153" t="str">
        <x:f>'Employee Attendance'!A52</x:f>
        <x:v>Bhavesh Naggea</x:v>
      </x:c>
      <x:c r="B153" t="str">
        <x:f>'Employee Attendance'!B52</x:f>
        <x:v>Mauritius</x:v>
      </x:c>
      <x:c r="C153" t="str">
        <x:f>'Employee Attendance'!C52</x:f>
        <x:v>MU</x:v>
      </x:c>
      <x:c r="D153" t="str">
        <x:f>'Employee Attendance'!D52</x:f>
        <x:v>bhavesh.naggea@pwc.com</x:v>
      </x:c>
      <x:c r="E153" t="str">
        <x:f>"Option 2"</x:f>
        <x:v>Option 2</x:v>
      </x:c>
      <x:c r="F153" s="14" t="n">
        <x:f>'Employee Attendance'!G52</x:f>
        <x:v>0</x:v>
      </x:c>
      <x:c r="G153" t="n">
        <x:f>F153*86400</x:f>
        <x:v>0</x:v>
      </x:c>
      <x:c r="H153" t="str">
        <x:f>'Employee Attendance'!H52</x:f>
        <x:v>Did not attend</x:v>
      </x:c>
      <x:c r="I153" t="str">
        <x:f>'Employee Attendance'!L52</x:f>
        <x:v>No</x:v>
      </x:c>
    </x:row>
    <x:row r="154">
      <x:c r="A154" t="str">
        <x:f>'Employee Attendance'!A52</x:f>
        <x:v>Bhavesh Naggea</x:v>
      </x:c>
      <x:c r="B154" t="str">
        <x:f>'Employee Attendance'!B52</x:f>
        <x:v>Mauritius</x:v>
      </x:c>
      <x:c r="C154" t="str">
        <x:f>'Employee Attendance'!C52</x:f>
        <x:v>MU</x:v>
      </x:c>
      <x:c r="D154" t="str">
        <x:f>'Employee Attendance'!D52</x:f>
        <x:v>bhavesh.naggea@pwc.com</x:v>
      </x:c>
      <x:c r="E154" t="str">
        <x:f>"Combined"</x:f>
        <x:v>Combined</x:v>
      </x:c>
      <x:c r="F154" s="14" t="n">
        <x:f>'Employee Attendance'!I52</x:f>
        <x:v>0.08358796296296296</x:v>
      </x:c>
      <x:c r="G154" t="n">
        <x:f>F154*86400</x:f>
        <x:v>7222</x:v>
      </x:c>
      <x:c r="H154" t="str">
        <x:f>'Employee Attendance'!J52</x:f>
        <x:v>Fully attended</x:v>
      </x:c>
      <x:c r="I154" t="str">
        <x:f>IF(OR('Employee Attendance'!K52="Yes",'Employee Attendance'!L52="Yes"),"Yes","No")</x:f>
        <x:v>Yes</x:v>
      </x:c>
    </x:row>
    <x:row r="155">
      <x:c r="A155" t="str">
        <x:f>'Employee Attendance'!A53</x:f>
        <x:v>Bhuvana Mulliah</x:v>
      </x:c>
      <x:c r="B155" t="str">
        <x:f>'Employee Attendance'!B53</x:f>
        <x:v>Mauritius</x:v>
      </x:c>
      <x:c r="C155" t="str">
        <x:f>'Employee Attendance'!C53</x:f>
        <x:v>MU</x:v>
      </x:c>
      <x:c r="D155" t="str">
        <x:f>'Employee Attendance'!D53</x:f>
        <x:v>bhuvana.mulliah@pwc.com</x:v>
      </x:c>
      <x:c r="E155" t="str">
        <x:f>"Option 1"</x:f>
        <x:v>Option 1</x:v>
      </x:c>
      <x:c r="F155" s="14" t="n">
        <x:f>'Employee Attendance'!E53</x:f>
        <x:v>0.08252314814814815</x:v>
      </x:c>
      <x:c r="G155" t="n">
        <x:f>F155*86400</x:f>
        <x:v>7130</x:v>
      </x:c>
      <x:c r="H155" t="str">
        <x:f>'Employee Attendance'!F53</x:f>
        <x:v>Fully attended</x:v>
      </x:c>
      <x:c r="I155" t="str">
        <x:f>'Employee Attendance'!K53</x:f>
        <x:v>Yes</x:v>
      </x:c>
    </x:row>
    <x:row r="156">
      <x:c r="A156" t="str">
        <x:f>'Employee Attendance'!A53</x:f>
        <x:v>Bhuvana Mulliah</x:v>
      </x:c>
      <x:c r="B156" t="str">
        <x:f>'Employee Attendance'!B53</x:f>
        <x:v>Mauritius</x:v>
      </x:c>
      <x:c r="C156" t="str">
        <x:f>'Employee Attendance'!C53</x:f>
        <x:v>MU</x:v>
      </x:c>
      <x:c r="D156" t="str">
        <x:f>'Employee Attendance'!D53</x:f>
        <x:v>bhuvana.mulliah@pwc.com</x:v>
      </x:c>
      <x:c r="E156" t="str">
        <x:f>"Option 2"</x:f>
        <x:v>Option 2</x:v>
      </x:c>
      <x:c r="F156" s="14" t="n">
        <x:f>'Employee Attendance'!G53</x:f>
        <x:v>0</x:v>
      </x:c>
      <x:c r="G156" t="n">
        <x:f>F156*86400</x:f>
        <x:v>0</x:v>
      </x:c>
      <x:c r="H156" t="str">
        <x:f>'Employee Attendance'!H53</x:f>
        <x:v>Did not attend</x:v>
      </x:c>
      <x:c r="I156" t="str">
        <x:f>'Employee Attendance'!L53</x:f>
        <x:v>No</x:v>
      </x:c>
    </x:row>
    <x:row r="157">
      <x:c r="A157" t="str">
        <x:f>'Employee Attendance'!A53</x:f>
        <x:v>Bhuvana Mulliah</x:v>
      </x:c>
      <x:c r="B157" t="str">
        <x:f>'Employee Attendance'!B53</x:f>
        <x:v>Mauritius</x:v>
      </x:c>
      <x:c r="C157" t="str">
        <x:f>'Employee Attendance'!C53</x:f>
        <x:v>MU</x:v>
      </x:c>
      <x:c r="D157" t="str">
        <x:f>'Employee Attendance'!D53</x:f>
        <x:v>bhuvana.mulliah@pwc.com</x:v>
      </x:c>
      <x:c r="E157" t="str">
        <x:f>"Combined"</x:f>
        <x:v>Combined</x:v>
      </x:c>
      <x:c r="F157" s="14" t="n">
        <x:f>'Employee Attendance'!I53</x:f>
        <x:v>0.08252314814814815</x:v>
      </x:c>
      <x:c r="G157" t="n">
        <x:f>F157*86400</x:f>
        <x:v>7130</x:v>
      </x:c>
      <x:c r="H157" t="str">
        <x:f>'Employee Attendance'!J53</x:f>
        <x:v>Fully attended</x:v>
      </x:c>
      <x:c r="I157" t="str">
        <x:f>IF(OR('Employee Attendance'!K53="Yes",'Employee Attendance'!L53="Yes"),"Yes","No")</x:f>
        <x:v>Yes</x:v>
      </x:c>
    </x:row>
    <x:row r="158">
      <x:c r="A158" t="str">
        <x:f>'Employee Attendance'!A54</x:f>
        <x:v>Brayan Laizer</x:v>
      </x:c>
      <x:c r="B158" t="str">
        <x:f>'Employee Attendance'!B54</x:f>
        <x:v>Tanzania</x:v>
      </x:c>
      <x:c r="C158" t="str">
        <x:f>'Employee Attendance'!C54</x:f>
        <x:v>TZ</x:v>
      </x:c>
      <x:c r="D158" t="str">
        <x:f>'Employee Attendance'!D54</x:f>
        <x:v>brayan.laizer@pwc.com</x:v>
      </x:c>
      <x:c r="E158" t="str">
        <x:f>"Option 1"</x:f>
        <x:v>Option 1</x:v>
      </x:c>
      <x:c r="F158" s="14" t="n">
        <x:f>'Employee Attendance'!E54</x:f>
        <x:v>0.0852662037037037</x:v>
      </x:c>
      <x:c r="G158" t="n">
        <x:f>F158*86400</x:f>
        <x:v>7367</x:v>
      </x:c>
      <x:c r="H158" t="str">
        <x:f>'Employee Attendance'!F54</x:f>
        <x:v>Fully attended</x:v>
      </x:c>
      <x:c r="I158" t="str">
        <x:f>'Employee Attendance'!K54</x:f>
        <x:v>Yes</x:v>
      </x:c>
    </x:row>
    <x:row r="159">
      <x:c r="A159" t="str">
        <x:f>'Employee Attendance'!A54</x:f>
        <x:v>Brayan Laizer</x:v>
      </x:c>
      <x:c r="B159" t="str">
        <x:f>'Employee Attendance'!B54</x:f>
        <x:v>Tanzania</x:v>
      </x:c>
      <x:c r="C159" t="str">
        <x:f>'Employee Attendance'!C54</x:f>
        <x:v>TZ</x:v>
      </x:c>
      <x:c r="D159" t="str">
        <x:f>'Employee Attendance'!D54</x:f>
        <x:v>brayan.laizer@pwc.com</x:v>
      </x:c>
      <x:c r="E159" t="str">
        <x:f>"Option 2"</x:f>
        <x:v>Option 2</x:v>
      </x:c>
      <x:c r="F159" s="14" t="n">
        <x:f>'Employee Attendance'!G54</x:f>
        <x:v>0.054814814814814816</x:v>
      </x:c>
      <x:c r="G159" t="n">
        <x:f>F159*86400</x:f>
        <x:v>4736</x:v>
      </x:c>
      <x:c r="H159" t="str">
        <x:f>'Employee Attendance'!H54</x:f>
        <x:v>Partially attended</x:v>
      </x:c>
      <x:c r="I159" t="str">
        <x:f>'Employee Attendance'!L54</x:f>
        <x:v>Yes</x:v>
      </x:c>
    </x:row>
    <x:row r="160">
      <x:c r="A160" t="str">
        <x:f>'Employee Attendance'!A54</x:f>
        <x:v>Brayan Laizer</x:v>
      </x:c>
      <x:c r="B160" t="str">
        <x:f>'Employee Attendance'!B54</x:f>
        <x:v>Tanzania</x:v>
      </x:c>
      <x:c r="C160" t="str">
        <x:f>'Employee Attendance'!C54</x:f>
        <x:v>TZ</x:v>
      </x:c>
      <x:c r="D160" t="str">
        <x:f>'Employee Attendance'!D54</x:f>
        <x:v>brayan.laizer@pwc.com</x:v>
      </x:c>
      <x:c r="E160" t="str">
        <x:f>"Combined"</x:f>
        <x:v>Combined</x:v>
      </x:c>
      <x:c r="F160" s="14" t="n">
        <x:f>'Employee Attendance'!I54</x:f>
        <x:v>0.1400810185185185</x:v>
      </x:c>
      <x:c r="G160" t="n">
        <x:f>F160*86400</x:f>
        <x:v>12102.999999999998</x:v>
      </x:c>
      <x:c r="H160" t="str">
        <x:f>'Employee Attendance'!J54</x:f>
        <x:v>Fully attended</x:v>
      </x:c>
      <x:c r="I160" t="str">
        <x:f>IF(OR('Employee Attendance'!K54="Yes",'Employee Attendance'!L54="Yes"),"Yes","No")</x:f>
        <x:v>Yes</x:v>
      </x:c>
    </x:row>
    <x:row r="161">
      <x:c r="A161" t="str">
        <x:f>'Employee Attendance'!A55</x:f>
        <x:v>Brian Morara</x:v>
      </x:c>
      <x:c r="B161" t="str">
        <x:f>'Employee Attendance'!B55</x:f>
        <x:v>Kenya</x:v>
      </x:c>
      <x:c r="C161" t="str">
        <x:f>'Employee Attendance'!C55</x:f>
        <x:v>KE</x:v>
      </x:c>
      <x:c r="D161" t="str">
        <x:f>'Employee Attendance'!D55</x:f>
        <x:v>brian.morara@pwc.com</x:v>
      </x:c>
      <x:c r="E161" t="str">
        <x:f>"Option 1"</x:f>
        <x:v>Option 1</x:v>
      </x:c>
      <x:c r="F161" s="14" t="n">
        <x:f>'Employee Attendance'!E55</x:f>
        <x:v>0</x:v>
      </x:c>
      <x:c r="G161" t="n">
        <x:f>F161*86400</x:f>
        <x:v>0</x:v>
      </x:c>
      <x:c r="H161" t="str">
        <x:f>'Employee Attendance'!F55</x:f>
        <x:v>Did not attend</x:v>
      </x:c>
      <x:c r="I161" t="str">
        <x:f>'Employee Attendance'!K55</x:f>
        <x:v>No</x:v>
      </x:c>
    </x:row>
    <x:row r="162">
      <x:c r="A162" t="str">
        <x:f>'Employee Attendance'!A55</x:f>
        <x:v>Brian Morara</x:v>
      </x:c>
      <x:c r="B162" t="str">
        <x:f>'Employee Attendance'!B55</x:f>
        <x:v>Kenya</x:v>
      </x:c>
      <x:c r="C162" t="str">
        <x:f>'Employee Attendance'!C55</x:f>
        <x:v>KE</x:v>
      </x:c>
      <x:c r="D162" t="str">
        <x:f>'Employee Attendance'!D55</x:f>
        <x:v>brian.morara@pwc.com</x:v>
      </x:c>
      <x:c r="E162" t="str">
        <x:f>"Option 2"</x:f>
        <x:v>Option 2</x:v>
      </x:c>
      <x:c r="F162" s="14" t="n">
        <x:f>'Employee Attendance'!G55</x:f>
        <x:v>0.07690972222222223</x:v>
      </x:c>
      <x:c r="G162" t="n">
        <x:f>F162*86400</x:f>
        <x:v>6645</x:v>
      </x:c>
      <x:c r="H162" t="str">
        <x:f>'Employee Attendance'!H55</x:f>
        <x:v>Fully attended</x:v>
      </x:c>
      <x:c r="I162" t="str">
        <x:f>'Employee Attendance'!L55</x:f>
        <x:v>Yes</x:v>
      </x:c>
    </x:row>
    <x:row r="163">
      <x:c r="A163" t="str">
        <x:f>'Employee Attendance'!A55</x:f>
        <x:v>Brian Morara</x:v>
      </x:c>
      <x:c r="B163" t="str">
        <x:f>'Employee Attendance'!B55</x:f>
        <x:v>Kenya</x:v>
      </x:c>
      <x:c r="C163" t="str">
        <x:f>'Employee Attendance'!C55</x:f>
        <x:v>KE</x:v>
      </x:c>
      <x:c r="D163" t="str">
        <x:f>'Employee Attendance'!D55</x:f>
        <x:v>brian.morara@pwc.com</x:v>
      </x:c>
      <x:c r="E163" t="str">
        <x:f>"Combined"</x:f>
        <x:v>Combined</x:v>
      </x:c>
      <x:c r="F163" s="14" t="n">
        <x:f>'Employee Attendance'!I55</x:f>
        <x:v>0.07690972222222223</x:v>
      </x:c>
      <x:c r="G163" t="n">
        <x:f>F163*86400</x:f>
        <x:v>6645</x:v>
      </x:c>
      <x:c r="H163" t="str">
        <x:f>'Employee Attendance'!J55</x:f>
        <x:v>Fully attended</x:v>
      </x:c>
      <x:c r="I163" t="str">
        <x:f>IF(OR('Employee Attendance'!K55="Yes",'Employee Attendance'!L55="Yes"),"Yes","No")</x:f>
        <x:v>Yes</x:v>
      </x:c>
    </x:row>
    <x:row r="164">
      <x:c r="A164" t="str">
        <x:f>'Employee Attendance'!A56</x:f>
        <x:v>Brian Ndagala</x:v>
      </x:c>
      <x:c r="B164" t="str">
        <x:f>'Employee Attendance'!B56</x:f>
        <x:v>Kenya</x:v>
      </x:c>
      <x:c r="C164" t="str">
        <x:f>'Employee Attendance'!C56</x:f>
        <x:v>KE</x:v>
      </x:c>
      <x:c r="D164" t="str">
        <x:f>'Employee Attendance'!D56</x:f>
        <x:v>brian.ndagala@pwc.com</x:v>
      </x:c>
      <x:c r="E164" t="str">
        <x:f>"Option 1"</x:f>
        <x:v>Option 1</x:v>
      </x:c>
      <x:c r="F164" s="14" t="n">
        <x:f>'Employee Attendance'!E56</x:f>
        <x:v>0</x:v>
      </x:c>
      <x:c r="G164" t="n">
        <x:f>F164*86400</x:f>
        <x:v>0</x:v>
      </x:c>
      <x:c r="H164" t="str">
        <x:f>'Employee Attendance'!F56</x:f>
        <x:v>Did not attend</x:v>
      </x:c>
      <x:c r="I164" t="str">
        <x:f>'Employee Attendance'!K56</x:f>
        <x:v>No</x:v>
      </x:c>
    </x:row>
    <x:row r="165">
      <x:c r="A165" t="str">
        <x:f>'Employee Attendance'!A56</x:f>
        <x:v>Brian Ndagala</x:v>
      </x:c>
      <x:c r="B165" t="str">
        <x:f>'Employee Attendance'!B56</x:f>
        <x:v>Kenya</x:v>
      </x:c>
      <x:c r="C165" t="str">
        <x:f>'Employee Attendance'!C56</x:f>
        <x:v>KE</x:v>
      </x:c>
      <x:c r="D165" t="str">
        <x:f>'Employee Attendance'!D56</x:f>
        <x:v>brian.ndagala@pwc.com</x:v>
      </x:c>
      <x:c r="E165" t="str">
        <x:f>"Option 2"</x:f>
        <x:v>Option 2</x:v>
      </x:c>
      <x:c r="F165" s="14" t="n">
        <x:f>'Employee Attendance'!G56</x:f>
        <x:v>0.08157407407407408</x:v>
      </x:c>
      <x:c r="G165" t="n">
        <x:f>F165*86400</x:f>
        <x:v>7048</x:v>
      </x:c>
      <x:c r="H165" t="str">
        <x:f>'Employee Attendance'!H56</x:f>
        <x:v>Fully attended</x:v>
      </x:c>
      <x:c r="I165" t="str">
        <x:f>'Employee Attendance'!L56</x:f>
        <x:v>Yes</x:v>
      </x:c>
    </x:row>
    <x:row r="166">
      <x:c r="A166" t="str">
        <x:f>'Employee Attendance'!A56</x:f>
        <x:v>Brian Ndagala</x:v>
      </x:c>
      <x:c r="B166" t="str">
        <x:f>'Employee Attendance'!B56</x:f>
        <x:v>Kenya</x:v>
      </x:c>
      <x:c r="C166" t="str">
        <x:f>'Employee Attendance'!C56</x:f>
        <x:v>KE</x:v>
      </x:c>
      <x:c r="D166" t="str">
        <x:f>'Employee Attendance'!D56</x:f>
        <x:v>brian.ndagala@pwc.com</x:v>
      </x:c>
      <x:c r="E166" t="str">
        <x:f>"Combined"</x:f>
        <x:v>Combined</x:v>
      </x:c>
      <x:c r="F166" s="14" t="n">
        <x:f>'Employee Attendance'!I56</x:f>
        <x:v>0.08157407407407408</x:v>
      </x:c>
      <x:c r="G166" t="n">
        <x:f>F166*86400</x:f>
        <x:v>7048</x:v>
      </x:c>
      <x:c r="H166" t="str">
        <x:f>'Employee Attendance'!J56</x:f>
        <x:v>Fully attended</x:v>
      </x:c>
      <x:c r="I166" t="str">
        <x:f>IF(OR('Employee Attendance'!K56="Yes",'Employee Attendance'!L56="Yes"),"Yes","No")</x:f>
        <x:v>Yes</x:v>
      </x:c>
    </x:row>
    <x:row r="167">
      <x:c r="A167" t="str">
        <x:f>'Employee Attendance'!A57</x:f>
        <x:v>Brian Ngunjiri</x:v>
      </x:c>
      <x:c r="B167" t="str">
        <x:f>'Employee Attendance'!B57</x:f>
        <x:v>Rwanda</x:v>
      </x:c>
      <x:c r="C167" t="str">
        <x:f>'Employee Attendance'!C57</x:f>
        <x:v>RW</x:v>
      </x:c>
      <x:c r="D167" t="str">
        <x:f>'Employee Attendance'!D57</x:f>
        <x:v>brian.m.ngunjiri@pwc.com</x:v>
      </x:c>
      <x:c r="E167" t="str">
        <x:f>"Option 1"</x:f>
        <x:v>Option 1</x:v>
      </x:c>
      <x:c r="F167" s="14" t="n">
        <x:f>'Employee Attendance'!E57</x:f>
        <x:v>0</x:v>
      </x:c>
      <x:c r="G167" t="n">
        <x:f>F167*86400</x:f>
        <x:v>0</x:v>
      </x:c>
      <x:c r="H167" t="str">
        <x:f>'Employee Attendance'!F57</x:f>
        <x:v>Did not attend</x:v>
      </x:c>
      <x:c r="I167" t="str">
        <x:f>'Employee Attendance'!K57</x:f>
        <x:v>No</x:v>
      </x:c>
    </x:row>
    <x:row r="168">
      <x:c r="A168" t="str">
        <x:f>'Employee Attendance'!A57</x:f>
        <x:v>Brian Ngunjiri</x:v>
      </x:c>
      <x:c r="B168" t="str">
        <x:f>'Employee Attendance'!B57</x:f>
        <x:v>Rwanda</x:v>
      </x:c>
      <x:c r="C168" t="str">
        <x:f>'Employee Attendance'!C57</x:f>
        <x:v>RW</x:v>
      </x:c>
      <x:c r="D168" t="str">
        <x:f>'Employee Attendance'!D57</x:f>
        <x:v>brian.m.ngunjiri@pwc.com</x:v>
      </x:c>
      <x:c r="E168" t="str">
        <x:f>"Option 2"</x:f>
        <x:v>Option 2</x:v>
      </x:c>
      <x:c r="F168" s="14" t="n">
        <x:f>'Employee Attendance'!G57</x:f>
        <x:v>0.08765046296296296</x:v>
      </x:c>
      <x:c r="G168" t="n">
        <x:f>F168*86400</x:f>
        <x:v>7573</x:v>
      </x:c>
      <x:c r="H168" t="str">
        <x:f>'Employee Attendance'!H57</x:f>
        <x:v>Fully attended</x:v>
      </x:c>
      <x:c r="I168" t="str">
        <x:f>'Employee Attendance'!L57</x:f>
        <x:v>Yes</x:v>
      </x:c>
    </x:row>
    <x:row r="169">
      <x:c r="A169" t="str">
        <x:f>'Employee Attendance'!A57</x:f>
        <x:v>Brian Ngunjiri</x:v>
      </x:c>
      <x:c r="B169" t="str">
        <x:f>'Employee Attendance'!B57</x:f>
        <x:v>Rwanda</x:v>
      </x:c>
      <x:c r="C169" t="str">
        <x:f>'Employee Attendance'!C57</x:f>
        <x:v>RW</x:v>
      </x:c>
      <x:c r="D169" t="str">
        <x:f>'Employee Attendance'!D57</x:f>
        <x:v>brian.m.ngunjiri@pwc.com</x:v>
      </x:c>
      <x:c r="E169" t="str">
        <x:f>"Combined"</x:f>
        <x:v>Combined</x:v>
      </x:c>
      <x:c r="F169" s="14" t="n">
        <x:f>'Employee Attendance'!I57</x:f>
        <x:v>0.08765046296296296</x:v>
      </x:c>
      <x:c r="G169" t="n">
        <x:f>F169*86400</x:f>
        <x:v>7573</x:v>
      </x:c>
      <x:c r="H169" t="str">
        <x:f>'Employee Attendance'!J57</x:f>
        <x:v>Fully attended</x:v>
      </x:c>
      <x:c r="I169" t="str">
        <x:f>IF(OR('Employee Attendance'!K57="Yes",'Employee Attendance'!L57="Yes"),"Yes","No")</x:f>
        <x:v>Yes</x:v>
      </x:c>
    </x:row>
    <x:row r="170">
      <x:c r="A170" t="str">
        <x:f>'Employee Attendance'!A58</x:f>
        <x:v>Brian Nyangweso</x:v>
      </x:c>
      <x:c r="B170" t="str">
        <x:f>'Employee Attendance'!B58</x:f>
        <x:v>Kenya</x:v>
      </x:c>
      <x:c r="C170" t="str">
        <x:f>'Employee Attendance'!C58</x:f>
        <x:v>KE</x:v>
      </x:c>
      <x:c r="D170" t="str">
        <x:f>'Employee Attendance'!D58</x:f>
        <x:v>brian.nyangweso@pwc.com</x:v>
      </x:c>
      <x:c r="E170" t="str">
        <x:f>"Option 1"</x:f>
        <x:v>Option 1</x:v>
      </x:c>
      <x:c r="F170" s="14" t="n">
        <x:f>'Employee Attendance'!E58</x:f>
        <x:v>0</x:v>
      </x:c>
      <x:c r="G170" t="n">
        <x:f>F170*86400</x:f>
        <x:v>0</x:v>
      </x:c>
      <x:c r="H170" t="str">
        <x:f>'Employee Attendance'!F58</x:f>
        <x:v>Did not attend</x:v>
      </x:c>
      <x:c r="I170" t="str">
        <x:f>'Employee Attendance'!K58</x:f>
        <x:v>No</x:v>
      </x:c>
    </x:row>
    <x:row r="171">
      <x:c r="A171" t="str">
        <x:f>'Employee Attendance'!A58</x:f>
        <x:v>Brian Nyangweso</x:v>
      </x:c>
      <x:c r="B171" t="str">
        <x:f>'Employee Attendance'!B58</x:f>
        <x:v>Kenya</x:v>
      </x:c>
      <x:c r="C171" t="str">
        <x:f>'Employee Attendance'!C58</x:f>
        <x:v>KE</x:v>
      </x:c>
      <x:c r="D171" t="str">
        <x:f>'Employee Attendance'!D58</x:f>
        <x:v>brian.nyangweso@pwc.com</x:v>
      </x:c>
      <x:c r="E171" t="str">
        <x:f>"Option 2"</x:f>
        <x:v>Option 2</x:v>
      </x:c>
      <x:c r="F171" s="14" t="n">
        <x:f>'Employee Attendance'!G58</x:f>
        <x:v>0.0875925925925926</x:v>
      </x:c>
      <x:c r="G171" t="n">
        <x:f>F171*86400</x:f>
        <x:v>7568</x:v>
      </x:c>
      <x:c r="H171" t="str">
        <x:f>'Employee Attendance'!H58</x:f>
        <x:v>Fully attended</x:v>
      </x:c>
      <x:c r="I171" t="str">
        <x:f>'Employee Attendance'!L58</x:f>
        <x:v>Yes</x:v>
      </x:c>
    </x:row>
    <x:row r="172">
      <x:c r="A172" t="str">
        <x:f>'Employee Attendance'!A58</x:f>
        <x:v>Brian Nyangweso</x:v>
      </x:c>
      <x:c r="B172" t="str">
        <x:f>'Employee Attendance'!B58</x:f>
        <x:v>Kenya</x:v>
      </x:c>
      <x:c r="C172" t="str">
        <x:f>'Employee Attendance'!C58</x:f>
        <x:v>KE</x:v>
      </x:c>
      <x:c r="D172" t="str">
        <x:f>'Employee Attendance'!D58</x:f>
        <x:v>brian.nyangweso@pwc.com</x:v>
      </x:c>
      <x:c r="E172" t="str">
        <x:f>"Combined"</x:f>
        <x:v>Combined</x:v>
      </x:c>
      <x:c r="F172" s="14" t="n">
        <x:f>'Employee Attendance'!I58</x:f>
        <x:v>0.0875925925925926</x:v>
      </x:c>
      <x:c r="G172" t="n">
        <x:f>F172*86400</x:f>
        <x:v>7568</x:v>
      </x:c>
      <x:c r="H172" t="str">
        <x:f>'Employee Attendance'!J58</x:f>
        <x:v>Fully attended</x:v>
      </x:c>
      <x:c r="I172" t="str">
        <x:f>IF(OR('Employee Attendance'!K58="Yes",'Employee Attendance'!L58="Yes"),"Yes","No")</x:f>
        <x:v>Yes</x:v>
      </x:c>
    </x:row>
    <x:row r="173">
      <x:c r="A173" t="str">
        <x:f>'Employee Attendance'!A59</x:f>
        <x:v>Brian Ogoti</x:v>
      </x:c>
      <x:c r="B173" t="str">
        <x:f>'Employee Attendance'!B59</x:f>
        <x:v>Kenya</x:v>
      </x:c>
      <x:c r="C173" t="str">
        <x:f>'Employee Attendance'!C59</x:f>
        <x:v>KE</x:v>
      </x:c>
      <x:c r="D173" t="str">
        <x:f>'Employee Attendance'!D59</x:f>
        <x:v>brian.ogoti@pwc.com</x:v>
      </x:c>
      <x:c r="E173" t="str">
        <x:f>"Option 1"</x:f>
        <x:v>Option 1</x:v>
      </x:c>
      <x:c r="F173" s="14" t="n">
        <x:f>'Employee Attendance'!E59</x:f>
        <x:v>0</x:v>
      </x:c>
      <x:c r="G173" t="n">
        <x:f>F173*86400</x:f>
        <x:v>0</x:v>
      </x:c>
      <x:c r="H173" t="str">
        <x:f>'Employee Attendance'!F59</x:f>
        <x:v>Did not attend</x:v>
      </x:c>
      <x:c r="I173" t="str">
        <x:f>'Employee Attendance'!K59</x:f>
        <x:v>No</x:v>
      </x:c>
    </x:row>
    <x:row r="174">
      <x:c r="A174" t="str">
        <x:f>'Employee Attendance'!A59</x:f>
        <x:v>Brian Ogoti</x:v>
      </x:c>
      <x:c r="B174" t="str">
        <x:f>'Employee Attendance'!B59</x:f>
        <x:v>Kenya</x:v>
      </x:c>
      <x:c r="C174" t="str">
        <x:f>'Employee Attendance'!C59</x:f>
        <x:v>KE</x:v>
      </x:c>
      <x:c r="D174" t="str">
        <x:f>'Employee Attendance'!D59</x:f>
        <x:v>brian.ogoti@pwc.com</x:v>
      </x:c>
      <x:c r="E174" t="str">
        <x:f>"Option 2"</x:f>
        <x:v>Option 2</x:v>
      </x:c>
      <x:c r="F174" s="14" t="n">
        <x:f>'Employee Attendance'!G59</x:f>
        <x:v>0.006678240740740741</x:v>
      </x:c>
      <x:c r="G174" t="n">
        <x:f>F174*86400</x:f>
        <x:v>577</x:v>
      </x:c>
      <x:c r="H174" t="str">
        <x:f>'Employee Attendance'!H59</x:f>
        <x:v>Partially attended</x:v>
      </x:c>
      <x:c r="I174" t="str">
        <x:f>'Employee Attendance'!L59</x:f>
        <x:v>Yes</x:v>
      </x:c>
    </x:row>
    <x:row r="175">
      <x:c r="A175" t="str">
        <x:f>'Employee Attendance'!A59</x:f>
        <x:v>Brian Ogoti</x:v>
      </x:c>
      <x:c r="B175" t="str">
        <x:f>'Employee Attendance'!B59</x:f>
        <x:v>Kenya</x:v>
      </x:c>
      <x:c r="C175" t="str">
        <x:f>'Employee Attendance'!C59</x:f>
        <x:v>KE</x:v>
      </x:c>
      <x:c r="D175" t="str">
        <x:f>'Employee Attendance'!D59</x:f>
        <x:v>brian.ogoti@pwc.com</x:v>
      </x:c>
      <x:c r="E175" t="str">
        <x:f>"Combined"</x:f>
        <x:v>Combined</x:v>
      </x:c>
      <x:c r="F175" s="14" t="n">
        <x:f>'Employee Attendance'!I59</x:f>
        <x:v>0.006678240740740741</x:v>
      </x:c>
      <x:c r="G175" t="n">
        <x:f>F175*86400</x:f>
        <x:v>577</x:v>
      </x:c>
      <x:c r="H175" t="str">
        <x:f>'Employee Attendance'!J59</x:f>
        <x:v>Partially attended</x:v>
      </x:c>
      <x:c r="I175" t="str">
        <x:f>IF(OR('Employee Attendance'!K59="Yes",'Employee Attendance'!L59="Yes"),"Yes","No")</x:f>
        <x:v>Yes</x:v>
      </x:c>
    </x:row>
    <x:row r="176">
      <x:c r="A176" t="str">
        <x:f>'Employee Attendance'!A60</x:f>
        <x:v>Brian Okech</x:v>
      </x:c>
      <x:c r="B176" t="str">
        <x:f>'Employee Attendance'!B60</x:f>
        <x:v>Kenya</x:v>
      </x:c>
      <x:c r="C176" t="str">
        <x:f>'Employee Attendance'!C60</x:f>
        <x:v>KE</x:v>
      </x:c>
      <x:c r="D176" t="str">
        <x:f>'Employee Attendance'!D60</x:f>
        <x:v>brian.okech@pwc.com</x:v>
      </x:c>
      <x:c r="E176" t="str">
        <x:f>"Option 1"</x:f>
        <x:v>Option 1</x:v>
      </x:c>
      <x:c r="F176" s="14" t="n">
        <x:f>'Employee Attendance'!E60</x:f>
        <x:v>0</x:v>
      </x:c>
      <x:c r="G176" t="n">
        <x:f>F176*86400</x:f>
        <x:v>0</x:v>
      </x:c>
      <x:c r="H176" t="str">
        <x:f>'Employee Attendance'!F60</x:f>
        <x:v>Did not attend</x:v>
      </x:c>
      <x:c r="I176" t="str">
        <x:f>'Employee Attendance'!K60</x:f>
        <x:v>No</x:v>
      </x:c>
    </x:row>
    <x:row r="177">
      <x:c r="A177" t="str">
        <x:f>'Employee Attendance'!A60</x:f>
        <x:v>Brian Okech</x:v>
      </x:c>
      <x:c r="B177" t="str">
        <x:f>'Employee Attendance'!B60</x:f>
        <x:v>Kenya</x:v>
      </x:c>
      <x:c r="C177" t="str">
        <x:f>'Employee Attendance'!C60</x:f>
        <x:v>KE</x:v>
      </x:c>
      <x:c r="D177" t="str">
        <x:f>'Employee Attendance'!D60</x:f>
        <x:v>brian.okech@pwc.com</x:v>
      </x:c>
      <x:c r="E177" t="str">
        <x:f>"Option 2"</x:f>
        <x:v>Option 2</x:v>
      </x:c>
      <x:c r="F177" s="14" t="n">
        <x:f>'Employee Attendance'!G60</x:f>
        <x:v>0.07741898148148148</x:v>
      </x:c>
      <x:c r="G177" t="n">
        <x:f>F177*86400</x:f>
        <x:v>6689</x:v>
      </x:c>
      <x:c r="H177" t="str">
        <x:f>'Employee Attendance'!H60</x:f>
        <x:v>Fully attended</x:v>
      </x:c>
      <x:c r="I177" t="str">
        <x:f>'Employee Attendance'!L60</x:f>
        <x:v>Yes</x:v>
      </x:c>
    </x:row>
    <x:row r="178">
      <x:c r="A178" t="str">
        <x:f>'Employee Attendance'!A60</x:f>
        <x:v>Brian Okech</x:v>
      </x:c>
      <x:c r="B178" t="str">
        <x:f>'Employee Attendance'!B60</x:f>
        <x:v>Kenya</x:v>
      </x:c>
      <x:c r="C178" t="str">
        <x:f>'Employee Attendance'!C60</x:f>
        <x:v>KE</x:v>
      </x:c>
      <x:c r="D178" t="str">
        <x:f>'Employee Attendance'!D60</x:f>
        <x:v>brian.okech@pwc.com</x:v>
      </x:c>
      <x:c r="E178" t="str">
        <x:f>"Combined"</x:f>
        <x:v>Combined</x:v>
      </x:c>
      <x:c r="F178" s="14" t="n">
        <x:f>'Employee Attendance'!I60</x:f>
        <x:v>0.07741898148148148</x:v>
      </x:c>
      <x:c r="G178" t="n">
        <x:f>F178*86400</x:f>
        <x:v>6689</x:v>
      </x:c>
      <x:c r="H178" t="str">
        <x:f>'Employee Attendance'!J60</x:f>
        <x:v>Fully attended</x:v>
      </x:c>
      <x:c r="I178" t="str">
        <x:f>IF(OR('Employee Attendance'!K60="Yes",'Employee Attendance'!L60="Yes"),"Yes","No")</x:f>
        <x:v>Yes</x:v>
      </x:c>
    </x:row>
    <x:row r="179">
      <x:c r="A179" t="str">
        <x:f>'Employee Attendance'!A61</x:f>
        <x:v>Bruno Kayonga</x:v>
      </x:c>
      <x:c r="B179" t="str">
        <x:f>'Employee Attendance'!B61</x:f>
        <x:v>Rwanda</x:v>
      </x:c>
      <x:c r="C179" t="str">
        <x:f>'Employee Attendance'!C61</x:f>
        <x:v>RW</x:v>
      </x:c>
      <x:c r="D179" t="str">
        <x:f>'Employee Attendance'!D61</x:f>
        <x:v>bruno.kayonga@pwc.com</x:v>
      </x:c>
      <x:c r="E179" t="str">
        <x:f>"Option 1"</x:f>
        <x:v>Option 1</x:v>
      </x:c>
      <x:c r="F179" s="14" t="n">
        <x:f>'Employee Attendance'!E61</x:f>
        <x:v>0.07231481481481482</x:v>
      </x:c>
      <x:c r="G179" t="n">
        <x:f>F179*86400</x:f>
        <x:v>6248</x:v>
      </x:c>
      <x:c r="H179" t="str">
        <x:f>'Employee Attendance'!F61</x:f>
        <x:v>Fully attended</x:v>
      </x:c>
      <x:c r="I179" t="str">
        <x:f>'Employee Attendance'!K61</x:f>
        <x:v>Yes</x:v>
      </x:c>
    </x:row>
    <x:row r="180">
      <x:c r="A180" t="str">
        <x:f>'Employee Attendance'!A61</x:f>
        <x:v>Bruno Kayonga</x:v>
      </x:c>
      <x:c r="B180" t="str">
        <x:f>'Employee Attendance'!B61</x:f>
        <x:v>Rwanda</x:v>
      </x:c>
      <x:c r="C180" t="str">
        <x:f>'Employee Attendance'!C61</x:f>
        <x:v>RW</x:v>
      </x:c>
      <x:c r="D180" t="str">
        <x:f>'Employee Attendance'!D61</x:f>
        <x:v>bruno.kayonga@pwc.com</x:v>
      </x:c>
      <x:c r="E180" t="str">
        <x:f>"Option 2"</x:f>
        <x:v>Option 2</x:v>
      </x:c>
      <x:c r="F180" s="14" t="n">
        <x:f>'Employee Attendance'!G61</x:f>
        <x:v>0</x:v>
      </x:c>
      <x:c r="G180" t="n">
        <x:f>F180*86400</x:f>
        <x:v>0</x:v>
      </x:c>
      <x:c r="H180" t="str">
        <x:f>'Employee Attendance'!H61</x:f>
        <x:v>Did not attend</x:v>
      </x:c>
      <x:c r="I180" t="str">
        <x:f>'Employee Attendance'!L61</x:f>
        <x:v>No</x:v>
      </x:c>
    </x:row>
    <x:row r="181">
      <x:c r="A181" t="str">
        <x:f>'Employee Attendance'!A61</x:f>
        <x:v>Bruno Kayonga</x:v>
      </x:c>
      <x:c r="B181" t="str">
        <x:f>'Employee Attendance'!B61</x:f>
        <x:v>Rwanda</x:v>
      </x:c>
      <x:c r="C181" t="str">
        <x:f>'Employee Attendance'!C61</x:f>
        <x:v>RW</x:v>
      </x:c>
      <x:c r="D181" t="str">
        <x:f>'Employee Attendance'!D61</x:f>
        <x:v>bruno.kayonga@pwc.com</x:v>
      </x:c>
      <x:c r="E181" t="str">
        <x:f>"Combined"</x:f>
        <x:v>Combined</x:v>
      </x:c>
      <x:c r="F181" s="14" t="n">
        <x:f>'Employee Attendance'!I61</x:f>
        <x:v>0.07231481481481482</x:v>
      </x:c>
      <x:c r="G181" t="n">
        <x:f>F181*86400</x:f>
        <x:v>6248</x:v>
      </x:c>
      <x:c r="H181" t="str">
        <x:f>'Employee Attendance'!J61</x:f>
        <x:v>Fully attended</x:v>
      </x:c>
      <x:c r="I181" t="str">
        <x:f>IF(OR('Employee Attendance'!K61="Yes",'Employee Attendance'!L61="Yes"),"Yes","No")</x:f>
        <x:v>Yes</x:v>
      </x:c>
    </x:row>
    <x:row r="182">
      <x:c r="A182" t="str">
        <x:f>'Employee Attendance'!A62</x:f>
        <x:v>Bumi Mwampullo</x:v>
      </x:c>
      <x:c r="B182" t="str">
        <x:f>'Employee Attendance'!B62</x:f>
        <x:v>Tanzania</x:v>
      </x:c>
      <x:c r="C182" t="str">
        <x:f>'Employee Attendance'!C62</x:f>
        <x:v>TZ</x:v>
      </x:c>
      <x:c r="D182" t="str">
        <x:f>'Employee Attendance'!D62</x:f>
        <x:v>bumi.mwampullo@pwc.com</x:v>
      </x:c>
      <x:c r="E182" t="str">
        <x:f>"Option 1"</x:f>
        <x:v>Option 1</x:v>
      </x:c>
      <x:c r="F182" s="14" t="n">
        <x:f>'Employee Attendance'!E62</x:f>
        <x:v>0.07861111111111112</x:v>
      </x:c>
      <x:c r="G182" t="n">
        <x:f>F182*86400</x:f>
        <x:v>6792.000000000001</x:v>
      </x:c>
      <x:c r="H182" t="str">
        <x:f>'Employee Attendance'!F62</x:f>
        <x:v>Fully attended</x:v>
      </x:c>
      <x:c r="I182" t="str">
        <x:f>'Employee Attendance'!K62</x:f>
        <x:v>Yes</x:v>
      </x:c>
    </x:row>
    <x:row r="183">
      <x:c r="A183" t="str">
        <x:f>'Employee Attendance'!A62</x:f>
        <x:v>Bumi Mwampullo</x:v>
      </x:c>
      <x:c r="B183" t="str">
        <x:f>'Employee Attendance'!B62</x:f>
        <x:v>Tanzania</x:v>
      </x:c>
      <x:c r="C183" t="str">
        <x:f>'Employee Attendance'!C62</x:f>
        <x:v>TZ</x:v>
      </x:c>
      <x:c r="D183" t="str">
        <x:f>'Employee Attendance'!D62</x:f>
        <x:v>bumi.mwampullo@pwc.com</x:v>
      </x:c>
      <x:c r="E183" t="str">
        <x:f>"Option 2"</x:f>
        <x:v>Option 2</x:v>
      </x:c>
      <x:c r="F183" s="14" t="n">
        <x:f>'Employee Attendance'!G62</x:f>
        <x:v>0</x:v>
      </x:c>
      <x:c r="G183" t="n">
        <x:f>F183*86400</x:f>
        <x:v>0</x:v>
      </x:c>
      <x:c r="H183" t="str">
        <x:f>'Employee Attendance'!H62</x:f>
        <x:v>Did not attend</x:v>
      </x:c>
      <x:c r="I183" t="str">
        <x:f>'Employee Attendance'!L62</x:f>
        <x:v>No</x:v>
      </x:c>
    </x:row>
    <x:row r="184">
      <x:c r="A184" t="str">
        <x:f>'Employee Attendance'!A62</x:f>
        <x:v>Bumi Mwampullo</x:v>
      </x:c>
      <x:c r="B184" t="str">
        <x:f>'Employee Attendance'!B62</x:f>
        <x:v>Tanzania</x:v>
      </x:c>
      <x:c r="C184" t="str">
        <x:f>'Employee Attendance'!C62</x:f>
        <x:v>TZ</x:v>
      </x:c>
      <x:c r="D184" t="str">
        <x:f>'Employee Attendance'!D62</x:f>
        <x:v>bumi.mwampullo@pwc.com</x:v>
      </x:c>
      <x:c r="E184" t="str">
        <x:f>"Combined"</x:f>
        <x:v>Combined</x:v>
      </x:c>
      <x:c r="F184" s="14" t="n">
        <x:f>'Employee Attendance'!I62</x:f>
        <x:v>0.07861111111111112</x:v>
      </x:c>
      <x:c r="G184" t="n">
        <x:f>F184*86400</x:f>
        <x:v>6792.000000000001</x:v>
      </x:c>
      <x:c r="H184" t="str">
        <x:f>'Employee Attendance'!J62</x:f>
        <x:v>Fully attended</x:v>
      </x:c>
      <x:c r="I184" t="str">
        <x:f>IF(OR('Employee Attendance'!K62="Yes",'Employee Attendance'!L62="Yes"),"Yes","No")</x:f>
        <x:v>Yes</x:v>
      </x:c>
    </x:row>
    <x:row r="185">
      <x:c r="A185" t="str">
        <x:f>'Employee Attendance'!A63</x:f>
        <x:v>Bupe Mutale</x:v>
      </x:c>
      <x:c r="B185" t="str">
        <x:f>'Employee Attendance'!B63</x:f>
        <x:v>Zambia</x:v>
      </x:c>
      <x:c r="C185" t="str">
        <x:f>'Employee Attendance'!C63</x:f>
        <x:v>ZM</x:v>
      </x:c>
      <x:c r="D185" t="str">
        <x:f>'Employee Attendance'!D63</x:f>
        <x:v>bupe.b.mutale@pwc.com</x:v>
      </x:c>
      <x:c r="E185" t="str">
        <x:f>"Option 1"</x:f>
        <x:v>Option 1</x:v>
      </x:c>
      <x:c r="F185" s="14" t="n">
        <x:f>'Employee Attendance'!E63</x:f>
        <x:v>0</x:v>
      </x:c>
      <x:c r="G185" t="n">
        <x:f>F185*86400</x:f>
        <x:v>0</x:v>
      </x:c>
      <x:c r="H185" t="str">
        <x:f>'Employee Attendance'!F63</x:f>
        <x:v>Did not attend</x:v>
      </x:c>
      <x:c r="I185" t="str">
        <x:f>'Employee Attendance'!K63</x:f>
        <x:v>No</x:v>
      </x:c>
    </x:row>
    <x:row r="186">
      <x:c r="A186" t="str">
        <x:f>'Employee Attendance'!A63</x:f>
        <x:v>Bupe Mutale</x:v>
      </x:c>
      <x:c r="B186" t="str">
        <x:f>'Employee Attendance'!B63</x:f>
        <x:v>Zambia</x:v>
      </x:c>
      <x:c r="C186" t="str">
        <x:f>'Employee Attendance'!C63</x:f>
        <x:v>ZM</x:v>
      </x:c>
      <x:c r="D186" t="str">
        <x:f>'Employee Attendance'!D63</x:f>
        <x:v>bupe.b.mutale@pwc.com</x:v>
      </x:c>
      <x:c r="E186" t="str">
        <x:f>"Option 2"</x:f>
        <x:v>Option 2</x:v>
      </x:c>
      <x:c r="F186" s="14" t="n">
        <x:f>'Employee Attendance'!G63</x:f>
        <x:v>0</x:v>
      </x:c>
      <x:c r="G186" t="n">
        <x:f>F186*86400</x:f>
        <x:v>0</x:v>
      </x:c>
      <x:c r="H186" t="str">
        <x:f>'Employee Attendance'!H63</x:f>
        <x:v>Did not attend</x:v>
      </x:c>
      <x:c r="I186" t="str">
        <x:f>'Employee Attendance'!L63</x:f>
        <x:v>No</x:v>
      </x:c>
    </x:row>
    <x:row r="187">
      <x:c r="A187" t="str">
        <x:f>'Employee Attendance'!A63</x:f>
        <x:v>Bupe Mutale</x:v>
      </x:c>
      <x:c r="B187" t="str">
        <x:f>'Employee Attendance'!B63</x:f>
        <x:v>Zambia</x:v>
      </x:c>
      <x:c r="C187" t="str">
        <x:f>'Employee Attendance'!C63</x:f>
        <x:v>ZM</x:v>
      </x:c>
      <x:c r="D187" t="str">
        <x:f>'Employee Attendance'!D63</x:f>
        <x:v>bupe.b.mutale@pwc.com</x:v>
      </x:c>
      <x:c r="E187" t="str">
        <x:f>"Combined"</x:f>
        <x:v>Combined</x:v>
      </x:c>
      <x:c r="F187" s="14" t="n">
        <x:f>'Employee Attendance'!I63</x:f>
        <x:v>0</x:v>
      </x:c>
      <x:c r="G187" t="n">
        <x:f>F187*86400</x:f>
        <x:v>0</x:v>
      </x:c>
      <x:c r="H187" t="str">
        <x:f>'Employee Attendance'!J63</x:f>
        <x:v>Did not attend</x:v>
      </x:c>
      <x:c r="I187" t="str">
        <x:f>IF(OR('Employee Attendance'!K63="Yes",'Employee Attendance'!L63="Yes"),"Yes","No")</x:f>
        <x:v>No</x:v>
      </x:c>
    </x:row>
    <x:row r="188">
      <x:c r="A188" t="str">
        <x:f>'Employee Attendance'!A64</x:f>
        <x:v>Byron Carter</x:v>
      </x:c>
      <x:c r="B188" t="str">
        <x:f>'Employee Attendance'!B64</x:f>
        <x:v>Mauritius</x:v>
      </x:c>
      <x:c r="C188" t="str">
        <x:f>'Employee Attendance'!C64</x:f>
        <x:v>MU</x:v>
      </x:c>
      <x:c r="D188" t="str">
        <x:f>'Employee Attendance'!D64</x:f>
        <x:v>byron.carter@pwc.com</x:v>
      </x:c>
      <x:c r="E188" t="str">
        <x:f>"Option 1"</x:f>
        <x:v>Option 1</x:v>
      </x:c>
      <x:c r="F188" s="14" t="n">
        <x:f>'Employee Attendance'!E64</x:f>
        <x:v>0.08402777777777778</x:v>
      </x:c>
      <x:c r="G188" t="n">
        <x:f>F188*86400</x:f>
        <x:v>7260.000000000001</x:v>
      </x:c>
      <x:c r="H188" t="str">
        <x:f>'Employee Attendance'!F64</x:f>
        <x:v>Fully attended</x:v>
      </x:c>
      <x:c r="I188" t="str">
        <x:f>'Employee Attendance'!K64</x:f>
        <x:v>Yes</x:v>
      </x:c>
    </x:row>
    <x:row r="189">
      <x:c r="A189" t="str">
        <x:f>'Employee Attendance'!A64</x:f>
        <x:v>Byron Carter</x:v>
      </x:c>
      <x:c r="B189" t="str">
        <x:f>'Employee Attendance'!B64</x:f>
        <x:v>Mauritius</x:v>
      </x:c>
      <x:c r="C189" t="str">
        <x:f>'Employee Attendance'!C64</x:f>
        <x:v>MU</x:v>
      </x:c>
      <x:c r="D189" t="str">
        <x:f>'Employee Attendance'!D64</x:f>
        <x:v>byron.carter@pwc.com</x:v>
      </x:c>
      <x:c r="E189" t="str">
        <x:f>"Option 2"</x:f>
        <x:v>Option 2</x:v>
      </x:c>
      <x:c r="F189" s="14" t="n">
        <x:f>'Employee Attendance'!G64</x:f>
        <x:v>0</x:v>
      </x:c>
      <x:c r="G189" t="n">
        <x:f>F189*86400</x:f>
        <x:v>0</x:v>
      </x:c>
      <x:c r="H189" t="str">
        <x:f>'Employee Attendance'!H64</x:f>
        <x:v>Did not attend</x:v>
      </x:c>
      <x:c r="I189" t="str">
        <x:f>'Employee Attendance'!L64</x:f>
        <x:v>No</x:v>
      </x:c>
    </x:row>
    <x:row r="190">
      <x:c r="A190" t="str">
        <x:f>'Employee Attendance'!A64</x:f>
        <x:v>Byron Carter</x:v>
      </x:c>
      <x:c r="B190" t="str">
        <x:f>'Employee Attendance'!B64</x:f>
        <x:v>Mauritius</x:v>
      </x:c>
      <x:c r="C190" t="str">
        <x:f>'Employee Attendance'!C64</x:f>
        <x:v>MU</x:v>
      </x:c>
      <x:c r="D190" t="str">
        <x:f>'Employee Attendance'!D64</x:f>
        <x:v>byron.carter@pwc.com</x:v>
      </x:c>
      <x:c r="E190" t="str">
        <x:f>"Combined"</x:f>
        <x:v>Combined</x:v>
      </x:c>
      <x:c r="F190" s="14" t="n">
        <x:f>'Employee Attendance'!I64</x:f>
        <x:v>0.08402777777777778</x:v>
      </x:c>
      <x:c r="G190" t="n">
        <x:f>F190*86400</x:f>
        <x:v>7260.000000000001</x:v>
      </x:c>
      <x:c r="H190" t="str">
        <x:f>'Employee Attendance'!J64</x:f>
        <x:v>Fully attended</x:v>
      </x:c>
      <x:c r="I190" t="str">
        <x:f>IF(OR('Employee Attendance'!K64="Yes",'Employee Attendance'!L64="Yes"),"Yes","No")</x:f>
        <x:v>Yes</x:v>
      </x:c>
    </x:row>
    <x:row r="191">
      <x:c r="A191" t="str">
        <x:f>'Employee Attendance'!A65</x:f>
        <x:v>Caleb Ogola</x:v>
      </x:c>
      <x:c r="B191" t="str">
        <x:f>'Employee Attendance'!B65</x:f>
        <x:v>Rwanda</x:v>
      </x:c>
      <x:c r="C191" t="str">
        <x:f>'Employee Attendance'!C65</x:f>
        <x:v>RW</x:v>
      </x:c>
      <x:c r="D191" t="str">
        <x:f>'Employee Attendance'!D65</x:f>
        <x:v>caleb.b.ogola@pwc.com</x:v>
      </x:c>
      <x:c r="E191" t="str">
        <x:f>"Option 1"</x:f>
        <x:v>Option 1</x:v>
      </x:c>
      <x:c r="F191" s="14" t="n">
        <x:f>'Employee Attendance'!E65</x:f>
        <x:v>0</x:v>
      </x:c>
      <x:c r="G191" t="n">
        <x:f>F191*86400</x:f>
        <x:v>0</x:v>
      </x:c>
      <x:c r="H191" t="str">
        <x:f>'Employee Attendance'!F65</x:f>
        <x:v>Did not attend</x:v>
      </x:c>
      <x:c r="I191" t="str">
        <x:f>'Employee Attendance'!K65</x:f>
        <x:v>No</x:v>
      </x:c>
    </x:row>
    <x:row r="192">
      <x:c r="A192" t="str">
        <x:f>'Employee Attendance'!A65</x:f>
        <x:v>Caleb Ogola</x:v>
      </x:c>
      <x:c r="B192" t="str">
        <x:f>'Employee Attendance'!B65</x:f>
        <x:v>Rwanda</x:v>
      </x:c>
      <x:c r="C192" t="str">
        <x:f>'Employee Attendance'!C65</x:f>
        <x:v>RW</x:v>
      </x:c>
      <x:c r="D192" t="str">
        <x:f>'Employee Attendance'!D65</x:f>
        <x:v>caleb.b.ogola@pwc.com</x:v>
      </x:c>
      <x:c r="E192" t="str">
        <x:f>"Option 2"</x:f>
        <x:v>Option 2</x:v>
      </x:c>
      <x:c r="F192" s="14" t="n">
        <x:f>'Employee Attendance'!G65</x:f>
        <x:v>0.05092592592592592</x:v>
      </x:c>
      <x:c r="G192" t="n">
        <x:f>F192*86400</x:f>
        <x:v>4400</x:v>
      </x:c>
      <x:c r="H192" t="str">
        <x:f>'Employee Attendance'!H65</x:f>
        <x:v>Partially attended</x:v>
      </x:c>
      <x:c r="I192" t="str">
        <x:f>'Employee Attendance'!L65</x:f>
        <x:v>Yes</x:v>
      </x:c>
    </x:row>
    <x:row r="193">
      <x:c r="A193" t="str">
        <x:f>'Employee Attendance'!A65</x:f>
        <x:v>Caleb Ogola</x:v>
      </x:c>
      <x:c r="B193" t="str">
        <x:f>'Employee Attendance'!B65</x:f>
        <x:v>Rwanda</x:v>
      </x:c>
      <x:c r="C193" t="str">
        <x:f>'Employee Attendance'!C65</x:f>
        <x:v>RW</x:v>
      </x:c>
      <x:c r="D193" t="str">
        <x:f>'Employee Attendance'!D65</x:f>
        <x:v>caleb.b.ogola@pwc.com</x:v>
      </x:c>
      <x:c r="E193" t="str">
        <x:f>"Combined"</x:f>
        <x:v>Combined</x:v>
      </x:c>
      <x:c r="F193" s="14" t="n">
        <x:f>'Employee Attendance'!I65</x:f>
        <x:v>0.05092592592592592</x:v>
      </x:c>
      <x:c r="G193" t="n">
        <x:f>F193*86400</x:f>
        <x:v>4400</x:v>
      </x:c>
      <x:c r="H193" t="str">
        <x:f>'Employee Attendance'!J65</x:f>
        <x:v>Partially attended</x:v>
      </x:c>
      <x:c r="I193" t="str">
        <x:f>IF(OR('Employee Attendance'!K65="Yes",'Employee Attendance'!L65="Yes"),"Yes","No")</x:f>
        <x:v>Yes</x:v>
      </x:c>
    </x:row>
    <x:row r="194">
      <x:c r="A194" t="str">
        <x:f>'Employee Attendance'!A66</x:f>
        <x:v>Carine Katabarwa</x:v>
      </x:c>
      <x:c r="B194" t="str">
        <x:f>'Employee Attendance'!B66</x:f>
        <x:v>Rwanda</x:v>
      </x:c>
      <x:c r="C194" t="str">
        <x:f>'Employee Attendance'!C66</x:f>
        <x:v>RW</x:v>
      </x:c>
      <x:c r="D194" t="str">
        <x:f>'Employee Attendance'!D66</x:f>
        <x:v>carine.katabarwa@pwc.com</x:v>
      </x:c>
      <x:c r="E194" t="str">
        <x:f>"Option 1"</x:f>
        <x:v>Option 1</x:v>
      </x:c>
      <x:c r="F194" s="14" t="n">
        <x:f>'Employee Attendance'!E66</x:f>
        <x:v>0</x:v>
      </x:c>
      <x:c r="G194" t="n">
        <x:f>F194*86400</x:f>
        <x:v>0</x:v>
      </x:c>
      <x:c r="H194" t="str">
        <x:f>'Employee Attendance'!F66</x:f>
        <x:v>Did not attend</x:v>
      </x:c>
      <x:c r="I194" t="str">
        <x:f>'Employee Attendance'!K66</x:f>
        <x:v>No</x:v>
      </x:c>
    </x:row>
    <x:row r="195">
      <x:c r="A195" t="str">
        <x:f>'Employee Attendance'!A66</x:f>
        <x:v>Carine Katabarwa</x:v>
      </x:c>
      <x:c r="B195" t="str">
        <x:f>'Employee Attendance'!B66</x:f>
        <x:v>Rwanda</x:v>
      </x:c>
      <x:c r="C195" t="str">
        <x:f>'Employee Attendance'!C66</x:f>
        <x:v>RW</x:v>
      </x:c>
      <x:c r="D195" t="str">
        <x:f>'Employee Attendance'!D66</x:f>
        <x:v>carine.katabarwa@pwc.com</x:v>
      </x:c>
      <x:c r="E195" t="str">
        <x:f>"Option 2"</x:f>
        <x:v>Option 2</x:v>
      </x:c>
      <x:c r="F195" s="14" t="n">
        <x:f>'Employee Attendance'!G66</x:f>
        <x:v>0</x:v>
      </x:c>
      <x:c r="G195" t="n">
        <x:f>F195*86400</x:f>
        <x:v>0</x:v>
      </x:c>
      <x:c r="H195" t="str">
        <x:f>'Employee Attendance'!H66</x:f>
        <x:v>Did not attend</x:v>
      </x:c>
      <x:c r="I195" t="str">
        <x:f>'Employee Attendance'!L66</x:f>
        <x:v>No</x:v>
      </x:c>
    </x:row>
    <x:row r="196">
      <x:c r="A196" t="str">
        <x:f>'Employee Attendance'!A66</x:f>
        <x:v>Carine Katabarwa</x:v>
      </x:c>
      <x:c r="B196" t="str">
        <x:f>'Employee Attendance'!B66</x:f>
        <x:v>Rwanda</x:v>
      </x:c>
      <x:c r="C196" t="str">
        <x:f>'Employee Attendance'!C66</x:f>
        <x:v>RW</x:v>
      </x:c>
      <x:c r="D196" t="str">
        <x:f>'Employee Attendance'!D66</x:f>
        <x:v>carine.katabarwa@pwc.com</x:v>
      </x:c>
      <x:c r="E196" t="str">
        <x:f>"Combined"</x:f>
        <x:v>Combined</x:v>
      </x:c>
      <x:c r="F196" s="14" t="n">
        <x:f>'Employee Attendance'!I66</x:f>
        <x:v>0</x:v>
      </x:c>
      <x:c r="G196" t="n">
        <x:f>F196*86400</x:f>
        <x:v>0</x:v>
      </x:c>
      <x:c r="H196" t="str">
        <x:f>'Employee Attendance'!J66</x:f>
        <x:v>Did not attend</x:v>
      </x:c>
      <x:c r="I196" t="str">
        <x:f>IF(OR('Employee Attendance'!K66="Yes",'Employee Attendance'!L66="Yes"),"Yes","No")</x:f>
        <x:v>No</x:v>
      </x:c>
    </x:row>
    <x:row r="197">
      <x:c r="A197" t="str">
        <x:f>'Employee Attendance'!A67</x:f>
        <x:v>Caroline Kimario</x:v>
      </x:c>
      <x:c r="B197" t="str">
        <x:f>'Employee Attendance'!B67</x:f>
        <x:v>Tanzania</x:v>
      </x:c>
      <x:c r="C197" t="str">
        <x:f>'Employee Attendance'!C67</x:f>
        <x:v>TZ</x:v>
      </x:c>
      <x:c r="D197" t="str">
        <x:f>'Employee Attendance'!D67</x:f>
        <x:v>caroline.kimario@pwc.com</x:v>
      </x:c>
      <x:c r="E197" t="str">
        <x:f>"Option 1"</x:f>
        <x:v>Option 1</x:v>
      </x:c>
      <x:c r="F197" s="14" t="n">
        <x:f>'Employee Attendance'!E67</x:f>
        <x:v>0</x:v>
      </x:c>
      <x:c r="G197" t="n">
        <x:f>F197*86400</x:f>
        <x:v>0</x:v>
      </x:c>
      <x:c r="H197" t="str">
        <x:f>'Employee Attendance'!F67</x:f>
        <x:v>Did not attend</x:v>
      </x:c>
      <x:c r="I197" t="str">
        <x:f>'Employee Attendance'!K67</x:f>
        <x:v>No</x:v>
      </x:c>
    </x:row>
    <x:row r="198">
      <x:c r="A198" t="str">
        <x:f>'Employee Attendance'!A67</x:f>
        <x:v>Caroline Kimario</x:v>
      </x:c>
      <x:c r="B198" t="str">
        <x:f>'Employee Attendance'!B67</x:f>
        <x:v>Tanzania</x:v>
      </x:c>
      <x:c r="C198" t="str">
        <x:f>'Employee Attendance'!C67</x:f>
        <x:v>TZ</x:v>
      </x:c>
      <x:c r="D198" t="str">
        <x:f>'Employee Attendance'!D67</x:f>
        <x:v>caroline.kimario@pwc.com</x:v>
      </x:c>
      <x:c r="E198" t="str">
        <x:f>"Option 2"</x:f>
        <x:v>Option 2</x:v>
      </x:c>
      <x:c r="F198" s="14" t="n">
        <x:f>'Employee Attendance'!G67</x:f>
        <x:v>0.08773148148148148</x:v>
      </x:c>
      <x:c r="G198" t="n">
        <x:f>F198*86400</x:f>
        <x:v>7580</x:v>
      </x:c>
      <x:c r="H198" t="str">
        <x:f>'Employee Attendance'!H67</x:f>
        <x:v>Fully attended</x:v>
      </x:c>
      <x:c r="I198" t="str">
        <x:f>'Employee Attendance'!L67</x:f>
        <x:v>Yes</x:v>
      </x:c>
    </x:row>
    <x:row r="199">
      <x:c r="A199" t="str">
        <x:f>'Employee Attendance'!A67</x:f>
        <x:v>Caroline Kimario</x:v>
      </x:c>
      <x:c r="B199" t="str">
        <x:f>'Employee Attendance'!B67</x:f>
        <x:v>Tanzania</x:v>
      </x:c>
      <x:c r="C199" t="str">
        <x:f>'Employee Attendance'!C67</x:f>
        <x:v>TZ</x:v>
      </x:c>
      <x:c r="D199" t="str">
        <x:f>'Employee Attendance'!D67</x:f>
        <x:v>caroline.kimario@pwc.com</x:v>
      </x:c>
      <x:c r="E199" t="str">
        <x:f>"Combined"</x:f>
        <x:v>Combined</x:v>
      </x:c>
      <x:c r="F199" s="14" t="n">
        <x:f>'Employee Attendance'!I67</x:f>
        <x:v>0.08773148148148148</x:v>
      </x:c>
      <x:c r="G199" t="n">
        <x:f>F199*86400</x:f>
        <x:v>7580</x:v>
      </x:c>
      <x:c r="H199" t="str">
        <x:f>'Employee Attendance'!J67</x:f>
        <x:v>Fully attended</x:v>
      </x:c>
      <x:c r="I199" t="str">
        <x:f>IF(OR('Employee Attendance'!K67="Yes",'Employee Attendance'!L67="Yes"),"Yes","No")</x:f>
        <x:v>Yes</x:v>
      </x:c>
    </x:row>
    <x:row r="200">
      <x:c r="A200" t="str">
        <x:f>'Employee Attendance'!A68</x:f>
        <x:v>Catherine Kilasara</x:v>
      </x:c>
      <x:c r="B200" t="str">
        <x:f>'Employee Attendance'!B68</x:f>
        <x:v>Tanzania</x:v>
      </x:c>
      <x:c r="C200" t="str">
        <x:f>'Employee Attendance'!C68</x:f>
        <x:v>TZ</x:v>
      </x:c>
      <x:c r="D200" t="str">
        <x:f>'Employee Attendance'!D68</x:f>
        <x:v>catherine.kilasara@pwc.com</x:v>
      </x:c>
      <x:c r="E200" t="str">
        <x:f>"Option 1"</x:f>
        <x:v>Option 1</x:v>
      </x:c>
      <x:c r="F200" s="14" t="n">
        <x:f>'Employee Attendance'!E68</x:f>
        <x:v>0.061412037037037036</x:v>
      </x:c>
      <x:c r="G200" t="n">
        <x:f>F200*86400</x:f>
        <x:v>5306</x:v>
      </x:c>
      <x:c r="H200" t="str">
        <x:f>'Employee Attendance'!F68</x:f>
        <x:v>Partially attended</x:v>
      </x:c>
      <x:c r="I200" t="str">
        <x:f>'Employee Attendance'!K68</x:f>
        <x:v>Yes</x:v>
      </x:c>
    </x:row>
    <x:row r="201">
      <x:c r="A201" t="str">
        <x:f>'Employee Attendance'!A68</x:f>
        <x:v>Catherine Kilasara</x:v>
      </x:c>
      <x:c r="B201" t="str">
        <x:f>'Employee Attendance'!B68</x:f>
        <x:v>Tanzania</x:v>
      </x:c>
      <x:c r="C201" t="str">
        <x:f>'Employee Attendance'!C68</x:f>
        <x:v>TZ</x:v>
      </x:c>
      <x:c r="D201" t="str">
        <x:f>'Employee Attendance'!D68</x:f>
        <x:v>catherine.kilasara@pwc.com</x:v>
      </x:c>
      <x:c r="E201" t="str">
        <x:f>"Option 2"</x:f>
        <x:v>Option 2</x:v>
      </x:c>
      <x:c r="F201" s="14" t="n">
        <x:f>'Employee Attendance'!G68</x:f>
        <x:v>0</x:v>
      </x:c>
      <x:c r="G201" t="n">
        <x:f>F201*86400</x:f>
        <x:v>0</x:v>
      </x:c>
      <x:c r="H201" t="str">
        <x:f>'Employee Attendance'!H68</x:f>
        <x:v>Did not attend</x:v>
      </x:c>
      <x:c r="I201" t="str">
        <x:f>'Employee Attendance'!L68</x:f>
        <x:v>No</x:v>
      </x:c>
    </x:row>
    <x:row r="202">
      <x:c r="A202" t="str">
        <x:f>'Employee Attendance'!A68</x:f>
        <x:v>Catherine Kilasara</x:v>
      </x:c>
      <x:c r="B202" t="str">
        <x:f>'Employee Attendance'!B68</x:f>
        <x:v>Tanzania</x:v>
      </x:c>
      <x:c r="C202" t="str">
        <x:f>'Employee Attendance'!C68</x:f>
        <x:v>TZ</x:v>
      </x:c>
      <x:c r="D202" t="str">
        <x:f>'Employee Attendance'!D68</x:f>
        <x:v>catherine.kilasara@pwc.com</x:v>
      </x:c>
      <x:c r="E202" t="str">
        <x:f>"Combined"</x:f>
        <x:v>Combined</x:v>
      </x:c>
      <x:c r="F202" s="14" t="n">
        <x:f>'Employee Attendance'!I68</x:f>
        <x:v>0.061412037037037036</x:v>
      </x:c>
      <x:c r="G202" t="n">
        <x:f>F202*86400</x:f>
        <x:v>5306</x:v>
      </x:c>
      <x:c r="H202" t="str">
        <x:f>'Employee Attendance'!J68</x:f>
        <x:v>Partially attended</x:v>
      </x:c>
      <x:c r="I202" t="str">
        <x:f>IF(OR('Employee Attendance'!K68="Yes",'Employee Attendance'!L68="Yes"),"Yes","No")</x:f>
        <x:v>Yes</x:v>
      </x:c>
    </x:row>
    <x:row r="203">
      <x:c r="A203" t="str">
        <x:f>'Employee Attendance'!A69</x:f>
        <x:v>Catherine Mlay</x:v>
      </x:c>
      <x:c r="B203" t="str">
        <x:f>'Employee Attendance'!B69</x:f>
        <x:v>Tanzania</x:v>
      </x:c>
      <x:c r="C203" t="str">
        <x:f>'Employee Attendance'!C69</x:f>
        <x:v>TZ</x:v>
      </x:c>
      <x:c r="D203" t="str">
        <x:f>'Employee Attendance'!D69</x:f>
        <x:v>catherine.mlay@pwc.com</x:v>
      </x:c>
      <x:c r="E203" t="str">
        <x:f>"Option 1"</x:f>
        <x:v>Option 1</x:v>
      </x:c>
      <x:c r="F203" s="14" t="n">
        <x:f>'Employee Attendance'!E69</x:f>
        <x:v>0.08621527777777778</x:v>
      </x:c>
      <x:c r="G203" t="n">
        <x:f>F203*86400</x:f>
        <x:v>7449</x:v>
      </x:c>
      <x:c r="H203" t="str">
        <x:f>'Employee Attendance'!F69</x:f>
        <x:v>Fully attended</x:v>
      </x:c>
      <x:c r="I203" t="str">
        <x:f>'Employee Attendance'!K69</x:f>
        <x:v>Yes</x:v>
      </x:c>
    </x:row>
    <x:row r="204">
      <x:c r="A204" t="str">
        <x:f>'Employee Attendance'!A69</x:f>
        <x:v>Catherine Mlay</x:v>
      </x:c>
      <x:c r="B204" t="str">
        <x:f>'Employee Attendance'!B69</x:f>
        <x:v>Tanzania</x:v>
      </x:c>
      <x:c r="C204" t="str">
        <x:f>'Employee Attendance'!C69</x:f>
        <x:v>TZ</x:v>
      </x:c>
      <x:c r="D204" t="str">
        <x:f>'Employee Attendance'!D69</x:f>
        <x:v>catherine.mlay@pwc.com</x:v>
      </x:c>
      <x:c r="E204" t="str">
        <x:f>"Option 2"</x:f>
        <x:v>Option 2</x:v>
      </x:c>
      <x:c r="F204" s="14" t="n">
        <x:f>'Employee Attendance'!G69</x:f>
        <x:v>0.05918981481481481</x:v>
      </x:c>
      <x:c r="G204" t="n">
        <x:f>F204*86400</x:f>
        <x:v>5114</x:v>
      </x:c>
      <x:c r="H204" t="str">
        <x:f>'Employee Attendance'!H69</x:f>
        <x:v>Partially attended</x:v>
      </x:c>
      <x:c r="I204" t="str">
        <x:f>'Employee Attendance'!L69</x:f>
        <x:v>Yes</x:v>
      </x:c>
    </x:row>
    <x:row r="205">
      <x:c r="A205" t="str">
        <x:f>'Employee Attendance'!A69</x:f>
        <x:v>Catherine Mlay</x:v>
      </x:c>
      <x:c r="B205" t="str">
        <x:f>'Employee Attendance'!B69</x:f>
        <x:v>Tanzania</x:v>
      </x:c>
      <x:c r="C205" t="str">
        <x:f>'Employee Attendance'!C69</x:f>
        <x:v>TZ</x:v>
      </x:c>
      <x:c r="D205" t="str">
        <x:f>'Employee Attendance'!D69</x:f>
        <x:v>catherine.mlay@pwc.com</x:v>
      </x:c>
      <x:c r="E205" t="str">
        <x:f>"Combined"</x:f>
        <x:v>Combined</x:v>
      </x:c>
      <x:c r="F205" s="14" t="n">
        <x:f>'Employee Attendance'!I69</x:f>
        <x:v>0.1454050925925926</x:v>
      </x:c>
      <x:c r="G205" t="n">
        <x:f>F205*86400</x:f>
        <x:v>12563</x:v>
      </x:c>
      <x:c r="H205" t="str">
        <x:f>'Employee Attendance'!J69</x:f>
        <x:v>Fully attended</x:v>
      </x:c>
      <x:c r="I205" t="str">
        <x:f>IF(OR('Employee Attendance'!K69="Yes",'Employee Attendance'!L69="Yes"),"Yes","No")</x:f>
        <x:v>Yes</x:v>
      </x:c>
    </x:row>
    <x:row r="206">
      <x:c r="A206" t="str">
        <x:f>'Employee Attendance'!A70</x:f>
        <x:v>Catherine Muli</x:v>
      </x:c>
      <x:c r="B206" t="str">
        <x:f>'Employee Attendance'!B70</x:f>
        <x:v>Kenya</x:v>
      </x:c>
      <x:c r="C206" t="str">
        <x:f>'Employee Attendance'!C70</x:f>
        <x:v>KE</x:v>
      </x:c>
      <x:c r="D206" t="str">
        <x:f>'Employee Attendance'!D70</x:f>
        <x:v>catherine.muli@pwc.com</x:v>
      </x:c>
      <x:c r="E206" t="str">
        <x:f>"Option 1"</x:f>
        <x:v>Option 1</x:v>
      </x:c>
      <x:c r="F206" s="14" t="n">
        <x:f>'Employee Attendance'!E70</x:f>
        <x:v>0</x:v>
      </x:c>
      <x:c r="G206" t="n">
        <x:f>F206*86400</x:f>
        <x:v>0</x:v>
      </x:c>
      <x:c r="H206" t="str">
        <x:f>'Employee Attendance'!F70</x:f>
        <x:v>Did not attend</x:v>
      </x:c>
      <x:c r="I206" t="str">
        <x:f>'Employee Attendance'!K70</x:f>
        <x:v>No</x:v>
      </x:c>
    </x:row>
    <x:row r="207">
      <x:c r="A207" t="str">
        <x:f>'Employee Attendance'!A70</x:f>
        <x:v>Catherine Muli</x:v>
      </x:c>
      <x:c r="B207" t="str">
        <x:f>'Employee Attendance'!B70</x:f>
        <x:v>Kenya</x:v>
      </x:c>
      <x:c r="C207" t="str">
        <x:f>'Employee Attendance'!C70</x:f>
        <x:v>KE</x:v>
      </x:c>
      <x:c r="D207" t="str">
        <x:f>'Employee Attendance'!D70</x:f>
        <x:v>catherine.muli@pwc.com</x:v>
      </x:c>
      <x:c r="E207" t="str">
        <x:f>"Option 2"</x:f>
        <x:v>Option 2</x:v>
      </x:c>
      <x:c r="F207" s="14" t="n">
        <x:f>'Employee Attendance'!G70</x:f>
        <x:v>0</x:v>
      </x:c>
      <x:c r="G207" t="n">
        <x:f>F207*86400</x:f>
        <x:v>0</x:v>
      </x:c>
      <x:c r="H207" t="str">
        <x:f>'Employee Attendance'!H70</x:f>
        <x:v>Did not attend</x:v>
      </x:c>
      <x:c r="I207" t="str">
        <x:f>'Employee Attendance'!L70</x:f>
        <x:v>No</x:v>
      </x:c>
    </x:row>
    <x:row r="208">
      <x:c r="A208" t="str">
        <x:f>'Employee Attendance'!A70</x:f>
        <x:v>Catherine Muli</x:v>
      </x:c>
      <x:c r="B208" t="str">
        <x:f>'Employee Attendance'!B70</x:f>
        <x:v>Kenya</x:v>
      </x:c>
      <x:c r="C208" t="str">
        <x:f>'Employee Attendance'!C70</x:f>
        <x:v>KE</x:v>
      </x:c>
      <x:c r="D208" t="str">
        <x:f>'Employee Attendance'!D70</x:f>
        <x:v>catherine.muli@pwc.com</x:v>
      </x:c>
      <x:c r="E208" t="str">
        <x:f>"Combined"</x:f>
        <x:v>Combined</x:v>
      </x:c>
      <x:c r="F208" s="14" t="n">
        <x:f>'Employee Attendance'!I70</x:f>
        <x:v>0</x:v>
      </x:c>
      <x:c r="G208" t="n">
        <x:f>F208*86400</x:f>
        <x:v>0</x:v>
      </x:c>
      <x:c r="H208" t="str">
        <x:f>'Employee Attendance'!J70</x:f>
        <x:v>Did not attend</x:v>
      </x:c>
      <x:c r="I208" t="str">
        <x:f>IF(OR('Employee Attendance'!K70="Yes",'Employee Attendance'!L70="Yes"),"Yes","No")</x:f>
        <x:v>No</x:v>
      </x:c>
    </x:row>
    <x:row r="209">
      <x:c r="A209" t="str">
        <x:f>'Employee Attendance'!A71</x:f>
        <x:v>Catherine Naluuma</x:v>
      </x:c>
      <x:c r="B209" t="str">
        <x:f>'Employee Attendance'!B71</x:f>
        <x:v>Uganda</x:v>
      </x:c>
      <x:c r="C209" t="str">
        <x:f>'Employee Attendance'!C71</x:f>
        <x:v>UG</x:v>
      </x:c>
      <x:c r="D209" t="str">
        <x:f>'Employee Attendance'!D71</x:f>
        <x:v>catherine.naluuma@pwc.com</x:v>
      </x:c>
      <x:c r="E209" t="str">
        <x:f>"Option 1"</x:f>
        <x:v>Option 1</x:v>
      </x:c>
      <x:c r="F209" s="14" t="n">
        <x:f>'Employee Attendance'!E71</x:f>
        <x:v>0</x:v>
      </x:c>
      <x:c r="G209" t="n">
        <x:f>F209*86400</x:f>
        <x:v>0</x:v>
      </x:c>
      <x:c r="H209" t="str">
        <x:f>'Employee Attendance'!F71</x:f>
        <x:v>Did not attend</x:v>
      </x:c>
      <x:c r="I209" t="str">
        <x:f>'Employee Attendance'!K71</x:f>
        <x:v>No</x:v>
      </x:c>
    </x:row>
    <x:row r="210">
      <x:c r="A210" t="str">
        <x:f>'Employee Attendance'!A71</x:f>
        <x:v>Catherine Naluuma</x:v>
      </x:c>
      <x:c r="B210" t="str">
        <x:f>'Employee Attendance'!B71</x:f>
        <x:v>Uganda</x:v>
      </x:c>
      <x:c r="C210" t="str">
        <x:f>'Employee Attendance'!C71</x:f>
        <x:v>UG</x:v>
      </x:c>
      <x:c r="D210" t="str">
        <x:f>'Employee Attendance'!D71</x:f>
        <x:v>catherine.naluuma@pwc.com</x:v>
      </x:c>
      <x:c r="E210" t="str">
        <x:f>"Option 2"</x:f>
        <x:v>Option 2</x:v>
      </x:c>
      <x:c r="F210" s="14" t="n">
        <x:f>'Employee Attendance'!G71</x:f>
        <x:v>0.06695601851851851</x:v>
      </x:c>
      <x:c r="G210" t="n">
        <x:f>F210*86400</x:f>
        <x:v>5784.999999999999</x:v>
      </x:c>
      <x:c r="H210" t="str">
        <x:f>'Employee Attendance'!H71</x:f>
        <x:v>Fully attended</x:v>
      </x:c>
      <x:c r="I210" t="str">
        <x:f>'Employee Attendance'!L71</x:f>
        <x:v>Yes</x:v>
      </x:c>
    </x:row>
    <x:row r="211">
      <x:c r="A211" t="str">
        <x:f>'Employee Attendance'!A71</x:f>
        <x:v>Catherine Naluuma</x:v>
      </x:c>
      <x:c r="B211" t="str">
        <x:f>'Employee Attendance'!B71</x:f>
        <x:v>Uganda</x:v>
      </x:c>
      <x:c r="C211" t="str">
        <x:f>'Employee Attendance'!C71</x:f>
        <x:v>UG</x:v>
      </x:c>
      <x:c r="D211" t="str">
        <x:f>'Employee Attendance'!D71</x:f>
        <x:v>catherine.naluuma@pwc.com</x:v>
      </x:c>
      <x:c r="E211" t="str">
        <x:f>"Combined"</x:f>
        <x:v>Combined</x:v>
      </x:c>
      <x:c r="F211" s="14" t="n">
        <x:f>'Employee Attendance'!I71</x:f>
        <x:v>0.06695601851851851</x:v>
      </x:c>
      <x:c r="G211" t="n">
        <x:f>F211*86400</x:f>
        <x:v>5784.999999999999</x:v>
      </x:c>
      <x:c r="H211" t="str">
        <x:f>'Employee Attendance'!J71</x:f>
        <x:v>Fully attended</x:v>
      </x:c>
      <x:c r="I211" t="str">
        <x:f>IF(OR('Employee Attendance'!K71="Yes",'Employee Attendance'!L71="Yes"),"Yes","No")</x:f>
        <x:v>Yes</x:v>
      </x:c>
    </x:row>
    <x:row r="212">
      <x:c r="A212" t="str">
        <x:f>'Employee Attendance'!A72</x:f>
        <x:v>Catherine Rutenge</x:v>
      </x:c>
      <x:c r="B212" t="str">
        <x:f>'Employee Attendance'!B72</x:f>
        <x:v>Tanzania</x:v>
      </x:c>
      <x:c r="C212" t="str">
        <x:f>'Employee Attendance'!C72</x:f>
        <x:v>TZ</x:v>
      </x:c>
      <x:c r="D212" t="str">
        <x:f>'Employee Attendance'!D72</x:f>
        <x:v>catherine.rutenge@pwc.com</x:v>
      </x:c>
      <x:c r="E212" t="str">
        <x:f>"Option 1"</x:f>
        <x:v>Option 1</x:v>
      </x:c>
      <x:c r="F212" s="14" t="n">
        <x:f>'Employee Attendance'!E72</x:f>
        <x:v>0</x:v>
      </x:c>
      <x:c r="G212" t="n">
        <x:f>F212*86400</x:f>
        <x:v>0</x:v>
      </x:c>
      <x:c r="H212" t="str">
        <x:f>'Employee Attendance'!F72</x:f>
        <x:v>Did not attend</x:v>
      </x:c>
      <x:c r="I212" t="str">
        <x:f>'Employee Attendance'!K72</x:f>
        <x:v>No</x:v>
      </x:c>
    </x:row>
    <x:row r="213">
      <x:c r="A213" t="str">
        <x:f>'Employee Attendance'!A72</x:f>
        <x:v>Catherine Rutenge</x:v>
      </x:c>
      <x:c r="B213" t="str">
        <x:f>'Employee Attendance'!B72</x:f>
        <x:v>Tanzania</x:v>
      </x:c>
      <x:c r="C213" t="str">
        <x:f>'Employee Attendance'!C72</x:f>
        <x:v>TZ</x:v>
      </x:c>
      <x:c r="D213" t="str">
        <x:f>'Employee Attendance'!D72</x:f>
        <x:v>catherine.rutenge@pwc.com</x:v>
      </x:c>
      <x:c r="E213" t="str">
        <x:f>"Option 2"</x:f>
        <x:v>Option 2</x:v>
      </x:c>
      <x:c r="F213" s="14" t="n">
        <x:f>'Employee Attendance'!G72</x:f>
        <x:v>0.055393518518518516</x:v>
      </x:c>
      <x:c r="G213" t="n">
        <x:f>F213*86400</x:f>
        <x:v>4786</x:v>
      </x:c>
      <x:c r="H213" t="str">
        <x:f>'Employee Attendance'!H72</x:f>
        <x:v>Partially attended</x:v>
      </x:c>
      <x:c r="I213" t="str">
        <x:f>'Employee Attendance'!L72</x:f>
        <x:v>Yes</x:v>
      </x:c>
    </x:row>
    <x:row r="214">
      <x:c r="A214" t="str">
        <x:f>'Employee Attendance'!A72</x:f>
        <x:v>Catherine Rutenge</x:v>
      </x:c>
      <x:c r="B214" t="str">
        <x:f>'Employee Attendance'!B72</x:f>
        <x:v>Tanzania</x:v>
      </x:c>
      <x:c r="C214" t="str">
        <x:f>'Employee Attendance'!C72</x:f>
        <x:v>TZ</x:v>
      </x:c>
      <x:c r="D214" t="str">
        <x:f>'Employee Attendance'!D72</x:f>
        <x:v>catherine.rutenge@pwc.com</x:v>
      </x:c>
      <x:c r="E214" t="str">
        <x:f>"Combined"</x:f>
        <x:v>Combined</x:v>
      </x:c>
      <x:c r="F214" s="14" t="n">
        <x:f>'Employee Attendance'!I72</x:f>
        <x:v>0.055393518518518516</x:v>
      </x:c>
      <x:c r="G214" t="n">
        <x:f>F214*86400</x:f>
        <x:v>4786</x:v>
      </x:c>
      <x:c r="H214" t="str">
        <x:f>'Employee Attendance'!J72</x:f>
        <x:v>Partially attended</x:v>
      </x:c>
      <x:c r="I214" t="str">
        <x:f>IF(OR('Employee Attendance'!K72="Yes",'Employee Attendance'!L72="Yes"),"Yes","No")</x:f>
        <x:v>Yes</x:v>
      </x:c>
    </x:row>
    <x:row r="215">
      <x:c r="A215" t="str">
        <x:f>'Employee Attendance'!A73</x:f>
        <x:v>Cedric Mpobusingye</x:v>
      </x:c>
      <x:c r="B215" t="str">
        <x:f>'Employee Attendance'!B73</x:f>
        <x:v>Tanzania</x:v>
      </x:c>
      <x:c r="C215" t="str">
        <x:f>'Employee Attendance'!C73</x:f>
        <x:v>TZ</x:v>
      </x:c>
      <x:c r="D215" t="str">
        <x:f>'Employee Attendance'!D73</x:f>
        <x:v>cedric.t.mpobusingye@pwc.com</x:v>
      </x:c>
      <x:c r="E215" t="str">
        <x:f>"Option 1"</x:f>
        <x:v>Option 1</x:v>
      </x:c>
      <x:c r="F215" s="14" t="n">
        <x:f>'Employee Attendance'!E73</x:f>
        <x:v>0.07675925925925926</x:v>
      </x:c>
      <x:c r="G215" t="n">
        <x:f>F215*86400</x:f>
        <x:v>6632</x:v>
      </x:c>
      <x:c r="H215" t="str">
        <x:f>'Employee Attendance'!F73</x:f>
        <x:v>Fully attended</x:v>
      </x:c>
      <x:c r="I215" t="str">
        <x:f>'Employee Attendance'!K73</x:f>
        <x:v>Yes</x:v>
      </x:c>
    </x:row>
    <x:row r="216">
      <x:c r="A216" t="str">
        <x:f>'Employee Attendance'!A73</x:f>
        <x:v>Cedric Mpobusingye</x:v>
      </x:c>
      <x:c r="B216" t="str">
        <x:f>'Employee Attendance'!B73</x:f>
        <x:v>Tanzania</x:v>
      </x:c>
      <x:c r="C216" t="str">
        <x:f>'Employee Attendance'!C73</x:f>
        <x:v>TZ</x:v>
      </x:c>
      <x:c r="D216" t="str">
        <x:f>'Employee Attendance'!D73</x:f>
        <x:v>cedric.t.mpobusingye@pwc.com</x:v>
      </x:c>
      <x:c r="E216" t="str">
        <x:f>"Option 2"</x:f>
        <x:v>Option 2</x:v>
      </x:c>
      <x:c r="F216" s="14" t="n">
        <x:f>'Employee Attendance'!G73</x:f>
        <x:v>0</x:v>
      </x:c>
      <x:c r="G216" t="n">
        <x:f>F216*86400</x:f>
        <x:v>0</x:v>
      </x:c>
      <x:c r="H216" t="str">
        <x:f>'Employee Attendance'!H73</x:f>
        <x:v>Did not attend</x:v>
      </x:c>
      <x:c r="I216" t="str">
        <x:f>'Employee Attendance'!L73</x:f>
        <x:v>No</x:v>
      </x:c>
    </x:row>
    <x:row r="217">
      <x:c r="A217" t="str">
        <x:f>'Employee Attendance'!A73</x:f>
        <x:v>Cedric Mpobusingye</x:v>
      </x:c>
      <x:c r="B217" t="str">
        <x:f>'Employee Attendance'!B73</x:f>
        <x:v>Tanzania</x:v>
      </x:c>
      <x:c r="C217" t="str">
        <x:f>'Employee Attendance'!C73</x:f>
        <x:v>TZ</x:v>
      </x:c>
      <x:c r="D217" t="str">
        <x:f>'Employee Attendance'!D73</x:f>
        <x:v>cedric.t.mpobusingye@pwc.com</x:v>
      </x:c>
      <x:c r="E217" t="str">
        <x:f>"Combined"</x:f>
        <x:v>Combined</x:v>
      </x:c>
      <x:c r="F217" s="14" t="n">
        <x:f>'Employee Attendance'!I73</x:f>
        <x:v>0.07675925925925926</x:v>
      </x:c>
      <x:c r="G217" t="n">
        <x:f>F217*86400</x:f>
        <x:v>6632</x:v>
      </x:c>
      <x:c r="H217" t="str">
        <x:f>'Employee Attendance'!J73</x:f>
        <x:v>Fully attended</x:v>
      </x:c>
      <x:c r="I217" t="str">
        <x:f>IF(OR('Employee Attendance'!K73="Yes",'Employee Attendance'!L73="Yes"),"Yes","No")</x:f>
        <x:v>Yes</x:v>
      </x:c>
    </x:row>
    <x:row r="218">
      <x:c r="A218" t="str">
        <x:f>'Employee Attendance'!A74</x:f>
        <x:v>Chanda Chileshe</x:v>
      </x:c>
      <x:c r="B218" t="str">
        <x:f>'Employee Attendance'!B74</x:f>
        <x:v>Zambia</x:v>
      </x:c>
      <x:c r="C218" t="str">
        <x:f>'Employee Attendance'!C74</x:f>
        <x:v>ZM</x:v>
      </x:c>
      <x:c r="D218" t="str">
        <x:f>'Employee Attendance'!D74</x:f>
        <x:v>chanda.chileshe@pwc.com</x:v>
      </x:c>
      <x:c r="E218" t="str">
        <x:f>"Option 1"</x:f>
        <x:v>Option 1</x:v>
      </x:c>
      <x:c r="F218" s="14" t="n">
        <x:f>'Employee Attendance'!E74</x:f>
        <x:v>0.07954861111111111</x:v>
      </x:c>
      <x:c r="G218" t="n">
        <x:f>F218*86400</x:f>
        <x:v>6873</x:v>
      </x:c>
      <x:c r="H218" t="str">
        <x:f>'Employee Attendance'!F74</x:f>
        <x:v>Fully attended</x:v>
      </x:c>
      <x:c r="I218" t="str">
        <x:f>'Employee Attendance'!K74</x:f>
        <x:v>Yes</x:v>
      </x:c>
    </x:row>
    <x:row r="219">
      <x:c r="A219" t="str">
        <x:f>'Employee Attendance'!A74</x:f>
        <x:v>Chanda Chileshe</x:v>
      </x:c>
      <x:c r="B219" t="str">
        <x:f>'Employee Attendance'!B74</x:f>
        <x:v>Zambia</x:v>
      </x:c>
      <x:c r="C219" t="str">
        <x:f>'Employee Attendance'!C74</x:f>
        <x:v>ZM</x:v>
      </x:c>
      <x:c r="D219" t="str">
        <x:f>'Employee Attendance'!D74</x:f>
        <x:v>chanda.chileshe@pwc.com</x:v>
      </x:c>
      <x:c r="E219" t="str">
        <x:f>"Option 2"</x:f>
        <x:v>Option 2</x:v>
      </x:c>
      <x:c r="F219" s="14" t="n">
        <x:f>'Employee Attendance'!G74</x:f>
        <x:v>0</x:v>
      </x:c>
      <x:c r="G219" t="n">
        <x:f>F219*86400</x:f>
        <x:v>0</x:v>
      </x:c>
      <x:c r="H219" t="str">
        <x:f>'Employee Attendance'!H74</x:f>
        <x:v>Did not attend</x:v>
      </x:c>
      <x:c r="I219" t="str">
        <x:f>'Employee Attendance'!L74</x:f>
        <x:v>No</x:v>
      </x:c>
    </x:row>
    <x:row r="220">
      <x:c r="A220" t="str">
        <x:f>'Employee Attendance'!A74</x:f>
        <x:v>Chanda Chileshe</x:v>
      </x:c>
      <x:c r="B220" t="str">
        <x:f>'Employee Attendance'!B74</x:f>
        <x:v>Zambia</x:v>
      </x:c>
      <x:c r="C220" t="str">
        <x:f>'Employee Attendance'!C74</x:f>
        <x:v>ZM</x:v>
      </x:c>
      <x:c r="D220" t="str">
        <x:f>'Employee Attendance'!D74</x:f>
        <x:v>chanda.chileshe@pwc.com</x:v>
      </x:c>
      <x:c r="E220" t="str">
        <x:f>"Combined"</x:f>
        <x:v>Combined</x:v>
      </x:c>
      <x:c r="F220" s="14" t="n">
        <x:f>'Employee Attendance'!I74</x:f>
        <x:v>0.07954861111111111</x:v>
      </x:c>
      <x:c r="G220" t="n">
        <x:f>F220*86400</x:f>
        <x:v>6873</x:v>
      </x:c>
      <x:c r="H220" t="str">
        <x:f>'Employee Attendance'!J74</x:f>
        <x:v>Fully attended</x:v>
      </x:c>
      <x:c r="I220" t="str">
        <x:f>IF(OR('Employee Attendance'!K74="Yes",'Employee Attendance'!L74="Yes"),"Yes","No")</x:f>
        <x:v>Yes</x:v>
      </x:c>
    </x:row>
    <x:row r="221">
      <x:c r="A221" t="str">
        <x:f>'Employee Attendance'!A75</x:f>
        <x:v>Chanele Machimane</x:v>
      </x:c>
      <x:c r="B221" t="str">
        <x:f>'Employee Attendance'!B75</x:f>
        <x:v>Tanzania</x:v>
      </x:c>
      <x:c r="C221" t="str">
        <x:f>'Employee Attendance'!C75</x:f>
        <x:v>TZ</x:v>
      </x:c>
      <x:c r="D221" t="str">
        <x:f>'Employee Attendance'!D75</x:f>
        <x:v>chanele.m.machimane@pwc.com</x:v>
      </x:c>
      <x:c r="E221" t="str">
        <x:f>"Option 1"</x:f>
        <x:v>Option 1</x:v>
      </x:c>
      <x:c r="F221" s="14" t="n">
        <x:f>'Employee Attendance'!E75</x:f>
        <x:v>0.0749537037037037</x:v>
      </x:c>
      <x:c r="G221" t="n">
        <x:f>F221*86400</x:f>
        <x:v>6476</x:v>
      </x:c>
      <x:c r="H221" t="str">
        <x:f>'Employee Attendance'!F75</x:f>
        <x:v>Fully attended</x:v>
      </x:c>
      <x:c r="I221" t="str">
        <x:f>'Employee Attendance'!K75</x:f>
        <x:v>Yes</x:v>
      </x:c>
    </x:row>
    <x:row r="222">
      <x:c r="A222" t="str">
        <x:f>'Employee Attendance'!A75</x:f>
        <x:v>Chanele Machimane</x:v>
      </x:c>
      <x:c r="B222" t="str">
        <x:f>'Employee Attendance'!B75</x:f>
        <x:v>Tanzania</x:v>
      </x:c>
      <x:c r="C222" t="str">
        <x:f>'Employee Attendance'!C75</x:f>
        <x:v>TZ</x:v>
      </x:c>
      <x:c r="D222" t="str">
        <x:f>'Employee Attendance'!D75</x:f>
        <x:v>chanele.m.machimane@pwc.com</x:v>
      </x:c>
      <x:c r="E222" t="str">
        <x:f>"Option 2"</x:f>
        <x:v>Option 2</x:v>
      </x:c>
      <x:c r="F222" s="14" t="n">
        <x:f>'Employee Attendance'!G75</x:f>
        <x:v>0</x:v>
      </x:c>
      <x:c r="G222" t="n">
        <x:f>F222*86400</x:f>
        <x:v>0</x:v>
      </x:c>
      <x:c r="H222" t="str">
        <x:f>'Employee Attendance'!H75</x:f>
        <x:v>Did not attend</x:v>
      </x:c>
      <x:c r="I222" t="str">
        <x:f>'Employee Attendance'!L75</x:f>
        <x:v>No</x:v>
      </x:c>
    </x:row>
    <x:row r="223">
      <x:c r="A223" t="str">
        <x:f>'Employee Attendance'!A75</x:f>
        <x:v>Chanele Machimane</x:v>
      </x:c>
      <x:c r="B223" t="str">
        <x:f>'Employee Attendance'!B75</x:f>
        <x:v>Tanzania</x:v>
      </x:c>
      <x:c r="C223" t="str">
        <x:f>'Employee Attendance'!C75</x:f>
        <x:v>TZ</x:v>
      </x:c>
      <x:c r="D223" t="str">
        <x:f>'Employee Attendance'!D75</x:f>
        <x:v>chanele.m.machimane@pwc.com</x:v>
      </x:c>
      <x:c r="E223" t="str">
        <x:f>"Combined"</x:f>
        <x:v>Combined</x:v>
      </x:c>
      <x:c r="F223" s="14" t="n">
        <x:f>'Employee Attendance'!I75</x:f>
        <x:v>0.0749537037037037</x:v>
      </x:c>
      <x:c r="G223" t="n">
        <x:f>F223*86400</x:f>
        <x:v>6476</x:v>
      </x:c>
      <x:c r="H223" t="str">
        <x:f>'Employee Attendance'!J75</x:f>
        <x:v>Fully attended</x:v>
      </x:c>
      <x:c r="I223" t="str">
        <x:f>IF(OR('Employee Attendance'!K75="Yes",'Employee Attendance'!L75="Yes"),"Yes","No")</x:f>
        <x:v>Yes</x:v>
      </x:c>
    </x:row>
    <x:row r="224">
      <x:c r="A224" t="str">
        <x:f>'Employee Attendance'!A76</x:f>
        <x:v>Charity Mrinji</x:v>
      </x:c>
      <x:c r="B224" t="str">
        <x:f>'Employee Attendance'!B76</x:f>
        <x:v>Tanzania</x:v>
      </x:c>
      <x:c r="C224" t="str">
        <x:f>'Employee Attendance'!C76</x:f>
        <x:v>TZ</x:v>
      </x:c>
      <x:c r="D224" t="str">
        <x:f>'Employee Attendance'!D76</x:f>
        <x:v>charity.mrinji@pwc.com</x:v>
      </x:c>
      <x:c r="E224" t="str">
        <x:f>"Option 1"</x:f>
        <x:v>Option 1</x:v>
      </x:c>
      <x:c r="F224" s="14" t="n">
        <x:f>'Employee Attendance'!E76</x:f>
        <x:v>0.04943287037037037</x:v>
      </x:c>
      <x:c r="G224" t="n">
        <x:f>F224*86400</x:f>
        <x:v>4271</x:v>
      </x:c>
      <x:c r="H224" t="str">
        <x:f>'Employee Attendance'!F76</x:f>
        <x:v>Partially attended</x:v>
      </x:c>
      <x:c r="I224" t="str">
        <x:f>'Employee Attendance'!K76</x:f>
        <x:v>Yes</x:v>
      </x:c>
    </x:row>
    <x:row r="225">
      <x:c r="A225" t="str">
        <x:f>'Employee Attendance'!A76</x:f>
        <x:v>Charity Mrinji</x:v>
      </x:c>
      <x:c r="B225" t="str">
        <x:f>'Employee Attendance'!B76</x:f>
        <x:v>Tanzania</x:v>
      </x:c>
      <x:c r="C225" t="str">
        <x:f>'Employee Attendance'!C76</x:f>
        <x:v>TZ</x:v>
      </x:c>
      <x:c r="D225" t="str">
        <x:f>'Employee Attendance'!D76</x:f>
        <x:v>charity.mrinji@pwc.com</x:v>
      </x:c>
      <x:c r="E225" t="str">
        <x:f>"Option 2"</x:f>
        <x:v>Option 2</x:v>
      </x:c>
      <x:c r="F225" s="14" t="n">
        <x:f>'Employee Attendance'!G76</x:f>
        <x:v>0</x:v>
      </x:c>
      <x:c r="G225" t="n">
        <x:f>F225*86400</x:f>
        <x:v>0</x:v>
      </x:c>
      <x:c r="H225" t="str">
        <x:f>'Employee Attendance'!H76</x:f>
        <x:v>Did not attend</x:v>
      </x:c>
      <x:c r="I225" t="str">
        <x:f>'Employee Attendance'!L76</x:f>
        <x:v>No</x:v>
      </x:c>
    </x:row>
    <x:row r="226">
      <x:c r="A226" t="str">
        <x:f>'Employee Attendance'!A76</x:f>
        <x:v>Charity Mrinji</x:v>
      </x:c>
      <x:c r="B226" t="str">
        <x:f>'Employee Attendance'!B76</x:f>
        <x:v>Tanzania</x:v>
      </x:c>
      <x:c r="C226" t="str">
        <x:f>'Employee Attendance'!C76</x:f>
        <x:v>TZ</x:v>
      </x:c>
      <x:c r="D226" t="str">
        <x:f>'Employee Attendance'!D76</x:f>
        <x:v>charity.mrinji@pwc.com</x:v>
      </x:c>
      <x:c r="E226" t="str">
        <x:f>"Combined"</x:f>
        <x:v>Combined</x:v>
      </x:c>
      <x:c r="F226" s="14" t="n">
        <x:f>'Employee Attendance'!I76</x:f>
        <x:v>0.04943287037037037</x:v>
      </x:c>
      <x:c r="G226" t="n">
        <x:f>F226*86400</x:f>
        <x:v>4271</x:v>
      </x:c>
      <x:c r="H226" t="str">
        <x:f>'Employee Attendance'!J76</x:f>
        <x:v>Partially attended</x:v>
      </x:c>
      <x:c r="I226" t="str">
        <x:f>IF(OR('Employee Attendance'!K76="Yes",'Employee Attendance'!L76="Yes"),"Yes","No")</x:f>
        <x:v>Yes</x:v>
      </x:c>
    </x:row>
    <x:row r="227">
      <x:c r="A227" t="str">
        <x:f>'Employee Attendance'!A77</x:f>
        <x:v>Charity Mulenga</x:v>
      </x:c>
      <x:c r="B227" t="str">
        <x:f>'Employee Attendance'!B77</x:f>
        <x:v>Zambia</x:v>
      </x:c>
      <x:c r="C227" t="str">
        <x:f>'Employee Attendance'!C77</x:f>
        <x:v>ZM</x:v>
      </x:c>
      <x:c r="D227" t="str">
        <x:f>'Employee Attendance'!D77</x:f>
        <x:v>charity.mulenga@pwc.com</x:v>
      </x:c>
      <x:c r="E227" t="str">
        <x:f>"Option 1"</x:f>
        <x:v>Option 1</x:v>
      </x:c>
      <x:c r="F227" s="14" t="n">
        <x:f>'Employee Attendance'!E77</x:f>
        <x:v>0.08120370370370371</x:v>
      </x:c>
      <x:c r="G227" t="n">
        <x:f>F227*86400</x:f>
        <x:v>7016</x:v>
      </x:c>
      <x:c r="H227" t="str">
        <x:f>'Employee Attendance'!F77</x:f>
        <x:v>Fully attended</x:v>
      </x:c>
      <x:c r="I227" t="str">
        <x:f>'Employee Attendance'!K77</x:f>
        <x:v>Yes</x:v>
      </x:c>
    </x:row>
    <x:row r="228">
      <x:c r="A228" t="str">
        <x:f>'Employee Attendance'!A77</x:f>
        <x:v>Charity Mulenga</x:v>
      </x:c>
      <x:c r="B228" t="str">
        <x:f>'Employee Attendance'!B77</x:f>
        <x:v>Zambia</x:v>
      </x:c>
      <x:c r="C228" t="str">
        <x:f>'Employee Attendance'!C77</x:f>
        <x:v>ZM</x:v>
      </x:c>
      <x:c r="D228" t="str">
        <x:f>'Employee Attendance'!D77</x:f>
        <x:v>charity.mulenga@pwc.com</x:v>
      </x:c>
      <x:c r="E228" t="str">
        <x:f>"Option 2"</x:f>
        <x:v>Option 2</x:v>
      </x:c>
      <x:c r="F228" s="14" t="n">
        <x:f>'Employee Attendance'!G77</x:f>
        <x:v>0</x:v>
      </x:c>
      <x:c r="G228" t="n">
        <x:f>F228*86400</x:f>
        <x:v>0</x:v>
      </x:c>
      <x:c r="H228" t="str">
        <x:f>'Employee Attendance'!H77</x:f>
        <x:v>Did not attend</x:v>
      </x:c>
      <x:c r="I228" t="str">
        <x:f>'Employee Attendance'!L77</x:f>
        <x:v>No</x:v>
      </x:c>
    </x:row>
    <x:row r="229">
      <x:c r="A229" t="str">
        <x:f>'Employee Attendance'!A77</x:f>
        <x:v>Charity Mulenga</x:v>
      </x:c>
      <x:c r="B229" t="str">
        <x:f>'Employee Attendance'!B77</x:f>
        <x:v>Zambia</x:v>
      </x:c>
      <x:c r="C229" t="str">
        <x:f>'Employee Attendance'!C77</x:f>
        <x:v>ZM</x:v>
      </x:c>
      <x:c r="D229" t="str">
        <x:f>'Employee Attendance'!D77</x:f>
        <x:v>charity.mulenga@pwc.com</x:v>
      </x:c>
      <x:c r="E229" t="str">
        <x:f>"Combined"</x:f>
        <x:v>Combined</x:v>
      </x:c>
      <x:c r="F229" s="14" t="n">
        <x:f>'Employee Attendance'!I77</x:f>
        <x:v>0.08120370370370371</x:v>
      </x:c>
      <x:c r="G229" t="n">
        <x:f>F229*86400</x:f>
        <x:v>7016</x:v>
      </x:c>
      <x:c r="H229" t="str">
        <x:f>'Employee Attendance'!J77</x:f>
        <x:v>Fully attended</x:v>
      </x:c>
      <x:c r="I229" t="str">
        <x:f>IF(OR('Employee Attendance'!K77="Yes",'Employee Attendance'!L77="Yes"),"Yes","No")</x:f>
        <x:v>Yes</x:v>
      </x:c>
    </x:row>
    <x:row r="230">
      <x:c r="A230" t="str">
        <x:f>'Employee Attendance'!A78</x:f>
        <x:v>Chetna Sembhoo</x:v>
      </x:c>
      <x:c r="B230" t="str">
        <x:f>'Employee Attendance'!B78</x:f>
        <x:v>Mauritius</x:v>
      </x:c>
      <x:c r="C230" t="str">
        <x:f>'Employee Attendance'!C78</x:f>
        <x:v>MU</x:v>
      </x:c>
      <x:c r="D230" t="str">
        <x:f>'Employee Attendance'!D78</x:f>
        <x:v>chetna.sembhoo@pwc.com</x:v>
      </x:c>
      <x:c r="E230" t="str">
        <x:f>"Option 1"</x:f>
        <x:v>Option 1</x:v>
      </x:c>
      <x:c r="F230" s="14" t="n">
        <x:f>'Employee Attendance'!E78</x:f>
        <x:v>0</x:v>
      </x:c>
      <x:c r="G230" t="n">
        <x:f>F230*86400</x:f>
        <x:v>0</x:v>
      </x:c>
      <x:c r="H230" t="str">
        <x:f>'Employee Attendance'!F78</x:f>
        <x:v>Did not attend</x:v>
      </x:c>
      <x:c r="I230" t="str">
        <x:f>'Employee Attendance'!K78</x:f>
        <x:v>No</x:v>
      </x:c>
    </x:row>
    <x:row r="231">
      <x:c r="A231" t="str">
        <x:f>'Employee Attendance'!A78</x:f>
        <x:v>Chetna Sembhoo</x:v>
      </x:c>
      <x:c r="B231" t="str">
        <x:f>'Employee Attendance'!B78</x:f>
        <x:v>Mauritius</x:v>
      </x:c>
      <x:c r="C231" t="str">
        <x:f>'Employee Attendance'!C78</x:f>
        <x:v>MU</x:v>
      </x:c>
      <x:c r="D231" t="str">
        <x:f>'Employee Attendance'!D78</x:f>
        <x:v>chetna.sembhoo@pwc.com</x:v>
      </x:c>
      <x:c r="E231" t="str">
        <x:f>"Option 2"</x:f>
        <x:v>Option 2</x:v>
      </x:c>
      <x:c r="F231" s="14" t="n">
        <x:f>'Employee Attendance'!G78</x:f>
        <x:v>0.0880787037037037</x:v>
      </x:c>
      <x:c r="G231" t="n">
        <x:f>F231*86400</x:f>
        <x:v>7610</x:v>
      </x:c>
      <x:c r="H231" t="str">
        <x:f>'Employee Attendance'!H78</x:f>
        <x:v>Fully attended</x:v>
      </x:c>
      <x:c r="I231" t="str">
        <x:f>'Employee Attendance'!L78</x:f>
        <x:v>Yes</x:v>
      </x:c>
    </x:row>
    <x:row r="232">
      <x:c r="A232" t="str">
        <x:f>'Employee Attendance'!A78</x:f>
        <x:v>Chetna Sembhoo</x:v>
      </x:c>
      <x:c r="B232" t="str">
        <x:f>'Employee Attendance'!B78</x:f>
        <x:v>Mauritius</x:v>
      </x:c>
      <x:c r="C232" t="str">
        <x:f>'Employee Attendance'!C78</x:f>
        <x:v>MU</x:v>
      </x:c>
      <x:c r="D232" t="str">
        <x:f>'Employee Attendance'!D78</x:f>
        <x:v>chetna.sembhoo@pwc.com</x:v>
      </x:c>
      <x:c r="E232" t="str">
        <x:f>"Combined"</x:f>
        <x:v>Combined</x:v>
      </x:c>
      <x:c r="F232" s="14" t="n">
        <x:f>'Employee Attendance'!I78</x:f>
        <x:v>0.0880787037037037</x:v>
      </x:c>
      <x:c r="G232" t="n">
        <x:f>F232*86400</x:f>
        <x:v>7610</x:v>
      </x:c>
      <x:c r="H232" t="str">
        <x:f>'Employee Attendance'!J78</x:f>
        <x:v>Fully attended</x:v>
      </x:c>
      <x:c r="I232" t="str">
        <x:f>IF(OR('Employee Attendance'!K78="Yes",'Employee Attendance'!L78="Yes"),"Yes","No")</x:f>
        <x:v>Yes</x:v>
      </x:c>
    </x:row>
    <x:row r="233">
      <x:c r="A233" t="str">
        <x:f>'Employee Attendance'!A79</x:f>
        <x:v>Chilufya Mwansa</x:v>
      </x:c>
      <x:c r="B233" t="str">
        <x:f>'Employee Attendance'!B79</x:f>
        <x:v>Zambia</x:v>
      </x:c>
      <x:c r="C233" t="str">
        <x:f>'Employee Attendance'!C79</x:f>
        <x:v>ZM</x:v>
      </x:c>
      <x:c r="D233" t="str">
        <x:f>'Employee Attendance'!D79</x:f>
        <x:v>chilufya.mwansa@pwc.com</x:v>
      </x:c>
      <x:c r="E233" t="str">
        <x:f>"Option 1"</x:f>
        <x:v>Option 1</x:v>
      </x:c>
      <x:c r="F233" s="14" t="n">
        <x:f>'Employee Attendance'!E79</x:f>
        <x:v>0</x:v>
      </x:c>
      <x:c r="G233" t="n">
        <x:f>F233*86400</x:f>
        <x:v>0</x:v>
      </x:c>
      <x:c r="H233" t="str">
        <x:f>'Employee Attendance'!F79</x:f>
        <x:v>Did not attend</x:v>
      </x:c>
      <x:c r="I233" t="str">
        <x:f>'Employee Attendance'!K79</x:f>
        <x:v>No</x:v>
      </x:c>
    </x:row>
    <x:row r="234">
      <x:c r="A234" t="str">
        <x:f>'Employee Attendance'!A79</x:f>
        <x:v>Chilufya Mwansa</x:v>
      </x:c>
      <x:c r="B234" t="str">
        <x:f>'Employee Attendance'!B79</x:f>
        <x:v>Zambia</x:v>
      </x:c>
      <x:c r="C234" t="str">
        <x:f>'Employee Attendance'!C79</x:f>
        <x:v>ZM</x:v>
      </x:c>
      <x:c r="D234" t="str">
        <x:f>'Employee Attendance'!D79</x:f>
        <x:v>chilufya.mwansa@pwc.com</x:v>
      </x:c>
      <x:c r="E234" t="str">
        <x:f>"Option 2"</x:f>
        <x:v>Option 2</x:v>
      </x:c>
      <x:c r="F234" s="14" t="n">
        <x:f>'Employee Attendance'!G79</x:f>
        <x:v>0.036319444444444446</x:v>
      </x:c>
      <x:c r="G234" t="n">
        <x:f>F234*86400</x:f>
        <x:v>3138</x:v>
      </x:c>
      <x:c r="H234" t="str">
        <x:f>'Employee Attendance'!H79</x:f>
        <x:v>Partially attended</x:v>
      </x:c>
      <x:c r="I234" t="str">
        <x:f>'Employee Attendance'!L79</x:f>
        <x:v>Yes</x:v>
      </x:c>
    </x:row>
    <x:row r="235">
      <x:c r="A235" t="str">
        <x:f>'Employee Attendance'!A79</x:f>
        <x:v>Chilufya Mwansa</x:v>
      </x:c>
      <x:c r="B235" t="str">
        <x:f>'Employee Attendance'!B79</x:f>
        <x:v>Zambia</x:v>
      </x:c>
      <x:c r="C235" t="str">
        <x:f>'Employee Attendance'!C79</x:f>
        <x:v>ZM</x:v>
      </x:c>
      <x:c r="D235" t="str">
        <x:f>'Employee Attendance'!D79</x:f>
        <x:v>chilufya.mwansa@pwc.com</x:v>
      </x:c>
      <x:c r="E235" t="str">
        <x:f>"Combined"</x:f>
        <x:v>Combined</x:v>
      </x:c>
      <x:c r="F235" s="14" t="n">
        <x:f>'Employee Attendance'!I79</x:f>
        <x:v>0.036319444444444446</x:v>
      </x:c>
      <x:c r="G235" t="n">
        <x:f>F235*86400</x:f>
        <x:v>3138</x:v>
      </x:c>
      <x:c r="H235" t="str">
        <x:f>'Employee Attendance'!J79</x:f>
        <x:v>Partially attended</x:v>
      </x:c>
      <x:c r="I235" t="str">
        <x:f>IF(OR('Employee Attendance'!K79="Yes",'Employee Attendance'!L79="Yes"),"Yes","No")</x:f>
        <x:v>Yes</x:v>
      </x:c>
    </x:row>
    <x:row r="236">
      <x:c r="A236" t="str">
        <x:f>'Employee Attendance'!A80</x:f>
        <x:v>Chimwemwe Mtonga</x:v>
      </x:c>
      <x:c r="B236" t="str">
        <x:f>'Employee Attendance'!B80</x:f>
        <x:v>Zambia</x:v>
      </x:c>
      <x:c r="C236" t="str">
        <x:f>'Employee Attendance'!C80</x:f>
        <x:v>ZM</x:v>
      </x:c>
      <x:c r="D236" t="str">
        <x:f>'Employee Attendance'!D80</x:f>
        <x:v>chimwemwe.mtonga@pwc.com</x:v>
      </x:c>
      <x:c r="E236" t="str">
        <x:f>"Option 1"</x:f>
        <x:v>Option 1</x:v>
      </x:c>
      <x:c r="F236" s="14" t="n">
        <x:f>'Employee Attendance'!E80</x:f>
        <x:v>0.09177083333333333</x:v>
      </x:c>
      <x:c r="G236" t="n">
        <x:f>F236*86400</x:f>
        <x:v>7929</x:v>
      </x:c>
      <x:c r="H236" t="str">
        <x:f>'Employee Attendance'!F80</x:f>
        <x:v>Fully attended</x:v>
      </x:c>
      <x:c r="I236" t="str">
        <x:f>'Employee Attendance'!K80</x:f>
        <x:v>Yes</x:v>
      </x:c>
    </x:row>
    <x:row r="237">
      <x:c r="A237" t="str">
        <x:f>'Employee Attendance'!A80</x:f>
        <x:v>Chimwemwe Mtonga</x:v>
      </x:c>
      <x:c r="B237" t="str">
        <x:f>'Employee Attendance'!B80</x:f>
        <x:v>Zambia</x:v>
      </x:c>
      <x:c r="C237" t="str">
        <x:f>'Employee Attendance'!C80</x:f>
        <x:v>ZM</x:v>
      </x:c>
      <x:c r="D237" t="str">
        <x:f>'Employee Attendance'!D80</x:f>
        <x:v>chimwemwe.mtonga@pwc.com</x:v>
      </x:c>
      <x:c r="E237" t="str">
        <x:f>"Option 2"</x:f>
        <x:v>Option 2</x:v>
      </x:c>
      <x:c r="F237" s="14" t="n">
        <x:f>'Employee Attendance'!G80</x:f>
        <x:v>0</x:v>
      </x:c>
      <x:c r="G237" t="n">
        <x:f>F237*86400</x:f>
        <x:v>0</x:v>
      </x:c>
      <x:c r="H237" t="str">
        <x:f>'Employee Attendance'!H80</x:f>
        <x:v>Did not attend</x:v>
      </x:c>
      <x:c r="I237" t="str">
        <x:f>'Employee Attendance'!L80</x:f>
        <x:v>No</x:v>
      </x:c>
    </x:row>
    <x:row r="238">
      <x:c r="A238" t="str">
        <x:f>'Employee Attendance'!A80</x:f>
        <x:v>Chimwemwe Mtonga</x:v>
      </x:c>
      <x:c r="B238" t="str">
        <x:f>'Employee Attendance'!B80</x:f>
        <x:v>Zambia</x:v>
      </x:c>
      <x:c r="C238" t="str">
        <x:f>'Employee Attendance'!C80</x:f>
        <x:v>ZM</x:v>
      </x:c>
      <x:c r="D238" t="str">
        <x:f>'Employee Attendance'!D80</x:f>
        <x:v>chimwemwe.mtonga@pwc.com</x:v>
      </x:c>
      <x:c r="E238" t="str">
        <x:f>"Combined"</x:f>
        <x:v>Combined</x:v>
      </x:c>
      <x:c r="F238" s="14" t="n">
        <x:f>'Employee Attendance'!I80</x:f>
        <x:v>0.09177083333333333</x:v>
      </x:c>
      <x:c r="G238" t="n">
        <x:f>F238*86400</x:f>
        <x:v>7929</x:v>
      </x:c>
      <x:c r="H238" t="str">
        <x:f>'Employee Attendance'!J80</x:f>
        <x:v>Fully attended</x:v>
      </x:c>
      <x:c r="I238" t="str">
        <x:f>IF(OR('Employee Attendance'!K80="Yes",'Employee Attendance'!L80="Yes"),"Yes","No")</x:f>
        <x:v>Yes</x:v>
      </x:c>
    </x:row>
    <x:row r="239">
      <x:c r="A239" t="str">
        <x:f>'Employee Attendance'!A81</x:f>
        <x:v>Chiranjeev Luchoomun</x:v>
      </x:c>
      <x:c r="B239" t="str">
        <x:f>'Employee Attendance'!B81</x:f>
        <x:v>Mauritius</x:v>
      </x:c>
      <x:c r="C239" t="str">
        <x:f>'Employee Attendance'!C81</x:f>
        <x:v>MU</x:v>
      </x:c>
      <x:c r="D239" t="str">
        <x:f>'Employee Attendance'!D81</x:f>
        <x:v>chiranjeev.l.luchoomun@pwc.com</x:v>
      </x:c>
      <x:c r="E239" t="str">
        <x:f>"Option 1"</x:f>
        <x:v>Option 1</x:v>
      </x:c>
      <x:c r="F239" s="14" t="n">
        <x:f>'Employee Attendance'!E81</x:f>
        <x:v>0.0002777777777777778</x:v>
      </x:c>
      <x:c r="G239" t="n">
        <x:f>F239*86400</x:f>
        <x:v>24</x:v>
      </x:c>
      <x:c r="H239" t="str">
        <x:f>'Employee Attendance'!F81</x:f>
        <x:v>Partially attended</x:v>
      </x:c>
      <x:c r="I239" t="str">
        <x:f>'Employee Attendance'!K81</x:f>
        <x:v>Yes</x:v>
      </x:c>
    </x:row>
    <x:row r="240">
      <x:c r="A240" t="str">
        <x:f>'Employee Attendance'!A81</x:f>
        <x:v>Chiranjeev Luchoomun</x:v>
      </x:c>
      <x:c r="B240" t="str">
        <x:f>'Employee Attendance'!B81</x:f>
        <x:v>Mauritius</x:v>
      </x:c>
      <x:c r="C240" t="str">
        <x:f>'Employee Attendance'!C81</x:f>
        <x:v>MU</x:v>
      </x:c>
      <x:c r="D240" t="str">
        <x:f>'Employee Attendance'!D81</x:f>
        <x:v>chiranjeev.l.luchoomun@pwc.com</x:v>
      </x:c>
      <x:c r="E240" t="str">
        <x:f>"Option 2"</x:f>
        <x:v>Option 2</x:v>
      </x:c>
      <x:c r="F240" s="14" t="n">
        <x:f>'Employee Attendance'!G81</x:f>
        <x:v>0.0872337962962963</x:v>
      </x:c>
      <x:c r="G240" t="n">
        <x:f>F240*86400</x:f>
        <x:v>7537</x:v>
      </x:c>
      <x:c r="H240" t="str">
        <x:f>'Employee Attendance'!H81</x:f>
        <x:v>Fully attended</x:v>
      </x:c>
      <x:c r="I240" t="str">
        <x:f>'Employee Attendance'!L81</x:f>
        <x:v>Yes</x:v>
      </x:c>
    </x:row>
    <x:row r="241">
      <x:c r="A241" t="str">
        <x:f>'Employee Attendance'!A81</x:f>
        <x:v>Chiranjeev Luchoomun</x:v>
      </x:c>
      <x:c r="B241" t="str">
        <x:f>'Employee Attendance'!B81</x:f>
        <x:v>Mauritius</x:v>
      </x:c>
      <x:c r="C241" t="str">
        <x:f>'Employee Attendance'!C81</x:f>
        <x:v>MU</x:v>
      </x:c>
      <x:c r="D241" t="str">
        <x:f>'Employee Attendance'!D81</x:f>
        <x:v>chiranjeev.l.luchoomun@pwc.com</x:v>
      </x:c>
      <x:c r="E241" t="str">
        <x:f>"Combined"</x:f>
        <x:v>Combined</x:v>
      </x:c>
      <x:c r="F241" s="14" t="n">
        <x:f>'Employee Attendance'!I81</x:f>
        <x:v>0.08751157407407407</x:v>
      </x:c>
      <x:c r="G241" t="n">
        <x:f>F241*86400</x:f>
        <x:v>7561</x:v>
      </x:c>
      <x:c r="H241" t="str">
        <x:f>'Employee Attendance'!J81</x:f>
        <x:v>Fully attended</x:v>
      </x:c>
      <x:c r="I241" t="str">
        <x:f>IF(OR('Employee Attendance'!K81="Yes",'Employee Attendance'!L81="Yes"),"Yes","No")</x:f>
        <x:v>Yes</x:v>
      </x:c>
    </x:row>
    <x:row r="242">
      <x:c r="A242" t="str">
        <x:f>'Employee Attendance'!A82</x:f>
        <x:v>Chisala Mukonde</x:v>
      </x:c>
      <x:c r="B242" t="str">
        <x:f>'Employee Attendance'!B82</x:f>
        <x:v>Zambia</x:v>
      </x:c>
      <x:c r="C242" t="str">
        <x:f>'Employee Attendance'!C82</x:f>
        <x:v>ZM</x:v>
      </x:c>
      <x:c r="D242" t="str">
        <x:f>'Employee Attendance'!D82</x:f>
        <x:v>chisala.mukonde@pwc.com</x:v>
      </x:c>
      <x:c r="E242" t="str">
        <x:f>"Option 1"</x:f>
        <x:v>Option 1</x:v>
      </x:c>
      <x:c r="F242" s="14" t="n">
        <x:f>'Employee Attendance'!E82</x:f>
        <x:v>0.08613425925925926</x:v>
      </x:c>
      <x:c r="G242" t="n">
        <x:f>F242*86400</x:f>
        <x:v>7442</x:v>
      </x:c>
      <x:c r="H242" t="str">
        <x:f>'Employee Attendance'!F82</x:f>
        <x:v>Fully attended</x:v>
      </x:c>
      <x:c r="I242" t="str">
        <x:f>'Employee Attendance'!K82</x:f>
        <x:v>Yes</x:v>
      </x:c>
    </x:row>
    <x:row r="243">
      <x:c r="A243" t="str">
        <x:f>'Employee Attendance'!A82</x:f>
        <x:v>Chisala Mukonde</x:v>
      </x:c>
      <x:c r="B243" t="str">
        <x:f>'Employee Attendance'!B82</x:f>
        <x:v>Zambia</x:v>
      </x:c>
      <x:c r="C243" t="str">
        <x:f>'Employee Attendance'!C82</x:f>
        <x:v>ZM</x:v>
      </x:c>
      <x:c r="D243" t="str">
        <x:f>'Employee Attendance'!D82</x:f>
        <x:v>chisala.mukonde@pwc.com</x:v>
      </x:c>
      <x:c r="E243" t="str">
        <x:f>"Option 2"</x:f>
        <x:v>Option 2</x:v>
      </x:c>
      <x:c r="F243" s="14" t="n">
        <x:f>'Employee Attendance'!G82</x:f>
        <x:v>0</x:v>
      </x:c>
      <x:c r="G243" t="n">
        <x:f>F243*86400</x:f>
        <x:v>0</x:v>
      </x:c>
      <x:c r="H243" t="str">
        <x:f>'Employee Attendance'!H82</x:f>
        <x:v>Did not attend</x:v>
      </x:c>
      <x:c r="I243" t="str">
        <x:f>'Employee Attendance'!L82</x:f>
        <x:v>No</x:v>
      </x:c>
    </x:row>
    <x:row r="244">
      <x:c r="A244" t="str">
        <x:f>'Employee Attendance'!A82</x:f>
        <x:v>Chisala Mukonde</x:v>
      </x:c>
      <x:c r="B244" t="str">
        <x:f>'Employee Attendance'!B82</x:f>
        <x:v>Zambia</x:v>
      </x:c>
      <x:c r="C244" t="str">
        <x:f>'Employee Attendance'!C82</x:f>
        <x:v>ZM</x:v>
      </x:c>
      <x:c r="D244" t="str">
        <x:f>'Employee Attendance'!D82</x:f>
        <x:v>chisala.mukonde@pwc.com</x:v>
      </x:c>
      <x:c r="E244" t="str">
        <x:f>"Combined"</x:f>
        <x:v>Combined</x:v>
      </x:c>
      <x:c r="F244" s="14" t="n">
        <x:f>'Employee Attendance'!I82</x:f>
        <x:v>0.08613425925925926</x:v>
      </x:c>
      <x:c r="G244" t="n">
        <x:f>F244*86400</x:f>
        <x:v>7442</x:v>
      </x:c>
      <x:c r="H244" t="str">
        <x:f>'Employee Attendance'!J82</x:f>
        <x:v>Fully attended</x:v>
      </x:c>
      <x:c r="I244" t="str">
        <x:f>IF(OR('Employee Attendance'!K82="Yes",'Employee Attendance'!L82="Yes"),"Yes","No")</x:f>
        <x:v>Yes</x:v>
      </x:c>
    </x:row>
    <x:row r="245">
      <x:c r="A245" t="str">
        <x:f>'Employee Attendance'!A83</x:f>
        <x:v>Chisela Chileshe</x:v>
      </x:c>
      <x:c r="B245" t="str">
        <x:f>'Employee Attendance'!B83</x:f>
        <x:v>Zambia</x:v>
      </x:c>
      <x:c r="C245" t="str">
        <x:f>'Employee Attendance'!C83</x:f>
        <x:v>ZM</x:v>
      </x:c>
      <x:c r="D245" t="str">
        <x:f>'Employee Attendance'!D83</x:f>
        <x:v>chisela.k.chileshe@pwc.com</x:v>
      </x:c>
      <x:c r="E245" t="str">
        <x:f>"Option 1"</x:f>
        <x:v>Option 1</x:v>
      </x:c>
      <x:c r="F245" s="14" t="n">
        <x:f>'Employee Attendance'!E83</x:f>
        <x:v>0</x:v>
      </x:c>
      <x:c r="G245" t="n">
        <x:f>F245*86400</x:f>
        <x:v>0</x:v>
      </x:c>
      <x:c r="H245" t="str">
        <x:f>'Employee Attendance'!F83</x:f>
        <x:v>Did not attend</x:v>
      </x:c>
      <x:c r="I245" t="str">
        <x:f>'Employee Attendance'!K83</x:f>
        <x:v>No</x:v>
      </x:c>
    </x:row>
    <x:row r="246">
      <x:c r="A246" t="str">
        <x:f>'Employee Attendance'!A83</x:f>
        <x:v>Chisela Chileshe</x:v>
      </x:c>
      <x:c r="B246" t="str">
        <x:f>'Employee Attendance'!B83</x:f>
        <x:v>Zambia</x:v>
      </x:c>
      <x:c r="C246" t="str">
        <x:f>'Employee Attendance'!C83</x:f>
        <x:v>ZM</x:v>
      </x:c>
      <x:c r="D246" t="str">
        <x:f>'Employee Attendance'!D83</x:f>
        <x:v>chisela.k.chileshe@pwc.com</x:v>
      </x:c>
      <x:c r="E246" t="str">
        <x:f>"Option 2"</x:f>
        <x:v>Option 2</x:v>
      </x:c>
      <x:c r="F246" s="14" t="n">
        <x:f>'Employee Attendance'!G83</x:f>
        <x:v>0.060405092592592594</x:v>
      </x:c>
      <x:c r="G246" t="n">
        <x:f>F246*86400</x:f>
        <x:v>5219</x:v>
      </x:c>
      <x:c r="H246" t="str">
        <x:f>'Employee Attendance'!H83</x:f>
        <x:v>Partially attended</x:v>
      </x:c>
      <x:c r="I246" t="str">
        <x:f>'Employee Attendance'!L83</x:f>
        <x:v>Yes</x:v>
      </x:c>
    </x:row>
    <x:row r="247">
      <x:c r="A247" t="str">
        <x:f>'Employee Attendance'!A83</x:f>
        <x:v>Chisela Chileshe</x:v>
      </x:c>
      <x:c r="B247" t="str">
        <x:f>'Employee Attendance'!B83</x:f>
        <x:v>Zambia</x:v>
      </x:c>
      <x:c r="C247" t="str">
        <x:f>'Employee Attendance'!C83</x:f>
        <x:v>ZM</x:v>
      </x:c>
      <x:c r="D247" t="str">
        <x:f>'Employee Attendance'!D83</x:f>
        <x:v>chisela.k.chileshe@pwc.com</x:v>
      </x:c>
      <x:c r="E247" t="str">
        <x:f>"Combined"</x:f>
        <x:v>Combined</x:v>
      </x:c>
      <x:c r="F247" s="14" t="n">
        <x:f>'Employee Attendance'!I83</x:f>
        <x:v>0.060405092592592594</x:v>
      </x:c>
      <x:c r="G247" t="n">
        <x:f>F247*86400</x:f>
        <x:v>5219</x:v>
      </x:c>
      <x:c r="H247" t="str">
        <x:f>'Employee Attendance'!J83</x:f>
        <x:v>Partially attended</x:v>
      </x:c>
      <x:c r="I247" t="str">
        <x:f>IF(OR('Employee Attendance'!K83="Yes",'Employee Attendance'!L83="Yes"),"Yes","No")</x:f>
        <x:v>Yes</x:v>
      </x:c>
    </x:row>
    <x:row r="248">
      <x:c r="A248" t="str">
        <x:f>'Employee Attendance'!A84</x:f>
        <x:v>Chitundu Mbewe</x:v>
      </x:c>
      <x:c r="B248" t="str">
        <x:f>'Employee Attendance'!B84</x:f>
        <x:v>Zambia</x:v>
      </x:c>
      <x:c r="C248" t="str">
        <x:f>'Employee Attendance'!C84</x:f>
        <x:v>ZM</x:v>
      </x:c>
      <x:c r="D248" t="str">
        <x:f>'Employee Attendance'!D84</x:f>
        <x:v>chitundu.mbewe@pwc.com</x:v>
      </x:c>
      <x:c r="E248" t="str">
        <x:f>"Option 1"</x:f>
        <x:v>Option 1</x:v>
      </x:c>
      <x:c r="F248" s="14" t="n">
        <x:f>'Employee Attendance'!E84</x:f>
        <x:v>0.0830324074074074</x:v>
      </x:c>
      <x:c r="G248" t="n">
        <x:f>F248*86400</x:f>
        <x:v>7173.999999999999</x:v>
      </x:c>
      <x:c r="H248" t="str">
        <x:f>'Employee Attendance'!F84</x:f>
        <x:v>Fully attended</x:v>
      </x:c>
      <x:c r="I248" t="str">
        <x:f>'Employee Attendance'!K84</x:f>
        <x:v>Yes</x:v>
      </x:c>
    </x:row>
    <x:row r="249">
      <x:c r="A249" t="str">
        <x:f>'Employee Attendance'!A84</x:f>
        <x:v>Chitundu Mbewe</x:v>
      </x:c>
      <x:c r="B249" t="str">
        <x:f>'Employee Attendance'!B84</x:f>
        <x:v>Zambia</x:v>
      </x:c>
      <x:c r="C249" t="str">
        <x:f>'Employee Attendance'!C84</x:f>
        <x:v>ZM</x:v>
      </x:c>
      <x:c r="D249" t="str">
        <x:f>'Employee Attendance'!D84</x:f>
        <x:v>chitundu.mbewe@pwc.com</x:v>
      </x:c>
      <x:c r="E249" t="str">
        <x:f>"Option 2"</x:f>
        <x:v>Option 2</x:v>
      </x:c>
      <x:c r="F249" s="14" t="n">
        <x:f>'Employee Attendance'!G84</x:f>
        <x:v>0</x:v>
      </x:c>
      <x:c r="G249" t="n">
        <x:f>F249*86400</x:f>
        <x:v>0</x:v>
      </x:c>
      <x:c r="H249" t="str">
        <x:f>'Employee Attendance'!H84</x:f>
        <x:v>Did not attend</x:v>
      </x:c>
      <x:c r="I249" t="str">
        <x:f>'Employee Attendance'!L84</x:f>
        <x:v>No</x:v>
      </x:c>
    </x:row>
    <x:row r="250">
      <x:c r="A250" t="str">
        <x:f>'Employee Attendance'!A84</x:f>
        <x:v>Chitundu Mbewe</x:v>
      </x:c>
      <x:c r="B250" t="str">
        <x:f>'Employee Attendance'!B84</x:f>
        <x:v>Zambia</x:v>
      </x:c>
      <x:c r="C250" t="str">
        <x:f>'Employee Attendance'!C84</x:f>
        <x:v>ZM</x:v>
      </x:c>
      <x:c r="D250" t="str">
        <x:f>'Employee Attendance'!D84</x:f>
        <x:v>chitundu.mbewe@pwc.com</x:v>
      </x:c>
      <x:c r="E250" t="str">
        <x:f>"Combined"</x:f>
        <x:v>Combined</x:v>
      </x:c>
      <x:c r="F250" s="14" t="n">
        <x:f>'Employee Attendance'!I84</x:f>
        <x:v>0.0830324074074074</x:v>
      </x:c>
      <x:c r="G250" t="n">
        <x:f>F250*86400</x:f>
        <x:v>7173.999999999999</x:v>
      </x:c>
      <x:c r="H250" t="str">
        <x:f>'Employee Attendance'!J84</x:f>
        <x:v>Fully attended</x:v>
      </x:c>
      <x:c r="I250" t="str">
        <x:f>IF(OR('Employee Attendance'!K84="Yes",'Employee Attendance'!L84="Yes"),"Yes","No")</x:f>
        <x:v>Yes</x:v>
      </x:c>
    </x:row>
    <x:row r="251">
      <x:c r="A251" t="str">
        <x:f>'Employee Attendance'!A85</x:f>
        <x:v>Christella Baho</x:v>
      </x:c>
      <x:c r="B251" t="str">
        <x:f>'Employee Attendance'!B85</x:f>
        <x:v>Rwanda</x:v>
      </x:c>
      <x:c r="C251" t="str">
        <x:f>'Employee Attendance'!C85</x:f>
        <x:v>RW</x:v>
      </x:c>
      <x:c r="D251" t="str">
        <x:f>'Employee Attendance'!D85</x:f>
        <x:v>christella.anny.baho@pwc.com</x:v>
      </x:c>
      <x:c r="E251" t="str">
        <x:f>"Option 1"</x:f>
        <x:v>Option 1</x:v>
      </x:c>
      <x:c r="F251" s="14" t="n">
        <x:f>'Employee Attendance'!E85</x:f>
        <x:v>0.09091435185185186</x:v>
      </x:c>
      <x:c r="G251" t="n">
        <x:f>F251*86400</x:f>
        <x:v>7855.000000000001</x:v>
      </x:c>
      <x:c r="H251" t="str">
        <x:f>'Employee Attendance'!F85</x:f>
        <x:v>Fully attended</x:v>
      </x:c>
      <x:c r="I251" t="str">
        <x:f>'Employee Attendance'!K85</x:f>
        <x:v>Yes</x:v>
      </x:c>
    </x:row>
    <x:row r="252">
      <x:c r="A252" t="str">
        <x:f>'Employee Attendance'!A85</x:f>
        <x:v>Christella Baho</x:v>
      </x:c>
      <x:c r="B252" t="str">
        <x:f>'Employee Attendance'!B85</x:f>
        <x:v>Rwanda</x:v>
      </x:c>
      <x:c r="C252" t="str">
        <x:f>'Employee Attendance'!C85</x:f>
        <x:v>RW</x:v>
      </x:c>
      <x:c r="D252" t="str">
        <x:f>'Employee Attendance'!D85</x:f>
        <x:v>christella.anny.baho@pwc.com</x:v>
      </x:c>
      <x:c r="E252" t="str">
        <x:f>"Option 2"</x:f>
        <x:v>Option 2</x:v>
      </x:c>
      <x:c r="F252" s="14" t="n">
        <x:f>'Employee Attendance'!G85</x:f>
        <x:v>0</x:v>
      </x:c>
      <x:c r="G252" t="n">
        <x:f>F252*86400</x:f>
        <x:v>0</x:v>
      </x:c>
      <x:c r="H252" t="str">
        <x:f>'Employee Attendance'!H85</x:f>
        <x:v>Did not attend</x:v>
      </x:c>
      <x:c r="I252" t="str">
        <x:f>'Employee Attendance'!L85</x:f>
        <x:v>No</x:v>
      </x:c>
    </x:row>
    <x:row r="253">
      <x:c r="A253" t="str">
        <x:f>'Employee Attendance'!A85</x:f>
        <x:v>Christella Baho</x:v>
      </x:c>
      <x:c r="B253" t="str">
        <x:f>'Employee Attendance'!B85</x:f>
        <x:v>Rwanda</x:v>
      </x:c>
      <x:c r="C253" t="str">
        <x:f>'Employee Attendance'!C85</x:f>
        <x:v>RW</x:v>
      </x:c>
      <x:c r="D253" t="str">
        <x:f>'Employee Attendance'!D85</x:f>
        <x:v>christella.anny.baho@pwc.com</x:v>
      </x:c>
      <x:c r="E253" t="str">
        <x:f>"Combined"</x:f>
        <x:v>Combined</x:v>
      </x:c>
      <x:c r="F253" s="14" t="n">
        <x:f>'Employee Attendance'!I85</x:f>
        <x:v>0.09091435185185186</x:v>
      </x:c>
      <x:c r="G253" t="n">
        <x:f>F253*86400</x:f>
        <x:v>7855.000000000001</x:v>
      </x:c>
      <x:c r="H253" t="str">
        <x:f>'Employee Attendance'!J85</x:f>
        <x:v>Fully attended</x:v>
      </x:c>
      <x:c r="I253" t="str">
        <x:f>IF(OR('Employee Attendance'!K85="Yes",'Employee Attendance'!L85="Yes"),"Yes","No")</x:f>
        <x:v>Yes</x:v>
      </x:c>
    </x:row>
    <x:row r="254">
      <x:c r="A254" t="str">
        <x:f>'Employee Attendance'!A86</x:f>
        <x:v>Christine Nalwoga</x:v>
      </x:c>
      <x:c r="B254" t="str">
        <x:f>'Employee Attendance'!B86</x:f>
        <x:v>Uganda</x:v>
      </x:c>
      <x:c r="C254" t="str">
        <x:f>'Employee Attendance'!C86</x:f>
        <x:v>UG</x:v>
      </x:c>
      <x:c r="D254" t="str">
        <x:f>'Employee Attendance'!D86</x:f>
        <x:v>christine.nalwoga@pwc.com</x:v>
      </x:c>
      <x:c r="E254" t="str">
        <x:f>"Option 1"</x:f>
        <x:v>Option 1</x:v>
      </x:c>
      <x:c r="F254" s="14" t="n">
        <x:f>'Employee Attendance'!E86</x:f>
        <x:v>0</x:v>
      </x:c>
      <x:c r="G254" t="n">
        <x:f>F254*86400</x:f>
        <x:v>0</x:v>
      </x:c>
      <x:c r="H254" t="str">
        <x:f>'Employee Attendance'!F86</x:f>
        <x:v>Did not attend</x:v>
      </x:c>
      <x:c r="I254" t="str">
        <x:f>'Employee Attendance'!K86</x:f>
        <x:v>No</x:v>
      </x:c>
    </x:row>
    <x:row r="255">
      <x:c r="A255" t="str">
        <x:f>'Employee Attendance'!A86</x:f>
        <x:v>Christine Nalwoga</x:v>
      </x:c>
      <x:c r="B255" t="str">
        <x:f>'Employee Attendance'!B86</x:f>
        <x:v>Uganda</x:v>
      </x:c>
      <x:c r="C255" t="str">
        <x:f>'Employee Attendance'!C86</x:f>
        <x:v>UG</x:v>
      </x:c>
      <x:c r="D255" t="str">
        <x:f>'Employee Attendance'!D86</x:f>
        <x:v>christine.nalwoga@pwc.com</x:v>
      </x:c>
      <x:c r="E255" t="str">
        <x:f>"Option 2"</x:f>
        <x:v>Option 2</x:v>
      </x:c>
      <x:c r="F255" s="14" t="n">
        <x:f>'Employee Attendance'!G86</x:f>
        <x:v>0.08135416666666667</x:v>
      </x:c>
      <x:c r="G255" t="n">
        <x:f>F255*86400</x:f>
        <x:v>7029</x:v>
      </x:c>
      <x:c r="H255" t="str">
        <x:f>'Employee Attendance'!H86</x:f>
        <x:v>Fully attended</x:v>
      </x:c>
      <x:c r="I255" t="str">
        <x:f>'Employee Attendance'!L86</x:f>
        <x:v>Yes</x:v>
      </x:c>
    </x:row>
    <x:row r="256">
      <x:c r="A256" t="str">
        <x:f>'Employee Attendance'!A86</x:f>
        <x:v>Christine Nalwoga</x:v>
      </x:c>
      <x:c r="B256" t="str">
        <x:f>'Employee Attendance'!B86</x:f>
        <x:v>Uganda</x:v>
      </x:c>
      <x:c r="C256" t="str">
        <x:f>'Employee Attendance'!C86</x:f>
        <x:v>UG</x:v>
      </x:c>
      <x:c r="D256" t="str">
        <x:f>'Employee Attendance'!D86</x:f>
        <x:v>christine.nalwoga@pwc.com</x:v>
      </x:c>
      <x:c r="E256" t="str">
        <x:f>"Combined"</x:f>
        <x:v>Combined</x:v>
      </x:c>
      <x:c r="F256" s="14" t="n">
        <x:f>'Employee Attendance'!I86</x:f>
        <x:v>0.08135416666666667</x:v>
      </x:c>
      <x:c r="G256" t="n">
        <x:f>F256*86400</x:f>
        <x:v>7029</x:v>
      </x:c>
      <x:c r="H256" t="str">
        <x:f>'Employee Attendance'!J86</x:f>
        <x:v>Fully attended</x:v>
      </x:c>
      <x:c r="I256" t="str">
        <x:f>IF(OR('Employee Attendance'!K86="Yes",'Employee Attendance'!L86="Yes"),"Yes","No")</x:f>
        <x:v>Yes</x:v>
      </x:c>
    </x:row>
    <x:row r="257">
      <x:c r="A257" t="str">
        <x:f>'Employee Attendance'!A87</x:f>
        <x:v>Clement Muhoro</x:v>
      </x:c>
      <x:c r="B257" t="str">
        <x:f>'Employee Attendance'!B87</x:f>
        <x:v>Kenya</x:v>
      </x:c>
      <x:c r="C257" t="str">
        <x:f>'Employee Attendance'!C87</x:f>
        <x:v>KE</x:v>
      </x:c>
      <x:c r="D257" t="str">
        <x:f>'Employee Attendance'!D87</x:f>
        <x:v>clement.muhoro@pwc.com</x:v>
      </x:c>
      <x:c r="E257" t="str">
        <x:f>"Option 1"</x:f>
        <x:v>Option 1</x:v>
      </x:c>
      <x:c r="F257" s="14" t="n">
        <x:f>'Employee Attendance'!E87</x:f>
        <x:v>0.07099537037037038</x:v>
      </x:c>
      <x:c r="G257" t="n">
        <x:f>F257*86400</x:f>
        <x:v>6134</x:v>
      </x:c>
      <x:c r="H257" t="str">
        <x:f>'Employee Attendance'!F87</x:f>
        <x:v>Fully attended</x:v>
      </x:c>
      <x:c r="I257" t="str">
        <x:f>'Employee Attendance'!K87</x:f>
        <x:v>Yes</x:v>
      </x:c>
    </x:row>
    <x:row r="258">
      <x:c r="A258" t="str">
        <x:f>'Employee Attendance'!A87</x:f>
        <x:v>Clement Muhoro</x:v>
      </x:c>
      <x:c r="B258" t="str">
        <x:f>'Employee Attendance'!B87</x:f>
        <x:v>Kenya</x:v>
      </x:c>
      <x:c r="C258" t="str">
        <x:f>'Employee Attendance'!C87</x:f>
        <x:v>KE</x:v>
      </x:c>
      <x:c r="D258" t="str">
        <x:f>'Employee Attendance'!D87</x:f>
        <x:v>clement.muhoro@pwc.com</x:v>
      </x:c>
      <x:c r="E258" t="str">
        <x:f>"Option 2"</x:f>
        <x:v>Option 2</x:v>
      </x:c>
      <x:c r="F258" s="14" t="n">
        <x:f>'Employee Attendance'!G87</x:f>
        <x:v>0</x:v>
      </x:c>
      <x:c r="G258" t="n">
        <x:f>F258*86400</x:f>
        <x:v>0</x:v>
      </x:c>
      <x:c r="H258" t="str">
        <x:f>'Employee Attendance'!H87</x:f>
        <x:v>Did not attend</x:v>
      </x:c>
      <x:c r="I258" t="str">
        <x:f>'Employee Attendance'!L87</x:f>
        <x:v>No</x:v>
      </x:c>
    </x:row>
    <x:row r="259">
      <x:c r="A259" t="str">
        <x:f>'Employee Attendance'!A87</x:f>
        <x:v>Clement Muhoro</x:v>
      </x:c>
      <x:c r="B259" t="str">
        <x:f>'Employee Attendance'!B87</x:f>
        <x:v>Kenya</x:v>
      </x:c>
      <x:c r="C259" t="str">
        <x:f>'Employee Attendance'!C87</x:f>
        <x:v>KE</x:v>
      </x:c>
      <x:c r="D259" t="str">
        <x:f>'Employee Attendance'!D87</x:f>
        <x:v>clement.muhoro@pwc.com</x:v>
      </x:c>
      <x:c r="E259" t="str">
        <x:f>"Combined"</x:f>
        <x:v>Combined</x:v>
      </x:c>
      <x:c r="F259" s="14" t="n">
        <x:f>'Employee Attendance'!I87</x:f>
        <x:v>0.07099537037037038</x:v>
      </x:c>
      <x:c r="G259" t="n">
        <x:f>F259*86400</x:f>
        <x:v>6134</x:v>
      </x:c>
      <x:c r="H259" t="str">
        <x:f>'Employee Attendance'!J87</x:f>
        <x:v>Fully attended</x:v>
      </x:c>
      <x:c r="I259" t="str">
        <x:f>IF(OR('Employee Attendance'!K87="Yes",'Employee Attendance'!L87="Yes"),"Yes","No")</x:f>
        <x:v>Yes</x:v>
      </x:c>
    </x:row>
    <x:row r="260">
      <x:c r="A260" t="str">
        <x:f>'Employee Attendance'!A88</x:f>
        <x:v>Cletus Kiyuga</x:v>
      </x:c>
      <x:c r="B260" t="str">
        <x:f>'Employee Attendance'!B88</x:f>
        <x:v>Tanzania</x:v>
      </x:c>
      <x:c r="C260" t="str">
        <x:f>'Employee Attendance'!C88</x:f>
        <x:v>TZ</x:v>
      </x:c>
      <x:c r="D260" t="str">
        <x:f>'Employee Attendance'!D88</x:f>
        <x:v>cletus.kiyuga@pwc.com</x:v>
      </x:c>
      <x:c r="E260" t="str">
        <x:f>"Option 1"</x:f>
        <x:v>Option 1</x:v>
      </x:c>
      <x:c r="F260" s="14" t="n">
        <x:f>'Employee Attendance'!E88</x:f>
        <x:v>0</x:v>
      </x:c>
      <x:c r="G260" t="n">
        <x:f>F260*86400</x:f>
        <x:v>0</x:v>
      </x:c>
      <x:c r="H260" t="str">
        <x:f>'Employee Attendance'!F88</x:f>
        <x:v>Did not attend</x:v>
      </x:c>
      <x:c r="I260" t="str">
        <x:f>'Employee Attendance'!K88</x:f>
        <x:v>No</x:v>
      </x:c>
    </x:row>
    <x:row r="261">
      <x:c r="A261" t="str">
        <x:f>'Employee Attendance'!A88</x:f>
        <x:v>Cletus Kiyuga</x:v>
      </x:c>
      <x:c r="B261" t="str">
        <x:f>'Employee Attendance'!B88</x:f>
        <x:v>Tanzania</x:v>
      </x:c>
      <x:c r="C261" t="str">
        <x:f>'Employee Attendance'!C88</x:f>
        <x:v>TZ</x:v>
      </x:c>
      <x:c r="D261" t="str">
        <x:f>'Employee Attendance'!D88</x:f>
        <x:v>cletus.kiyuga@pwc.com</x:v>
      </x:c>
      <x:c r="E261" t="str">
        <x:f>"Option 2"</x:f>
        <x:v>Option 2</x:v>
      </x:c>
      <x:c r="F261" s="14" t="n">
        <x:f>'Employee Attendance'!G88</x:f>
        <x:v>0.07958333333333334</x:v>
      </x:c>
      <x:c r="G261" t="n">
        <x:f>F261*86400</x:f>
        <x:v>6876.000000000001</x:v>
      </x:c>
      <x:c r="H261" t="str">
        <x:f>'Employee Attendance'!H88</x:f>
        <x:v>Fully attended</x:v>
      </x:c>
      <x:c r="I261" t="str">
        <x:f>'Employee Attendance'!L88</x:f>
        <x:v>Yes</x:v>
      </x:c>
    </x:row>
    <x:row r="262">
      <x:c r="A262" t="str">
        <x:f>'Employee Attendance'!A88</x:f>
        <x:v>Cletus Kiyuga</x:v>
      </x:c>
      <x:c r="B262" t="str">
        <x:f>'Employee Attendance'!B88</x:f>
        <x:v>Tanzania</x:v>
      </x:c>
      <x:c r="C262" t="str">
        <x:f>'Employee Attendance'!C88</x:f>
        <x:v>TZ</x:v>
      </x:c>
      <x:c r="D262" t="str">
        <x:f>'Employee Attendance'!D88</x:f>
        <x:v>cletus.kiyuga@pwc.com</x:v>
      </x:c>
      <x:c r="E262" t="str">
        <x:f>"Combined"</x:f>
        <x:v>Combined</x:v>
      </x:c>
      <x:c r="F262" s="14" t="n">
        <x:f>'Employee Attendance'!I88</x:f>
        <x:v>0.07958333333333334</x:v>
      </x:c>
      <x:c r="G262" t="n">
        <x:f>F262*86400</x:f>
        <x:v>6876.000000000001</x:v>
      </x:c>
      <x:c r="H262" t="str">
        <x:f>'Employee Attendance'!J88</x:f>
        <x:v>Fully attended</x:v>
      </x:c>
      <x:c r="I262" t="str">
        <x:f>IF(OR('Employee Attendance'!K88="Yes",'Employee Attendance'!L88="Yes"),"Yes","No")</x:f>
        <x:v>Yes</x:v>
      </x:c>
    </x:row>
    <x:row r="263">
      <x:c r="A263" t="str">
        <x:f>'Employee Attendance'!A89</x:f>
        <x:v>Clive Mayombwe</x:v>
      </x:c>
      <x:c r="B263" t="str">
        <x:f>'Employee Attendance'!B89</x:f>
        <x:v>Uganda</x:v>
      </x:c>
      <x:c r="C263" t="str">
        <x:f>'Employee Attendance'!C89</x:f>
        <x:v>UG</x:v>
      </x:c>
      <x:c r="D263" t="str">
        <x:f>'Employee Attendance'!D89</x:f>
        <x:v>clive.mayombwe@pwc.com</x:v>
      </x:c>
      <x:c r="E263" t="str">
        <x:f>"Option 1"</x:f>
        <x:v>Option 1</x:v>
      </x:c>
      <x:c r="F263" s="14" t="n">
        <x:f>'Employee Attendance'!E89</x:f>
        <x:v>0</x:v>
      </x:c>
      <x:c r="G263" t="n">
        <x:f>F263*86400</x:f>
        <x:v>0</x:v>
      </x:c>
      <x:c r="H263" t="str">
        <x:f>'Employee Attendance'!F89</x:f>
        <x:v>Did not attend</x:v>
      </x:c>
      <x:c r="I263" t="str">
        <x:f>'Employee Attendance'!K89</x:f>
        <x:v>No</x:v>
      </x:c>
    </x:row>
    <x:row r="264">
      <x:c r="A264" t="str">
        <x:f>'Employee Attendance'!A89</x:f>
        <x:v>Clive Mayombwe</x:v>
      </x:c>
      <x:c r="B264" t="str">
        <x:f>'Employee Attendance'!B89</x:f>
        <x:v>Uganda</x:v>
      </x:c>
      <x:c r="C264" t="str">
        <x:f>'Employee Attendance'!C89</x:f>
        <x:v>UG</x:v>
      </x:c>
      <x:c r="D264" t="str">
        <x:f>'Employee Attendance'!D89</x:f>
        <x:v>clive.mayombwe@pwc.com</x:v>
      </x:c>
      <x:c r="E264" t="str">
        <x:f>"Option 2"</x:f>
        <x:v>Option 2</x:v>
      </x:c>
      <x:c r="F264" s="14" t="n">
        <x:f>'Employee Attendance'!G89</x:f>
        <x:v>0.08375</x:v>
      </x:c>
      <x:c r="G264" t="n">
        <x:f>F264*86400</x:f>
        <x:v>7236</x:v>
      </x:c>
      <x:c r="H264" t="str">
        <x:f>'Employee Attendance'!H89</x:f>
        <x:v>Fully attended</x:v>
      </x:c>
      <x:c r="I264" t="str">
        <x:f>'Employee Attendance'!L89</x:f>
        <x:v>Yes</x:v>
      </x:c>
    </x:row>
    <x:row r="265">
      <x:c r="A265" t="str">
        <x:f>'Employee Attendance'!A89</x:f>
        <x:v>Clive Mayombwe</x:v>
      </x:c>
      <x:c r="B265" t="str">
        <x:f>'Employee Attendance'!B89</x:f>
        <x:v>Uganda</x:v>
      </x:c>
      <x:c r="C265" t="str">
        <x:f>'Employee Attendance'!C89</x:f>
        <x:v>UG</x:v>
      </x:c>
      <x:c r="D265" t="str">
        <x:f>'Employee Attendance'!D89</x:f>
        <x:v>clive.mayombwe@pwc.com</x:v>
      </x:c>
      <x:c r="E265" t="str">
        <x:f>"Combined"</x:f>
        <x:v>Combined</x:v>
      </x:c>
      <x:c r="F265" s="14" t="n">
        <x:f>'Employee Attendance'!I89</x:f>
        <x:v>0.08375</x:v>
      </x:c>
      <x:c r="G265" t="n">
        <x:f>F265*86400</x:f>
        <x:v>7236</x:v>
      </x:c>
      <x:c r="H265" t="str">
        <x:f>'Employee Attendance'!J89</x:f>
        <x:v>Fully attended</x:v>
      </x:c>
      <x:c r="I265" t="str">
        <x:f>IF(OR('Employee Attendance'!K89="Yes",'Employee Attendance'!L89="Yes"),"Yes","No")</x:f>
        <x:v>Yes</x:v>
      </x:c>
    </x:row>
    <x:row r="266">
      <x:c r="A266" t="str">
        <x:f>'Employee Attendance'!A90</x:f>
        <x:v>Colins Muteti</x:v>
      </x:c>
      <x:c r="B266" t="str">
        <x:f>'Employee Attendance'!B90</x:f>
        <x:v>Kenya</x:v>
      </x:c>
      <x:c r="C266" t="str">
        <x:f>'Employee Attendance'!C90</x:f>
        <x:v>KE</x:v>
      </x:c>
      <x:c r="D266" t="str">
        <x:f>'Employee Attendance'!D90</x:f>
        <x:v>colins.muteti@pwc.com</x:v>
      </x:c>
      <x:c r="E266" t="str">
        <x:f>"Option 1"</x:f>
        <x:v>Option 1</x:v>
      </x:c>
      <x:c r="F266" s="14" t="n">
        <x:f>'Employee Attendance'!E90</x:f>
        <x:v>0.08158564814814814</x:v>
      </x:c>
      <x:c r="G266" t="n">
        <x:f>F266*86400</x:f>
        <x:v>7049</x:v>
      </x:c>
      <x:c r="H266" t="str">
        <x:f>'Employee Attendance'!F90</x:f>
        <x:v>Fully attended</x:v>
      </x:c>
      <x:c r="I266" t="str">
        <x:f>'Employee Attendance'!K90</x:f>
        <x:v>Yes</x:v>
      </x:c>
    </x:row>
    <x:row r="267">
      <x:c r="A267" t="str">
        <x:f>'Employee Attendance'!A90</x:f>
        <x:v>Colins Muteti</x:v>
      </x:c>
      <x:c r="B267" t="str">
        <x:f>'Employee Attendance'!B90</x:f>
        <x:v>Kenya</x:v>
      </x:c>
      <x:c r="C267" t="str">
        <x:f>'Employee Attendance'!C90</x:f>
        <x:v>KE</x:v>
      </x:c>
      <x:c r="D267" t="str">
        <x:f>'Employee Attendance'!D90</x:f>
        <x:v>colins.muteti@pwc.com</x:v>
      </x:c>
      <x:c r="E267" t="str">
        <x:f>"Option 2"</x:f>
        <x:v>Option 2</x:v>
      </x:c>
      <x:c r="F267" s="14" t="n">
        <x:f>'Employee Attendance'!G90</x:f>
        <x:v>0</x:v>
      </x:c>
      <x:c r="G267" t="n">
        <x:f>F267*86400</x:f>
        <x:v>0</x:v>
      </x:c>
      <x:c r="H267" t="str">
        <x:f>'Employee Attendance'!H90</x:f>
        <x:v>Did not attend</x:v>
      </x:c>
      <x:c r="I267" t="str">
        <x:f>'Employee Attendance'!L90</x:f>
        <x:v>No</x:v>
      </x:c>
    </x:row>
    <x:row r="268">
      <x:c r="A268" t="str">
        <x:f>'Employee Attendance'!A90</x:f>
        <x:v>Colins Muteti</x:v>
      </x:c>
      <x:c r="B268" t="str">
        <x:f>'Employee Attendance'!B90</x:f>
        <x:v>Kenya</x:v>
      </x:c>
      <x:c r="C268" t="str">
        <x:f>'Employee Attendance'!C90</x:f>
        <x:v>KE</x:v>
      </x:c>
      <x:c r="D268" t="str">
        <x:f>'Employee Attendance'!D90</x:f>
        <x:v>colins.muteti@pwc.com</x:v>
      </x:c>
      <x:c r="E268" t="str">
        <x:f>"Combined"</x:f>
        <x:v>Combined</x:v>
      </x:c>
      <x:c r="F268" s="14" t="n">
        <x:f>'Employee Attendance'!I90</x:f>
        <x:v>0.08158564814814814</x:v>
      </x:c>
      <x:c r="G268" t="n">
        <x:f>F268*86400</x:f>
        <x:v>7049</x:v>
      </x:c>
      <x:c r="H268" t="str">
        <x:f>'Employee Attendance'!J90</x:f>
        <x:v>Fully attended</x:v>
      </x:c>
      <x:c r="I268" t="str">
        <x:f>IF(OR('Employee Attendance'!K90="Yes",'Employee Attendance'!L90="Yes"),"Yes","No")</x:f>
        <x:v>Yes</x:v>
      </x:c>
    </x:row>
    <x:row r="269">
      <x:c r="A269" t="str">
        <x:f>'Employee Attendance'!A91</x:f>
        <x:v>Collins Kamugisha</x:v>
      </x:c>
      <x:c r="B269" t="str">
        <x:f>'Employee Attendance'!B91</x:f>
        <x:v>Rwanda</x:v>
      </x:c>
      <x:c r="C269" t="str">
        <x:f>'Employee Attendance'!C91</x:f>
        <x:v>RW</x:v>
      </x:c>
      <x:c r="D269" t="str">
        <x:f>'Employee Attendance'!D91</x:f>
        <x:v>collins.i.kamugisha@pwc.com</x:v>
      </x:c>
      <x:c r="E269" t="str">
        <x:f>"Option 1"</x:f>
        <x:v>Option 1</x:v>
      </x:c>
      <x:c r="F269" s="14" t="n">
        <x:f>'Employee Attendance'!E91</x:f>
        <x:v>0</x:v>
      </x:c>
      <x:c r="G269" t="n">
        <x:f>F269*86400</x:f>
        <x:v>0</x:v>
      </x:c>
      <x:c r="H269" t="str">
        <x:f>'Employee Attendance'!F91</x:f>
        <x:v>Did not attend</x:v>
      </x:c>
      <x:c r="I269" t="str">
        <x:f>'Employee Attendance'!K91</x:f>
        <x:v>No</x:v>
      </x:c>
    </x:row>
    <x:row r="270">
      <x:c r="A270" t="str">
        <x:f>'Employee Attendance'!A91</x:f>
        <x:v>Collins Kamugisha</x:v>
      </x:c>
      <x:c r="B270" t="str">
        <x:f>'Employee Attendance'!B91</x:f>
        <x:v>Rwanda</x:v>
      </x:c>
      <x:c r="C270" t="str">
        <x:f>'Employee Attendance'!C91</x:f>
        <x:v>RW</x:v>
      </x:c>
      <x:c r="D270" t="str">
        <x:f>'Employee Attendance'!D91</x:f>
        <x:v>collins.i.kamugisha@pwc.com</x:v>
      </x:c>
      <x:c r="E270" t="str">
        <x:f>"Option 2"</x:f>
        <x:v>Option 2</x:v>
      </x:c>
      <x:c r="F270" s="14" t="n">
        <x:f>'Employee Attendance'!G91</x:f>
        <x:v>0</x:v>
      </x:c>
      <x:c r="G270" t="n">
        <x:f>F270*86400</x:f>
        <x:v>0</x:v>
      </x:c>
      <x:c r="H270" t="str">
        <x:f>'Employee Attendance'!H91</x:f>
        <x:v>Did not attend</x:v>
      </x:c>
      <x:c r="I270" t="str">
        <x:f>'Employee Attendance'!L91</x:f>
        <x:v>No</x:v>
      </x:c>
    </x:row>
    <x:row r="271">
      <x:c r="A271" t="str">
        <x:f>'Employee Attendance'!A91</x:f>
        <x:v>Collins Kamugisha</x:v>
      </x:c>
      <x:c r="B271" t="str">
        <x:f>'Employee Attendance'!B91</x:f>
        <x:v>Rwanda</x:v>
      </x:c>
      <x:c r="C271" t="str">
        <x:f>'Employee Attendance'!C91</x:f>
        <x:v>RW</x:v>
      </x:c>
      <x:c r="D271" t="str">
        <x:f>'Employee Attendance'!D91</x:f>
        <x:v>collins.i.kamugisha@pwc.com</x:v>
      </x:c>
      <x:c r="E271" t="str">
        <x:f>"Combined"</x:f>
        <x:v>Combined</x:v>
      </x:c>
      <x:c r="F271" s="14" t="n">
        <x:f>'Employee Attendance'!I91</x:f>
        <x:v>0</x:v>
      </x:c>
      <x:c r="G271" t="n">
        <x:f>F271*86400</x:f>
        <x:v>0</x:v>
      </x:c>
      <x:c r="H271" t="str">
        <x:f>'Employee Attendance'!J91</x:f>
        <x:v>Did not attend</x:v>
      </x:c>
      <x:c r="I271" t="str">
        <x:f>IF(OR('Employee Attendance'!K91="Yes",'Employee Attendance'!L91="Yes"),"Yes","No")</x:f>
        <x:v>No</x:v>
      </x:c>
    </x:row>
    <x:row r="272">
      <x:c r="A272" t="str">
        <x:f>'Employee Attendance'!A92</x:f>
        <x:v>Collins Maina</x:v>
      </x:c>
      <x:c r="B272" t="str">
        <x:f>'Employee Attendance'!B92</x:f>
        <x:v>Kenya</x:v>
      </x:c>
      <x:c r="C272" t="str">
        <x:f>'Employee Attendance'!C92</x:f>
        <x:v>KE</x:v>
      </x:c>
      <x:c r="D272" t="str">
        <x:f>'Employee Attendance'!D92</x:f>
        <x:v>collins.maina@pwc.com</x:v>
      </x:c>
      <x:c r="E272" t="str">
        <x:f>"Option 1"</x:f>
        <x:v>Option 1</x:v>
      </x:c>
      <x:c r="F272" s="14" t="n">
        <x:f>'Employee Attendance'!E92</x:f>
        <x:v>0.07256944444444445</x:v>
      </x:c>
      <x:c r="G272" t="n">
        <x:f>F272*86400</x:f>
        <x:v>6270.000000000001</x:v>
      </x:c>
      <x:c r="H272" t="str">
        <x:f>'Employee Attendance'!F92</x:f>
        <x:v>Fully attended</x:v>
      </x:c>
      <x:c r="I272" t="str">
        <x:f>'Employee Attendance'!K92</x:f>
        <x:v>Yes</x:v>
      </x:c>
    </x:row>
    <x:row r="273">
      <x:c r="A273" t="str">
        <x:f>'Employee Attendance'!A92</x:f>
        <x:v>Collins Maina</x:v>
      </x:c>
      <x:c r="B273" t="str">
        <x:f>'Employee Attendance'!B92</x:f>
        <x:v>Kenya</x:v>
      </x:c>
      <x:c r="C273" t="str">
        <x:f>'Employee Attendance'!C92</x:f>
        <x:v>KE</x:v>
      </x:c>
      <x:c r="D273" t="str">
        <x:f>'Employee Attendance'!D92</x:f>
        <x:v>collins.maina@pwc.com</x:v>
      </x:c>
      <x:c r="E273" t="str">
        <x:f>"Option 2"</x:f>
        <x:v>Option 2</x:v>
      </x:c>
      <x:c r="F273" s="14" t="n">
        <x:f>'Employee Attendance'!G92</x:f>
        <x:v>0</x:v>
      </x:c>
      <x:c r="G273" t="n">
        <x:f>F273*86400</x:f>
        <x:v>0</x:v>
      </x:c>
      <x:c r="H273" t="str">
        <x:f>'Employee Attendance'!H92</x:f>
        <x:v>Did not attend</x:v>
      </x:c>
      <x:c r="I273" t="str">
        <x:f>'Employee Attendance'!L92</x:f>
        <x:v>No</x:v>
      </x:c>
    </x:row>
    <x:row r="274">
      <x:c r="A274" t="str">
        <x:f>'Employee Attendance'!A92</x:f>
        <x:v>Collins Maina</x:v>
      </x:c>
      <x:c r="B274" t="str">
        <x:f>'Employee Attendance'!B92</x:f>
        <x:v>Kenya</x:v>
      </x:c>
      <x:c r="C274" t="str">
        <x:f>'Employee Attendance'!C92</x:f>
        <x:v>KE</x:v>
      </x:c>
      <x:c r="D274" t="str">
        <x:f>'Employee Attendance'!D92</x:f>
        <x:v>collins.maina@pwc.com</x:v>
      </x:c>
      <x:c r="E274" t="str">
        <x:f>"Combined"</x:f>
        <x:v>Combined</x:v>
      </x:c>
      <x:c r="F274" s="14" t="n">
        <x:f>'Employee Attendance'!I92</x:f>
        <x:v>0.07256944444444445</x:v>
      </x:c>
      <x:c r="G274" t="n">
        <x:f>F274*86400</x:f>
        <x:v>6270.000000000001</x:v>
      </x:c>
      <x:c r="H274" t="str">
        <x:f>'Employee Attendance'!J92</x:f>
        <x:v>Fully attended</x:v>
      </x:c>
      <x:c r="I274" t="str">
        <x:f>IF(OR('Employee Attendance'!K92="Yes",'Employee Attendance'!L92="Yes"),"Yes","No")</x:f>
        <x:v>Yes</x:v>
      </x:c>
    </x:row>
    <x:row r="275">
      <x:c r="A275" t="str">
        <x:f>'Employee Attendance'!A93</x:f>
        <x:v>Consolata Orodi</x:v>
      </x:c>
      <x:c r="B275" t="str">
        <x:f>'Employee Attendance'!B93</x:f>
        <x:v>Kenya</x:v>
      </x:c>
      <x:c r="C275" t="str">
        <x:f>'Employee Attendance'!C93</x:f>
        <x:v>KE</x:v>
      </x:c>
      <x:c r="D275" t="str">
        <x:f>'Employee Attendance'!D93</x:f>
        <x:v>consolata.orodi@pwc.com</x:v>
      </x:c>
      <x:c r="E275" t="str">
        <x:f>"Option 1"</x:f>
        <x:v>Option 1</x:v>
      </x:c>
      <x:c r="F275" s="14" t="n">
        <x:f>'Employee Attendance'!E93</x:f>
        <x:v>0.0794212962962963</x:v>
      </x:c>
      <x:c r="G275" t="n">
        <x:f>F275*86400</x:f>
        <x:v>6862</x:v>
      </x:c>
      <x:c r="H275" t="str">
        <x:f>'Employee Attendance'!F93</x:f>
        <x:v>Fully attended</x:v>
      </x:c>
      <x:c r="I275" t="str">
        <x:f>'Employee Attendance'!K93</x:f>
        <x:v>Yes</x:v>
      </x:c>
    </x:row>
    <x:row r="276">
      <x:c r="A276" t="str">
        <x:f>'Employee Attendance'!A93</x:f>
        <x:v>Consolata Orodi</x:v>
      </x:c>
      <x:c r="B276" t="str">
        <x:f>'Employee Attendance'!B93</x:f>
        <x:v>Kenya</x:v>
      </x:c>
      <x:c r="C276" t="str">
        <x:f>'Employee Attendance'!C93</x:f>
        <x:v>KE</x:v>
      </x:c>
      <x:c r="D276" t="str">
        <x:f>'Employee Attendance'!D93</x:f>
        <x:v>consolata.orodi@pwc.com</x:v>
      </x:c>
      <x:c r="E276" t="str">
        <x:f>"Option 2"</x:f>
        <x:v>Option 2</x:v>
      </x:c>
      <x:c r="F276" s="14" t="n">
        <x:f>'Employee Attendance'!G93</x:f>
        <x:v>0</x:v>
      </x:c>
      <x:c r="G276" t="n">
        <x:f>F276*86400</x:f>
        <x:v>0</x:v>
      </x:c>
      <x:c r="H276" t="str">
        <x:f>'Employee Attendance'!H93</x:f>
        <x:v>Did not attend</x:v>
      </x:c>
      <x:c r="I276" t="str">
        <x:f>'Employee Attendance'!L93</x:f>
        <x:v>No</x:v>
      </x:c>
    </x:row>
    <x:row r="277">
      <x:c r="A277" t="str">
        <x:f>'Employee Attendance'!A93</x:f>
        <x:v>Consolata Orodi</x:v>
      </x:c>
      <x:c r="B277" t="str">
        <x:f>'Employee Attendance'!B93</x:f>
        <x:v>Kenya</x:v>
      </x:c>
      <x:c r="C277" t="str">
        <x:f>'Employee Attendance'!C93</x:f>
        <x:v>KE</x:v>
      </x:c>
      <x:c r="D277" t="str">
        <x:f>'Employee Attendance'!D93</x:f>
        <x:v>consolata.orodi@pwc.com</x:v>
      </x:c>
      <x:c r="E277" t="str">
        <x:f>"Combined"</x:f>
        <x:v>Combined</x:v>
      </x:c>
      <x:c r="F277" s="14" t="n">
        <x:f>'Employee Attendance'!I93</x:f>
        <x:v>0.0794212962962963</x:v>
      </x:c>
      <x:c r="G277" t="n">
        <x:f>F277*86400</x:f>
        <x:v>6862</x:v>
      </x:c>
      <x:c r="H277" t="str">
        <x:f>'Employee Attendance'!J93</x:f>
        <x:v>Fully attended</x:v>
      </x:c>
      <x:c r="I277" t="str">
        <x:f>IF(OR('Employee Attendance'!K93="Yes",'Employee Attendance'!L93="Yes"),"Yes","No")</x:f>
        <x:v>Yes</x:v>
      </x:c>
    </x:row>
    <x:row r="278">
      <x:c r="A278" t="str">
        <x:f>'Employee Attendance'!A94</x:f>
        <x:v>Crystel Masson</x:v>
      </x:c>
      <x:c r="B278" t="str">
        <x:f>'Employee Attendance'!B94</x:f>
        <x:v>Mauritius</x:v>
      </x:c>
      <x:c r="C278" t="str">
        <x:f>'Employee Attendance'!C94</x:f>
        <x:v>MU</x:v>
      </x:c>
      <x:c r="D278" t="str">
        <x:f>'Employee Attendance'!D94</x:f>
        <x:v>crystel.masson@pwc.com</x:v>
      </x:c>
      <x:c r="E278" t="str">
        <x:f>"Option 1"</x:f>
        <x:v>Option 1</x:v>
      </x:c>
      <x:c r="F278" s="14" t="n">
        <x:f>'Employee Attendance'!E94</x:f>
        <x:v>0</x:v>
      </x:c>
      <x:c r="G278" t="n">
        <x:f>F278*86400</x:f>
        <x:v>0</x:v>
      </x:c>
      <x:c r="H278" t="str">
        <x:f>'Employee Attendance'!F94</x:f>
        <x:v>Did not attend</x:v>
      </x:c>
      <x:c r="I278" t="str">
        <x:f>'Employee Attendance'!K94</x:f>
        <x:v>No</x:v>
      </x:c>
    </x:row>
    <x:row r="279">
      <x:c r="A279" t="str">
        <x:f>'Employee Attendance'!A94</x:f>
        <x:v>Crystel Masson</x:v>
      </x:c>
      <x:c r="B279" t="str">
        <x:f>'Employee Attendance'!B94</x:f>
        <x:v>Mauritius</x:v>
      </x:c>
      <x:c r="C279" t="str">
        <x:f>'Employee Attendance'!C94</x:f>
        <x:v>MU</x:v>
      </x:c>
      <x:c r="D279" t="str">
        <x:f>'Employee Attendance'!D94</x:f>
        <x:v>crystel.masson@pwc.com</x:v>
      </x:c>
      <x:c r="E279" t="str">
        <x:f>"Option 2"</x:f>
        <x:v>Option 2</x:v>
      </x:c>
      <x:c r="F279" s="14" t="n">
        <x:f>'Employee Attendance'!G94</x:f>
        <x:v>0.08709490740740741</x:v>
      </x:c>
      <x:c r="G279" t="n">
        <x:f>F279*86400</x:f>
        <x:v>7525</x:v>
      </x:c>
      <x:c r="H279" t="str">
        <x:f>'Employee Attendance'!H94</x:f>
        <x:v>Fully attended</x:v>
      </x:c>
      <x:c r="I279" t="str">
        <x:f>'Employee Attendance'!L94</x:f>
        <x:v>Yes</x:v>
      </x:c>
    </x:row>
    <x:row r="280">
      <x:c r="A280" t="str">
        <x:f>'Employee Attendance'!A94</x:f>
        <x:v>Crystel Masson</x:v>
      </x:c>
      <x:c r="B280" t="str">
        <x:f>'Employee Attendance'!B94</x:f>
        <x:v>Mauritius</x:v>
      </x:c>
      <x:c r="C280" t="str">
        <x:f>'Employee Attendance'!C94</x:f>
        <x:v>MU</x:v>
      </x:c>
      <x:c r="D280" t="str">
        <x:f>'Employee Attendance'!D94</x:f>
        <x:v>crystel.masson@pwc.com</x:v>
      </x:c>
      <x:c r="E280" t="str">
        <x:f>"Combined"</x:f>
        <x:v>Combined</x:v>
      </x:c>
      <x:c r="F280" s="14" t="n">
        <x:f>'Employee Attendance'!I94</x:f>
        <x:v>0.08709490740740741</x:v>
      </x:c>
      <x:c r="G280" t="n">
        <x:f>F280*86400</x:f>
        <x:v>7525</x:v>
      </x:c>
      <x:c r="H280" t="str">
        <x:f>'Employee Attendance'!J94</x:f>
        <x:v>Fully attended</x:v>
      </x:c>
      <x:c r="I280" t="str">
        <x:f>IF(OR('Employee Attendance'!K94="Yes",'Employee Attendance'!L94="Yes"),"Yes","No")</x:f>
        <x:v>Yes</x:v>
      </x:c>
    </x:row>
    <x:row r="281">
      <x:c r="A281" t="str">
        <x:f>'Employee Attendance'!A95</x:f>
        <x:v>Cyprian Munene</x:v>
      </x:c>
      <x:c r="B281" t="str">
        <x:f>'Employee Attendance'!B95</x:f>
        <x:v>Kenya</x:v>
      </x:c>
      <x:c r="C281" t="str">
        <x:f>'Employee Attendance'!C95</x:f>
        <x:v>KE</x:v>
      </x:c>
      <x:c r="D281" t="str">
        <x:f>'Employee Attendance'!D95</x:f>
        <x:v>cyprian.munene@pwc.com</x:v>
      </x:c>
      <x:c r="E281" t="str">
        <x:f>"Option 1"</x:f>
        <x:v>Option 1</x:v>
      </x:c>
      <x:c r="F281" s="14" t="n">
        <x:f>'Employee Attendance'!E95</x:f>
        <x:v>0</x:v>
      </x:c>
      <x:c r="G281" t="n">
        <x:f>F281*86400</x:f>
        <x:v>0</x:v>
      </x:c>
      <x:c r="H281" t="str">
        <x:f>'Employee Attendance'!F95</x:f>
        <x:v>Did not attend</x:v>
      </x:c>
      <x:c r="I281" t="str">
        <x:f>'Employee Attendance'!K95</x:f>
        <x:v>No</x:v>
      </x:c>
    </x:row>
    <x:row r="282">
      <x:c r="A282" t="str">
        <x:f>'Employee Attendance'!A95</x:f>
        <x:v>Cyprian Munene</x:v>
      </x:c>
      <x:c r="B282" t="str">
        <x:f>'Employee Attendance'!B95</x:f>
        <x:v>Kenya</x:v>
      </x:c>
      <x:c r="C282" t="str">
        <x:f>'Employee Attendance'!C95</x:f>
        <x:v>KE</x:v>
      </x:c>
      <x:c r="D282" t="str">
        <x:f>'Employee Attendance'!D95</x:f>
        <x:v>cyprian.munene@pwc.com</x:v>
      </x:c>
      <x:c r="E282" t="str">
        <x:f>"Option 2"</x:f>
        <x:v>Option 2</x:v>
      </x:c>
      <x:c r="F282" s="14" t="n">
        <x:f>'Employee Attendance'!G95</x:f>
        <x:v>0.08943287037037037</x:v>
      </x:c>
      <x:c r="G282" t="n">
        <x:f>F282*86400</x:f>
        <x:v>7727</x:v>
      </x:c>
      <x:c r="H282" t="str">
        <x:f>'Employee Attendance'!H95</x:f>
        <x:v>Fully attended</x:v>
      </x:c>
      <x:c r="I282" t="str">
        <x:f>'Employee Attendance'!L95</x:f>
        <x:v>Yes</x:v>
      </x:c>
    </x:row>
    <x:row r="283">
      <x:c r="A283" t="str">
        <x:f>'Employee Attendance'!A95</x:f>
        <x:v>Cyprian Munene</x:v>
      </x:c>
      <x:c r="B283" t="str">
        <x:f>'Employee Attendance'!B95</x:f>
        <x:v>Kenya</x:v>
      </x:c>
      <x:c r="C283" t="str">
        <x:f>'Employee Attendance'!C95</x:f>
        <x:v>KE</x:v>
      </x:c>
      <x:c r="D283" t="str">
        <x:f>'Employee Attendance'!D95</x:f>
        <x:v>cyprian.munene@pwc.com</x:v>
      </x:c>
      <x:c r="E283" t="str">
        <x:f>"Combined"</x:f>
        <x:v>Combined</x:v>
      </x:c>
      <x:c r="F283" s="14" t="n">
        <x:f>'Employee Attendance'!I95</x:f>
        <x:v>0.08943287037037037</x:v>
      </x:c>
      <x:c r="G283" t="n">
        <x:f>F283*86400</x:f>
        <x:v>7727</x:v>
      </x:c>
      <x:c r="H283" t="str">
        <x:f>'Employee Attendance'!J95</x:f>
        <x:v>Fully attended</x:v>
      </x:c>
      <x:c r="I283" t="str">
        <x:f>IF(OR('Employee Attendance'!K95="Yes",'Employee Attendance'!L95="Yes"),"Yes","No")</x:f>
        <x:v>Yes</x:v>
      </x:c>
    </x:row>
    <x:row r="284">
      <x:c r="A284" t="str">
        <x:f>'Employee Attendance'!A96</x:f>
        <x:v>Cyrus Muturi</x:v>
      </x:c>
      <x:c r="B284" t="str">
        <x:f>'Employee Attendance'!B96</x:f>
        <x:v>Kenya</x:v>
      </x:c>
      <x:c r="C284" t="str">
        <x:f>'Employee Attendance'!C96</x:f>
        <x:v>KE</x:v>
      </x:c>
      <x:c r="D284" t="str">
        <x:f>'Employee Attendance'!D96</x:f>
        <x:v>cyrus.muturi@pwc.com</x:v>
      </x:c>
      <x:c r="E284" t="str">
        <x:f>"Option 1"</x:f>
        <x:v>Option 1</x:v>
      </x:c>
      <x:c r="F284" s="14" t="n">
        <x:f>'Employee Attendance'!E96</x:f>
        <x:v>0.014513888888888889</x:v>
      </x:c>
      <x:c r="G284" t="n">
        <x:f>F284*86400</x:f>
        <x:v>1254</x:v>
      </x:c>
      <x:c r="H284" t="str">
        <x:f>'Employee Attendance'!F96</x:f>
        <x:v>Partially attended</x:v>
      </x:c>
      <x:c r="I284" t="str">
        <x:f>'Employee Attendance'!K96</x:f>
        <x:v>Yes</x:v>
      </x:c>
    </x:row>
    <x:row r="285">
      <x:c r="A285" t="str">
        <x:f>'Employee Attendance'!A96</x:f>
        <x:v>Cyrus Muturi</x:v>
      </x:c>
      <x:c r="B285" t="str">
        <x:f>'Employee Attendance'!B96</x:f>
        <x:v>Kenya</x:v>
      </x:c>
      <x:c r="C285" t="str">
        <x:f>'Employee Attendance'!C96</x:f>
        <x:v>KE</x:v>
      </x:c>
      <x:c r="D285" t="str">
        <x:f>'Employee Attendance'!D96</x:f>
        <x:v>cyrus.muturi@pwc.com</x:v>
      </x:c>
      <x:c r="E285" t="str">
        <x:f>"Option 2"</x:f>
        <x:v>Option 2</x:v>
      </x:c>
      <x:c r="F285" s="14" t="n">
        <x:f>'Employee Attendance'!G96</x:f>
        <x:v>0.007696759259259259</x:v>
      </x:c>
      <x:c r="G285" t="n">
        <x:f>F285*86400</x:f>
        <x:v>665</x:v>
      </x:c>
      <x:c r="H285" t="str">
        <x:f>'Employee Attendance'!H96</x:f>
        <x:v>Partially attended</x:v>
      </x:c>
      <x:c r="I285" t="str">
        <x:f>'Employee Attendance'!L96</x:f>
        <x:v>Yes</x:v>
      </x:c>
    </x:row>
    <x:row r="286">
      <x:c r="A286" t="str">
        <x:f>'Employee Attendance'!A96</x:f>
        <x:v>Cyrus Muturi</x:v>
      </x:c>
      <x:c r="B286" t="str">
        <x:f>'Employee Attendance'!B96</x:f>
        <x:v>Kenya</x:v>
      </x:c>
      <x:c r="C286" t="str">
        <x:f>'Employee Attendance'!C96</x:f>
        <x:v>KE</x:v>
      </x:c>
      <x:c r="D286" t="str">
        <x:f>'Employee Attendance'!D96</x:f>
        <x:v>cyrus.muturi@pwc.com</x:v>
      </x:c>
      <x:c r="E286" t="str">
        <x:f>"Combined"</x:f>
        <x:v>Combined</x:v>
      </x:c>
      <x:c r="F286" s="14" t="n">
        <x:f>'Employee Attendance'!I96</x:f>
        <x:v>0.022210648148148146</x:v>
      </x:c>
      <x:c r="G286" t="n">
        <x:f>F286*86400</x:f>
        <x:v>1918.9999999999998</x:v>
      </x:c>
      <x:c r="H286" t="str">
        <x:f>'Employee Attendance'!J96</x:f>
        <x:v>Partially attended</x:v>
      </x:c>
      <x:c r="I286" t="str">
        <x:f>IF(OR('Employee Attendance'!K96="Yes",'Employee Attendance'!L96="Yes"),"Yes","No")</x:f>
        <x:v>Yes</x:v>
      </x:c>
    </x:row>
    <x:row r="287">
      <x:c r="A287" t="str">
        <x:f>'Employee Attendance'!A97</x:f>
        <x:v>Damien Hong Lin</x:v>
      </x:c>
      <x:c r="B287" t="str">
        <x:f>'Employee Attendance'!B97</x:f>
        <x:v>Mauritius</x:v>
      </x:c>
      <x:c r="C287" t="str">
        <x:f>'Employee Attendance'!C97</x:f>
        <x:v>MU</x:v>
      </x:c>
      <x:c r="D287" t="str">
        <x:f>'Employee Attendance'!D97</x:f>
        <x:v>damien.hong.lin@pwc.com</x:v>
      </x:c>
      <x:c r="E287" t="str">
        <x:f>"Option 1"</x:f>
        <x:v>Option 1</x:v>
      </x:c>
      <x:c r="F287" s="14" t="n">
        <x:f>'Employee Attendance'!E97</x:f>
        <x:v>0.00011574074074074075</x:v>
      </x:c>
      <x:c r="G287" t="n">
        <x:f>F287*86400</x:f>
        <x:v>10</x:v>
      </x:c>
      <x:c r="H287" t="str">
        <x:f>'Employee Attendance'!F97</x:f>
        <x:v>Partially attended</x:v>
      </x:c>
      <x:c r="I287" t="str">
        <x:f>'Employee Attendance'!K97</x:f>
        <x:v>Yes</x:v>
      </x:c>
    </x:row>
    <x:row r="288">
      <x:c r="A288" t="str">
        <x:f>'Employee Attendance'!A97</x:f>
        <x:v>Damien Hong Lin</x:v>
      </x:c>
      <x:c r="B288" t="str">
        <x:f>'Employee Attendance'!B97</x:f>
        <x:v>Mauritius</x:v>
      </x:c>
      <x:c r="C288" t="str">
        <x:f>'Employee Attendance'!C97</x:f>
        <x:v>MU</x:v>
      </x:c>
      <x:c r="D288" t="str">
        <x:f>'Employee Attendance'!D97</x:f>
        <x:v>damien.hong.lin@pwc.com</x:v>
      </x:c>
      <x:c r="E288" t="str">
        <x:f>"Option 2"</x:f>
        <x:v>Option 2</x:v>
      </x:c>
      <x:c r="F288" s="14" t="n">
        <x:f>'Employee Attendance'!G97</x:f>
        <x:v>0.09423611111111112</x:v>
      </x:c>
      <x:c r="G288" t="n">
        <x:f>F288*86400</x:f>
        <x:v>8142.000000000001</x:v>
      </x:c>
      <x:c r="H288" t="str">
        <x:f>'Employee Attendance'!H97</x:f>
        <x:v>Fully attended</x:v>
      </x:c>
      <x:c r="I288" t="str">
        <x:f>'Employee Attendance'!L97</x:f>
        <x:v>Yes</x:v>
      </x:c>
    </x:row>
    <x:row r="289">
      <x:c r="A289" t="str">
        <x:f>'Employee Attendance'!A97</x:f>
        <x:v>Damien Hong Lin</x:v>
      </x:c>
      <x:c r="B289" t="str">
        <x:f>'Employee Attendance'!B97</x:f>
        <x:v>Mauritius</x:v>
      </x:c>
      <x:c r="C289" t="str">
        <x:f>'Employee Attendance'!C97</x:f>
        <x:v>MU</x:v>
      </x:c>
      <x:c r="D289" t="str">
        <x:f>'Employee Attendance'!D97</x:f>
        <x:v>damien.hong.lin@pwc.com</x:v>
      </x:c>
      <x:c r="E289" t="str">
        <x:f>"Combined"</x:f>
        <x:v>Combined</x:v>
      </x:c>
      <x:c r="F289" s="14" t="n">
        <x:f>'Employee Attendance'!I97</x:f>
        <x:v>0.09435185185185185</x:v>
      </x:c>
      <x:c r="G289" t="n">
        <x:f>F289*86400</x:f>
        <x:v>8152</x:v>
      </x:c>
      <x:c r="H289" t="str">
        <x:f>'Employee Attendance'!J97</x:f>
        <x:v>Fully attended</x:v>
      </x:c>
      <x:c r="I289" t="str">
        <x:f>IF(OR('Employee Attendance'!K97="Yes",'Employee Attendance'!L97="Yes"),"Yes","No")</x:f>
        <x:v>Yes</x:v>
      </x:c>
    </x:row>
    <x:row r="290">
      <x:c r="A290" t="str">
        <x:f>'Employee Attendance'!A98</x:f>
        <x:v>Daniel Kiilu</x:v>
      </x:c>
      <x:c r="B290" t="str">
        <x:f>'Employee Attendance'!B98</x:f>
        <x:v>Kenya</x:v>
      </x:c>
      <x:c r="C290" t="str">
        <x:f>'Employee Attendance'!C98</x:f>
        <x:v>KE</x:v>
      </x:c>
      <x:c r="D290" t="str">
        <x:f>'Employee Attendance'!D98</x:f>
        <x:v>daniel.kiilu@pwc.com</x:v>
      </x:c>
      <x:c r="E290" t="str">
        <x:f>"Option 1"</x:f>
        <x:v>Option 1</x:v>
      </x:c>
      <x:c r="F290" s="14" t="n">
        <x:f>'Employee Attendance'!E98</x:f>
        <x:v>0.05943287037037037</x:v>
      </x:c>
      <x:c r="G290" t="n">
        <x:f>F290*86400</x:f>
        <x:v>5135</x:v>
      </x:c>
      <x:c r="H290" t="str">
        <x:f>'Employee Attendance'!F98</x:f>
        <x:v>Partially attended</x:v>
      </x:c>
      <x:c r="I290" t="str">
        <x:f>'Employee Attendance'!K98</x:f>
        <x:v>Yes</x:v>
      </x:c>
    </x:row>
    <x:row r="291">
      <x:c r="A291" t="str">
        <x:f>'Employee Attendance'!A98</x:f>
        <x:v>Daniel Kiilu</x:v>
      </x:c>
      <x:c r="B291" t="str">
        <x:f>'Employee Attendance'!B98</x:f>
        <x:v>Kenya</x:v>
      </x:c>
      <x:c r="C291" t="str">
        <x:f>'Employee Attendance'!C98</x:f>
        <x:v>KE</x:v>
      </x:c>
      <x:c r="D291" t="str">
        <x:f>'Employee Attendance'!D98</x:f>
        <x:v>daniel.kiilu@pwc.com</x:v>
      </x:c>
      <x:c r="E291" t="str">
        <x:f>"Option 2"</x:f>
        <x:v>Option 2</x:v>
      </x:c>
      <x:c r="F291" s="14" t="n">
        <x:f>'Employee Attendance'!G98</x:f>
        <x:v>0</x:v>
      </x:c>
      <x:c r="G291" t="n">
        <x:f>F291*86400</x:f>
        <x:v>0</x:v>
      </x:c>
      <x:c r="H291" t="str">
        <x:f>'Employee Attendance'!H98</x:f>
        <x:v>Did not attend</x:v>
      </x:c>
      <x:c r="I291" t="str">
        <x:f>'Employee Attendance'!L98</x:f>
        <x:v>No</x:v>
      </x:c>
    </x:row>
    <x:row r="292">
      <x:c r="A292" t="str">
        <x:f>'Employee Attendance'!A98</x:f>
        <x:v>Daniel Kiilu</x:v>
      </x:c>
      <x:c r="B292" t="str">
        <x:f>'Employee Attendance'!B98</x:f>
        <x:v>Kenya</x:v>
      </x:c>
      <x:c r="C292" t="str">
        <x:f>'Employee Attendance'!C98</x:f>
        <x:v>KE</x:v>
      </x:c>
      <x:c r="D292" t="str">
        <x:f>'Employee Attendance'!D98</x:f>
        <x:v>daniel.kiilu@pwc.com</x:v>
      </x:c>
      <x:c r="E292" t="str">
        <x:f>"Combined"</x:f>
        <x:v>Combined</x:v>
      </x:c>
      <x:c r="F292" s="14" t="n">
        <x:f>'Employee Attendance'!I98</x:f>
        <x:v>0.05943287037037037</x:v>
      </x:c>
      <x:c r="G292" t="n">
        <x:f>F292*86400</x:f>
        <x:v>5135</x:v>
      </x:c>
      <x:c r="H292" t="str">
        <x:f>'Employee Attendance'!J98</x:f>
        <x:v>Partially attended</x:v>
      </x:c>
      <x:c r="I292" t="str">
        <x:f>IF(OR('Employee Attendance'!K98="Yes",'Employee Attendance'!L98="Yes"),"Yes","No")</x:f>
        <x:v>Yes</x:v>
      </x:c>
    </x:row>
    <x:row r="293">
      <x:c r="A293" t="str">
        <x:f>'Employee Attendance'!A99</x:f>
        <x:v>Daphne Akol</x:v>
      </x:c>
      <x:c r="B293" t="str">
        <x:f>'Employee Attendance'!B99</x:f>
        <x:v>Uganda</x:v>
      </x:c>
      <x:c r="C293" t="str">
        <x:f>'Employee Attendance'!C99</x:f>
        <x:v>UG</x:v>
      </x:c>
      <x:c r="D293" t="str">
        <x:f>'Employee Attendance'!D99</x:f>
        <x:v>daphne.akol@pwc.com</x:v>
      </x:c>
      <x:c r="E293" t="str">
        <x:f>"Option 1"</x:f>
        <x:v>Option 1</x:v>
      </x:c>
      <x:c r="F293" s="14" t="n">
        <x:f>'Employee Attendance'!E99</x:f>
        <x:v>0</x:v>
      </x:c>
      <x:c r="G293" t="n">
        <x:f>F293*86400</x:f>
        <x:v>0</x:v>
      </x:c>
      <x:c r="H293" t="str">
        <x:f>'Employee Attendance'!F99</x:f>
        <x:v>Did not attend</x:v>
      </x:c>
      <x:c r="I293" t="str">
        <x:f>'Employee Attendance'!K99</x:f>
        <x:v>No</x:v>
      </x:c>
    </x:row>
    <x:row r="294">
      <x:c r="A294" t="str">
        <x:f>'Employee Attendance'!A99</x:f>
        <x:v>Daphne Akol</x:v>
      </x:c>
      <x:c r="B294" t="str">
        <x:f>'Employee Attendance'!B99</x:f>
        <x:v>Uganda</x:v>
      </x:c>
      <x:c r="C294" t="str">
        <x:f>'Employee Attendance'!C99</x:f>
        <x:v>UG</x:v>
      </x:c>
      <x:c r="D294" t="str">
        <x:f>'Employee Attendance'!D99</x:f>
        <x:v>daphne.akol@pwc.com</x:v>
      </x:c>
      <x:c r="E294" t="str">
        <x:f>"Option 2"</x:f>
        <x:v>Option 2</x:v>
      </x:c>
      <x:c r="F294" s="14" t="n">
        <x:f>'Employee Attendance'!G99</x:f>
        <x:v>0.07930555555555556</x:v>
      </x:c>
      <x:c r="G294" t="n">
        <x:f>F294*86400</x:f>
        <x:v>6852</x:v>
      </x:c>
      <x:c r="H294" t="str">
        <x:f>'Employee Attendance'!H99</x:f>
        <x:v>Fully attended</x:v>
      </x:c>
      <x:c r="I294" t="str">
        <x:f>'Employee Attendance'!L99</x:f>
        <x:v>Yes</x:v>
      </x:c>
    </x:row>
    <x:row r="295">
      <x:c r="A295" t="str">
        <x:f>'Employee Attendance'!A99</x:f>
        <x:v>Daphne Akol</x:v>
      </x:c>
      <x:c r="B295" t="str">
        <x:f>'Employee Attendance'!B99</x:f>
        <x:v>Uganda</x:v>
      </x:c>
      <x:c r="C295" t="str">
        <x:f>'Employee Attendance'!C99</x:f>
        <x:v>UG</x:v>
      </x:c>
      <x:c r="D295" t="str">
        <x:f>'Employee Attendance'!D99</x:f>
        <x:v>daphne.akol@pwc.com</x:v>
      </x:c>
      <x:c r="E295" t="str">
        <x:f>"Combined"</x:f>
        <x:v>Combined</x:v>
      </x:c>
      <x:c r="F295" s="14" t="n">
        <x:f>'Employee Attendance'!I99</x:f>
        <x:v>0.07930555555555556</x:v>
      </x:c>
      <x:c r="G295" t="n">
        <x:f>F295*86400</x:f>
        <x:v>6852</x:v>
      </x:c>
      <x:c r="H295" t="str">
        <x:f>'Employee Attendance'!J99</x:f>
        <x:v>Fully attended</x:v>
      </x:c>
      <x:c r="I295" t="str">
        <x:f>IF(OR('Employee Attendance'!K99="Yes",'Employee Attendance'!L99="Yes"),"Yes","No")</x:f>
        <x:v>Yes</x:v>
      </x:c>
    </x:row>
    <x:row r="296">
      <x:c r="A296" t="str">
        <x:f>'Employee Attendance'!A100</x:f>
        <x:v>Darshil Ramyed</x:v>
      </x:c>
      <x:c r="B296" t="str">
        <x:f>'Employee Attendance'!B100</x:f>
        <x:v>Mauritius</x:v>
      </x:c>
      <x:c r="C296" t="str">
        <x:f>'Employee Attendance'!C100</x:f>
        <x:v>MU</x:v>
      </x:c>
      <x:c r="D296" t="str">
        <x:f>'Employee Attendance'!D100</x:f>
        <x:v>darshil.ramyed@pwc.com</x:v>
      </x:c>
      <x:c r="E296" t="str">
        <x:f>"Option 1"</x:f>
        <x:v>Option 1</x:v>
      </x:c>
      <x:c r="F296" s="14" t="n">
        <x:f>'Employee Attendance'!E100</x:f>
        <x:v>0</x:v>
      </x:c>
      <x:c r="G296" t="n">
        <x:f>F296*86400</x:f>
        <x:v>0</x:v>
      </x:c>
      <x:c r="H296" t="str">
        <x:f>'Employee Attendance'!F100</x:f>
        <x:v>Did not attend</x:v>
      </x:c>
      <x:c r="I296" t="str">
        <x:f>'Employee Attendance'!K100</x:f>
        <x:v>No</x:v>
      </x:c>
    </x:row>
    <x:row r="297">
      <x:c r="A297" t="str">
        <x:f>'Employee Attendance'!A100</x:f>
        <x:v>Darshil Ramyed</x:v>
      </x:c>
      <x:c r="B297" t="str">
        <x:f>'Employee Attendance'!B100</x:f>
        <x:v>Mauritius</x:v>
      </x:c>
      <x:c r="C297" t="str">
        <x:f>'Employee Attendance'!C100</x:f>
        <x:v>MU</x:v>
      </x:c>
      <x:c r="D297" t="str">
        <x:f>'Employee Attendance'!D100</x:f>
        <x:v>darshil.ramyed@pwc.com</x:v>
      </x:c>
      <x:c r="E297" t="str">
        <x:f>"Option 2"</x:f>
        <x:v>Option 2</x:v>
      </x:c>
      <x:c r="F297" s="14" t="n">
        <x:f>'Employee Attendance'!G100</x:f>
        <x:v>0.05954861111111111</x:v>
      </x:c>
      <x:c r="G297" t="n">
        <x:f>F297*86400</x:f>
        <x:v>5145</x:v>
      </x:c>
      <x:c r="H297" t="str">
        <x:f>'Employee Attendance'!H100</x:f>
        <x:v>Partially attended</x:v>
      </x:c>
      <x:c r="I297" t="str">
        <x:f>'Employee Attendance'!L100</x:f>
        <x:v>Yes</x:v>
      </x:c>
    </x:row>
    <x:row r="298">
      <x:c r="A298" t="str">
        <x:f>'Employee Attendance'!A100</x:f>
        <x:v>Darshil Ramyed</x:v>
      </x:c>
      <x:c r="B298" t="str">
        <x:f>'Employee Attendance'!B100</x:f>
        <x:v>Mauritius</x:v>
      </x:c>
      <x:c r="C298" t="str">
        <x:f>'Employee Attendance'!C100</x:f>
        <x:v>MU</x:v>
      </x:c>
      <x:c r="D298" t="str">
        <x:f>'Employee Attendance'!D100</x:f>
        <x:v>darshil.ramyed@pwc.com</x:v>
      </x:c>
      <x:c r="E298" t="str">
        <x:f>"Combined"</x:f>
        <x:v>Combined</x:v>
      </x:c>
      <x:c r="F298" s="14" t="n">
        <x:f>'Employee Attendance'!I100</x:f>
        <x:v>0.05954861111111111</x:v>
      </x:c>
      <x:c r="G298" t="n">
        <x:f>F298*86400</x:f>
        <x:v>5145</x:v>
      </x:c>
      <x:c r="H298" t="str">
        <x:f>'Employee Attendance'!J100</x:f>
        <x:v>Partially attended</x:v>
      </x:c>
      <x:c r="I298" t="str">
        <x:f>IF(OR('Employee Attendance'!K100="Yes",'Employee Attendance'!L100="Yes"),"Yes","No")</x:f>
        <x:v>Yes</x:v>
      </x:c>
    </x:row>
    <x:row r="299">
      <x:c r="A299" t="str">
        <x:f>'Employee Attendance'!A101</x:f>
        <x:v>Dauson Kaijunga</x:v>
      </x:c>
      <x:c r="B299" t="str">
        <x:f>'Employee Attendance'!B101</x:f>
        <x:v>Tanzania</x:v>
      </x:c>
      <x:c r="C299" t="str">
        <x:f>'Employee Attendance'!C101</x:f>
        <x:v>TZ</x:v>
      </x:c>
      <x:c r="D299" t="str">
        <x:f>'Employee Attendance'!D101</x:f>
        <x:v>dauson.kaijunga@pwc.com</x:v>
      </x:c>
      <x:c r="E299" t="str">
        <x:f>"Option 1"</x:f>
        <x:v>Option 1</x:v>
      </x:c>
      <x:c r="F299" s="14" t="n">
        <x:f>'Employee Attendance'!E101</x:f>
        <x:v>0.08298611111111111</x:v>
      </x:c>
      <x:c r="G299" t="n">
        <x:f>F299*86400</x:f>
        <x:v>7170</x:v>
      </x:c>
      <x:c r="H299" t="str">
        <x:f>'Employee Attendance'!F101</x:f>
        <x:v>Fully attended</x:v>
      </x:c>
      <x:c r="I299" t="str">
        <x:f>'Employee Attendance'!K101</x:f>
        <x:v>Yes</x:v>
      </x:c>
    </x:row>
    <x:row r="300">
      <x:c r="A300" t="str">
        <x:f>'Employee Attendance'!A101</x:f>
        <x:v>Dauson Kaijunga</x:v>
      </x:c>
      <x:c r="B300" t="str">
        <x:f>'Employee Attendance'!B101</x:f>
        <x:v>Tanzania</x:v>
      </x:c>
      <x:c r="C300" t="str">
        <x:f>'Employee Attendance'!C101</x:f>
        <x:v>TZ</x:v>
      </x:c>
      <x:c r="D300" t="str">
        <x:f>'Employee Attendance'!D101</x:f>
        <x:v>dauson.kaijunga@pwc.com</x:v>
      </x:c>
      <x:c r="E300" t="str">
        <x:f>"Option 2"</x:f>
        <x:v>Option 2</x:v>
      </x:c>
      <x:c r="F300" s="14" t="n">
        <x:f>'Employee Attendance'!G101</x:f>
        <x:v>0</x:v>
      </x:c>
      <x:c r="G300" t="n">
        <x:f>F300*86400</x:f>
        <x:v>0</x:v>
      </x:c>
      <x:c r="H300" t="str">
        <x:f>'Employee Attendance'!H101</x:f>
        <x:v>Did not attend</x:v>
      </x:c>
      <x:c r="I300" t="str">
        <x:f>'Employee Attendance'!L101</x:f>
        <x:v>No</x:v>
      </x:c>
    </x:row>
    <x:row r="301">
      <x:c r="A301" t="str">
        <x:f>'Employee Attendance'!A101</x:f>
        <x:v>Dauson Kaijunga</x:v>
      </x:c>
      <x:c r="B301" t="str">
        <x:f>'Employee Attendance'!B101</x:f>
        <x:v>Tanzania</x:v>
      </x:c>
      <x:c r="C301" t="str">
        <x:f>'Employee Attendance'!C101</x:f>
        <x:v>TZ</x:v>
      </x:c>
      <x:c r="D301" t="str">
        <x:f>'Employee Attendance'!D101</x:f>
        <x:v>dauson.kaijunga@pwc.com</x:v>
      </x:c>
      <x:c r="E301" t="str">
        <x:f>"Combined"</x:f>
        <x:v>Combined</x:v>
      </x:c>
      <x:c r="F301" s="14" t="n">
        <x:f>'Employee Attendance'!I101</x:f>
        <x:v>0.08298611111111111</x:v>
      </x:c>
      <x:c r="G301" t="n">
        <x:f>F301*86400</x:f>
        <x:v>7170</x:v>
      </x:c>
      <x:c r="H301" t="str">
        <x:f>'Employee Attendance'!J101</x:f>
        <x:v>Fully attended</x:v>
      </x:c>
      <x:c r="I301" t="str">
        <x:f>IF(OR('Employee Attendance'!K101="Yes",'Employee Attendance'!L101="Yes"),"Yes","No")</x:f>
        <x:v>Yes</x:v>
      </x:c>
    </x:row>
    <x:row r="302">
      <x:c r="A302" t="str">
        <x:f>'Employee Attendance'!A102</x:f>
        <x:v>David Mugo</x:v>
      </x:c>
      <x:c r="B302" t="str">
        <x:f>'Employee Attendance'!B102</x:f>
        <x:v>Kenya</x:v>
      </x:c>
      <x:c r="C302" t="str">
        <x:f>'Employee Attendance'!C102</x:f>
        <x:v>KE</x:v>
      </x:c>
      <x:c r="D302" t="str">
        <x:f>'Employee Attendance'!D102</x:f>
        <x:v>david.mugo@pwc.com</x:v>
      </x:c>
      <x:c r="E302" t="str">
        <x:f>"Option 1"</x:f>
        <x:v>Option 1</x:v>
      </x:c>
      <x:c r="F302" s="14" t="n">
        <x:f>'Employee Attendance'!E102</x:f>
        <x:v>0.08430555555555555</x:v>
      </x:c>
      <x:c r="G302" t="n">
        <x:f>F302*86400</x:f>
        <x:v>7283.999999999999</x:v>
      </x:c>
      <x:c r="H302" t="str">
        <x:f>'Employee Attendance'!F102</x:f>
        <x:v>Fully attended</x:v>
      </x:c>
      <x:c r="I302" t="str">
        <x:f>'Employee Attendance'!K102</x:f>
        <x:v>Yes</x:v>
      </x:c>
    </x:row>
    <x:row r="303">
      <x:c r="A303" t="str">
        <x:f>'Employee Attendance'!A102</x:f>
        <x:v>David Mugo</x:v>
      </x:c>
      <x:c r="B303" t="str">
        <x:f>'Employee Attendance'!B102</x:f>
        <x:v>Kenya</x:v>
      </x:c>
      <x:c r="C303" t="str">
        <x:f>'Employee Attendance'!C102</x:f>
        <x:v>KE</x:v>
      </x:c>
      <x:c r="D303" t="str">
        <x:f>'Employee Attendance'!D102</x:f>
        <x:v>david.mugo@pwc.com</x:v>
      </x:c>
      <x:c r="E303" t="str">
        <x:f>"Option 2"</x:f>
        <x:v>Option 2</x:v>
      </x:c>
      <x:c r="F303" s="14" t="n">
        <x:f>'Employee Attendance'!G102</x:f>
        <x:v>0</x:v>
      </x:c>
      <x:c r="G303" t="n">
        <x:f>F303*86400</x:f>
        <x:v>0</x:v>
      </x:c>
      <x:c r="H303" t="str">
        <x:f>'Employee Attendance'!H102</x:f>
        <x:v>Did not attend</x:v>
      </x:c>
      <x:c r="I303" t="str">
        <x:f>'Employee Attendance'!L102</x:f>
        <x:v>No</x:v>
      </x:c>
    </x:row>
    <x:row r="304">
      <x:c r="A304" t="str">
        <x:f>'Employee Attendance'!A102</x:f>
        <x:v>David Mugo</x:v>
      </x:c>
      <x:c r="B304" t="str">
        <x:f>'Employee Attendance'!B102</x:f>
        <x:v>Kenya</x:v>
      </x:c>
      <x:c r="C304" t="str">
        <x:f>'Employee Attendance'!C102</x:f>
        <x:v>KE</x:v>
      </x:c>
      <x:c r="D304" t="str">
        <x:f>'Employee Attendance'!D102</x:f>
        <x:v>david.mugo@pwc.com</x:v>
      </x:c>
      <x:c r="E304" t="str">
        <x:f>"Combined"</x:f>
        <x:v>Combined</x:v>
      </x:c>
      <x:c r="F304" s="14" t="n">
        <x:f>'Employee Attendance'!I102</x:f>
        <x:v>0.08430555555555555</x:v>
      </x:c>
      <x:c r="G304" t="n">
        <x:f>F304*86400</x:f>
        <x:v>7283.999999999999</x:v>
      </x:c>
      <x:c r="H304" t="str">
        <x:f>'Employee Attendance'!J102</x:f>
        <x:v>Fully attended</x:v>
      </x:c>
      <x:c r="I304" t="str">
        <x:f>IF(OR('Employee Attendance'!K102="Yes",'Employee Attendance'!L102="Yes"),"Yes","No")</x:f>
        <x:v>Yes</x:v>
      </x:c>
    </x:row>
    <x:row r="305">
      <x:c r="A305" t="str">
        <x:f>'Employee Attendance'!A103</x:f>
        <x:v>DAVID Pamba</x:v>
      </x:c>
      <x:c r="B305" t="str">
        <x:f>'Employee Attendance'!B103</x:f>
        <x:v>Rwanda</x:v>
      </x:c>
      <x:c r="C305" t="str">
        <x:f>'Employee Attendance'!C103</x:f>
        <x:v>RW</x:v>
      </x:c>
      <x:c r="D305" t="str">
        <x:f>'Employee Attendance'!D103</x:f>
        <x:v>david.pamba@pwc.com</x:v>
      </x:c>
      <x:c r="E305" t="str">
        <x:f>"Option 1"</x:f>
        <x:v>Option 1</x:v>
      </x:c>
      <x:c r="F305" s="14" t="n">
        <x:f>'Employee Attendance'!E103</x:f>
        <x:v>0.08686342592592593</x:v>
      </x:c>
      <x:c r="G305" t="n">
        <x:f>F305*86400</x:f>
        <x:v>7505</x:v>
      </x:c>
      <x:c r="H305" t="str">
        <x:f>'Employee Attendance'!F103</x:f>
        <x:v>Fully attended</x:v>
      </x:c>
      <x:c r="I305" t="str">
        <x:f>'Employee Attendance'!K103</x:f>
        <x:v>Yes</x:v>
      </x:c>
    </x:row>
    <x:row r="306">
      <x:c r="A306" t="str">
        <x:f>'Employee Attendance'!A103</x:f>
        <x:v>DAVID Pamba</x:v>
      </x:c>
      <x:c r="B306" t="str">
        <x:f>'Employee Attendance'!B103</x:f>
        <x:v>Rwanda</x:v>
      </x:c>
      <x:c r="C306" t="str">
        <x:f>'Employee Attendance'!C103</x:f>
        <x:v>RW</x:v>
      </x:c>
      <x:c r="D306" t="str">
        <x:f>'Employee Attendance'!D103</x:f>
        <x:v>david.pamba@pwc.com</x:v>
      </x:c>
      <x:c r="E306" t="str">
        <x:f>"Option 2"</x:f>
        <x:v>Option 2</x:v>
      </x:c>
      <x:c r="F306" s="14" t="n">
        <x:f>'Employee Attendance'!G103</x:f>
        <x:v>0</x:v>
      </x:c>
      <x:c r="G306" t="n">
        <x:f>F306*86400</x:f>
        <x:v>0</x:v>
      </x:c>
      <x:c r="H306" t="str">
        <x:f>'Employee Attendance'!H103</x:f>
        <x:v>Did not attend</x:v>
      </x:c>
      <x:c r="I306" t="str">
        <x:f>'Employee Attendance'!L103</x:f>
        <x:v>No</x:v>
      </x:c>
    </x:row>
    <x:row r="307">
      <x:c r="A307" t="str">
        <x:f>'Employee Attendance'!A103</x:f>
        <x:v>DAVID Pamba</x:v>
      </x:c>
      <x:c r="B307" t="str">
        <x:f>'Employee Attendance'!B103</x:f>
        <x:v>Rwanda</x:v>
      </x:c>
      <x:c r="C307" t="str">
        <x:f>'Employee Attendance'!C103</x:f>
        <x:v>RW</x:v>
      </x:c>
      <x:c r="D307" t="str">
        <x:f>'Employee Attendance'!D103</x:f>
        <x:v>david.pamba@pwc.com</x:v>
      </x:c>
      <x:c r="E307" t="str">
        <x:f>"Combined"</x:f>
        <x:v>Combined</x:v>
      </x:c>
      <x:c r="F307" s="14" t="n">
        <x:f>'Employee Attendance'!I103</x:f>
        <x:v>0.08686342592592593</x:v>
      </x:c>
      <x:c r="G307" t="n">
        <x:f>F307*86400</x:f>
        <x:v>7505</x:v>
      </x:c>
      <x:c r="H307" t="str">
        <x:f>'Employee Attendance'!J103</x:f>
        <x:v>Fully attended</x:v>
      </x:c>
      <x:c r="I307" t="str">
        <x:f>IF(OR('Employee Attendance'!K103="Yes",'Employee Attendance'!L103="Yes"),"Yes","No")</x:f>
        <x:v>Yes</x:v>
      </x:c>
    </x:row>
    <x:row r="308">
      <x:c r="A308" t="str">
        <x:f>'Employee Attendance'!A104</x:f>
        <x:v>Davidson Ringo</x:v>
      </x:c>
      <x:c r="B308" t="str">
        <x:f>'Employee Attendance'!B104</x:f>
        <x:v>Rwanda</x:v>
      </x:c>
      <x:c r="C308" t="str">
        <x:f>'Employee Attendance'!C104</x:f>
        <x:v>RW</x:v>
      </x:c>
      <x:c r="D308" t="str">
        <x:f>'Employee Attendance'!D104</x:f>
        <x:v>davidson.a.ringo@pwc.com</x:v>
      </x:c>
      <x:c r="E308" t="str">
        <x:f>"Option 1"</x:f>
        <x:v>Option 1</x:v>
      </x:c>
      <x:c r="F308" s="14" t="n">
        <x:f>'Employee Attendance'!E104</x:f>
        <x:v>0.03467592592592592</x:v>
      </x:c>
      <x:c r="G308" t="n">
        <x:f>F308*86400</x:f>
        <x:v>2995.9999999999995</x:v>
      </x:c>
      <x:c r="H308" t="str">
        <x:f>'Employee Attendance'!F104</x:f>
        <x:v>Partially attended</x:v>
      </x:c>
      <x:c r="I308" t="str">
        <x:f>'Employee Attendance'!K104</x:f>
        <x:v>Yes</x:v>
      </x:c>
    </x:row>
    <x:row r="309">
      <x:c r="A309" t="str">
        <x:f>'Employee Attendance'!A104</x:f>
        <x:v>Davidson Ringo</x:v>
      </x:c>
      <x:c r="B309" t="str">
        <x:f>'Employee Attendance'!B104</x:f>
        <x:v>Rwanda</x:v>
      </x:c>
      <x:c r="C309" t="str">
        <x:f>'Employee Attendance'!C104</x:f>
        <x:v>RW</x:v>
      </x:c>
      <x:c r="D309" t="str">
        <x:f>'Employee Attendance'!D104</x:f>
        <x:v>davidson.a.ringo@pwc.com</x:v>
      </x:c>
      <x:c r="E309" t="str">
        <x:f>"Option 2"</x:f>
        <x:v>Option 2</x:v>
      </x:c>
      <x:c r="F309" s="14" t="n">
        <x:f>'Employee Attendance'!G104</x:f>
        <x:v>0.026122685185185186</x:v>
      </x:c>
      <x:c r="G309" t="n">
        <x:f>F309*86400</x:f>
        <x:v>2257</x:v>
      </x:c>
      <x:c r="H309" t="str">
        <x:f>'Employee Attendance'!H104</x:f>
        <x:v>Partially attended</x:v>
      </x:c>
      <x:c r="I309" t="str">
        <x:f>'Employee Attendance'!L104</x:f>
        <x:v>Yes</x:v>
      </x:c>
    </x:row>
    <x:row r="310">
      <x:c r="A310" t="str">
        <x:f>'Employee Attendance'!A104</x:f>
        <x:v>Davidson Ringo</x:v>
      </x:c>
      <x:c r="B310" t="str">
        <x:f>'Employee Attendance'!B104</x:f>
        <x:v>Rwanda</x:v>
      </x:c>
      <x:c r="C310" t="str">
        <x:f>'Employee Attendance'!C104</x:f>
        <x:v>RW</x:v>
      </x:c>
      <x:c r="D310" t="str">
        <x:f>'Employee Attendance'!D104</x:f>
        <x:v>davidson.a.ringo@pwc.com</x:v>
      </x:c>
      <x:c r="E310" t="str">
        <x:f>"Combined"</x:f>
        <x:v>Combined</x:v>
      </x:c>
      <x:c r="F310" s="14" t="n">
        <x:f>'Employee Attendance'!I104</x:f>
        <x:v>0.06079861111111111</x:v>
      </x:c>
      <x:c r="G310" t="n">
        <x:f>F310*86400</x:f>
        <x:v>5253</x:v>
      </x:c>
      <x:c r="H310" t="str">
        <x:f>'Employee Attendance'!J104</x:f>
        <x:v>Partially attended</x:v>
      </x:c>
      <x:c r="I310" t="str">
        <x:f>IF(OR('Employee Attendance'!K104="Yes",'Employee Attendance'!L104="Yes"),"Yes","No")</x:f>
        <x:v>Yes</x:v>
      </x:c>
    </x:row>
    <x:row r="311">
      <x:c r="A311" t="str">
        <x:f>'Employee Attendance'!A105</x:f>
        <x:v>Davis Ndunguru</x:v>
      </x:c>
      <x:c r="B311" t="str">
        <x:f>'Employee Attendance'!B105</x:f>
        <x:v>Tanzania</x:v>
      </x:c>
      <x:c r="C311" t="str">
        <x:f>'Employee Attendance'!C105</x:f>
        <x:v>TZ</x:v>
      </x:c>
      <x:c r="D311" t="str">
        <x:f>'Employee Attendance'!D105</x:f>
        <x:v>davis.ndunguru@pwc.com</x:v>
      </x:c>
      <x:c r="E311" t="str">
        <x:f>"Option 1"</x:f>
        <x:v>Option 1</x:v>
      </x:c>
      <x:c r="F311" s="14" t="n">
        <x:f>'Employee Attendance'!E105</x:f>
        <x:v>0.05313657407407407</x:v>
      </x:c>
      <x:c r="G311" t="n">
        <x:f>F311*86400</x:f>
        <x:v>4591</x:v>
      </x:c>
      <x:c r="H311" t="str">
        <x:f>'Employee Attendance'!F105</x:f>
        <x:v>Partially attended</x:v>
      </x:c>
      <x:c r="I311" t="str">
        <x:f>'Employee Attendance'!K105</x:f>
        <x:v>Yes</x:v>
      </x:c>
    </x:row>
    <x:row r="312">
      <x:c r="A312" t="str">
        <x:f>'Employee Attendance'!A105</x:f>
        <x:v>Davis Ndunguru</x:v>
      </x:c>
      <x:c r="B312" t="str">
        <x:f>'Employee Attendance'!B105</x:f>
        <x:v>Tanzania</x:v>
      </x:c>
      <x:c r="C312" t="str">
        <x:f>'Employee Attendance'!C105</x:f>
        <x:v>TZ</x:v>
      </x:c>
      <x:c r="D312" t="str">
        <x:f>'Employee Attendance'!D105</x:f>
        <x:v>davis.ndunguru@pwc.com</x:v>
      </x:c>
      <x:c r="E312" t="str">
        <x:f>"Option 2"</x:f>
        <x:v>Option 2</x:v>
      </x:c>
      <x:c r="F312" s="14" t="n">
        <x:f>'Employee Attendance'!G105</x:f>
        <x:v>0.030694444444444444</x:v>
      </x:c>
      <x:c r="G312" t="n">
        <x:f>F312*86400</x:f>
        <x:v>2652</x:v>
      </x:c>
      <x:c r="H312" t="str">
        <x:f>'Employee Attendance'!H105</x:f>
        <x:v>Partially attended</x:v>
      </x:c>
      <x:c r="I312" t="str">
        <x:f>'Employee Attendance'!L105</x:f>
        <x:v>Yes</x:v>
      </x:c>
    </x:row>
    <x:row r="313">
      <x:c r="A313" t="str">
        <x:f>'Employee Attendance'!A105</x:f>
        <x:v>Davis Ndunguru</x:v>
      </x:c>
      <x:c r="B313" t="str">
        <x:f>'Employee Attendance'!B105</x:f>
        <x:v>Tanzania</x:v>
      </x:c>
      <x:c r="C313" t="str">
        <x:f>'Employee Attendance'!C105</x:f>
        <x:v>TZ</x:v>
      </x:c>
      <x:c r="D313" t="str">
        <x:f>'Employee Attendance'!D105</x:f>
        <x:v>davis.ndunguru@pwc.com</x:v>
      </x:c>
      <x:c r="E313" t="str">
        <x:f>"Combined"</x:f>
        <x:v>Combined</x:v>
      </x:c>
      <x:c r="F313" s="14" t="n">
        <x:f>'Employee Attendance'!I105</x:f>
        <x:v>0.08383101851851851</x:v>
      </x:c>
      <x:c r="G313" t="n">
        <x:f>F313*86400</x:f>
        <x:v>7242.999999999999</x:v>
      </x:c>
      <x:c r="H313" t="str">
        <x:f>'Employee Attendance'!J105</x:f>
        <x:v>Fully attended</x:v>
      </x:c>
      <x:c r="I313" t="str">
        <x:f>IF(OR('Employee Attendance'!K105="Yes",'Employee Attendance'!L105="Yes"),"Yes","No")</x:f>
        <x:v>Yes</x:v>
      </x:c>
    </x:row>
    <x:row r="314">
      <x:c r="A314" t="str">
        <x:f>'Employee Attendance'!A106</x:f>
        <x:v>Davish Budhai</x:v>
      </x:c>
      <x:c r="B314" t="str">
        <x:f>'Employee Attendance'!B106</x:f>
        <x:v>Mauritius</x:v>
      </x:c>
      <x:c r="C314" t="str">
        <x:f>'Employee Attendance'!C106</x:f>
        <x:v>MU</x:v>
      </x:c>
      <x:c r="D314" t="str">
        <x:f>'Employee Attendance'!D106</x:f>
        <x:v>davish.budhai@pwc.com</x:v>
      </x:c>
      <x:c r="E314" t="str">
        <x:f>"Option 1"</x:f>
        <x:v>Option 1</x:v>
      </x:c>
      <x:c r="F314" s="14" t="n">
        <x:f>'Employee Attendance'!E106</x:f>
        <x:v>0.0846412037037037</x:v>
      </x:c>
      <x:c r="G314" t="n">
        <x:f>F314*86400</x:f>
        <x:v>7313</x:v>
      </x:c>
      <x:c r="H314" t="str">
        <x:f>'Employee Attendance'!F106</x:f>
        <x:v>Fully attended</x:v>
      </x:c>
      <x:c r="I314" t="str">
        <x:f>'Employee Attendance'!K106</x:f>
        <x:v>Yes</x:v>
      </x:c>
    </x:row>
    <x:row r="315">
      <x:c r="A315" t="str">
        <x:f>'Employee Attendance'!A106</x:f>
        <x:v>Davish Budhai</x:v>
      </x:c>
      <x:c r="B315" t="str">
        <x:f>'Employee Attendance'!B106</x:f>
        <x:v>Mauritius</x:v>
      </x:c>
      <x:c r="C315" t="str">
        <x:f>'Employee Attendance'!C106</x:f>
        <x:v>MU</x:v>
      </x:c>
      <x:c r="D315" t="str">
        <x:f>'Employee Attendance'!D106</x:f>
        <x:v>davish.budhai@pwc.com</x:v>
      </x:c>
      <x:c r="E315" t="str">
        <x:f>"Option 2"</x:f>
        <x:v>Option 2</x:v>
      </x:c>
      <x:c r="F315" s="14" t="n">
        <x:f>'Employee Attendance'!G106</x:f>
        <x:v>0</x:v>
      </x:c>
      <x:c r="G315" t="n">
        <x:f>F315*86400</x:f>
        <x:v>0</x:v>
      </x:c>
      <x:c r="H315" t="str">
        <x:f>'Employee Attendance'!H106</x:f>
        <x:v>Did not attend</x:v>
      </x:c>
      <x:c r="I315" t="str">
        <x:f>'Employee Attendance'!L106</x:f>
        <x:v>No</x:v>
      </x:c>
    </x:row>
    <x:row r="316">
      <x:c r="A316" t="str">
        <x:f>'Employee Attendance'!A106</x:f>
        <x:v>Davish Budhai</x:v>
      </x:c>
      <x:c r="B316" t="str">
        <x:f>'Employee Attendance'!B106</x:f>
        <x:v>Mauritius</x:v>
      </x:c>
      <x:c r="C316" t="str">
        <x:f>'Employee Attendance'!C106</x:f>
        <x:v>MU</x:v>
      </x:c>
      <x:c r="D316" t="str">
        <x:f>'Employee Attendance'!D106</x:f>
        <x:v>davish.budhai@pwc.com</x:v>
      </x:c>
      <x:c r="E316" t="str">
        <x:f>"Combined"</x:f>
        <x:v>Combined</x:v>
      </x:c>
      <x:c r="F316" s="14" t="n">
        <x:f>'Employee Attendance'!I106</x:f>
        <x:v>0.0846412037037037</x:v>
      </x:c>
      <x:c r="G316" t="n">
        <x:f>F316*86400</x:f>
        <x:v>7313</x:v>
      </x:c>
      <x:c r="H316" t="str">
        <x:f>'Employee Attendance'!J106</x:f>
        <x:v>Fully attended</x:v>
      </x:c>
      <x:c r="I316" t="str">
        <x:f>IF(OR('Employee Attendance'!K106="Yes",'Employee Attendance'!L106="Yes"),"Yes","No")</x:f>
        <x:v>Yes</x:v>
      </x:c>
    </x:row>
    <x:row r="317">
      <x:c r="A317" t="str">
        <x:f>'Employee Attendance'!A107</x:f>
        <x:v>Dean Young</x:v>
      </x:c>
      <x:c r="B317" t="str">
        <x:f>'Employee Attendance'!B107</x:f>
        <x:v>Mauritius</x:v>
      </x:c>
      <x:c r="C317" t="str">
        <x:f>'Employee Attendance'!C107</x:f>
        <x:v>MU</x:v>
      </x:c>
      <x:c r="D317" t="str">
        <x:f>'Employee Attendance'!D107</x:f>
        <x:v>dean.young@pwc.com</x:v>
      </x:c>
      <x:c r="E317" t="str">
        <x:f>"Option 1"</x:f>
        <x:v>Option 1</x:v>
      </x:c>
      <x:c r="F317" s="14" t="n">
        <x:f>'Employee Attendance'!E107</x:f>
        <x:v>0.08627314814814815</x:v>
      </x:c>
      <x:c r="G317" t="n">
        <x:f>F317*86400</x:f>
        <x:v>7454.000000000001</x:v>
      </x:c>
      <x:c r="H317" t="str">
        <x:f>'Employee Attendance'!F107</x:f>
        <x:v>Fully attended</x:v>
      </x:c>
      <x:c r="I317" t="str">
        <x:f>'Employee Attendance'!K107</x:f>
        <x:v>Yes</x:v>
      </x:c>
    </x:row>
    <x:row r="318">
      <x:c r="A318" t="str">
        <x:f>'Employee Attendance'!A107</x:f>
        <x:v>Dean Young</x:v>
      </x:c>
      <x:c r="B318" t="str">
        <x:f>'Employee Attendance'!B107</x:f>
        <x:v>Mauritius</x:v>
      </x:c>
      <x:c r="C318" t="str">
        <x:f>'Employee Attendance'!C107</x:f>
        <x:v>MU</x:v>
      </x:c>
      <x:c r="D318" t="str">
        <x:f>'Employee Attendance'!D107</x:f>
        <x:v>dean.young@pwc.com</x:v>
      </x:c>
      <x:c r="E318" t="str">
        <x:f>"Option 2"</x:f>
        <x:v>Option 2</x:v>
      </x:c>
      <x:c r="F318" s="14" t="n">
        <x:f>'Employee Attendance'!G107</x:f>
        <x:v>0</x:v>
      </x:c>
      <x:c r="G318" t="n">
        <x:f>F318*86400</x:f>
        <x:v>0</x:v>
      </x:c>
      <x:c r="H318" t="str">
        <x:f>'Employee Attendance'!H107</x:f>
        <x:v>Did not attend</x:v>
      </x:c>
      <x:c r="I318" t="str">
        <x:f>'Employee Attendance'!L107</x:f>
        <x:v>No</x:v>
      </x:c>
    </x:row>
    <x:row r="319">
      <x:c r="A319" t="str">
        <x:f>'Employee Attendance'!A107</x:f>
        <x:v>Dean Young</x:v>
      </x:c>
      <x:c r="B319" t="str">
        <x:f>'Employee Attendance'!B107</x:f>
        <x:v>Mauritius</x:v>
      </x:c>
      <x:c r="C319" t="str">
        <x:f>'Employee Attendance'!C107</x:f>
        <x:v>MU</x:v>
      </x:c>
      <x:c r="D319" t="str">
        <x:f>'Employee Attendance'!D107</x:f>
        <x:v>dean.young@pwc.com</x:v>
      </x:c>
      <x:c r="E319" t="str">
        <x:f>"Combined"</x:f>
        <x:v>Combined</x:v>
      </x:c>
      <x:c r="F319" s="14" t="n">
        <x:f>'Employee Attendance'!I107</x:f>
        <x:v>0.08627314814814815</x:v>
      </x:c>
      <x:c r="G319" t="n">
        <x:f>F319*86400</x:f>
        <x:v>7454.000000000001</x:v>
      </x:c>
      <x:c r="H319" t="str">
        <x:f>'Employee Attendance'!J107</x:f>
        <x:v>Fully attended</x:v>
      </x:c>
      <x:c r="I319" t="str">
        <x:f>IF(OR('Employee Attendance'!K107="Yes",'Employee Attendance'!L107="Yes"),"Yes","No")</x:f>
        <x:v>Yes</x:v>
      </x:c>
    </x:row>
    <x:row r="320">
      <x:c r="A320" t="str">
        <x:f>'Employee Attendance'!A108</x:f>
        <x:v>Deborah Lukwesa</x:v>
      </x:c>
      <x:c r="B320" t="str">
        <x:f>'Employee Attendance'!B108</x:f>
        <x:v>Zambia</x:v>
      </x:c>
      <x:c r="C320" t="str">
        <x:f>'Employee Attendance'!C108</x:f>
        <x:v>ZM</x:v>
      </x:c>
      <x:c r="D320" t="str">
        <x:f>'Employee Attendance'!D108</x:f>
        <x:v>deborah.lukwesa@pwc.com</x:v>
      </x:c>
      <x:c r="E320" t="str">
        <x:f>"Option 1"</x:f>
        <x:v>Option 1</x:v>
      </x:c>
      <x:c r="F320" s="14" t="n">
        <x:f>'Employee Attendance'!E108</x:f>
        <x:v>0.08847222222222222</x:v>
      </x:c>
      <x:c r="G320" t="n">
        <x:f>F320*86400</x:f>
        <x:v>7643.999999999999</x:v>
      </x:c>
      <x:c r="H320" t="str">
        <x:f>'Employee Attendance'!F108</x:f>
        <x:v>Fully attended</x:v>
      </x:c>
      <x:c r="I320" t="str">
        <x:f>'Employee Attendance'!K108</x:f>
        <x:v>Yes</x:v>
      </x:c>
    </x:row>
    <x:row r="321">
      <x:c r="A321" t="str">
        <x:f>'Employee Attendance'!A108</x:f>
        <x:v>Deborah Lukwesa</x:v>
      </x:c>
      <x:c r="B321" t="str">
        <x:f>'Employee Attendance'!B108</x:f>
        <x:v>Zambia</x:v>
      </x:c>
      <x:c r="C321" t="str">
        <x:f>'Employee Attendance'!C108</x:f>
        <x:v>ZM</x:v>
      </x:c>
      <x:c r="D321" t="str">
        <x:f>'Employee Attendance'!D108</x:f>
        <x:v>deborah.lukwesa@pwc.com</x:v>
      </x:c>
      <x:c r="E321" t="str">
        <x:f>"Option 2"</x:f>
        <x:v>Option 2</x:v>
      </x:c>
      <x:c r="F321" s="14" t="n">
        <x:f>'Employee Attendance'!G108</x:f>
        <x:v>0.07778935185185185</x:v>
      </x:c>
      <x:c r="G321" t="n">
        <x:f>F321*86400</x:f>
        <x:v>6720.999999999999</x:v>
      </x:c>
      <x:c r="H321" t="str">
        <x:f>'Employee Attendance'!H108</x:f>
        <x:v>Fully attended</x:v>
      </x:c>
      <x:c r="I321" t="str">
        <x:f>'Employee Attendance'!L108</x:f>
        <x:v>Yes</x:v>
      </x:c>
    </x:row>
    <x:row r="322">
      <x:c r="A322" t="str">
        <x:f>'Employee Attendance'!A108</x:f>
        <x:v>Deborah Lukwesa</x:v>
      </x:c>
      <x:c r="B322" t="str">
        <x:f>'Employee Attendance'!B108</x:f>
        <x:v>Zambia</x:v>
      </x:c>
      <x:c r="C322" t="str">
        <x:f>'Employee Attendance'!C108</x:f>
        <x:v>ZM</x:v>
      </x:c>
      <x:c r="D322" t="str">
        <x:f>'Employee Attendance'!D108</x:f>
        <x:v>deborah.lukwesa@pwc.com</x:v>
      </x:c>
      <x:c r="E322" t="str">
        <x:f>"Combined"</x:f>
        <x:v>Combined</x:v>
      </x:c>
      <x:c r="F322" s="14" t="n">
        <x:f>'Employee Attendance'!I108</x:f>
        <x:v>0.16626157407407405</x:v>
      </x:c>
      <x:c r="G322" t="n">
        <x:f>F322*86400</x:f>
        <x:v>14364.999999999998</x:v>
      </x:c>
      <x:c r="H322" t="str">
        <x:f>'Employee Attendance'!J108</x:f>
        <x:v>Fully attended</x:v>
      </x:c>
      <x:c r="I322" t="str">
        <x:f>IF(OR('Employee Attendance'!K108="Yes",'Employee Attendance'!L108="Yes"),"Yes","No")</x:f>
        <x:v>Yes</x:v>
      </x:c>
    </x:row>
    <x:row r="323">
      <x:c r="A323" t="str">
        <x:f>'Employee Attendance'!A109</x:f>
        <x:v>Debra Banda</x:v>
      </x:c>
      <x:c r="B323" t="str">
        <x:f>'Employee Attendance'!B109</x:f>
        <x:v>Zambia</x:v>
      </x:c>
      <x:c r="C323" t="str">
        <x:f>'Employee Attendance'!C109</x:f>
        <x:v>ZM</x:v>
      </x:c>
      <x:c r="D323" t="str">
        <x:f>'Employee Attendance'!D109</x:f>
        <x:v>debra.b.banda@pwc.com</x:v>
      </x:c>
      <x:c r="E323" t="str">
        <x:f>"Option 1"</x:f>
        <x:v>Option 1</x:v>
      </x:c>
      <x:c r="F323" s="14" t="n">
        <x:f>'Employee Attendance'!E109</x:f>
        <x:v>0</x:v>
      </x:c>
      <x:c r="G323" t="n">
        <x:f>F323*86400</x:f>
        <x:v>0</x:v>
      </x:c>
      <x:c r="H323" t="str">
        <x:f>'Employee Attendance'!F109</x:f>
        <x:v>Did not attend</x:v>
      </x:c>
      <x:c r="I323" t="str">
        <x:f>'Employee Attendance'!K109</x:f>
        <x:v>No</x:v>
      </x:c>
    </x:row>
    <x:row r="324">
      <x:c r="A324" t="str">
        <x:f>'Employee Attendance'!A109</x:f>
        <x:v>Debra Banda</x:v>
      </x:c>
      <x:c r="B324" t="str">
        <x:f>'Employee Attendance'!B109</x:f>
        <x:v>Zambia</x:v>
      </x:c>
      <x:c r="C324" t="str">
        <x:f>'Employee Attendance'!C109</x:f>
        <x:v>ZM</x:v>
      </x:c>
      <x:c r="D324" t="str">
        <x:f>'Employee Attendance'!D109</x:f>
        <x:v>debra.b.banda@pwc.com</x:v>
      </x:c>
      <x:c r="E324" t="str">
        <x:f>"Option 2"</x:f>
        <x:v>Option 2</x:v>
      </x:c>
      <x:c r="F324" s="14" t="n">
        <x:f>'Employee Attendance'!G109</x:f>
        <x:v>0.08202546296296297</x:v>
      </x:c>
      <x:c r="G324" t="n">
        <x:f>F324*86400</x:f>
        <x:v>7087</x:v>
      </x:c>
      <x:c r="H324" t="str">
        <x:f>'Employee Attendance'!H109</x:f>
        <x:v>Fully attended</x:v>
      </x:c>
      <x:c r="I324" t="str">
        <x:f>'Employee Attendance'!L109</x:f>
        <x:v>Yes</x:v>
      </x:c>
    </x:row>
    <x:row r="325">
      <x:c r="A325" t="str">
        <x:f>'Employee Attendance'!A109</x:f>
        <x:v>Debra Banda</x:v>
      </x:c>
      <x:c r="B325" t="str">
        <x:f>'Employee Attendance'!B109</x:f>
        <x:v>Zambia</x:v>
      </x:c>
      <x:c r="C325" t="str">
        <x:f>'Employee Attendance'!C109</x:f>
        <x:v>ZM</x:v>
      </x:c>
      <x:c r="D325" t="str">
        <x:f>'Employee Attendance'!D109</x:f>
        <x:v>debra.b.banda@pwc.com</x:v>
      </x:c>
      <x:c r="E325" t="str">
        <x:f>"Combined"</x:f>
        <x:v>Combined</x:v>
      </x:c>
      <x:c r="F325" s="14" t="n">
        <x:f>'Employee Attendance'!I109</x:f>
        <x:v>0.08202546296296297</x:v>
      </x:c>
      <x:c r="G325" t="n">
        <x:f>F325*86400</x:f>
        <x:v>7087</x:v>
      </x:c>
      <x:c r="H325" t="str">
        <x:f>'Employee Attendance'!J109</x:f>
        <x:v>Fully attended</x:v>
      </x:c>
      <x:c r="I325" t="str">
        <x:f>IF(OR('Employee Attendance'!K109="Yes",'Employee Attendance'!L109="Yes"),"Yes","No")</x:f>
        <x:v>Yes</x:v>
      </x:c>
    </x:row>
    <x:row r="326">
      <x:c r="A326" t="str">
        <x:f>'Employee Attendance'!A110</x:f>
        <x:v>Derrick Tembo</x:v>
      </x:c>
      <x:c r="B326" t="str">
        <x:f>'Employee Attendance'!B110</x:f>
        <x:v>Zambia</x:v>
      </x:c>
      <x:c r="C326" t="str">
        <x:f>'Employee Attendance'!C110</x:f>
        <x:v>ZM</x:v>
      </x:c>
      <x:c r="D326" t="str">
        <x:f>'Employee Attendance'!D110</x:f>
        <x:v>derrick.tembo@pwc.com</x:v>
      </x:c>
      <x:c r="E326" t="str">
        <x:f>"Option 1"</x:f>
        <x:v>Option 1</x:v>
      </x:c>
      <x:c r="F326" s="14" t="n">
        <x:f>'Employee Attendance'!E110</x:f>
        <x:v>0</x:v>
      </x:c>
      <x:c r="G326" t="n">
        <x:f>F326*86400</x:f>
        <x:v>0</x:v>
      </x:c>
      <x:c r="H326" t="str">
        <x:f>'Employee Attendance'!F110</x:f>
        <x:v>Did not attend</x:v>
      </x:c>
      <x:c r="I326" t="str">
        <x:f>'Employee Attendance'!K110</x:f>
        <x:v>No</x:v>
      </x:c>
    </x:row>
    <x:row r="327">
      <x:c r="A327" t="str">
        <x:f>'Employee Attendance'!A110</x:f>
        <x:v>Derrick Tembo</x:v>
      </x:c>
      <x:c r="B327" t="str">
        <x:f>'Employee Attendance'!B110</x:f>
        <x:v>Zambia</x:v>
      </x:c>
      <x:c r="C327" t="str">
        <x:f>'Employee Attendance'!C110</x:f>
        <x:v>ZM</x:v>
      </x:c>
      <x:c r="D327" t="str">
        <x:f>'Employee Attendance'!D110</x:f>
        <x:v>derrick.tembo@pwc.com</x:v>
      </x:c>
      <x:c r="E327" t="str">
        <x:f>"Option 2"</x:f>
        <x:v>Option 2</x:v>
      </x:c>
      <x:c r="F327" s="14" t="n">
        <x:f>'Employee Attendance'!G110</x:f>
        <x:v>0.08168981481481481</x:v>
      </x:c>
      <x:c r="G327" t="n">
        <x:f>F327*86400</x:f>
        <x:v>7058</x:v>
      </x:c>
      <x:c r="H327" t="str">
        <x:f>'Employee Attendance'!H110</x:f>
        <x:v>Fully attended</x:v>
      </x:c>
      <x:c r="I327" t="str">
        <x:f>'Employee Attendance'!L110</x:f>
        <x:v>Yes</x:v>
      </x:c>
    </x:row>
    <x:row r="328">
      <x:c r="A328" t="str">
        <x:f>'Employee Attendance'!A110</x:f>
        <x:v>Derrick Tembo</x:v>
      </x:c>
      <x:c r="B328" t="str">
        <x:f>'Employee Attendance'!B110</x:f>
        <x:v>Zambia</x:v>
      </x:c>
      <x:c r="C328" t="str">
        <x:f>'Employee Attendance'!C110</x:f>
        <x:v>ZM</x:v>
      </x:c>
      <x:c r="D328" t="str">
        <x:f>'Employee Attendance'!D110</x:f>
        <x:v>derrick.tembo@pwc.com</x:v>
      </x:c>
      <x:c r="E328" t="str">
        <x:f>"Combined"</x:f>
        <x:v>Combined</x:v>
      </x:c>
      <x:c r="F328" s="14" t="n">
        <x:f>'Employee Attendance'!I110</x:f>
        <x:v>0.08168981481481481</x:v>
      </x:c>
      <x:c r="G328" t="n">
        <x:f>F328*86400</x:f>
        <x:v>7058</x:v>
      </x:c>
      <x:c r="H328" t="str">
        <x:f>'Employee Attendance'!J110</x:f>
        <x:v>Fully attended</x:v>
      </x:c>
      <x:c r="I328" t="str">
        <x:f>IF(OR('Employee Attendance'!K110="Yes",'Employee Attendance'!L110="Yes"),"Yes","No")</x:f>
        <x:v>Yes</x:v>
      </x:c>
    </x:row>
    <x:row r="329">
      <x:c r="A329" t="str">
        <x:f>'Employee Attendance'!A111</x:f>
        <x:v>Deveena Seelochun</x:v>
      </x:c>
      <x:c r="B329" t="str">
        <x:f>'Employee Attendance'!B111</x:f>
        <x:v>Mauritius</x:v>
      </x:c>
      <x:c r="C329" t="str">
        <x:f>'Employee Attendance'!C111</x:f>
        <x:v>MU</x:v>
      </x:c>
      <x:c r="D329" t="str">
        <x:f>'Employee Attendance'!D111</x:f>
        <x:v>deveena.seelochun@pwc.com</x:v>
      </x:c>
      <x:c r="E329" t="str">
        <x:f>"Option 1"</x:f>
        <x:v>Option 1</x:v>
      </x:c>
      <x:c r="F329" s="14" t="n">
        <x:f>'Employee Attendance'!E111</x:f>
        <x:v>0</x:v>
      </x:c>
      <x:c r="G329" t="n">
        <x:f>F329*86400</x:f>
        <x:v>0</x:v>
      </x:c>
      <x:c r="H329" t="str">
        <x:f>'Employee Attendance'!F111</x:f>
        <x:v>Did not attend</x:v>
      </x:c>
      <x:c r="I329" t="str">
        <x:f>'Employee Attendance'!K111</x:f>
        <x:v>No</x:v>
      </x:c>
    </x:row>
    <x:row r="330">
      <x:c r="A330" t="str">
        <x:f>'Employee Attendance'!A111</x:f>
        <x:v>Deveena Seelochun</x:v>
      </x:c>
      <x:c r="B330" t="str">
        <x:f>'Employee Attendance'!B111</x:f>
        <x:v>Mauritius</x:v>
      </x:c>
      <x:c r="C330" t="str">
        <x:f>'Employee Attendance'!C111</x:f>
        <x:v>MU</x:v>
      </x:c>
      <x:c r="D330" t="str">
        <x:f>'Employee Attendance'!D111</x:f>
        <x:v>deveena.seelochun@pwc.com</x:v>
      </x:c>
      <x:c r="E330" t="str">
        <x:f>"Option 2"</x:f>
        <x:v>Option 2</x:v>
      </x:c>
      <x:c r="F330" s="14" t="n">
        <x:f>'Employee Attendance'!G111</x:f>
        <x:v>0.07128472222222222</x:v>
      </x:c>
      <x:c r="G330" t="n">
        <x:f>F330*86400</x:f>
        <x:v>6159</x:v>
      </x:c>
      <x:c r="H330" t="str">
        <x:f>'Employee Attendance'!H111</x:f>
        <x:v>Fully attended</x:v>
      </x:c>
      <x:c r="I330" t="str">
        <x:f>'Employee Attendance'!L111</x:f>
        <x:v>Yes</x:v>
      </x:c>
    </x:row>
    <x:row r="331">
      <x:c r="A331" t="str">
        <x:f>'Employee Attendance'!A111</x:f>
        <x:v>Deveena Seelochun</x:v>
      </x:c>
      <x:c r="B331" t="str">
        <x:f>'Employee Attendance'!B111</x:f>
        <x:v>Mauritius</x:v>
      </x:c>
      <x:c r="C331" t="str">
        <x:f>'Employee Attendance'!C111</x:f>
        <x:v>MU</x:v>
      </x:c>
      <x:c r="D331" t="str">
        <x:f>'Employee Attendance'!D111</x:f>
        <x:v>deveena.seelochun@pwc.com</x:v>
      </x:c>
      <x:c r="E331" t="str">
        <x:f>"Combined"</x:f>
        <x:v>Combined</x:v>
      </x:c>
      <x:c r="F331" s="14" t="n">
        <x:f>'Employee Attendance'!I111</x:f>
        <x:v>0.07128472222222222</x:v>
      </x:c>
      <x:c r="G331" t="n">
        <x:f>F331*86400</x:f>
        <x:v>6159</x:v>
      </x:c>
      <x:c r="H331" t="str">
        <x:f>'Employee Attendance'!J111</x:f>
        <x:v>Fully attended</x:v>
      </x:c>
      <x:c r="I331" t="str">
        <x:f>IF(OR('Employee Attendance'!K111="Yes",'Employee Attendance'!L111="Yes"),"Yes","No")</x:f>
        <x:v>Yes</x:v>
      </x:c>
    </x:row>
    <x:row r="332">
      <x:c r="A332" t="str">
        <x:f>'Employee Attendance'!A112</x:f>
        <x:v>Devesh Keerpah</x:v>
      </x:c>
      <x:c r="B332" t="str">
        <x:f>'Employee Attendance'!B112</x:f>
        <x:v>Mauritius</x:v>
      </x:c>
      <x:c r="C332" t="str">
        <x:f>'Employee Attendance'!C112</x:f>
        <x:v>MU</x:v>
      </x:c>
      <x:c r="D332" t="str">
        <x:f>'Employee Attendance'!D112</x:f>
        <x:v>devesh.keerpah@pwc.com</x:v>
      </x:c>
      <x:c r="E332" t="str">
        <x:f>"Option 1"</x:f>
        <x:v>Option 1</x:v>
      </x:c>
      <x:c r="F332" s="14" t="n">
        <x:f>'Employee Attendance'!E112</x:f>
        <x:v>0</x:v>
      </x:c>
      <x:c r="G332" t="n">
        <x:f>F332*86400</x:f>
        <x:v>0</x:v>
      </x:c>
      <x:c r="H332" t="str">
        <x:f>'Employee Attendance'!F112</x:f>
        <x:v>Did not attend</x:v>
      </x:c>
      <x:c r="I332" t="str">
        <x:f>'Employee Attendance'!K112</x:f>
        <x:v>No</x:v>
      </x:c>
    </x:row>
    <x:row r="333">
      <x:c r="A333" t="str">
        <x:f>'Employee Attendance'!A112</x:f>
        <x:v>Devesh Keerpah</x:v>
      </x:c>
      <x:c r="B333" t="str">
        <x:f>'Employee Attendance'!B112</x:f>
        <x:v>Mauritius</x:v>
      </x:c>
      <x:c r="C333" t="str">
        <x:f>'Employee Attendance'!C112</x:f>
        <x:v>MU</x:v>
      </x:c>
      <x:c r="D333" t="str">
        <x:f>'Employee Attendance'!D112</x:f>
        <x:v>devesh.keerpah@pwc.com</x:v>
      </x:c>
      <x:c r="E333" t="str">
        <x:f>"Option 2"</x:f>
        <x:v>Option 2</x:v>
      </x:c>
      <x:c r="F333" s="14" t="n">
        <x:f>'Employee Attendance'!G112</x:f>
        <x:v>0.08657407407407407</x:v>
      </x:c>
      <x:c r="G333" t="n">
        <x:f>F333*86400</x:f>
        <x:v>7479.999999999999</x:v>
      </x:c>
      <x:c r="H333" t="str">
        <x:f>'Employee Attendance'!H112</x:f>
        <x:v>Fully attended</x:v>
      </x:c>
      <x:c r="I333" t="str">
        <x:f>'Employee Attendance'!L112</x:f>
        <x:v>Yes</x:v>
      </x:c>
    </x:row>
    <x:row r="334">
      <x:c r="A334" t="str">
        <x:f>'Employee Attendance'!A112</x:f>
        <x:v>Devesh Keerpah</x:v>
      </x:c>
      <x:c r="B334" t="str">
        <x:f>'Employee Attendance'!B112</x:f>
        <x:v>Mauritius</x:v>
      </x:c>
      <x:c r="C334" t="str">
        <x:f>'Employee Attendance'!C112</x:f>
        <x:v>MU</x:v>
      </x:c>
      <x:c r="D334" t="str">
        <x:f>'Employee Attendance'!D112</x:f>
        <x:v>devesh.keerpah@pwc.com</x:v>
      </x:c>
      <x:c r="E334" t="str">
        <x:f>"Combined"</x:f>
        <x:v>Combined</x:v>
      </x:c>
      <x:c r="F334" s="14" t="n">
        <x:f>'Employee Attendance'!I112</x:f>
        <x:v>0.08657407407407407</x:v>
      </x:c>
      <x:c r="G334" t="n">
        <x:f>F334*86400</x:f>
        <x:v>7479.999999999999</x:v>
      </x:c>
      <x:c r="H334" t="str">
        <x:f>'Employee Attendance'!J112</x:f>
        <x:v>Fully attended</x:v>
      </x:c>
      <x:c r="I334" t="str">
        <x:f>IF(OR('Employee Attendance'!K112="Yes",'Employee Attendance'!L112="Yes"),"Yes","No")</x:f>
        <x:v>Yes</x:v>
      </x:c>
    </x:row>
    <x:row r="335">
      <x:c r="A335" t="str">
        <x:f>'Employee Attendance'!A113</x:f>
        <x:v>Devonhope Ntoinya</x:v>
      </x:c>
      <x:c r="B335" t="str">
        <x:f>'Employee Attendance'!B113</x:f>
        <x:v>Kenya</x:v>
      </x:c>
      <x:c r="C335" t="str">
        <x:f>'Employee Attendance'!C113</x:f>
        <x:v>KE</x:v>
      </x:c>
      <x:c r="D335" t="str">
        <x:f>'Employee Attendance'!D113</x:f>
        <x:v>devonhope.ntoinya@pwc.com</x:v>
      </x:c>
      <x:c r="E335" t="str">
        <x:f>"Option 1"</x:f>
        <x:v>Option 1</x:v>
      </x:c>
      <x:c r="F335" s="14" t="n">
        <x:f>'Employee Attendance'!E113</x:f>
        <x:v>0</x:v>
      </x:c>
      <x:c r="G335" t="n">
        <x:f>F335*86400</x:f>
        <x:v>0</x:v>
      </x:c>
      <x:c r="H335" t="str">
        <x:f>'Employee Attendance'!F113</x:f>
        <x:v>Did not attend</x:v>
      </x:c>
      <x:c r="I335" t="str">
        <x:f>'Employee Attendance'!K113</x:f>
        <x:v>No</x:v>
      </x:c>
    </x:row>
    <x:row r="336">
      <x:c r="A336" t="str">
        <x:f>'Employee Attendance'!A113</x:f>
        <x:v>Devonhope Ntoinya</x:v>
      </x:c>
      <x:c r="B336" t="str">
        <x:f>'Employee Attendance'!B113</x:f>
        <x:v>Kenya</x:v>
      </x:c>
      <x:c r="C336" t="str">
        <x:f>'Employee Attendance'!C113</x:f>
        <x:v>KE</x:v>
      </x:c>
      <x:c r="D336" t="str">
        <x:f>'Employee Attendance'!D113</x:f>
        <x:v>devonhope.ntoinya@pwc.com</x:v>
      </x:c>
      <x:c r="E336" t="str">
        <x:f>"Option 2"</x:f>
        <x:v>Option 2</x:v>
      </x:c>
      <x:c r="F336" s="14" t="n">
        <x:f>'Employee Attendance'!G113</x:f>
        <x:v>0.04193287037037037</x:v>
      </x:c>
      <x:c r="G336" t="n">
        <x:f>F336*86400</x:f>
        <x:v>3623</x:v>
      </x:c>
      <x:c r="H336" t="str">
        <x:f>'Employee Attendance'!H113</x:f>
        <x:v>Partially attended</x:v>
      </x:c>
      <x:c r="I336" t="str">
        <x:f>'Employee Attendance'!L113</x:f>
        <x:v>Yes</x:v>
      </x:c>
    </x:row>
    <x:row r="337">
      <x:c r="A337" t="str">
        <x:f>'Employee Attendance'!A113</x:f>
        <x:v>Devonhope Ntoinya</x:v>
      </x:c>
      <x:c r="B337" t="str">
        <x:f>'Employee Attendance'!B113</x:f>
        <x:v>Kenya</x:v>
      </x:c>
      <x:c r="C337" t="str">
        <x:f>'Employee Attendance'!C113</x:f>
        <x:v>KE</x:v>
      </x:c>
      <x:c r="D337" t="str">
        <x:f>'Employee Attendance'!D113</x:f>
        <x:v>devonhope.ntoinya@pwc.com</x:v>
      </x:c>
      <x:c r="E337" t="str">
        <x:f>"Combined"</x:f>
        <x:v>Combined</x:v>
      </x:c>
      <x:c r="F337" s="14" t="n">
        <x:f>'Employee Attendance'!I113</x:f>
        <x:v>0.04193287037037037</x:v>
      </x:c>
      <x:c r="G337" t="n">
        <x:f>F337*86400</x:f>
        <x:v>3623</x:v>
      </x:c>
      <x:c r="H337" t="str">
        <x:f>'Employee Attendance'!J113</x:f>
        <x:v>Partially attended</x:v>
      </x:c>
      <x:c r="I337" t="str">
        <x:f>IF(OR('Employee Attendance'!K113="Yes",'Employee Attendance'!L113="Yes"),"Yes","No")</x:f>
        <x:v>Yes</x:v>
      </x:c>
    </x:row>
    <x:row r="338">
      <x:c r="A338" t="str">
        <x:f>'Employee Attendance'!A114</x:f>
        <x:v>Dhaarna Jhummun</x:v>
      </x:c>
      <x:c r="B338" t="str">
        <x:f>'Employee Attendance'!B114</x:f>
        <x:v>Mauritius</x:v>
      </x:c>
      <x:c r="C338" t="str">
        <x:f>'Employee Attendance'!C114</x:f>
        <x:v>MU</x:v>
      </x:c>
      <x:c r="D338" t="str">
        <x:f>'Employee Attendance'!D114</x:f>
        <x:v>dhaarna.jhummun@pwc.com</x:v>
      </x:c>
      <x:c r="E338" t="str">
        <x:f>"Option 1"</x:f>
        <x:v>Option 1</x:v>
      </x:c>
      <x:c r="F338" s="14" t="n">
        <x:f>'Employee Attendance'!E114</x:f>
        <x:v>0</x:v>
      </x:c>
      <x:c r="G338" t="n">
        <x:f>F338*86400</x:f>
        <x:v>0</x:v>
      </x:c>
      <x:c r="H338" t="str">
        <x:f>'Employee Attendance'!F114</x:f>
        <x:v>Did not attend</x:v>
      </x:c>
      <x:c r="I338" t="str">
        <x:f>'Employee Attendance'!K114</x:f>
        <x:v>No</x:v>
      </x:c>
    </x:row>
    <x:row r="339">
      <x:c r="A339" t="str">
        <x:f>'Employee Attendance'!A114</x:f>
        <x:v>Dhaarna Jhummun</x:v>
      </x:c>
      <x:c r="B339" t="str">
        <x:f>'Employee Attendance'!B114</x:f>
        <x:v>Mauritius</x:v>
      </x:c>
      <x:c r="C339" t="str">
        <x:f>'Employee Attendance'!C114</x:f>
        <x:v>MU</x:v>
      </x:c>
      <x:c r="D339" t="str">
        <x:f>'Employee Attendance'!D114</x:f>
        <x:v>dhaarna.jhummun@pwc.com</x:v>
      </x:c>
      <x:c r="E339" t="str">
        <x:f>"Option 2"</x:f>
        <x:v>Option 2</x:v>
      </x:c>
      <x:c r="F339" s="14" t="n">
        <x:f>'Employee Attendance'!G114</x:f>
        <x:v>0.08783564814814815</x:v>
      </x:c>
      <x:c r="G339" t="n">
        <x:f>F339*86400</x:f>
        <x:v>7589</x:v>
      </x:c>
      <x:c r="H339" t="str">
        <x:f>'Employee Attendance'!H114</x:f>
        <x:v>Fully attended</x:v>
      </x:c>
      <x:c r="I339" t="str">
        <x:f>'Employee Attendance'!L114</x:f>
        <x:v>Yes</x:v>
      </x:c>
    </x:row>
    <x:row r="340">
      <x:c r="A340" t="str">
        <x:f>'Employee Attendance'!A114</x:f>
        <x:v>Dhaarna Jhummun</x:v>
      </x:c>
      <x:c r="B340" t="str">
        <x:f>'Employee Attendance'!B114</x:f>
        <x:v>Mauritius</x:v>
      </x:c>
      <x:c r="C340" t="str">
        <x:f>'Employee Attendance'!C114</x:f>
        <x:v>MU</x:v>
      </x:c>
      <x:c r="D340" t="str">
        <x:f>'Employee Attendance'!D114</x:f>
        <x:v>dhaarna.jhummun@pwc.com</x:v>
      </x:c>
      <x:c r="E340" t="str">
        <x:f>"Combined"</x:f>
        <x:v>Combined</x:v>
      </x:c>
      <x:c r="F340" s="14" t="n">
        <x:f>'Employee Attendance'!I114</x:f>
        <x:v>0.08783564814814815</x:v>
      </x:c>
      <x:c r="G340" t="n">
        <x:f>F340*86400</x:f>
        <x:v>7589</x:v>
      </x:c>
      <x:c r="H340" t="str">
        <x:f>'Employee Attendance'!J114</x:f>
        <x:v>Fully attended</x:v>
      </x:c>
      <x:c r="I340" t="str">
        <x:f>IF(OR('Employee Attendance'!K114="Yes",'Employee Attendance'!L114="Yes"),"Yes","No")</x:f>
        <x:v>Yes</x:v>
      </x:c>
    </x:row>
    <x:row r="341">
      <x:c r="A341" t="str">
        <x:f>'Employee Attendance'!A115</x:f>
        <x:v>Dhanishta Snehal Issuree</x:v>
      </x:c>
      <x:c r="B341" t="str">
        <x:f>'Employee Attendance'!B115</x:f>
        <x:v>Mauritius</x:v>
      </x:c>
      <x:c r="C341" t="str">
        <x:f>'Employee Attendance'!C115</x:f>
        <x:v>MU</x:v>
      </x:c>
      <x:c r="D341" t="str">
        <x:f>'Employee Attendance'!D115</x:f>
        <x:v>dhanishta.issuree@pwc.com</x:v>
      </x:c>
      <x:c r="E341" t="str">
        <x:f>"Option 1"</x:f>
        <x:v>Option 1</x:v>
      </x:c>
      <x:c r="F341" s="14" t="n">
        <x:f>'Employee Attendance'!E115</x:f>
        <x:v>0</x:v>
      </x:c>
      <x:c r="G341" t="n">
        <x:f>F341*86400</x:f>
        <x:v>0</x:v>
      </x:c>
      <x:c r="H341" t="str">
        <x:f>'Employee Attendance'!F115</x:f>
        <x:v>Did not attend</x:v>
      </x:c>
      <x:c r="I341" t="str">
        <x:f>'Employee Attendance'!K115</x:f>
        <x:v>No</x:v>
      </x:c>
    </x:row>
    <x:row r="342">
      <x:c r="A342" t="str">
        <x:f>'Employee Attendance'!A115</x:f>
        <x:v>Dhanishta Snehal Issuree</x:v>
      </x:c>
      <x:c r="B342" t="str">
        <x:f>'Employee Attendance'!B115</x:f>
        <x:v>Mauritius</x:v>
      </x:c>
      <x:c r="C342" t="str">
        <x:f>'Employee Attendance'!C115</x:f>
        <x:v>MU</x:v>
      </x:c>
      <x:c r="D342" t="str">
        <x:f>'Employee Attendance'!D115</x:f>
        <x:v>dhanishta.issuree@pwc.com</x:v>
      </x:c>
      <x:c r="E342" t="str">
        <x:f>"Option 2"</x:f>
        <x:v>Option 2</x:v>
      </x:c>
      <x:c r="F342" s="14" t="n">
        <x:f>'Employee Attendance'!G115</x:f>
        <x:v>0.06094907407407407</x:v>
      </x:c>
      <x:c r="G342" t="n">
        <x:f>F342*86400</x:f>
        <x:v>5266</x:v>
      </x:c>
      <x:c r="H342" t="str">
        <x:f>'Employee Attendance'!H115</x:f>
        <x:v>Partially attended</x:v>
      </x:c>
      <x:c r="I342" t="str">
        <x:f>'Employee Attendance'!L115</x:f>
        <x:v>Yes</x:v>
      </x:c>
    </x:row>
    <x:row r="343">
      <x:c r="A343" t="str">
        <x:f>'Employee Attendance'!A115</x:f>
        <x:v>Dhanishta Snehal Issuree</x:v>
      </x:c>
      <x:c r="B343" t="str">
        <x:f>'Employee Attendance'!B115</x:f>
        <x:v>Mauritius</x:v>
      </x:c>
      <x:c r="C343" t="str">
        <x:f>'Employee Attendance'!C115</x:f>
        <x:v>MU</x:v>
      </x:c>
      <x:c r="D343" t="str">
        <x:f>'Employee Attendance'!D115</x:f>
        <x:v>dhanishta.issuree@pwc.com</x:v>
      </x:c>
      <x:c r="E343" t="str">
        <x:f>"Combined"</x:f>
        <x:v>Combined</x:v>
      </x:c>
      <x:c r="F343" s="14" t="n">
        <x:f>'Employee Attendance'!I115</x:f>
        <x:v>0.06094907407407407</x:v>
      </x:c>
      <x:c r="G343" t="n">
        <x:f>F343*86400</x:f>
        <x:v>5266</x:v>
      </x:c>
      <x:c r="H343" t="str">
        <x:f>'Employee Attendance'!J115</x:f>
        <x:v>Partially attended</x:v>
      </x:c>
      <x:c r="I343" t="str">
        <x:f>IF(OR('Employee Attendance'!K115="Yes",'Employee Attendance'!L115="Yes"),"Yes","No")</x:f>
        <x:v>Yes</x:v>
      </x:c>
    </x:row>
    <x:row r="344">
      <x:c r="A344" t="str">
        <x:f>'Employee Attendance'!A116</x:f>
        <x:v>Dhatree Langur</x:v>
      </x:c>
      <x:c r="B344" t="str">
        <x:f>'Employee Attendance'!B116</x:f>
        <x:v>Mauritius</x:v>
      </x:c>
      <x:c r="C344" t="str">
        <x:f>'Employee Attendance'!C116</x:f>
        <x:v>MU</x:v>
      </x:c>
      <x:c r="D344" t="str">
        <x:f>'Employee Attendance'!D116</x:f>
        <x:v>dhatree.langur@pwc.com</x:v>
      </x:c>
      <x:c r="E344" t="str">
        <x:f>"Option 1"</x:f>
        <x:v>Option 1</x:v>
      </x:c>
      <x:c r="F344" s="14" t="n">
        <x:f>'Employee Attendance'!E116</x:f>
        <x:v>0</x:v>
      </x:c>
      <x:c r="G344" t="n">
        <x:f>F344*86400</x:f>
        <x:v>0</x:v>
      </x:c>
      <x:c r="H344" t="str">
        <x:f>'Employee Attendance'!F116</x:f>
        <x:v>Did not attend</x:v>
      </x:c>
      <x:c r="I344" t="str">
        <x:f>'Employee Attendance'!K116</x:f>
        <x:v>No</x:v>
      </x:c>
    </x:row>
    <x:row r="345">
      <x:c r="A345" t="str">
        <x:f>'Employee Attendance'!A116</x:f>
        <x:v>Dhatree Langur</x:v>
      </x:c>
      <x:c r="B345" t="str">
        <x:f>'Employee Attendance'!B116</x:f>
        <x:v>Mauritius</x:v>
      </x:c>
      <x:c r="C345" t="str">
        <x:f>'Employee Attendance'!C116</x:f>
        <x:v>MU</x:v>
      </x:c>
      <x:c r="D345" t="str">
        <x:f>'Employee Attendance'!D116</x:f>
        <x:v>dhatree.langur@pwc.com</x:v>
      </x:c>
      <x:c r="E345" t="str">
        <x:f>"Option 2"</x:f>
        <x:v>Option 2</x:v>
      </x:c>
      <x:c r="F345" s="14" t="n">
        <x:f>'Employee Attendance'!G116</x:f>
        <x:v>0.038356481481481484</x:v>
      </x:c>
      <x:c r="G345" t="n">
        <x:f>F345*86400</x:f>
        <x:v>3314.0000000000005</x:v>
      </x:c>
      <x:c r="H345" t="str">
        <x:f>'Employee Attendance'!H116</x:f>
        <x:v>Partially attended</x:v>
      </x:c>
      <x:c r="I345" t="str">
        <x:f>'Employee Attendance'!L116</x:f>
        <x:v>Yes</x:v>
      </x:c>
    </x:row>
    <x:row r="346">
      <x:c r="A346" t="str">
        <x:f>'Employee Attendance'!A116</x:f>
        <x:v>Dhatree Langur</x:v>
      </x:c>
      <x:c r="B346" t="str">
        <x:f>'Employee Attendance'!B116</x:f>
        <x:v>Mauritius</x:v>
      </x:c>
      <x:c r="C346" t="str">
        <x:f>'Employee Attendance'!C116</x:f>
        <x:v>MU</x:v>
      </x:c>
      <x:c r="D346" t="str">
        <x:f>'Employee Attendance'!D116</x:f>
        <x:v>dhatree.langur@pwc.com</x:v>
      </x:c>
      <x:c r="E346" t="str">
        <x:f>"Combined"</x:f>
        <x:v>Combined</x:v>
      </x:c>
      <x:c r="F346" s="14" t="n">
        <x:f>'Employee Attendance'!I116</x:f>
        <x:v>0.038356481481481484</x:v>
      </x:c>
      <x:c r="G346" t="n">
        <x:f>F346*86400</x:f>
        <x:v>3314.0000000000005</x:v>
      </x:c>
      <x:c r="H346" t="str">
        <x:f>'Employee Attendance'!J116</x:f>
        <x:v>Partially attended</x:v>
      </x:c>
      <x:c r="I346" t="str">
        <x:f>IF(OR('Employee Attendance'!K116="Yes",'Employee Attendance'!L116="Yes"),"Yes","No")</x:f>
        <x:v>Yes</x:v>
      </x:c>
    </x:row>
    <x:row r="347">
      <x:c r="A347" t="str">
        <x:f>'Employee Attendance'!A117</x:f>
        <x:v>Dickson Mohoni</x:v>
      </x:c>
      <x:c r="B347" t="str">
        <x:f>'Employee Attendance'!B117</x:f>
        <x:v>Tanzania</x:v>
      </x:c>
      <x:c r="C347" t="str">
        <x:f>'Employee Attendance'!C117</x:f>
        <x:v>TZ</x:v>
      </x:c>
      <x:c r="D347" t="str">
        <x:f>'Employee Attendance'!D117</x:f>
        <x:v>dickson.m.mohoni@pwc.com</x:v>
      </x:c>
      <x:c r="E347" t="str">
        <x:f>"Option 1"</x:f>
        <x:v>Option 1</x:v>
      </x:c>
      <x:c r="F347" s="14" t="n">
        <x:f>'Employee Attendance'!E117</x:f>
        <x:v>0.06752314814814815</x:v>
      </x:c>
      <x:c r="G347" t="n">
        <x:f>F347*86400</x:f>
        <x:v>5834</x:v>
      </x:c>
      <x:c r="H347" t="str">
        <x:f>'Employee Attendance'!F117</x:f>
        <x:v>Fully attended</x:v>
      </x:c>
      <x:c r="I347" t="str">
        <x:f>'Employee Attendance'!K117</x:f>
        <x:v>Yes</x:v>
      </x:c>
    </x:row>
    <x:row r="348">
      <x:c r="A348" t="str">
        <x:f>'Employee Attendance'!A117</x:f>
        <x:v>Dickson Mohoni</x:v>
      </x:c>
      <x:c r="B348" t="str">
        <x:f>'Employee Attendance'!B117</x:f>
        <x:v>Tanzania</x:v>
      </x:c>
      <x:c r="C348" t="str">
        <x:f>'Employee Attendance'!C117</x:f>
        <x:v>TZ</x:v>
      </x:c>
      <x:c r="D348" t="str">
        <x:f>'Employee Attendance'!D117</x:f>
        <x:v>dickson.m.mohoni@pwc.com</x:v>
      </x:c>
      <x:c r="E348" t="str">
        <x:f>"Option 2"</x:f>
        <x:v>Option 2</x:v>
      </x:c>
      <x:c r="F348" s="14" t="n">
        <x:f>'Employee Attendance'!G117</x:f>
        <x:v>0</x:v>
      </x:c>
      <x:c r="G348" t="n">
        <x:f>F348*86400</x:f>
        <x:v>0</x:v>
      </x:c>
      <x:c r="H348" t="str">
        <x:f>'Employee Attendance'!H117</x:f>
        <x:v>Did not attend</x:v>
      </x:c>
      <x:c r="I348" t="str">
        <x:f>'Employee Attendance'!L117</x:f>
        <x:v>No</x:v>
      </x:c>
    </x:row>
    <x:row r="349">
      <x:c r="A349" t="str">
        <x:f>'Employee Attendance'!A117</x:f>
        <x:v>Dickson Mohoni</x:v>
      </x:c>
      <x:c r="B349" t="str">
        <x:f>'Employee Attendance'!B117</x:f>
        <x:v>Tanzania</x:v>
      </x:c>
      <x:c r="C349" t="str">
        <x:f>'Employee Attendance'!C117</x:f>
        <x:v>TZ</x:v>
      </x:c>
      <x:c r="D349" t="str">
        <x:f>'Employee Attendance'!D117</x:f>
        <x:v>dickson.m.mohoni@pwc.com</x:v>
      </x:c>
      <x:c r="E349" t="str">
        <x:f>"Combined"</x:f>
        <x:v>Combined</x:v>
      </x:c>
      <x:c r="F349" s="14" t="n">
        <x:f>'Employee Attendance'!I117</x:f>
        <x:v>0.06752314814814815</x:v>
      </x:c>
      <x:c r="G349" t="n">
        <x:f>F349*86400</x:f>
        <x:v>5834</x:v>
      </x:c>
      <x:c r="H349" t="str">
        <x:f>'Employee Attendance'!J117</x:f>
        <x:v>Fully attended</x:v>
      </x:c>
      <x:c r="I349" t="str">
        <x:f>IF(OR('Employee Attendance'!K117="Yes",'Employee Attendance'!L117="Yes"),"Yes","No")</x:f>
        <x:v>Yes</x:v>
      </x:c>
    </x:row>
    <x:row r="350">
      <x:c r="A350" t="str">
        <x:f>'Employee Attendance'!A118</x:f>
        <x:v>Diksha Neerbun</x:v>
      </x:c>
      <x:c r="B350" t="str">
        <x:f>'Employee Attendance'!B118</x:f>
        <x:v>Mauritius</x:v>
      </x:c>
      <x:c r="C350" t="str">
        <x:f>'Employee Attendance'!C118</x:f>
        <x:v>MU</x:v>
      </x:c>
      <x:c r="D350" t="str">
        <x:f>'Employee Attendance'!D118</x:f>
        <x:v>diksha.neerbun@pwc.com</x:v>
      </x:c>
      <x:c r="E350" t="str">
        <x:f>"Option 1"</x:f>
        <x:v>Option 1</x:v>
      </x:c>
      <x:c r="F350" s="14" t="n">
        <x:f>'Employee Attendance'!E118</x:f>
        <x:v>0.08241898148148148</x:v>
      </x:c>
      <x:c r="G350" t="n">
        <x:f>F350*86400</x:f>
        <x:v>7121</x:v>
      </x:c>
      <x:c r="H350" t="str">
        <x:f>'Employee Attendance'!F118</x:f>
        <x:v>Fully attended</x:v>
      </x:c>
      <x:c r="I350" t="str">
        <x:f>'Employee Attendance'!K118</x:f>
        <x:v>Yes</x:v>
      </x:c>
    </x:row>
    <x:row r="351">
      <x:c r="A351" t="str">
        <x:f>'Employee Attendance'!A118</x:f>
        <x:v>Diksha Neerbun</x:v>
      </x:c>
      <x:c r="B351" t="str">
        <x:f>'Employee Attendance'!B118</x:f>
        <x:v>Mauritius</x:v>
      </x:c>
      <x:c r="C351" t="str">
        <x:f>'Employee Attendance'!C118</x:f>
        <x:v>MU</x:v>
      </x:c>
      <x:c r="D351" t="str">
        <x:f>'Employee Attendance'!D118</x:f>
        <x:v>diksha.neerbun@pwc.com</x:v>
      </x:c>
      <x:c r="E351" t="str">
        <x:f>"Option 2"</x:f>
        <x:v>Option 2</x:v>
      </x:c>
      <x:c r="F351" s="14" t="n">
        <x:f>'Employee Attendance'!G118</x:f>
        <x:v>0</x:v>
      </x:c>
      <x:c r="G351" t="n">
        <x:f>F351*86400</x:f>
        <x:v>0</x:v>
      </x:c>
      <x:c r="H351" t="str">
        <x:f>'Employee Attendance'!H118</x:f>
        <x:v>Did not attend</x:v>
      </x:c>
      <x:c r="I351" t="str">
        <x:f>'Employee Attendance'!L118</x:f>
        <x:v>No</x:v>
      </x:c>
    </x:row>
    <x:row r="352">
      <x:c r="A352" t="str">
        <x:f>'Employee Attendance'!A118</x:f>
        <x:v>Diksha Neerbun</x:v>
      </x:c>
      <x:c r="B352" t="str">
        <x:f>'Employee Attendance'!B118</x:f>
        <x:v>Mauritius</x:v>
      </x:c>
      <x:c r="C352" t="str">
        <x:f>'Employee Attendance'!C118</x:f>
        <x:v>MU</x:v>
      </x:c>
      <x:c r="D352" t="str">
        <x:f>'Employee Attendance'!D118</x:f>
        <x:v>diksha.neerbun@pwc.com</x:v>
      </x:c>
      <x:c r="E352" t="str">
        <x:f>"Combined"</x:f>
        <x:v>Combined</x:v>
      </x:c>
      <x:c r="F352" s="14" t="n">
        <x:f>'Employee Attendance'!I118</x:f>
        <x:v>0.08241898148148148</x:v>
      </x:c>
      <x:c r="G352" t="n">
        <x:f>F352*86400</x:f>
        <x:v>7121</x:v>
      </x:c>
      <x:c r="H352" t="str">
        <x:f>'Employee Attendance'!J118</x:f>
        <x:v>Fully attended</x:v>
      </x:c>
      <x:c r="I352" t="str">
        <x:f>IF(OR('Employee Attendance'!K118="Yes",'Employee Attendance'!L118="Yes"),"Yes","No")</x:f>
        <x:v>Yes</x:v>
      </x:c>
    </x:row>
    <x:row r="353">
      <x:c r="A353" t="str">
        <x:f>'Employee Attendance'!A119</x:f>
        <x:v>Dinesh Lutchmun</x:v>
      </x:c>
      <x:c r="B353" t="str">
        <x:f>'Employee Attendance'!B119</x:f>
        <x:v>Mauritius</x:v>
      </x:c>
      <x:c r="C353" t="str">
        <x:f>'Employee Attendance'!C119</x:f>
        <x:v>MU</x:v>
      </x:c>
      <x:c r="D353" t="str">
        <x:f>'Employee Attendance'!D119</x:f>
        <x:v>dinesh.lutchmun@pwc.com</x:v>
      </x:c>
      <x:c r="E353" t="str">
        <x:f>"Option 1"</x:f>
        <x:v>Option 1</x:v>
      </x:c>
      <x:c r="F353" s="14" t="n">
        <x:f>'Employee Attendance'!E119</x:f>
        <x:v>0</x:v>
      </x:c>
      <x:c r="G353" t="n">
        <x:f>F353*86400</x:f>
        <x:v>0</x:v>
      </x:c>
      <x:c r="H353" t="str">
        <x:f>'Employee Attendance'!F119</x:f>
        <x:v>Did not attend</x:v>
      </x:c>
      <x:c r="I353" t="str">
        <x:f>'Employee Attendance'!K119</x:f>
        <x:v>No</x:v>
      </x:c>
    </x:row>
    <x:row r="354">
      <x:c r="A354" t="str">
        <x:f>'Employee Attendance'!A119</x:f>
        <x:v>Dinesh Lutchmun</x:v>
      </x:c>
      <x:c r="B354" t="str">
        <x:f>'Employee Attendance'!B119</x:f>
        <x:v>Mauritius</x:v>
      </x:c>
      <x:c r="C354" t="str">
        <x:f>'Employee Attendance'!C119</x:f>
        <x:v>MU</x:v>
      </x:c>
      <x:c r="D354" t="str">
        <x:f>'Employee Attendance'!D119</x:f>
        <x:v>dinesh.lutchmun@pwc.com</x:v>
      </x:c>
      <x:c r="E354" t="str">
        <x:f>"Option 2"</x:f>
        <x:v>Option 2</x:v>
      </x:c>
      <x:c r="F354" s="14" t="n">
        <x:f>'Employee Attendance'!G119</x:f>
        <x:v>0.07572916666666667</x:v>
      </x:c>
      <x:c r="G354" t="n">
        <x:f>F354*86400</x:f>
        <x:v>6543</x:v>
      </x:c>
      <x:c r="H354" t="str">
        <x:f>'Employee Attendance'!H119</x:f>
        <x:v>Fully attended</x:v>
      </x:c>
      <x:c r="I354" t="str">
        <x:f>'Employee Attendance'!L119</x:f>
        <x:v>Yes</x:v>
      </x:c>
    </x:row>
    <x:row r="355">
      <x:c r="A355" t="str">
        <x:f>'Employee Attendance'!A119</x:f>
        <x:v>Dinesh Lutchmun</x:v>
      </x:c>
      <x:c r="B355" t="str">
        <x:f>'Employee Attendance'!B119</x:f>
        <x:v>Mauritius</x:v>
      </x:c>
      <x:c r="C355" t="str">
        <x:f>'Employee Attendance'!C119</x:f>
        <x:v>MU</x:v>
      </x:c>
      <x:c r="D355" t="str">
        <x:f>'Employee Attendance'!D119</x:f>
        <x:v>dinesh.lutchmun@pwc.com</x:v>
      </x:c>
      <x:c r="E355" t="str">
        <x:f>"Combined"</x:f>
        <x:v>Combined</x:v>
      </x:c>
      <x:c r="F355" s="14" t="n">
        <x:f>'Employee Attendance'!I119</x:f>
        <x:v>0.07572916666666667</x:v>
      </x:c>
      <x:c r="G355" t="n">
        <x:f>F355*86400</x:f>
        <x:v>6543</x:v>
      </x:c>
      <x:c r="H355" t="str">
        <x:f>'Employee Attendance'!J119</x:f>
        <x:v>Fully attended</x:v>
      </x:c>
      <x:c r="I355" t="str">
        <x:f>IF(OR('Employee Attendance'!K119="Yes",'Employee Attendance'!L119="Yes"),"Yes","No")</x:f>
        <x:v>Yes</x:v>
      </x:c>
    </x:row>
    <x:row r="356">
      <x:c r="A356" t="str">
        <x:f>'Employee Attendance'!A120</x:f>
        <x:v>Dolesha Gokhul</x:v>
      </x:c>
      <x:c r="B356" t="str">
        <x:f>'Employee Attendance'!B120</x:f>
        <x:v>Mauritius</x:v>
      </x:c>
      <x:c r="C356" t="str">
        <x:f>'Employee Attendance'!C120</x:f>
        <x:v>MU</x:v>
      </x:c>
      <x:c r="D356" t="str">
        <x:f>'Employee Attendance'!D120</x:f>
        <x:v>dolesha.gokhul@pwc.com</x:v>
      </x:c>
      <x:c r="E356" t="str">
        <x:f>"Option 1"</x:f>
        <x:v>Option 1</x:v>
      </x:c>
      <x:c r="F356" s="14" t="n">
        <x:f>'Employee Attendance'!E120</x:f>
        <x:v>0.0006828703703703704</x:v>
      </x:c>
      <x:c r="G356" t="n">
        <x:f>F356*86400</x:f>
        <x:v>59</x:v>
      </x:c>
      <x:c r="H356" t="str">
        <x:f>'Employee Attendance'!F120</x:f>
        <x:v>Partially attended</x:v>
      </x:c>
      <x:c r="I356" t="str">
        <x:f>'Employee Attendance'!K120</x:f>
        <x:v>Yes</x:v>
      </x:c>
    </x:row>
    <x:row r="357">
      <x:c r="A357" t="str">
        <x:f>'Employee Attendance'!A120</x:f>
        <x:v>Dolesha Gokhul</x:v>
      </x:c>
      <x:c r="B357" t="str">
        <x:f>'Employee Attendance'!B120</x:f>
        <x:v>Mauritius</x:v>
      </x:c>
      <x:c r="C357" t="str">
        <x:f>'Employee Attendance'!C120</x:f>
        <x:v>MU</x:v>
      </x:c>
      <x:c r="D357" t="str">
        <x:f>'Employee Attendance'!D120</x:f>
        <x:v>dolesha.gokhul@pwc.com</x:v>
      </x:c>
      <x:c r="E357" t="str">
        <x:f>"Option 2"</x:f>
        <x:v>Option 2</x:v>
      </x:c>
      <x:c r="F357" s="14" t="n">
        <x:f>'Employee Attendance'!G120</x:f>
        <x:v>0.09104166666666667</x:v>
      </x:c>
      <x:c r="G357" t="n">
        <x:f>F357*86400</x:f>
        <x:v>7866.000000000001</x:v>
      </x:c>
      <x:c r="H357" t="str">
        <x:f>'Employee Attendance'!H120</x:f>
        <x:v>Fully attended</x:v>
      </x:c>
      <x:c r="I357" t="str">
        <x:f>'Employee Attendance'!L120</x:f>
        <x:v>Yes</x:v>
      </x:c>
    </x:row>
    <x:row r="358">
      <x:c r="A358" t="str">
        <x:f>'Employee Attendance'!A120</x:f>
        <x:v>Dolesha Gokhul</x:v>
      </x:c>
      <x:c r="B358" t="str">
        <x:f>'Employee Attendance'!B120</x:f>
        <x:v>Mauritius</x:v>
      </x:c>
      <x:c r="C358" t="str">
        <x:f>'Employee Attendance'!C120</x:f>
        <x:v>MU</x:v>
      </x:c>
      <x:c r="D358" t="str">
        <x:f>'Employee Attendance'!D120</x:f>
        <x:v>dolesha.gokhul@pwc.com</x:v>
      </x:c>
      <x:c r="E358" t="str">
        <x:f>"Combined"</x:f>
        <x:v>Combined</x:v>
      </x:c>
      <x:c r="F358" s="14" t="n">
        <x:f>'Employee Attendance'!I120</x:f>
        <x:v>0.09172453703703705</x:v>
      </x:c>
      <x:c r="G358" t="n">
        <x:f>F358*86400</x:f>
        <x:v>7925.000000000001</x:v>
      </x:c>
      <x:c r="H358" t="str">
        <x:f>'Employee Attendance'!J120</x:f>
        <x:v>Fully attended</x:v>
      </x:c>
      <x:c r="I358" t="str">
        <x:f>IF(OR('Employee Attendance'!K120="Yes",'Employee Attendance'!L120="Yes"),"Yes","No")</x:f>
        <x:v>Yes</x:v>
      </x:c>
    </x:row>
    <x:row r="359">
      <x:c r="A359" t="str">
        <x:f>'Employee Attendance'!A121</x:f>
        <x:v>Domenic Elasu</x:v>
      </x:c>
      <x:c r="B359" t="str">
        <x:f>'Employee Attendance'!B121</x:f>
        <x:v>Uganda</x:v>
      </x:c>
      <x:c r="C359" t="str">
        <x:f>'Employee Attendance'!C121</x:f>
        <x:v>UG</x:v>
      </x:c>
      <x:c r="D359" t="str">
        <x:f>'Employee Attendance'!D121</x:f>
        <x:v>domenic.elasu@pwc.com</x:v>
      </x:c>
      <x:c r="E359" t="str">
        <x:f>"Option 1"</x:f>
        <x:v>Option 1</x:v>
      </x:c>
      <x:c r="F359" s="14" t="n">
        <x:f>'Employee Attendance'!E121</x:f>
        <x:v>0.0821412037037037</x:v>
      </x:c>
      <x:c r="G359" t="n">
        <x:f>F359*86400</x:f>
        <x:v>7097</x:v>
      </x:c>
      <x:c r="H359" t="str">
        <x:f>'Employee Attendance'!F121</x:f>
        <x:v>Fully attended</x:v>
      </x:c>
      <x:c r="I359" t="str">
        <x:f>'Employee Attendance'!K121</x:f>
        <x:v>Yes</x:v>
      </x:c>
    </x:row>
    <x:row r="360">
      <x:c r="A360" t="str">
        <x:f>'Employee Attendance'!A121</x:f>
        <x:v>Domenic Elasu</x:v>
      </x:c>
      <x:c r="B360" t="str">
        <x:f>'Employee Attendance'!B121</x:f>
        <x:v>Uganda</x:v>
      </x:c>
      <x:c r="C360" t="str">
        <x:f>'Employee Attendance'!C121</x:f>
        <x:v>UG</x:v>
      </x:c>
      <x:c r="D360" t="str">
        <x:f>'Employee Attendance'!D121</x:f>
        <x:v>domenic.elasu@pwc.com</x:v>
      </x:c>
      <x:c r="E360" t="str">
        <x:f>"Option 2"</x:f>
        <x:v>Option 2</x:v>
      </x:c>
      <x:c r="F360" s="14" t="n">
        <x:f>'Employee Attendance'!G121</x:f>
        <x:v>0</x:v>
      </x:c>
      <x:c r="G360" t="n">
        <x:f>F360*86400</x:f>
        <x:v>0</x:v>
      </x:c>
      <x:c r="H360" t="str">
        <x:f>'Employee Attendance'!H121</x:f>
        <x:v>Did not attend</x:v>
      </x:c>
      <x:c r="I360" t="str">
        <x:f>'Employee Attendance'!L121</x:f>
        <x:v>No</x:v>
      </x:c>
    </x:row>
    <x:row r="361">
      <x:c r="A361" t="str">
        <x:f>'Employee Attendance'!A121</x:f>
        <x:v>Domenic Elasu</x:v>
      </x:c>
      <x:c r="B361" t="str">
        <x:f>'Employee Attendance'!B121</x:f>
        <x:v>Uganda</x:v>
      </x:c>
      <x:c r="C361" t="str">
        <x:f>'Employee Attendance'!C121</x:f>
        <x:v>UG</x:v>
      </x:c>
      <x:c r="D361" t="str">
        <x:f>'Employee Attendance'!D121</x:f>
        <x:v>domenic.elasu@pwc.com</x:v>
      </x:c>
      <x:c r="E361" t="str">
        <x:f>"Combined"</x:f>
        <x:v>Combined</x:v>
      </x:c>
      <x:c r="F361" s="14" t="n">
        <x:f>'Employee Attendance'!I121</x:f>
        <x:v>0.0821412037037037</x:v>
      </x:c>
      <x:c r="G361" t="n">
        <x:f>F361*86400</x:f>
        <x:v>7097</x:v>
      </x:c>
      <x:c r="H361" t="str">
        <x:f>'Employee Attendance'!J121</x:f>
        <x:v>Fully attended</x:v>
      </x:c>
      <x:c r="I361" t="str">
        <x:f>IF(OR('Employee Attendance'!K121="Yes",'Employee Attendance'!L121="Yes"),"Yes","No")</x:f>
        <x:v>Yes</x:v>
      </x:c>
    </x:row>
    <x:row r="362">
      <x:c r="A362" t="str">
        <x:f>'Employee Attendance'!A122</x:f>
        <x:v>Dominic Kimeu</x:v>
      </x:c>
      <x:c r="B362" t="str">
        <x:f>'Employee Attendance'!B122</x:f>
        <x:v>Kenya</x:v>
      </x:c>
      <x:c r="C362" t="str">
        <x:f>'Employee Attendance'!C122</x:f>
        <x:v>KE</x:v>
      </x:c>
      <x:c r="D362" t="str">
        <x:f>'Employee Attendance'!D122</x:f>
        <x:v>dominic.kimeu@pwc.com</x:v>
      </x:c>
      <x:c r="E362" t="str">
        <x:f>"Option 1"</x:f>
        <x:v>Option 1</x:v>
      </x:c>
      <x:c r="F362" s="14" t="n">
        <x:f>'Employee Attendance'!E122</x:f>
        <x:v>0</x:v>
      </x:c>
      <x:c r="G362" t="n">
        <x:f>F362*86400</x:f>
        <x:v>0</x:v>
      </x:c>
      <x:c r="H362" t="str">
        <x:f>'Employee Attendance'!F122</x:f>
        <x:v>Did not attend</x:v>
      </x:c>
      <x:c r="I362" t="str">
        <x:f>'Employee Attendance'!K122</x:f>
        <x:v>No</x:v>
      </x:c>
    </x:row>
    <x:row r="363">
      <x:c r="A363" t="str">
        <x:f>'Employee Attendance'!A122</x:f>
        <x:v>Dominic Kimeu</x:v>
      </x:c>
      <x:c r="B363" t="str">
        <x:f>'Employee Attendance'!B122</x:f>
        <x:v>Kenya</x:v>
      </x:c>
      <x:c r="C363" t="str">
        <x:f>'Employee Attendance'!C122</x:f>
        <x:v>KE</x:v>
      </x:c>
      <x:c r="D363" t="str">
        <x:f>'Employee Attendance'!D122</x:f>
        <x:v>dominic.kimeu@pwc.com</x:v>
      </x:c>
      <x:c r="E363" t="str">
        <x:f>"Option 2"</x:f>
        <x:v>Option 2</x:v>
      </x:c>
      <x:c r="F363" s="14" t="n">
        <x:f>'Employee Attendance'!G122</x:f>
        <x:v>0</x:v>
      </x:c>
      <x:c r="G363" t="n">
        <x:f>F363*86400</x:f>
        <x:v>0</x:v>
      </x:c>
      <x:c r="H363" t="str">
        <x:f>'Employee Attendance'!H122</x:f>
        <x:v>Did not attend</x:v>
      </x:c>
      <x:c r="I363" t="str">
        <x:f>'Employee Attendance'!L122</x:f>
        <x:v>No</x:v>
      </x:c>
    </x:row>
    <x:row r="364">
      <x:c r="A364" t="str">
        <x:f>'Employee Attendance'!A122</x:f>
        <x:v>Dominic Kimeu</x:v>
      </x:c>
      <x:c r="B364" t="str">
        <x:f>'Employee Attendance'!B122</x:f>
        <x:v>Kenya</x:v>
      </x:c>
      <x:c r="C364" t="str">
        <x:f>'Employee Attendance'!C122</x:f>
        <x:v>KE</x:v>
      </x:c>
      <x:c r="D364" t="str">
        <x:f>'Employee Attendance'!D122</x:f>
        <x:v>dominic.kimeu@pwc.com</x:v>
      </x:c>
      <x:c r="E364" t="str">
        <x:f>"Combined"</x:f>
        <x:v>Combined</x:v>
      </x:c>
      <x:c r="F364" s="14" t="n">
        <x:f>'Employee Attendance'!I122</x:f>
        <x:v>0</x:v>
      </x:c>
      <x:c r="G364" t="n">
        <x:f>F364*86400</x:f>
        <x:v>0</x:v>
      </x:c>
      <x:c r="H364" t="str">
        <x:f>'Employee Attendance'!J122</x:f>
        <x:v>Did not attend</x:v>
      </x:c>
      <x:c r="I364" t="str">
        <x:f>IF(OR('Employee Attendance'!K122="Yes",'Employee Attendance'!L122="Yes"),"Yes","No")</x:f>
        <x:v>No</x:v>
      </x:c>
    </x:row>
    <x:row r="365">
      <x:c r="A365" t="str">
        <x:f>'Employee Attendance'!A123</x:f>
        <x:v>Dominic Ocharo</x:v>
      </x:c>
      <x:c r="B365" t="str">
        <x:f>'Employee Attendance'!B123</x:f>
        <x:v>Kenya</x:v>
      </x:c>
      <x:c r="C365" t="str">
        <x:f>'Employee Attendance'!C123</x:f>
        <x:v>KE</x:v>
      </x:c>
      <x:c r="D365" t="str">
        <x:f>'Employee Attendance'!D123</x:f>
        <x:v>dominic.ocharo@pwc.com</x:v>
      </x:c>
      <x:c r="E365" t="str">
        <x:f>"Option 1"</x:f>
        <x:v>Option 1</x:v>
      </x:c>
      <x:c r="F365" s="14" t="n">
        <x:f>'Employee Attendance'!E123</x:f>
        <x:v>0.029641203703703704</x:v>
      </x:c>
      <x:c r="G365" t="n">
        <x:f>F365*86400</x:f>
        <x:v>2561</x:v>
      </x:c>
      <x:c r="H365" t="str">
        <x:f>'Employee Attendance'!F123</x:f>
        <x:v>Partially attended</x:v>
      </x:c>
      <x:c r="I365" t="str">
        <x:f>'Employee Attendance'!K123</x:f>
        <x:v>Yes</x:v>
      </x:c>
    </x:row>
    <x:row r="366">
      <x:c r="A366" t="str">
        <x:f>'Employee Attendance'!A123</x:f>
        <x:v>Dominic Ocharo</x:v>
      </x:c>
      <x:c r="B366" t="str">
        <x:f>'Employee Attendance'!B123</x:f>
        <x:v>Kenya</x:v>
      </x:c>
      <x:c r="C366" t="str">
        <x:f>'Employee Attendance'!C123</x:f>
        <x:v>KE</x:v>
      </x:c>
      <x:c r="D366" t="str">
        <x:f>'Employee Attendance'!D123</x:f>
        <x:v>dominic.ocharo@pwc.com</x:v>
      </x:c>
      <x:c r="E366" t="str">
        <x:f>"Option 2"</x:f>
        <x:v>Option 2</x:v>
      </x:c>
      <x:c r="F366" s="14" t="n">
        <x:f>'Employee Attendance'!G123</x:f>
        <x:v>0</x:v>
      </x:c>
      <x:c r="G366" t="n">
        <x:f>F366*86400</x:f>
        <x:v>0</x:v>
      </x:c>
      <x:c r="H366" t="str">
        <x:f>'Employee Attendance'!H123</x:f>
        <x:v>Did not attend</x:v>
      </x:c>
      <x:c r="I366" t="str">
        <x:f>'Employee Attendance'!L123</x:f>
        <x:v>No</x:v>
      </x:c>
    </x:row>
    <x:row r="367">
      <x:c r="A367" t="str">
        <x:f>'Employee Attendance'!A123</x:f>
        <x:v>Dominic Ocharo</x:v>
      </x:c>
      <x:c r="B367" t="str">
        <x:f>'Employee Attendance'!B123</x:f>
        <x:v>Kenya</x:v>
      </x:c>
      <x:c r="C367" t="str">
        <x:f>'Employee Attendance'!C123</x:f>
        <x:v>KE</x:v>
      </x:c>
      <x:c r="D367" t="str">
        <x:f>'Employee Attendance'!D123</x:f>
        <x:v>dominic.ocharo@pwc.com</x:v>
      </x:c>
      <x:c r="E367" t="str">
        <x:f>"Combined"</x:f>
        <x:v>Combined</x:v>
      </x:c>
      <x:c r="F367" s="14" t="n">
        <x:f>'Employee Attendance'!I123</x:f>
        <x:v>0.029641203703703704</x:v>
      </x:c>
      <x:c r="G367" t="n">
        <x:f>F367*86400</x:f>
        <x:v>2561</x:v>
      </x:c>
      <x:c r="H367" t="str">
        <x:f>'Employee Attendance'!J123</x:f>
        <x:v>Partially attended</x:v>
      </x:c>
      <x:c r="I367" t="str">
        <x:f>IF(OR('Employee Attendance'!K123="Yes",'Employee Attendance'!L123="Yes"),"Yes","No")</x:f>
        <x:v>Yes</x:v>
      </x:c>
    </x:row>
    <x:row r="368">
      <x:c r="A368" t="str">
        <x:f>'Employee Attendance'!A124</x:f>
        <x:v>Dominicah Mbawa</x:v>
      </x:c>
      <x:c r="B368" t="str">
        <x:f>'Employee Attendance'!B124</x:f>
        <x:v>Tanzania</x:v>
      </x:c>
      <x:c r="C368" t="str">
        <x:f>'Employee Attendance'!C124</x:f>
        <x:v>TZ</x:v>
      </x:c>
      <x:c r="D368" t="str">
        <x:f>'Employee Attendance'!D124</x:f>
        <x:v>dominicah.mbawa@pwc.com</x:v>
      </x:c>
      <x:c r="E368" t="str">
        <x:f>"Option 1"</x:f>
        <x:v>Option 1</x:v>
      </x:c>
      <x:c r="F368" s="14" t="n">
        <x:f>'Employee Attendance'!E124</x:f>
        <x:v>0.08024305555555555</x:v>
      </x:c>
      <x:c r="G368" t="n">
        <x:f>F368*86400</x:f>
        <x:v>6933</x:v>
      </x:c>
      <x:c r="H368" t="str">
        <x:f>'Employee Attendance'!F124</x:f>
        <x:v>Fully attended</x:v>
      </x:c>
      <x:c r="I368" t="str">
        <x:f>'Employee Attendance'!K124</x:f>
        <x:v>Yes</x:v>
      </x:c>
    </x:row>
    <x:row r="369">
      <x:c r="A369" t="str">
        <x:f>'Employee Attendance'!A124</x:f>
        <x:v>Dominicah Mbawa</x:v>
      </x:c>
      <x:c r="B369" t="str">
        <x:f>'Employee Attendance'!B124</x:f>
        <x:v>Tanzania</x:v>
      </x:c>
      <x:c r="C369" t="str">
        <x:f>'Employee Attendance'!C124</x:f>
        <x:v>TZ</x:v>
      </x:c>
      <x:c r="D369" t="str">
        <x:f>'Employee Attendance'!D124</x:f>
        <x:v>dominicah.mbawa@pwc.com</x:v>
      </x:c>
      <x:c r="E369" t="str">
        <x:f>"Option 2"</x:f>
        <x:v>Option 2</x:v>
      </x:c>
      <x:c r="F369" s="14" t="n">
        <x:f>'Employee Attendance'!G124</x:f>
        <x:v>0</x:v>
      </x:c>
      <x:c r="G369" t="n">
        <x:f>F369*86400</x:f>
        <x:v>0</x:v>
      </x:c>
      <x:c r="H369" t="str">
        <x:f>'Employee Attendance'!H124</x:f>
        <x:v>Did not attend</x:v>
      </x:c>
      <x:c r="I369" t="str">
        <x:f>'Employee Attendance'!L124</x:f>
        <x:v>No</x:v>
      </x:c>
    </x:row>
    <x:row r="370">
      <x:c r="A370" t="str">
        <x:f>'Employee Attendance'!A124</x:f>
        <x:v>Dominicah Mbawa</x:v>
      </x:c>
      <x:c r="B370" t="str">
        <x:f>'Employee Attendance'!B124</x:f>
        <x:v>Tanzania</x:v>
      </x:c>
      <x:c r="C370" t="str">
        <x:f>'Employee Attendance'!C124</x:f>
        <x:v>TZ</x:v>
      </x:c>
      <x:c r="D370" t="str">
        <x:f>'Employee Attendance'!D124</x:f>
        <x:v>dominicah.mbawa@pwc.com</x:v>
      </x:c>
      <x:c r="E370" t="str">
        <x:f>"Combined"</x:f>
        <x:v>Combined</x:v>
      </x:c>
      <x:c r="F370" s="14" t="n">
        <x:f>'Employee Attendance'!I124</x:f>
        <x:v>0.08024305555555555</x:v>
      </x:c>
      <x:c r="G370" t="n">
        <x:f>F370*86400</x:f>
        <x:v>6933</x:v>
      </x:c>
      <x:c r="H370" t="str">
        <x:f>'Employee Attendance'!J124</x:f>
        <x:v>Fully attended</x:v>
      </x:c>
      <x:c r="I370" t="str">
        <x:f>IF(OR('Employee Attendance'!K124="Yes",'Employee Attendance'!L124="Yes"),"Yes","No")</x:f>
        <x:v>Yes</x:v>
      </x:c>
    </x:row>
    <x:row r="371">
      <x:c r="A371" t="str">
        <x:f>'Employee Attendance'!A125</x:f>
        <x:v>Dooleshsingh Jankee</x:v>
      </x:c>
      <x:c r="B371" t="str">
        <x:f>'Employee Attendance'!B125</x:f>
        <x:v>Mauritius</x:v>
      </x:c>
      <x:c r="C371" t="str">
        <x:f>'Employee Attendance'!C125</x:f>
        <x:v>MU</x:v>
      </x:c>
      <x:c r="D371" t="str">
        <x:f>'Employee Attendance'!D125</x:f>
        <x:v>dooleshsingh.jankee@pwc.com</x:v>
      </x:c>
      <x:c r="E371" t="str">
        <x:f>"Option 1"</x:f>
        <x:v>Option 1</x:v>
      </x:c>
      <x:c r="F371" s="14" t="n">
        <x:f>'Employee Attendance'!E125</x:f>
        <x:v>0</x:v>
      </x:c>
      <x:c r="G371" t="n">
        <x:f>F371*86400</x:f>
        <x:v>0</x:v>
      </x:c>
      <x:c r="H371" t="str">
        <x:f>'Employee Attendance'!F125</x:f>
        <x:v>Did not attend</x:v>
      </x:c>
      <x:c r="I371" t="str">
        <x:f>'Employee Attendance'!K125</x:f>
        <x:v>No</x:v>
      </x:c>
    </x:row>
    <x:row r="372">
      <x:c r="A372" t="str">
        <x:f>'Employee Attendance'!A125</x:f>
        <x:v>Dooleshsingh Jankee</x:v>
      </x:c>
      <x:c r="B372" t="str">
        <x:f>'Employee Attendance'!B125</x:f>
        <x:v>Mauritius</x:v>
      </x:c>
      <x:c r="C372" t="str">
        <x:f>'Employee Attendance'!C125</x:f>
        <x:v>MU</x:v>
      </x:c>
      <x:c r="D372" t="str">
        <x:f>'Employee Attendance'!D125</x:f>
        <x:v>dooleshsingh.jankee@pwc.com</x:v>
      </x:c>
      <x:c r="E372" t="str">
        <x:f>"Option 2"</x:f>
        <x:v>Option 2</x:v>
      </x:c>
      <x:c r="F372" s="14" t="n">
        <x:f>'Employee Attendance'!G125</x:f>
        <x:v>0.07365740740740741</x:v>
      </x:c>
      <x:c r="G372" t="n">
        <x:f>F372*86400</x:f>
        <x:v>6364</x:v>
      </x:c>
      <x:c r="H372" t="str">
        <x:f>'Employee Attendance'!H125</x:f>
        <x:v>Fully attended</x:v>
      </x:c>
      <x:c r="I372" t="str">
        <x:f>'Employee Attendance'!L125</x:f>
        <x:v>Yes</x:v>
      </x:c>
    </x:row>
    <x:row r="373">
      <x:c r="A373" t="str">
        <x:f>'Employee Attendance'!A125</x:f>
        <x:v>Dooleshsingh Jankee</x:v>
      </x:c>
      <x:c r="B373" t="str">
        <x:f>'Employee Attendance'!B125</x:f>
        <x:v>Mauritius</x:v>
      </x:c>
      <x:c r="C373" t="str">
        <x:f>'Employee Attendance'!C125</x:f>
        <x:v>MU</x:v>
      </x:c>
      <x:c r="D373" t="str">
        <x:f>'Employee Attendance'!D125</x:f>
        <x:v>dooleshsingh.jankee@pwc.com</x:v>
      </x:c>
      <x:c r="E373" t="str">
        <x:f>"Combined"</x:f>
        <x:v>Combined</x:v>
      </x:c>
      <x:c r="F373" s="14" t="n">
        <x:f>'Employee Attendance'!I125</x:f>
        <x:v>0.07365740740740741</x:v>
      </x:c>
      <x:c r="G373" t="n">
        <x:f>F373*86400</x:f>
        <x:v>6364</x:v>
      </x:c>
      <x:c r="H373" t="str">
        <x:f>'Employee Attendance'!J125</x:f>
        <x:v>Fully attended</x:v>
      </x:c>
      <x:c r="I373" t="str">
        <x:f>IF(OR('Employee Attendance'!K125="Yes",'Employee Attendance'!L125="Yes"),"Yes","No")</x:f>
        <x:v>Yes</x:v>
      </x:c>
    </x:row>
    <x:row r="374">
      <x:c r="A374" t="str">
        <x:f>'Employee Attendance'!A126</x:f>
        <x:v>Dowson Kalemba</x:v>
      </x:c>
      <x:c r="B374" t="str">
        <x:f>'Employee Attendance'!B126</x:f>
        <x:v>Uganda</x:v>
      </x:c>
      <x:c r="C374" t="str">
        <x:f>'Employee Attendance'!C126</x:f>
        <x:v>UG</x:v>
      </x:c>
      <x:c r="D374" t="str">
        <x:f>'Employee Attendance'!D126</x:f>
        <x:v>dowson.kalemba@pwc.com</x:v>
      </x:c>
      <x:c r="E374" t="str">
        <x:f>"Option 1"</x:f>
        <x:v>Option 1</x:v>
      </x:c>
      <x:c r="F374" s="14" t="n">
        <x:f>'Employee Attendance'!E126</x:f>
        <x:v>0.08366898148148148</x:v>
      </x:c>
      <x:c r="G374" t="n">
        <x:f>F374*86400</x:f>
        <x:v>7229</x:v>
      </x:c>
      <x:c r="H374" t="str">
        <x:f>'Employee Attendance'!F126</x:f>
        <x:v>Fully attended</x:v>
      </x:c>
      <x:c r="I374" t="str">
        <x:f>'Employee Attendance'!K126</x:f>
        <x:v>Yes</x:v>
      </x:c>
    </x:row>
    <x:row r="375">
      <x:c r="A375" t="str">
        <x:f>'Employee Attendance'!A126</x:f>
        <x:v>Dowson Kalemba</x:v>
      </x:c>
      <x:c r="B375" t="str">
        <x:f>'Employee Attendance'!B126</x:f>
        <x:v>Uganda</x:v>
      </x:c>
      <x:c r="C375" t="str">
        <x:f>'Employee Attendance'!C126</x:f>
        <x:v>UG</x:v>
      </x:c>
      <x:c r="D375" t="str">
        <x:f>'Employee Attendance'!D126</x:f>
        <x:v>dowson.kalemba@pwc.com</x:v>
      </x:c>
      <x:c r="E375" t="str">
        <x:f>"Option 2"</x:f>
        <x:v>Option 2</x:v>
      </x:c>
      <x:c r="F375" s="14" t="n">
        <x:f>'Employee Attendance'!G126</x:f>
        <x:v>0</x:v>
      </x:c>
      <x:c r="G375" t="n">
        <x:f>F375*86400</x:f>
        <x:v>0</x:v>
      </x:c>
      <x:c r="H375" t="str">
        <x:f>'Employee Attendance'!H126</x:f>
        <x:v>Did not attend</x:v>
      </x:c>
      <x:c r="I375" t="str">
        <x:f>'Employee Attendance'!L126</x:f>
        <x:v>No</x:v>
      </x:c>
    </x:row>
    <x:row r="376">
      <x:c r="A376" t="str">
        <x:f>'Employee Attendance'!A126</x:f>
        <x:v>Dowson Kalemba</x:v>
      </x:c>
      <x:c r="B376" t="str">
        <x:f>'Employee Attendance'!B126</x:f>
        <x:v>Uganda</x:v>
      </x:c>
      <x:c r="C376" t="str">
        <x:f>'Employee Attendance'!C126</x:f>
        <x:v>UG</x:v>
      </x:c>
      <x:c r="D376" t="str">
        <x:f>'Employee Attendance'!D126</x:f>
        <x:v>dowson.kalemba@pwc.com</x:v>
      </x:c>
      <x:c r="E376" t="str">
        <x:f>"Combined"</x:f>
        <x:v>Combined</x:v>
      </x:c>
      <x:c r="F376" s="14" t="n">
        <x:f>'Employee Attendance'!I126</x:f>
        <x:v>0.08366898148148148</x:v>
      </x:c>
      <x:c r="G376" t="n">
        <x:f>F376*86400</x:f>
        <x:v>7229</x:v>
      </x:c>
      <x:c r="H376" t="str">
        <x:f>'Employee Attendance'!J126</x:f>
        <x:v>Fully attended</x:v>
      </x:c>
      <x:c r="I376" t="str">
        <x:f>IF(OR('Employee Attendance'!K126="Yes",'Employee Attendance'!L126="Yes"),"Yes","No")</x:f>
        <x:v>Yes</x:v>
      </x:c>
    </x:row>
    <x:row r="377">
      <x:c r="A377" t="str">
        <x:f>'Employee Attendance'!A127</x:f>
        <x:v>Dries Tuyishime</x:v>
      </x:c>
      <x:c r="B377" t="str">
        <x:f>'Employee Attendance'!B127</x:f>
        <x:v>Rwanda</x:v>
      </x:c>
      <x:c r="C377" t="str">
        <x:f>'Employee Attendance'!C127</x:f>
        <x:v>RW</x:v>
      </x:c>
      <x:c r="D377" t="str">
        <x:f>'Employee Attendance'!D127</x:f>
        <x:v>dries.tuyishime@pwc.com</x:v>
      </x:c>
      <x:c r="E377" t="str">
        <x:f>"Option 1"</x:f>
        <x:v>Option 1</x:v>
      </x:c>
      <x:c r="F377" s="14" t="n">
        <x:f>'Employee Attendance'!E127</x:f>
        <x:v>0</x:v>
      </x:c>
      <x:c r="G377" t="n">
        <x:f>F377*86400</x:f>
        <x:v>0</x:v>
      </x:c>
      <x:c r="H377" t="str">
        <x:f>'Employee Attendance'!F127</x:f>
        <x:v>Did not attend</x:v>
      </x:c>
      <x:c r="I377" t="str">
        <x:f>'Employee Attendance'!K127</x:f>
        <x:v>No</x:v>
      </x:c>
    </x:row>
    <x:row r="378">
      <x:c r="A378" t="str">
        <x:f>'Employee Attendance'!A127</x:f>
        <x:v>Dries Tuyishime</x:v>
      </x:c>
      <x:c r="B378" t="str">
        <x:f>'Employee Attendance'!B127</x:f>
        <x:v>Rwanda</x:v>
      </x:c>
      <x:c r="C378" t="str">
        <x:f>'Employee Attendance'!C127</x:f>
        <x:v>RW</x:v>
      </x:c>
      <x:c r="D378" t="str">
        <x:f>'Employee Attendance'!D127</x:f>
        <x:v>dries.tuyishime@pwc.com</x:v>
      </x:c>
      <x:c r="E378" t="str">
        <x:f>"Option 2"</x:f>
        <x:v>Option 2</x:v>
      </x:c>
      <x:c r="F378" s="14" t="n">
        <x:f>'Employee Attendance'!G127</x:f>
        <x:v>0.07711805555555555</x:v>
      </x:c>
      <x:c r="G378" t="n">
        <x:f>F378*86400</x:f>
        <x:v>6663</x:v>
      </x:c>
      <x:c r="H378" t="str">
        <x:f>'Employee Attendance'!H127</x:f>
        <x:v>Fully attended</x:v>
      </x:c>
      <x:c r="I378" t="str">
        <x:f>'Employee Attendance'!L127</x:f>
        <x:v>Yes</x:v>
      </x:c>
    </x:row>
    <x:row r="379">
      <x:c r="A379" t="str">
        <x:f>'Employee Attendance'!A127</x:f>
        <x:v>Dries Tuyishime</x:v>
      </x:c>
      <x:c r="B379" t="str">
        <x:f>'Employee Attendance'!B127</x:f>
        <x:v>Rwanda</x:v>
      </x:c>
      <x:c r="C379" t="str">
        <x:f>'Employee Attendance'!C127</x:f>
        <x:v>RW</x:v>
      </x:c>
      <x:c r="D379" t="str">
        <x:f>'Employee Attendance'!D127</x:f>
        <x:v>dries.tuyishime@pwc.com</x:v>
      </x:c>
      <x:c r="E379" t="str">
        <x:f>"Combined"</x:f>
        <x:v>Combined</x:v>
      </x:c>
      <x:c r="F379" s="14" t="n">
        <x:f>'Employee Attendance'!I127</x:f>
        <x:v>0.07711805555555555</x:v>
      </x:c>
      <x:c r="G379" t="n">
        <x:f>F379*86400</x:f>
        <x:v>6663</x:v>
      </x:c>
      <x:c r="H379" t="str">
        <x:f>'Employee Attendance'!J127</x:f>
        <x:v>Fully attended</x:v>
      </x:c>
      <x:c r="I379" t="str">
        <x:f>IF(OR('Employee Attendance'!K127="Yes",'Employee Attendance'!L127="Yes"),"Yes","No")</x:f>
        <x:v>Yes</x:v>
      </x:c>
    </x:row>
    <x:row r="380">
      <x:c r="A380" t="str">
        <x:f>'Employee Attendance'!A128</x:f>
        <x:v>Drishtee Gopee</x:v>
      </x:c>
      <x:c r="B380" t="str">
        <x:f>'Employee Attendance'!B128</x:f>
        <x:v>Mauritius</x:v>
      </x:c>
      <x:c r="C380" t="str">
        <x:f>'Employee Attendance'!C128</x:f>
        <x:v>MU</x:v>
      </x:c>
      <x:c r="D380" t="str">
        <x:f>'Employee Attendance'!D128</x:f>
        <x:v>drishtee.gopee@pwc.com</x:v>
      </x:c>
      <x:c r="E380" t="str">
        <x:f>"Option 1"</x:f>
        <x:v>Option 1</x:v>
      </x:c>
      <x:c r="F380" s="14" t="n">
        <x:f>'Employee Attendance'!E128</x:f>
        <x:v>0.03523148148148148</x:v>
      </x:c>
      <x:c r="G380" t="n">
        <x:f>F380*86400</x:f>
        <x:v>3044</x:v>
      </x:c>
      <x:c r="H380" t="str">
        <x:f>'Employee Attendance'!F128</x:f>
        <x:v>Partially attended</x:v>
      </x:c>
      <x:c r="I380" t="str">
        <x:f>'Employee Attendance'!K128</x:f>
        <x:v>Yes</x:v>
      </x:c>
    </x:row>
    <x:row r="381">
      <x:c r="A381" t="str">
        <x:f>'Employee Attendance'!A128</x:f>
        <x:v>Drishtee Gopee</x:v>
      </x:c>
      <x:c r="B381" t="str">
        <x:f>'Employee Attendance'!B128</x:f>
        <x:v>Mauritius</x:v>
      </x:c>
      <x:c r="C381" t="str">
        <x:f>'Employee Attendance'!C128</x:f>
        <x:v>MU</x:v>
      </x:c>
      <x:c r="D381" t="str">
        <x:f>'Employee Attendance'!D128</x:f>
        <x:v>drishtee.gopee@pwc.com</x:v>
      </x:c>
      <x:c r="E381" t="str">
        <x:f>"Option 2"</x:f>
        <x:v>Option 2</x:v>
      </x:c>
      <x:c r="F381" s="14" t="n">
        <x:f>'Employee Attendance'!G128</x:f>
        <x:v>0.06784722222222223</x:v>
      </x:c>
      <x:c r="G381" t="n">
        <x:f>F381*86400</x:f>
        <x:v>5862</x:v>
      </x:c>
      <x:c r="H381" t="str">
        <x:f>'Employee Attendance'!H128</x:f>
        <x:v>Fully attended</x:v>
      </x:c>
      <x:c r="I381" t="str">
        <x:f>'Employee Attendance'!L128</x:f>
        <x:v>Yes</x:v>
      </x:c>
    </x:row>
    <x:row r="382">
      <x:c r="A382" t="str">
        <x:f>'Employee Attendance'!A128</x:f>
        <x:v>Drishtee Gopee</x:v>
      </x:c>
      <x:c r="B382" t="str">
        <x:f>'Employee Attendance'!B128</x:f>
        <x:v>Mauritius</x:v>
      </x:c>
      <x:c r="C382" t="str">
        <x:f>'Employee Attendance'!C128</x:f>
        <x:v>MU</x:v>
      </x:c>
      <x:c r="D382" t="str">
        <x:f>'Employee Attendance'!D128</x:f>
        <x:v>drishtee.gopee@pwc.com</x:v>
      </x:c>
      <x:c r="E382" t="str">
        <x:f>"Combined"</x:f>
        <x:v>Combined</x:v>
      </x:c>
      <x:c r="F382" s="14" t="n">
        <x:f>'Employee Attendance'!I128</x:f>
        <x:v>0.1030787037037037</x:v>
      </x:c>
      <x:c r="G382" t="n">
        <x:f>F382*86400</x:f>
        <x:v>8906</x:v>
      </x:c>
      <x:c r="H382" t="str">
        <x:f>'Employee Attendance'!J128</x:f>
        <x:v>Fully attended</x:v>
      </x:c>
      <x:c r="I382" t="str">
        <x:f>IF(OR('Employee Attendance'!K128="Yes",'Employee Attendance'!L128="Yes"),"Yes","No")</x:f>
        <x:v>Yes</x:v>
      </x:c>
    </x:row>
    <x:row r="383">
      <x:c r="A383" t="str">
        <x:f>'Employee Attendance'!A129</x:f>
        <x:v>Duncan Miguna</x:v>
      </x:c>
      <x:c r="B383" t="str">
        <x:f>'Employee Attendance'!B129</x:f>
        <x:v>Kenya</x:v>
      </x:c>
      <x:c r="C383" t="str">
        <x:f>'Employee Attendance'!C129</x:f>
        <x:v>KE</x:v>
      </x:c>
      <x:c r="D383" t="str">
        <x:f>'Employee Attendance'!D129</x:f>
        <x:v>duncan.miguna@pwc.com</x:v>
      </x:c>
      <x:c r="E383" t="str">
        <x:f>"Option 1"</x:f>
        <x:v>Option 1</x:v>
      </x:c>
      <x:c r="F383" s="14" t="n">
        <x:f>'Employee Attendance'!E129</x:f>
        <x:v>0</x:v>
      </x:c>
      <x:c r="G383" t="n">
        <x:f>F383*86400</x:f>
        <x:v>0</x:v>
      </x:c>
      <x:c r="H383" t="str">
        <x:f>'Employee Attendance'!F129</x:f>
        <x:v>Did not attend</x:v>
      </x:c>
      <x:c r="I383" t="str">
        <x:f>'Employee Attendance'!K129</x:f>
        <x:v>No</x:v>
      </x:c>
    </x:row>
    <x:row r="384">
      <x:c r="A384" t="str">
        <x:f>'Employee Attendance'!A129</x:f>
        <x:v>Duncan Miguna</x:v>
      </x:c>
      <x:c r="B384" t="str">
        <x:f>'Employee Attendance'!B129</x:f>
        <x:v>Kenya</x:v>
      </x:c>
      <x:c r="C384" t="str">
        <x:f>'Employee Attendance'!C129</x:f>
        <x:v>KE</x:v>
      </x:c>
      <x:c r="D384" t="str">
        <x:f>'Employee Attendance'!D129</x:f>
        <x:v>duncan.miguna@pwc.com</x:v>
      </x:c>
      <x:c r="E384" t="str">
        <x:f>"Option 2"</x:f>
        <x:v>Option 2</x:v>
      </x:c>
      <x:c r="F384" s="14" t="n">
        <x:f>'Employee Attendance'!G129</x:f>
        <x:v>0.0821875</x:v>
      </x:c>
      <x:c r="G384" t="n">
        <x:f>F384*86400</x:f>
        <x:v>7101</x:v>
      </x:c>
      <x:c r="H384" t="str">
        <x:f>'Employee Attendance'!H129</x:f>
        <x:v>Fully attended</x:v>
      </x:c>
      <x:c r="I384" t="str">
        <x:f>'Employee Attendance'!L129</x:f>
        <x:v>Yes</x:v>
      </x:c>
    </x:row>
    <x:row r="385">
      <x:c r="A385" t="str">
        <x:f>'Employee Attendance'!A129</x:f>
        <x:v>Duncan Miguna</x:v>
      </x:c>
      <x:c r="B385" t="str">
        <x:f>'Employee Attendance'!B129</x:f>
        <x:v>Kenya</x:v>
      </x:c>
      <x:c r="C385" t="str">
        <x:f>'Employee Attendance'!C129</x:f>
        <x:v>KE</x:v>
      </x:c>
      <x:c r="D385" t="str">
        <x:f>'Employee Attendance'!D129</x:f>
        <x:v>duncan.miguna@pwc.com</x:v>
      </x:c>
      <x:c r="E385" t="str">
        <x:f>"Combined"</x:f>
        <x:v>Combined</x:v>
      </x:c>
      <x:c r="F385" s="14" t="n">
        <x:f>'Employee Attendance'!I129</x:f>
        <x:v>0.0821875</x:v>
      </x:c>
      <x:c r="G385" t="n">
        <x:f>F385*86400</x:f>
        <x:v>7101</x:v>
      </x:c>
      <x:c r="H385" t="str">
        <x:f>'Employee Attendance'!J129</x:f>
        <x:v>Fully attended</x:v>
      </x:c>
      <x:c r="I385" t="str">
        <x:f>IF(OR('Employee Attendance'!K129="Yes",'Employee Attendance'!L129="Yes"),"Yes","No")</x:f>
        <x:v>Yes</x:v>
      </x:c>
    </x:row>
    <x:row r="386">
      <x:c r="A386" t="str">
        <x:f>'Employee Attendance'!A130</x:f>
        <x:v>Ebenezer Mujungu</x:v>
      </x:c>
      <x:c r="B386" t="str">
        <x:f>'Employee Attendance'!B130</x:f>
        <x:v>Tanzania</x:v>
      </x:c>
      <x:c r="C386" t="str">
        <x:f>'Employee Attendance'!C130</x:f>
        <x:v>TZ</x:v>
      </x:c>
      <x:c r="D386" t="str">
        <x:f>'Employee Attendance'!D130</x:f>
        <x:v>ebenezer.mujungu@pwc.com</x:v>
      </x:c>
      <x:c r="E386" t="str">
        <x:f>"Option 1"</x:f>
        <x:v>Option 1</x:v>
      </x:c>
      <x:c r="F386" s="14" t="n">
        <x:f>'Employee Attendance'!E130</x:f>
        <x:v>0.0669212962962963</x:v>
      </x:c>
      <x:c r="G386" t="n">
        <x:f>F386*86400</x:f>
        <x:v>5782</x:v>
      </x:c>
      <x:c r="H386" t="str">
        <x:f>'Employee Attendance'!F130</x:f>
        <x:v>Fully attended</x:v>
      </x:c>
      <x:c r="I386" t="str">
        <x:f>'Employee Attendance'!K130</x:f>
        <x:v>Yes</x:v>
      </x:c>
    </x:row>
    <x:row r="387">
      <x:c r="A387" t="str">
        <x:f>'Employee Attendance'!A130</x:f>
        <x:v>Ebenezer Mujungu</x:v>
      </x:c>
      <x:c r="B387" t="str">
        <x:f>'Employee Attendance'!B130</x:f>
        <x:v>Tanzania</x:v>
      </x:c>
      <x:c r="C387" t="str">
        <x:f>'Employee Attendance'!C130</x:f>
        <x:v>TZ</x:v>
      </x:c>
      <x:c r="D387" t="str">
        <x:f>'Employee Attendance'!D130</x:f>
        <x:v>ebenezer.mujungu@pwc.com</x:v>
      </x:c>
      <x:c r="E387" t="str">
        <x:f>"Option 2"</x:f>
        <x:v>Option 2</x:v>
      </x:c>
      <x:c r="F387" s="14" t="n">
        <x:f>'Employee Attendance'!G130</x:f>
        <x:v>0</x:v>
      </x:c>
      <x:c r="G387" t="n">
        <x:f>F387*86400</x:f>
        <x:v>0</x:v>
      </x:c>
      <x:c r="H387" t="str">
        <x:f>'Employee Attendance'!H130</x:f>
        <x:v>Did not attend</x:v>
      </x:c>
      <x:c r="I387" t="str">
        <x:f>'Employee Attendance'!L130</x:f>
        <x:v>No</x:v>
      </x:c>
    </x:row>
    <x:row r="388">
      <x:c r="A388" t="str">
        <x:f>'Employee Attendance'!A130</x:f>
        <x:v>Ebenezer Mujungu</x:v>
      </x:c>
      <x:c r="B388" t="str">
        <x:f>'Employee Attendance'!B130</x:f>
        <x:v>Tanzania</x:v>
      </x:c>
      <x:c r="C388" t="str">
        <x:f>'Employee Attendance'!C130</x:f>
        <x:v>TZ</x:v>
      </x:c>
      <x:c r="D388" t="str">
        <x:f>'Employee Attendance'!D130</x:f>
        <x:v>ebenezer.mujungu@pwc.com</x:v>
      </x:c>
      <x:c r="E388" t="str">
        <x:f>"Combined"</x:f>
        <x:v>Combined</x:v>
      </x:c>
      <x:c r="F388" s="14" t="n">
        <x:f>'Employee Attendance'!I130</x:f>
        <x:v>0.0669212962962963</x:v>
      </x:c>
      <x:c r="G388" t="n">
        <x:f>F388*86400</x:f>
        <x:v>5782</x:v>
      </x:c>
      <x:c r="H388" t="str">
        <x:f>'Employee Attendance'!J130</x:f>
        <x:v>Fully attended</x:v>
      </x:c>
      <x:c r="I388" t="str">
        <x:f>IF(OR('Employee Attendance'!K130="Yes",'Employee Attendance'!L130="Yes"),"Yes","No")</x:f>
        <x:v>Yes</x:v>
      </x:c>
    </x:row>
    <x:row r="389">
      <x:c r="A389" t="str">
        <x:f>'Employee Attendance'!A131</x:f>
        <x:v>Edwin Musire</x:v>
      </x:c>
      <x:c r="B389" t="str">
        <x:f>'Employee Attendance'!B131</x:f>
        <x:v>Kenya</x:v>
      </x:c>
      <x:c r="C389" t="str">
        <x:f>'Employee Attendance'!C131</x:f>
        <x:v>KE</x:v>
      </x:c>
      <x:c r="D389" t="str">
        <x:f>'Employee Attendance'!D131</x:f>
        <x:v>edwin.musire@pwc.com</x:v>
      </x:c>
      <x:c r="E389" t="str">
        <x:f>"Option 1"</x:f>
        <x:v>Option 1</x:v>
      </x:c>
      <x:c r="F389" s="14" t="n">
        <x:f>'Employee Attendance'!E131</x:f>
        <x:v>0.07929398148148148</x:v>
      </x:c>
      <x:c r="G389" t="n">
        <x:f>F389*86400</x:f>
        <x:v>6851</x:v>
      </x:c>
      <x:c r="H389" t="str">
        <x:f>'Employee Attendance'!F131</x:f>
        <x:v>Fully attended</x:v>
      </x:c>
      <x:c r="I389" t="str">
        <x:f>'Employee Attendance'!K131</x:f>
        <x:v>Yes</x:v>
      </x:c>
    </x:row>
    <x:row r="390">
      <x:c r="A390" t="str">
        <x:f>'Employee Attendance'!A131</x:f>
        <x:v>Edwin Musire</x:v>
      </x:c>
      <x:c r="B390" t="str">
        <x:f>'Employee Attendance'!B131</x:f>
        <x:v>Kenya</x:v>
      </x:c>
      <x:c r="C390" t="str">
        <x:f>'Employee Attendance'!C131</x:f>
        <x:v>KE</x:v>
      </x:c>
      <x:c r="D390" t="str">
        <x:f>'Employee Attendance'!D131</x:f>
        <x:v>edwin.musire@pwc.com</x:v>
      </x:c>
      <x:c r="E390" t="str">
        <x:f>"Option 2"</x:f>
        <x:v>Option 2</x:v>
      </x:c>
      <x:c r="F390" s="14" t="n">
        <x:f>'Employee Attendance'!G131</x:f>
        <x:v>0.07070601851851852</x:v>
      </x:c>
      <x:c r="G390" t="n">
        <x:f>F390*86400</x:f>
        <x:v>6109</x:v>
      </x:c>
      <x:c r="H390" t="str">
        <x:f>'Employee Attendance'!H131</x:f>
        <x:v>Fully attended</x:v>
      </x:c>
      <x:c r="I390" t="str">
        <x:f>'Employee Attendance'!L131</x:f>
        <x:v>Yes</x:v>
      </x:c>
    </x:row>
    <x:row r="391">
      <x:c r="A391" t="str">
        <x:f>'Employee Attendance'!A131</x:f>
        <x:v>Edwin Musire</x:v>
      </x:c>
      <x:c r="B391" t="str">
        <x:f>'Employee Attendance'!B131</x:f>
        <x:v>Kenya</x:v>
      </x:c>
      <x:c r="C391" t="str">
        <x:f>'Employee Attendance'!C131</x:f>
        <x:v>KE</x:v>
      </x:c>
      <x:c r="D391" t="str">
        <x:f>'Employee Attendance'!D131</x:f>
        <x:v>edwin.musire@pwc.com</x:v>
      </x:c>
      <x:c r="E391" t="str">
        <x:f>"Combined"</x:f>
        <x:v>Combined</x:v>
      </x:c>
      <x:c r="F391" s="14" t="n">
        <x:f>'Employee Attendance'!I131</x:f>
        <x:v>0.15</x:v>
      </x:c>
      <x:c r="G391" t="n">
        <x:f>F391*86400</x:f>
        <x:v>12960</x:v>
      </x:c>
      <x:c r="H391" t="str">
        <x:f>'Employee Attendance'!J131</x:f>
        <x:v>Fully attended</x:v>
      </x:c>
      <x:c r="I391" t="str">
        <x:f>IF(OR('Employee Attendance'!K131="Yes",'Employee Attendance'!L131="Yes"),"Yes","No")</x:f>
        <x:v>Yes</x:v>
      </x:c>
    </x:row>
    <x:row r="392">
      <x:c r="A392" t="str">
        <x:f>'Employee Attendance'!A132</x:f>
        <x:v>Edwin Odhiambo</x:v>
      </x:c>
      <x:c r="B392" t="str">
        <x:f>'Employee Attendance'!B132</x:f>
        <x:v>Kenya</x:v>
      </x:c>
      <x:c r="C392" t="str">
        <x:f>'Employee Attendance'!C132</x:f>
        <x:v>KE</x:v>
      </x:c>
      <x:c r="D392" t="str">
        <x:f>'Employee Attendance'!D132</x:f>
        <x:v>edwin.odhiambo@pwc.com</x:v>
      </x:c>
      <x:c r="E392" t="str">
        <x:f>"Option 1"</x:f>
        <x:v>Option 1</x:v>
      </x:c>
      <x:c r="F392" s="14" t="n">
        <x:f>'Employee Attendance'!E132</x:f>
        <x:v>0</x:v>
      </x:c>
      <x:c r="G392" t="n">
        <x:f>F392*86400</x:f>
        <x:v>0</x:v>
      </x:c>
      <x:c r="H392" t="str">
        <x:f>'Employee Attendance'!F132</x:f>
        <x:v>Did not attend</x:v>
      </x:c>
      <x:c r="I392" t="str">
        <x:f>'Employee Attendance'!K132</x:f>
        <x:v>No</x:v>
      </x:c>
    </x:row>
    <x:row r="393">
      <x:c r="A393" t="str">
        <x:f>'Employee Attendance'!A132</x:f>
        <x:v>Edwin Odhiambo</x:v>
      </x:c>
      <x:c r="B393" t="str">
        <x:f>'Employee Attendance'!B132</x:f>
        <x:v>Kenya</x:v>
      </x:c>
      <x:c r="C393" t="str">
        <x:f>'Employee Attendance'!C132</x:f>
        <x:v>KE</x:v>
      </x:c>
      <x:c r="D393" t="str">
        <x:f>'Employee Attendance'!D132</x:f>
        <x:v>edwin.odhiambo@pwc.com</x:v>
      </x:c>
      <x:c r="E393" t="str">
        <x:f>"Option 2"</x:f>
        <x:v>Option 2</x:v>
      </x:c>
      <x:c r="F393" s="14" t="n">
        <x:f>'Employee Attendance'!G132</x:f>
        <x:v>0.026111111111111113</x:v>
      </x:c>
      <x:c r="G393" t="n">
        <x:f>F393*86400</x:f>
        <x:v>2256</x:v>
      </x:c>
      <x:c r="H393" t="str">
        <x:f>'Employee Attendance'!H132</x:f>
        <x:v>Partially attended</x:v>
      </x:c>
      <x:c r="I393" t="str">
        <x:f>'Employee Attendance'!L132</x:f>
        <x:v>Yes</x:v>
      </x:c>
    </x:row>
    <x:row r="394">
      <x:c r="A394" t="str">
        <x:f>'Employee Attendance'!A132</x:f>
        <x:v>Edwin Odhiambo</x:v>
      </x:c>
      <x:c r="B394" t="str">
        <x:f>'Employee Attendance'!B132</x:f>
        <x:v>Kenya</x:v>
      </x:c>
      <x:c r="C394" t="str">
        <x:f>'Employee Attendance'!C132</x:f>
        <x:v>KE</x:v>
      </x:c>
      <x:c r="D394" t="str">
        <x:f>'Employee Attendance'!D132</x:f>
        <x:v>edwin.odhiambo@pwc.com</x:v>
      </x:c>
      <x:c r="E394" t="str">
        <x:f>"Combined"</x:f>
        <x:v>Combined</x:v>
      </x:c>
      <x:c r="F394" s="14" t="n">
        <x:f>'Employee Attendance'!I132</x:f>
        <x:v>0.026111111111111113</x:v>
      </x:c>
      <x:c r="G394" t="n">
        <x:f>F394*86400</x:f>
        <x:v>2256</x:v>
      </x:c>
      <x:c r="H394" t="str">
        <x:f>'Employee Attendance'!J132</x:f>
        <x:v>Partially attended</x:v>
      </x:c>
      <x:c r="I394" t="str">
        <x:f>IF(OR('Employee Attendance'!K132="Yes",'Employee Attendance'!L132="Yes"),"Yes","No")</x:f>
        <x:v>Yes</x:v>
      </x:c>
    </x:row>
    <x:row r="395">
      <x:c r="A395" t="str">
        <x:f>'Employee Attendance'!A133</x:f>
        <x:v>Elibariki Salema</x:v>
      </x:c>
      <x:c r="B395" t="str">
        <x:f>'Employee Attendance'!B133</x:f>
        <x:v>Tanzania</x:v>
      </x:c>
      <x:c r="C395" t="str">
        <x:f>'Employee Attendance'!C133</x:f>
        <x:v>TZ</x:v>
      </x:c>
      <x:c r="D395" t="str">
        <x:f>'Employee Attendance'!D133</x:f>
        <x:v>elibariki.s.salema@pwc.com</x:v>
      </x:c>
      <x:c r="E395" t="str">
        <x:f>"Option 1"</x:f>
        <x:v>Option 1</x:v>
      </x:c>
      <x:c r="F395" s="14" t="n">
        <x:f>'Employee Attendance'!E133</x:f>
        <x:v>0</x:v>
      </x:c>
      <x:c r="G395" t="n">
        <x:f>F395*86400</x:f>
        <x:v>0</x:v>
      </x:c>
      <x:c r="H395" t="str">
        <x:f>'Employee Attendance'!F133</x:f>
        <x:v>Did not attend</x:v>
      </x:c>
      <x:c r="I395" t="str">
        <x:f>'Employee Attendance'!K133</x:f>
        <x:v>No</x:v>
      </x:c>
    </x:row>
    <x:row r="396">
      <x:c r="A396" t="str">
        <x:f>'Employee Attendance'!A133</x:f>
        <x:v>Elibariki Salema</x:v>
      </x:c>
      <x:c r="B396" t="str">
        <x:f>'Employee Attendance'!B133</x:f>
        <x:v>Tanzania</x:v>
      </x:c>
      <x:c r="C396" t="str">
        <x:f>'Employee Attendance'!C133</x:f>
        <x:v>TZ</x:v>
      </x:c>
      <x:c r="D396" t="str">
        <x:f>'Employee Attendance'!D133</x:f>
        <x:v>elibariki.s.salema@pwc.com</x:v>
      </x:c>
      <x:c r="E396" t="str">
        <x:f>"Option 2"</x:f>
        <x:v>Option 2</x:v>
      </x:c>
      <x:c r="F396" s="14" t="n">
        <x:f>'Employee Attendance'!G133</x:f>
        <x:v>0</x:v>
      </x:c>
      <x:c r="G396" t="n">
        <x:f>F396*86400</x:f>
        <x:v>0</x:v>
      </x:c>
      <x:c r="H396" t="str">
        <x:f>'Employee Attendance'!H133</x:f>
        <x:v>Did not attend</x:v>
      </x:c>
      <x:c r="I396" t="str">
        <x:f>'Employee Attendance'!L133</x:f>
        <x:v>No</x:v>
      </x:c>
    </x:row>
    <x:row r="397">
      <x:c r="A397" t="str">
        <x:f>'Employee Attendance'!A133</x:f>
        <x:v>Elibariki Salema</x:v>
      </x:c>
      <x:c r="B397" t="str">
        <x:f>'Employee Attendance'!B133</x:f>
        <x:v>Tanzania</x:v>
      </x:c>
      <x:c r="C397" t="str">
        <x:f>'Employee Attendance'!C133</x:f>
        <x:v>TZ</x:v>
      </x:c>
      <x:c r="D397" t="str">
        <x:f>'Employee Attendance'!D133</x:f>
        <x:v>elibariki.s.salema@pwc.com</x:v>
      </x:c>
      <x:c r="E397" t="str">
        <x:f>"Combined"</x:f>
        <x:v>Combined</x:v>
      </x:c>
      <x:c r="F397" s="14" t="n">
        <x:f>'Employee Attendance'!I133</x:f>
        <x:v>0</x:v>
      </x:c>
      <x:c r="G397" t="n">
        <x:f>F397*86400</x:f>
        <x:v>0</x:v>
      </x:c>
      <x:c r="H397" t="str">
        <x:f>'Employee Attendance'!J133</x:f>
        <x:v>Did not attend</x:v>
      </x:c>
      <x:c r="I397" t="str">
        <x:f>IF(OR('Employee Attendance'!K133="Yes",'Employee Attendance'!L133="Yes"),"Yes","No")</x:f>
        <x:v>No</x:v>
      </x:c>
    </x:row>
    <x:row r="398">
      <x:c r="A398" t="str">
        <x:f>'Employee Attendance'!A134</x:f>
        <x:v>Elisha Kilonzo</x:v>
      </x:c>
      <x:c r="B398" t="str">
        <x:f>'Employee Attendance'!B134</x:f>
        <x:v>Kenya</x:v>
      </x:c>
      <x:c r="C398" t="str">
        <x:f>'Employee Attendance'!C134</x:f>
        <x:v>KE</x:v>
      </x:c>
      <x:c r="D398" t="str">
        <x:f>'Employee Attendance'!D134</x:f>
        <x:v>elisha.kilonzo@pwc.com</x:v>
      </x:c>
      <x:c r="E398" t="str">
        <x:f>"Option 1"</x:f>
        <x:v>Option 1</x:v>
      </x:c>
      <x:c r="F398" s="14" t="n">
        <x:f>'Employee Attendance'!E134</x:f>
        <x:v>0</x:v>
      </x:c>
      <x:c r="G398" t="n">
        <x:f>F398*86400</x:f>
        <x:v>0</x:v>
      </x:c>
      <x:c r="H398" t="str">
        <x:f>'Employee Attendance'!F134</x:f>
        <x:v>Did not attend</x:v>
      </x:c>
      <x:c r="I398" t="str">
        <x:f>'Employee Attendance'!K134</x:f>
        <x:v>No</x:v>
      </x:c>
    </x:row>
    <x:row r="399">
      <x:c r="A399" t="str">
        <x:f>'Employee Attendance'!A134</x:f>
        <x:v>Elisha Kilonzo</x:v>
      </x:c>
      <x:c r="B399" t="str">
        <x:f>'Employee Attendance'!B134</x:f>
        <x:v>Kenya</x:v>
      </x:c>
      <x:c r="C399" t="str">
        <x:f>'Employee Attendance'!C134</x:f>
        <x:v>KE</x:v>
      </x:c>
      <x:c r="D399" t="str">
        <x:f>'Employee Attendance'!D134</x:f>
        <x:v>elisha.kilonzo@pwc.com</x:v>
      </x:c>
      <x:c r="E399" t="str">
        <x:f>"Option 2"</x:f>
        <x:v>Option 2</x:v>
      </x:c>
      <x:c r="F399" s="14" t="n">
        <x:f>'Employee Attendance'!G134</x:f>
        <x:v>0.07645833333333334</x:v>
      </x:c>
      <x:c r="G399" t="n">
        <x:f>F399*86400</x:f>
        <x:v>6606</x:v>
      </x:c>
      <x:c r="H399" t="str">
        <x:f>'Employee Attendance'!H134</x:f>
        <x:v>Fully attended</x:v>
      </x:c>
      <x:c r="I399" t="str">
        <x:f>'Employee Attendance'!L134</x:f>
        <x:v>Yes</x:v>
      </x:c>
    </x:row>
    <x:row r="400">
      <x:c r="A400" t="str">
        <x:f>'Employee Attendance'!A134</x:f>
        <x:v>Elisha Kilonzo</x:v>
      </x:c>
      <x:c r="B400" t="str">
        <x:f>'Employee Attendance'!B134</x:f>
        <x:v>Kenya</x:v>
      </x:c>
      <x:c r="C400" t="str">
        <x:f>'Employee Attendance'!C134</x:f>
        <x:v>KE</x:v>
      </x:c>
      <x:c r="D400" t="str">
        <x:f>'Employee Attendance'!D134</x:f>
        <x:v>elisha.kilonzo@pwc.com</x:v>
      </x:c>
      <x:c r="E400" t="str">
        <x:f>"Combined"</x:f>
        <x:v>Combined</x:v>
      </x:c>
      <x:c r="F400" s="14" t="n">
        <x:f>'Employee Attendance'!I134</x:f>
        <x:v>0.07645833333333334</x:v>
      </x:c>
      <x:c r="G400" t="n">
        <x:f>F400*86400</x:f>
        <x:v>6606</x:v>
      </x:c>
      <x:c r="H400" t="str">
        <x:f>'Employee Attendance'!J134</x:f>
        <x:v>Fully attended</x:v>
      </x:c>
      <x:c r="I400" t="str">
        <x:f>IF(OR('Employee Attendance'!K134="Yes",'Employee Attendance'!L134="Yes"),"Yes","No")</x:f>
        <x:v>Yes</x:v>
      </x:c>
    </x:row>
    <x:row r="401">
      <x:c r="A401" t="str">
        <x:f>'Employee Attendance'!A135</x:f>
        <x:v>Elizabeth Kway</x:v>
      </x:c>
      <x:c r="B401" t="str">
        <x:f>'Employee Attendance'!B135</x:f>
        <x:v>Tanzania</x:v>
      </x:c>
      <x:c r="C401" t="str">
        <x:f>'Employee Attendance'!C135</x:f>
        <x:v>TZ</x:v>
      </x:c>
      <x:c r="D401" t="str">
        <x:f>'Employee Attendance'!D135</x:f>
        <x:v>elizabeth.kway@pwc.com</x:v>
      </x:c>
      <x:c r="E401" t="str">
        <x:f>"Option 1"</x:f>
        <x:v>Option 1</x:v>
      </x:c>
      <x:c r="F401" s="14" t="n">
        <x:f>'Employee Attendance'!E135</x:f>
        <x:v>0</x:v>
      </x:c>
      <x:c r="G401" t="n">
        <x:f>F401*86400</x:f>
        <x:v>0</x:v>
      </x:c>
      <x:c r="H401" t="str">
        <x:f>'Employee Attendance'!F135</x:f>
        <x:v>Did not attend</x:v>
      </x:c>
      <x:c r="I401" t="str">
        <x:f>'Employee Attendance'!K135</x:f>
        <x:v>No</x:v>
      </x:c>
    </x:row>
    <x:row r="402">
      <x:c r="A402" t="str">
        <x:f>'Employee Attendance'!A135</x:f>
        <x:v>Elizabeth Kway</x:v>
      </x:c>
      <x:c r="B402" t="str">
        <x:f>'Employee Attendance'!B135</x:f>
        <x:v>Tanzania</x:v>
      </x:c>
      <x:c r="C402" t="str">
        <x:f>'Employee Attendance'!C135</x:f>
        <x:v>TZ</x:v>
      </x:c>
      <x:c r="D402" t="str">
        <x:f>'Employee Attendance'!D135</x:f>
        <x:v>elizabeth.kway@pwc.com</x:v>
      </x:c>
      <x:c r="E402" t="str">
        <x:f>"Option 2"</x:f>
        <x:v>Option 2</x:v>
      </x:c>
      <x:c r="F402" s="14" t="n">
        <x:f>'Employee Attendance'!G135</x:f>
        <x:v>0.08510416666666666</x:v>
      </x:c>
      <x:c r="G402" t="n">
        <x:f>F402*86400</x:f>
        <x:v>7352.999999999999</x:v>
      </x:c>
      <x:c r="H402" t="str">
        <x:f>'Employee Attendance'!H135</x:f>
        <x:v>Fully attended</x:v>
      </x:c>
      <x:c r="I402" t="str">
        <x:f>'Employee Attendance'!L135</x:f>
        <x:v>Yes</x:v>
      </x:c>
    </x:row>
    <x:row r="403">
      <x:c r="A403" t="str">
        <x:f>'Employee Attendance'!A135</x:f>
        <x:v>Elizabeth Kway</x:v>
      </x:c>
      <x:c r="B403" t="str">
        <x:f>'Employee Attendance'!B135</x:f>
        <x:v>Tanzania</x:v>
      </x:c>
      <x:c r="C403" t="str">
        <x:f>'Employee Attendance'!C135</x:f>
        <x:v>TZ</x:v>
      </x:c>
      <x:c r="D403" t="str">
        <x:f>'Employee Attendance'!D135</x:f>
        <x:v>elizabeth.kway@pwc.com</x:v>
      </x:c>
      <x:c r="E403" t="str">
        <x:f>"Combined"</x:f>
        <x:v>Combined</x:v>
      </x:c>
      <x:c r="F403" s="14" t="n">
        <x:f>'Employee Attendance'!I135</x:f>
        <x:v>0.08510416666666666</x:v>
      </x:c>
      <x:c r="G403" t="n">
        <x:f>F403*86400</x:f>
        <x:v>7352.999999999999</x:v>
      </x:c>
      <x:c r="H403" t="str">
        <x:f>'Employee Attendance'!J135</x:f>
        <x:v>Fully attended</x:v>
      </x:c>
      <x:c r="I403" t="str">
        <x:f>IF(OR('Employee Attendance'!K135="Yes",'Employee Attendance'!L135="Yes"),"Yes","No")</x:f>
        <x:v>Yes</x:v>
      </x:c>
    </x:row>
    <x:row r="404">
      <x:c r="A404" t="str">
        <x:f>'Employee Attendance'!A136</x:f>
        <x:v>Elizabeth Waudo</x:v>
      </x:c>
      <x:c r="B404" t="str">
        <x:f>'Employee Attendance'!B136</x:f>
        <x:v>Kenya</x:v>
      </x:c>
      <x:c r="C404" t="str">
        <x:f>'Employee Attendance'!C136</x:f>
        <x:v>KE</x:v>
      </x:c>
      <x:c r="D404" t="str">
        <x:f>'Employee Attendance'!D136</x:f>
        <x:v>elizabeth.waudo@pwc.com</x:v>
      </x:c>
      <x:c r="E404" t="str">
        <x:f>"Option 1"</x:f>
        <x:v>Option 1</x:v>
      </x:c>
      <x:c r="F404" s="14" t="n">
        <x:f>'Employee Attendance'!E136</x:f>
        <x:v>0.07798611111111112</x:v>
      </x:c>
      <x:c r="G404" t="n">
        <x:f>F404*86400</x:f>
        <x:v>6738.000000000001</x:v>
      </x:c>
      <x:c r="H404" t="str">
        <x:f>'Employee Attendance'!F136</x:f>
        <x:v>Fully attended</x:v>
      </x:c>
      <x:c r="I404" t="str">
        <x:f>'Employee Attendance'!K136</x:f>
        <x:v>Yes</x:v>
      </x:c>
    </x:row>
    <x:row r="405">
      <x:c r="A405" t="str">
        <x:f>'Employee Attendance'!A136</x:f>
        <x:v>Elizabeth Waudo</x:v>
      </x:c>
      <x:c r="B405" t="str">
        <x:f>'Employee Attendance'!B136</x:f>
        <x:v>Kenya</x:v>
      </x:c>
      <x:c r="C405" t="str">
        <x:f>'Employee Attendance'!C136</x:f>
        <x:v>KE</x:v>
      </x:c>
      <x:c r="D405" t="str">
        <x:f>'Employee Attendance'!D136</x:f>
        <x:v>elizabeth.waudo@pwc.com</x:v>
      </x:c>
      <x:c r="E405" t="str">
        <x:f>"Option 2"</x:f>
        <x:v>Option 2</x:v>
      </x:c>
      <x:c r="F405" s="14" t="n">
        <x:f>'Employee Attendance'!G136</x:f>
        <x:v>0</x:v>
      </x:c>
      <x:c r="G405" t="n">
        <x:f>F405*86400</x:f>
        <x:v>0</x:v>
      </x:c>
      <x:c r="H405" t="str">
        <x:f>'Employee Attendance'!H136</x:f>
        <x:v>Did not attend</x:v>
      </x:c>
      <x:c r="I405" t="str">
        <x:f>'Employee Attendance'!L136</x:f>
        <x:v>No</x:v>
      </x:c>
    </x:row>
    <x:row r="406">
      <x:c r="A406" t="str">
        <x:f>'Employee Attendance'!A136</x:f>
        <x:v>Elizabeth Waudo</x:v>
      </x:c>
      <x:c r="B406" t="str">
        <x:f>'Employee Attendance'!B136</x:f>
        <x:v>Kenya</x:v>
      </x:c>
      <x:c r="C406" t="str">
        <x:f>'Employee Attendance'!C136</x:f>
        <x:v>KE</x:v>
      </x:c>
      <x:c r="D406" t="str">
        <x:f>'Employee Attendance'!D136</x:f>
        <x:v>elizabeth.waudo@pwc.com</x:v>
      </x:c>
      <x:c r="E406" t="str">
        <x:f>"Combined"</x:f>
        <x:v>Combined</x:v>
      </x:c>
      <x:c r="F406" s="14" t="n">
        <x:f>'Employee Attendance'!I136</x:f>
        <x:v>0.07798611111111112</x:v>
      </x:c>
      <x:c r="G406" t="n">
        <x:f>F406*86400</x:f>
        <x:v>6738.000000000001</x:v>
      </x:c>
      <x:c r="H406" t="str">
        <x:f>'Employee Attendance'!J136</x:f>
        <x:v>Fully attended</x:v>
      </x:c>
      <x:c r="I406" t="str">
        <x:f>IF(OR('Employee Attendance'!K136="Yes",'Employee Attendance'!L136="Yes"),"Yes","No")</x:f>
        <x:v>Yes</x:v>
      </x:c>
    </x:row>
    <x:row r="407">
      <x:c r="A407" t="str">
        <x:f>'Employee Attendance'!A137</x:f>
        <x:v>Elsie Ishimwe</x:v>
      </x:c>
      <x:c r="B407" t="str">
        <x:f>'Employee Attendance'!B137</x:f>
        <x:v>Rwanda</x:v>
      </x:c>
      <x:c r="C407" t="str">
        <x:f>'Employee Attendance'!C137</x:f>
        <x:v>RW</x:v>
      </x:c>
      <x:c r="D407" t="str">
        <x:f>'Employee Attendance'!D137</x:f>
        <x:v>elsie.ishimwe@pwc.com</x:v>
      </x:c>
      <x:c r="E407" t="str">
        <x:f>"Option 1"</x:f>
        <x:v>Option 1</x:v>
      </x:c>
      <x:c r="F407" s="14" t="n">
        <x:f>'Employee Attendance'!E137</x:f>
        <x:v>0</x:v>
      </x:c>
      <x:c r="G407" t="n">
        <x:f>F407*86400</x:f>
        <x:v>0</x:v>
      </x:c>
      <x:c r="H407" t="str">
        <x:f>'Employee Attendance'!F137</x:f>
        <x:v>Did not attend</x:v>
      </x:c>
      <x:c r="I407" t="str">
        <x:f>'Employee Attendance'!K137</x:f>
        <x:v>No</x:v>
      </x:c>
    </x:row>
    <x:row r="408">
      <x:c r="A408" t="str">
        <x:f>'Employee Attendance'!A137</x:f>
        <x:v>Elsie Ishimwe</x:v>
      </x:c>
      <x:c r="B408" t="str">
        <x:f>'Employee Attendance'!B137</x:f>
        <x:v>Rwanda</x:v>
      </x:c>
      <x:c r="C408" t="str">
        <x:f>'Employee Attendance'!C137</x:f>
        <x:v>RW</x:v>
      </x:c>
      <x:c r="D408" t="str">
        <x:f>'Employee Attendance'!D137</x:f>
        <x:v>elsie.ishimwe@pwc.com</x:v>
      </x:c>
      <x:c r="E408" t="str">
        <x:f>"Option 2"</x:f>
        <x:v>Option 2</x:v>
      </x:c>
      <x:c r="F408" s="14" t="n">
        <x:f>'Employee Attendance'!G137</x:f>
        <x:v>0</x:v>
      </x:c>
      <x:c r="G408" t="n">
        <x:f>F408*86400</x:f>
        <x:v>0</x:v>
      </x:c>
      <x:c r="H408" t="str">
        <x:f>'Employee Attendance'!H137</x:f>
        <x:v>Did not attend</x:v>
      </x:c>
      <x:c r="I408" t="str">
        <x:f>'Employee Attendance'!L137</x:f>
        <x:v>No</x:v>
      </x:c>
    </x:row>
    <x:row r="409">
      <x:c r="A409" t="str">
        <x:f>'Employee Attendance'!A137</x:f>
        <x:v>Elsie Ishimwe</x:v>
      </x:c>
      <x:c r="B409" t="str">
        <x:f>'Employee Attendance'!B137</x:f>
        <x:v>Rwanda</x:v>
      </x:c>
      <x:c r="C409" t="str">
        <x:f>'Employee Attendance'!C137</x:f>
        <x:v>RW</x:v>
      </x:c>
      <x:c r="D409" t="str">
        <x:f>'Employee Attendance'!D137</x:f>
        <x:v>elsie.ishimwe@pwc.com</x:v>
      </x:c>
      <x:c r="E409" t="str">
        <x:f>"Combined"</x:f>
        <x:v>Combined</x:v>
      </x:c>
      <x:c r="F409" s="14" t="n">
        <x:f>'Employee Attendance'!I137</x:f>
        <x:v>0</x:v>
      </x:c>
      <x:c r="G409" t="n">
        <x:f>F409*86400</x:f>
        <x:v>0</x:v>
      </x:c>
      <x:c r="H409" t="str">
        <x:f>'Employee Attendance'!J137</x:f>
        <x:v>Did not attend</x:v>
      </x:c>
      <x:c r="I409" t="str">
        <x:f>IF(OR('Employee Attendance'!K137="Yes",'Employee Attendance'!L137="Yes"),"Yes","No")</x:f>
        <x:v>No</x:v>
      </x:c>
    </x:row>
    <x:row r="410">
      <x:c r="A410" t="str">
        <x:f>'Employee Attendance'!A138</x:f>
        <x:v>Elvan VYTHILINGUM</x:v>
      </x:c>
      <x:c r="B410" t="str">
        <x:f>'Employee Attendance'!B138</x:f>
        <x:v>Mauritius</x:v>
      </x:c>
      <x:c r="C410" t="str">
        <x:f>'Employee Attendance'!C138</x:f>
        <x:v>MU</x:v>
      </x:c>
      <x:c r="D410" t="str">
        <x:f>'Employee Attendance'!D138</x:f>
        <x:v>elvan.vythilingum@pwc.com</x:v>
      </x:c>
      <x:c r="E410" t="str">
        <x:f>"Option 1"</x:f>
        <x:v>Option 1</x:v>
      </x:c>
      <x:c r="F410" s="14" t="n">
        <x:f>'Employee Attendance'!E138</x:f>
        <x:v>0.0865162037037037</x:v>
      </x:c>
      <x:c r="G410" t="n">
        <x:f>F410*86400</x:f>
        <x:v>7475</x:v>
      </x:c>
      <x:c r="H410" t="str">
        <x:f>'Employee Attendance'!F138</x:f>
        <x:v>Fully attended</x:v>
      </x:c>
      <x:c r="I410" t="str">
        <x:f>'Employee Attendance'!K138</x:f>
        <x:v>Yes</x:v>
      </x:c>
    </x:row>
    <x:row r="411">
      <x:c r="A411" t="str">
        <x:f>'Employee Attendance'!A138</x:f>
        <x:v>Elvan VYTHILINGUM</x:v>
      </x:c>
      <x:c r="B411" t="str">
        <x:f>'Employee Attendance'!B138</x:f>
        <x:v>Mauritius</x:v>
      </x:c>
      <x:c r="C411" t="str">
        <x:f>'Employee Attendance'!C138</x:f>
        <x:v>MU</x:v>
      </x:c>
      <x:c r="D411" t="str">
        <x:f>'Employee Attendance'!D138</x:f>
        <x:v>elvan.vythilingum@pwc.com</x:v>
      </x:c>
      <x:c r="E411" t="str">
        <x:f>"Option 2"</x:f>
        <x:v>Option 2</x:v>
      </x:c>
      <x:c r="F411" s="14" t="n">
        <x:f>'Employee Attendance'!G138</x:f>
        <x:v>0</x:v>
      </x:c>
      <x:c r="G411" t="n">
        <x:f>F411*86400</x:f>
        <x:v>0</x:v>
      </x:c>
      <x:c r="H411" t="str">
        <x:f>'Employee Attendance'!H138</x:f>
        <x:v>Did not attend</x:v>
      </x:c>
      <x:c r="I411" t="str">
        <x:f>'Employee Attendance'!L138</x:f>
        <x:v>No</x:v>
      </x:c>
    </x:row>
    <x:row r="412">
      <x:c r="A412" t="str">
        <x:f>'Employee Attendance'!A138</x:f>
        <x:v>Elvan VYTHILINGUM</x:v>
      </x:c>
      <x:c r="B412" t="str">
        <x:f>'Employee Attendance'!B138</x:f>
        <x:v>Mauritius</x:v>
      </x:c>
      <x:c r="C412" t="str">
        <x:f>'Employee Attendance'!C138</x:f>
        <x:v>MU</x:v>
      </x:c>
      <x:c r="D412" t="str">
        <x:f>'Employee Attendance'!D138</x:f>
        <x:v>elvan.vythilingum@pwc.com</x:v>
      </x:c>
      <x:c r="E412" t="str">
        <x:f>"Combined"</x:f>
        <x:v>Combined</x:v>
      </x:c>
      <x:c r="F412" s="14" t="n">
        <x:f>'Employee Attendance'!I138</x:f>
        <x:v>0.0865162037037037</x:v>
      </x:c>
      <x:c r="G412" t="n">
        <x:f>F412*86400</x:f>
        <x:v>7475</x:v>
      </x:c>
      <x:c r="H412" t="str">
        <x:f>'Employee Attendance'!J138</x:f>
        <x:v>Fully attended</x:v>
      </x:c>
      <x:c r="I412" t="str">
        <x:f>IF(OR('Employee Attendance'!K138="Yes",'Employee Attendance'!L138="Yes"),"Yes","No")</x:f>
        <x:v>Yes</x:v>
      </x:c>
    </x:row>
    <x:row r="413">
      <x:c r="A413" t="str">
        <x:f>'Employee Attendance'!A139</x:f>
        <x:v>Elvis Thusiike</x:v>
      </x:c>
      <x:c r="B413" t="str">
        <x:f>'Employee Attendance'!B139</x:f>
        <x:v>Uganda</x:v>
      </x:c>
      <x:c r="C413" t="str">
        <x:f>'Employee Attendance'!C139</x:f>
        <x:v>UG</x:v>
      </x:c>
      <x:c r="D413" t="str">
        <x:f>'Employee Attendance'!D139</x:f>
        <x:v>elvis.thusiike@pwc.com</x:v>
      </x:c>
      <x:c r="E413" t="str">
        <x:f>"Option 1"</x:f>
        <x:v>Option 1</x:v>
      </x:c>
      <x:c r="F413" s="14" t="n">
        <x:f>'Employee Attendance'!E139</x:f>
        <x:v>0.08157407407407408</x:v>
      </x:c>
      <x:c r="G413" t="n">
        <x:f>F413*86400</x:f>
        <x:v>7048</x:v>
      </x:c>
      <x:c r="H413" t="str">
        <x:f>'Employee Attendance'!F139</x:f>
        <x:v>Fully attended</x:v>
      </x:c>
      <x:c r="I413" t="str">
        <x:f>'Employee Attendance'!K139</x:f>
        <x:v>Yes</x:v>
      </x:c>
    </x:row>
    <x:row r="414">
      <x:c r="A414" t="str">
        <x:f>'Employee Attendance'!A139</x:f>
        <x:v>Elvis Thusiike</x:v>
      </x:c>
      <x:c r="B414" t="str">
        <x:f>'Employee Attendance'!B139</x:f>
        <x:v>Uganda</x:v>
      </x:c>
      <x:c r="C414" t="str">
        <x:f>'Employee Attendance'!C139</x:f>
        <x:v>UG</x:v>
      </x:c>
      <x:c r="D414" t="str">
        <x:f>'Employee Attendance'!D139</x:f>
        <x:v>elvis.thusiike@pwc.com</x:v>
      </x:c>
      <x:c r="E414" t="str">
        <x:f>"Option 2"</x:f>
        <x:v>Option 2</x:v>
      </x:c>
      <x:c r="F414" s="14" t="n">
        <x:f>'Employee Attendance'!G139</x:f>
        <x:v>0</x:v>
      </x:c>
      <x:c r="G414" t="n">
        <x:f>F414*86400</x:f>
        <x:v>0</x:v>
      </x:c>
      <x:c r="H414" t="str">
        <x:f>'Employee Attendance'!H139</x:f>
        <x:v>Did not attend</x:v>
      </x:c>
      <x:c r="I414" t="str">
        <x:f>'Employee Attendance'!L139</x:f>
        <x:v>No</x:v>
      </x:c>
    </x:row>
    <x:row r="415">
      <x:c r="A415" t="str">
        <x:f>'Employee Attendance'!A139</x:f>
        <x:v>Elvis Thusiike</x:v>
      </x:c>
      <x:c r="B415" t="str">
        <x:f>'Employee Attendance'!B139</x:f>
        <x:v>Uganda</x:v>
      </x:c>
      <x:c r="C415" t="str">
        <x:f>'Employee Attendance'!C139</x:f>
        <x:v>UG</x:v>
      </x:c>
      <x:c r="D415" t="str">
        <x:f>'Employee Attendance'!D139</x:f>
        <x:v>elvis.thusiike@pwc.com</x:v>
      </x:c>
      <x:c r="E415" t="str">
        <x:f>"Combined"</x:f>
        <x:v>Combined</x:v>
      </x:c>
      <x:c r="F415" s="14" t="n">
        <x:f>'Employee Attendance'!I139</x:f>
        <x:v>0.08157407407407408</x:v>
      </x:c>
      <x:c r="G415" t="n">
        <x:f>F415*86400</x:f>
        <x:v>7048</x:v>
      </x:c>
      <x:c r="H415" t="str">
        <x:f>'Employee Attendance'!J139</x:f>
        <x:v>Fully attended</x:v>
      </x:c>
      <x:c r="I415" t="str">
        <x:f>IF(OR('Employee Attendance'!K139="Yes",'Employee Attendance'!L139="Yes"),"Yes","No")</x:f>
        <x:v>Yes</x:v>
      </x:c>
    </x:row>
    <x:row r="416">
      <x:c r="A416" t="str">
        <x:f>'Employee Attendance'!A140</x:f>
        <x:v>Emily Cheong Nam Kwong</x:v>
      </x:c>
      <x:c r="B416" t="str">
        <x:f>'Employee Attendance'!B140</x:f>
        <x:v>Mauritius</x:v>
      </x:c>
      <x:c r="C416" t="str">
        <x:f>'Employee Attendance'!C140</x:f>
        <x:v>MU</x:v>
      </x:c>
      <x:c r="D416" t="str">
        <x:f>'Employee Attendance'!D140</x:f>
        <x:v>emily.cheong.nam.kwong@pwc.com</x:v>
      </x:c>
      <x:c r="E416" t="str">
        <x:f>"Option 1"</x:f>
        <x:v>Option 1</x:v>
      </x:c>
      <x:c r="F416" s="14" t="n">
        <x:f>'Employee Attendance'!E140</x:f>
        <x:v>0</x:v>
      </x:c>
      <x:c r="G416" t="n">
        <x:f>F416*86400</x:f>
        <x:v>0</x:v>
      </x:c>
      <x:c r="H416" t="str">
        <x:f>'Employee Attendance'!F140</x:f>
        <x:v>Did not attend</x:v>
      </x:c>
      <x:c r="I416" t="str">
        <x:f>'Employee Attendance'!K140</x:f>
        <x:v>No</x:v>
      </x:c>
    </x:row>
    <x:row r="417">
      <x:c r="A417" t="str">
        <x:f>'Employee Attendance'!A140</x:f>
        <x:v>Emily Cheong Nam Kwong</x:v>
      </x:c>
      <x:c r="B417" t="str">
        <x:f>'Employee Attendance'!B140</x:f>
        <x:v>Mauritius</x:v>
      </x:c>
      <x:c r="C417" t="str">
        <x:f>'Employee Attendance'!C140</x:f>
        <x:v>MU</x:v>
      </x:c>
      <x:c r="D417" t="str">
        <x:f>'Employee Attendance'!D140</x:f>
        <x:v>emily.cheong.nam.kwong@pwc.com</x:v>
      </x:c>
      <x:c r="E417" t="str">
        <x:f>"Option 2"</x:f>
        <x:v>Option 2</x:v>
      </x:c>
      <x:c r="F417" s="14" t="n">
        <x:f>'Employee Attendance'!G140</x:f>
        <x:v>0.08233796296296296</x:v>
      </x:c>
      <x:c r="G417" t="n">
        <x:f>F417*86400</x:f>
        <x:v>7114</x:v>
      </x:c>
      <x:c r="H417" t="str">
        <x:f>'Employee Attendance'!H140</x:f>
        <x:v>Fully attended</x:v>
      </x:c>
      <x:c r="I417" t="str">
        <x:f>'Employee Attendance'!L140</x:f>
        <x:v>Yes</x:v>
      </x:c>
    </x:row>
    <x:row r="418">
      <x:c r="A418" t="str">
        <x:f>'Employee Attendance'!A140</x:f>
        <x:v>Emily Cheong Nam Kwong</x:v>
      </x:c>
      <x:c r="B418" t="str">
        <x:f>'Employee Attendance'!B140</x:f>
        <x:v>Mauritius</x:v>
      </x:c>
      <x:c r="C418" t="str">
        <x:f>'Employee Attendance'!C140</x:f>
        <x:v>MU</x:v>
      </x:c>
      <x:c r="D418" t="str">
        <x:f>'Employee Attendance'!D140</x:f>
        <x:v>emily.cheong.nam.kwong@pwc.com</x:v>
      </x:c>
      <x:c r="E418" t="str">
        <x:f>"Combined"</x:f>
        <x:v>Combined</x:v>
      </x:c>
      <x:c r="F418" s="14" t="n">
        <x:f>'Employee Attendance'!I140</x:f>
        <x:v>0.08233796296296296</x:v>
      </x:c>
      <x:c r="G418" t="n">
        <x:f>F418*86400</x:f>
        <x:v>7114</x:v>
      </x:c>
      <x:c r="H418" t="str">
        <x:f>'Employee Attendance'!J140</x:f>
        <x:v>Fully attended</x:v>
      </x:c>
      <x:c r="I418" t="str">
        <x:f>IF(OR('Employee Attendance'!K140="Yes",'Employee Attendance'!L140="Yes"),"Yes","No")</x:f>
        <x:v>Yes</x:v>
      </x:c>
    </x:row>
    <x:row r="419">
      <x:c r="A419" t="str">
        <x:f>'Employee Attendance'!A141</x:f>
        <x:v>Emily Lan Hing Po</x:v>
      </x:c>
      <x:c r="B419" t="str">
        <x:f>'Employee Attendance'!B141</x:f>
        <x:v>Mauritius</x:v>
      </x:c>
      <x:c r="C419" t="str">
        <x:f>'Employee Attendance'!C141</x:f>
        <x:v>MU</x:v>
      </x:c>
      <x:c r="D419" t="str">
        <x:f>'Employee Attendance'!D141</x:f>
        <x:v>emily.lan.hing.po@pwc.com</x:v>
      </x:c>
      <x:c r="E419" t="str">
        <x:f>"Option 1"</x:f>
        <x:v>Option 1</x:v>
      </x:c>
      <x:c r="F419" s="14" t="n">
        <x:f>'Employee Attendance'!E141</x:f>
        <x:v>0</x:v>
      </x:c>
      <x:c r="G419" t="n">
        <x:f>F419*86400</x:f>
        <x:v>0</x:v>
      </x:c>
      <x:c r="H419" t="str">
        <x:f>'Employee Attendance'!F141</x:f>
        <x:v>Did not attend</x:v>
      </x:c>
      <x:c r="I419" t="str">
        <x:f>'Employee Attendance'!K141</x:f>
        <x:v>No</x:v>
      </x:c>
    </x:row>
    <x:row r="420">
      <x:c r="A420" t="str">
        <x:f>'Employee Attendance'!A141</x:f>
        <x:v>Emily Lan Hing Po</x:v>
      </x:c>
      <x:c r="B420" t="str">
        <x:f>'Employee Attendance'!B141</x:f>
        <x:v>Mauritius</x:v>
      </x:c>
      <x:c r="C420" t="str">
        <x:f>'Employee Attendance'!C141</x:f>
        <x:v>MU</x:v>
      </x:c>
      <x:c r="D420" t="str">
        <x:f>'Employee Attendance'!D141</x:f>
        <x:v>emily.lan.hing.po@pwc.com</x:v>
      </x:c>
      <x:c r="E420" t="str">
        <x:f>"Option 2"</x:f>
        <x:v>Option 2</x:v>
      </x:c>
      <x:c r="F420" s="14" t="n">
        <x:f>'Employee Attendance'!G141</x:f>
        <x:v>0.08811342592592593</x:v>
      </x:c>
      <x:c r="G420" t="n">
        <x:f>F420*86400</x:f>
        <x:v>7613</x:v>
      </x:c>
      <x:c r="H420" t="str">
        <x:f>'Employee Attendance'!H141</x:f>
        <x:v>Fully attended</x:v>
      </x:c>
      <x:c r="I420" t="str">
        <x:f>'Employee Attendance'!L141</x:f>
        <x:v>Yes</x:v>
      </x:c>
    </x:row>
    <x:row r="421">
      <x:c r="A421" t="str">
        <x:f>'Employee Attendance'!A141</x:f>
        <x:v>Emily Lan Hing Po</x:v>
      </x:c>
      <x:c r="B421" t="str">
        <x:f>'Employee Attendance'!B141</x:f>
        <x:v>Mauritius</x:v>
      </x:c>
      <x:c r="C421" t="str">
        <x:f>'Employee Attendance'!C141</x:f>
        <x:v>MU</x:v>
      </x:c>
      <x:c r="D421" t="str">
        <x:f>'Employee Attendance'!D141</x:f>
        <x:v>emily.lan.hing.po@pwc.com</x:v>
      </x:c>
      <x:c r="E421" t="str">
        <x:f>"Combined"</x:f>
        <x:v>Combined</x:v>
      </x:c>
      <x:c r="F421" s="14" t="n">
        <x:f>'Employee Attendance'!I141</x:f>
        <x:v>0.08811342592592593</x:v>
      </x:c>
      <x:c r="G421" t="n">
        <x:f>F421*86400</x:f>
        <x:v>7613</x:v>
      </x:c>
      <x:c r="H421" t="str">
        <x:f>'Employee Attendance'!J141</x:f>
        <x:v>Fully attended</x:v>
      </x:c>
      <x:c r="I421" t="str">
        <x:f>IF(OR('Employee Attendance'!K141="Yes",'Employee Attendance'!L141="Yes"),"Yes","No")</x:f>
        <x:v>Yes</x:v>
      </x:c>
    </x:row>
    <x:row r="422">
      <x:c r="A422" t="str">
        <x:f>'Employee Attendance'!A142</x:f>
        <x:v>Emmanuel Kamizhi</x:v>
      </x:c>
      <x:c r="B422" t="str">
        <x:f>'Employee Attendance'!B142</x:f>
        <x:v>Zambia</x:v>
      </x:c>
      <x:c r="C422" t="str">
        <x:f>'Employee Attendance'!C142</x:f>
        <x:v>ZM</x:v>
      </x:c>
      <x:c r="D422" t="str">
        <x:f>'Employee Attendance'!D142</x:f>
        <x:v>emmanuel.kamizhi@pwc.com</x:v>
      </x:c>
      <x:c r="E422" t="str">
        <x:f>"Option 1"</x:f>
        <x:v>Option 1</x:v>
      </x:c>
      <x:c r="F422" s="14" t="n">
        <x:f>'Employee Attendance'!E142</x:f>
        <x:v>0.0899537037037037</x:v>
      </x:c>
      <x:c r="G422" t="n">
        <x:f>F422*86400</x:f>
        <x:v>7772</x:v>
      </x:c>
      <x:c r="H422" t="str">
        <x:f>'Employee Attendance'!F142</x:f>
        <x:v>Fully attended</x:v>
      </x:c>
      <x:c r="I422" t="str">
        <x:f>'Employee Attendance'!K142</x:f>
        <x:v>Yes</x:v>
      </x:c>
    </x:row>
    <x:row r="423">
      <x:c r="A423" t="str">
        <x:f>'Employee Attendance'!A142</x:f>
        <x:v>Emmanuel Kamizhi</x:v>
      </x:c>
      <x:c r="B423" t="str">
        <x:f>'Employee Attendance'!B142</x:f>
        <x:v>Zambia</x:v>
      </x:c>
      <x:c r="C423" t="str">
        <x:f>'Employee Attendance'!C142</x:f>
        <x:v>ZM</x:v>
      </x:c>
      <x:c r="D423" t="str">
        <x:f>'Employee Attendance'!D142</x:f>
        <x:v>emmanuel.kamizhi@pwc.com</x:v>
      </x:c>
      <x:c r="E423" t="str">
        <x:f>"Option 2"</x:f>
        <x:v>Option 2</x:v>
      </x:c>
      <x:c r="F423" s="14" t="n">
        <x:f>'Employee Attendance'!G142</x:f>
        <x:v>0</x:v>
      </x:c>
      <x:c r="G423" t="n">
        <x:f>F423*86400</x:f>
        <x:v>0</x:v>
      </x:c>
      <x:c r="H423" t="str">
        <x:f>'Employee Attendance'!H142</x:f>
        <x:v>Did not attend</x:v>
      </x:c>
      <x:c r="I423" t="str">
        <x:f>'Employee Attendance'!L142</x:f>
        <x:v>No</x:v>
      </x:c>
    </x:row>
    <x:row r="424">
      <x:c r="A424" t="str">
        <x:f>'Employee Attendance'!A142</x:f>
        <x:v>Emmanuel Kamizhi</x:v>
      </x:c>
      <x:c r="B424" t="str">
        <x:f>'Employee Attendance'!B142</x:f>
        <x:v>Zambia</x:v>
      </x:c>
      <x:c r="C424" t="str">
        <x:f>'Employee Attendance'!C142</x:f>
        <x:v>ZM</x:v>
      </x:c>
      <x:c r="D424" t="str">
        <x:f>'Employee Attendance'!D142</x:f>
        <x:v>emmanuel.kamizhi@pwc.com</x:v>
      </x:c>
      <x:c r="E424" t="str">
        <x:f>"Combined"</x:f>
        <x:v>Combined</x:v>
      </x:c>
      <x:c r="F424" s="14" t="n">
        <x:f>'Employee Attendance'!I142</x:f>
        <x:v>0.0899537037037037</x:v>
      </x:c>
      <x:c r="G424" t="n">
        <x:f>F424*86400</x:f>
        <x:v>7772</x:v>
      </x:c>
      <x:c r="H424" t="str">
        <x:f>'Employee Attendance'!J142</x:f>
        <x:v>Fully attended</x:v>
      </x:c>
      <x:c r="I424" t="str">
        <x:f>IF(OR('Employee Attendance'!K142="Yes",'Employee Attendance'!L142="Yes"),"Yes","No")</x:f>
        <x:v>Yes</x:v>
      </x:c>
    </x:row>
    <x:row r="425">
      <x:c r="A425" t="str">
        <x:f>'Employee Attendance'!A143</x:f>
        <x:v>Emmanuel Ngemi</x:v>
      </x:c>
      <x:c r="B425" t="str">
        <x:f>'Employee Attendance'!B143</x:f>
        <x:v>Kenya</x:v>
      </x:c>
      <x:c r="C425" t="str">
        <x:f>'Employee Attendance'!C143</x:f>
        <x:v>KE</x:v>
      </x:c>
      <x:c r="D425" t="str">
        <x:f>'Employee Attendance'!D143</x:f>
        <x:v>emmanuel.ngemi@pwc.com</x:v>
      </x:c>
      <x:c r="E425" t="str">
        <x:f>"Option 1"</x:f>
        <x:v>Option 1</x:v>
      </x:c>
      <x:c r="F425" s="14" t="n">
        <x:f>'Employee Attendance'!E143</x:f>
        <x:v>0.0752199074074074</x:v>
      </x:c>
      <x:c r="G425" t="n">
        <x:f>F425*86400</x:f>
        <x:v>6498.999999999999</x:v>
      </x:c>
      <x:c r="H425" t="str">
        <x:f>'Employee Attendance'!F143</x:f>
        <x:v>Fully attended</x:v>
      </x:c>
      <x:c r="I425" t="str">
        <x:f>'Employee Attendance'!K143</x:f>
        <x:v>Yes</x:v>
      </x:c>
    </x:row>
    <x:row r="426">
      <x:c r="A426" t="str">
        <x:f>'Employee Attendance'!A143</x:f>
        <x:v>Emmanuel Ngemi</x:v>
      </x:c>
      <x:c r="B426" t="str">
        <x:f>'Employee Attendance'!B143</x:f>
        <x:v>Kenya</x:v>
      </x:c>
      <x:c r="C426" t="str">
        <x:f>'Employee Attendance'!C143</x:f>
        <x:v>KE</x:v>
      </x:c>
      <x:c r="D426" t="str">
        <x:f>'Employee Attendance'!D143</x:f>
        <x:v>emmanuel.ngemi@pwc.com</x:v>
      </x:c>
      <x:c r="E426" t="str">
        <x:f>"Option 2"</x:f>
        <x:v>Option 2</x:v>
      </x:c>
      <x:c r="F426" s="14" t="n">
        <x:f>'Employee Attendance'!G143</x:f>
        <x:v>0</x:v>
      </x:c>
      <x:c r="G426" t="n">
        <x:f>F426*86400</x:f>
        <x:v>0</x:v>
      </x:c>
      <x:c r="H426" t="str">
        <x:f>'Employee Attendance'!H143</x:f>
        <x:v>Did not attend</x:v>
      </x:c>
      <x:c r="I426" t="str">
        <x:f>'Employee Attendance'!L143</x:f>
        <x:v>No</x:v>
      </x:c>
    </x:row>
    <x:row r="427">
      <x:c r="A427" t="str">
        <x:f>'Employee Attendance'!A143</x:f>
        <x:v>Emmanuel Ngemi</x:v>
      </x:c>
      <x:c r="B427" t="str">
        <x:f>'Employee Attendance'!B143</x:f>
        <x:v>Kenya</x:v>
      </x:c>
      <x:c r="C427" t="str">
        <x:f>'Employee Attendance'!C143</x:f>
        <x:v>KE</x:v>
      </x:c>
      <x:c r="D427" t="str">
        <x:f>'Employee Attendance'!D143</x:f>
        <x:v>emmanuel.ngemi@pwc.com</x:v>
      </x:c>
      <x:c r="E427" t="str">
        <x:f>"Combined"</x:f>
        <x:v>Combined</x:v>
      </x:c>
      <x:c r="F427" s="14" t="n">
        <x:f>'Employee Attendance'!I143</x:f>
        <x:v>0.0752199074074074</x:v>
      </x:c>
      <x:c r="G427" t="n">
        <x:f>F427*86400</x:f>
        <x:v>6498.999999999999</x:v>
      </x:c>
      <x:c r="H427" t="str">
        <x:f>'Employee Attendance'!J143</x:f>
        <x:v>Fully attended</x:v>
      </x:c>
      <x:c r="I427" t="str">
        <x:f>IF(OR('Employee Attendance'!K143="Yes",'Employee Attendance'!L143="Yes"),"Yes","No")</x:f>
        <x:v>Yes</x:v>
      </x:c>
    </x:row>
    <x:row r="428">
      <x:c r="A428" t="str">
        <x:f>'Employee Attendance'!A144</x:f>
        <x:v>Erick Gikaria</x:v>
      </x:c>
      <x:c r="B428" t="str">
        <x:f>'Employee Attendance'!B144</x:f>
        <x:v>Zambia</x:v>
      </x:c>
      <x:c r="C428" t="str">
        <x:f>'Employee Attendance'!C144</x:f>
        <x:v>ZM</x:v>
      </x:c>
      <x:c r="D428" t="str">
        <x:f>'Employee Attendance'!D144</x:f>
        <x:v>erick.g.gikaria@pwc.com</x:v>
      </x:c>
      <x:c r="E428" t="str">
        <x:f>"Option 1"</x:f>
        <x:v>Option 1</x:v>
      </x:c>
      <x:c r="F428" s="14" t="n">
        <x:f>'Employee Attendance'!E144</x:f>
        <x:v>0.059097222222222225</x:v>
      </x:c>
      <x:c r="G428" t="n">
        <x:f>F428*86400</x:f>
        <x:v>5106</x:v>
      </x:c>
      <x:c r="H428" t="str">
        <x:f>'Employee Attendance'!F144</x:f>
        <x:v>Partially attended</x:v>
      </x:c>
      <x:c r="I428" t="str">
        <x:f>'Employee Attendance'!K144</x:f>
        <x:v>Yes</x:v>
      </x:c>
    </x:row>
    <x:row r="429">
      <x:c r="A429" t="str">
        <x:f>'Employee Attendance'!A144</x:f>
        <x:v>Erick Gikaria</x:v>
      </x:c>
      <x:c r="B429" t="str">
        <x:f>'Employee Attendance'!B144</x:f>
        <x:v>Zambia</x:v>
      </x:c>
      <x:c r="C429" t="str">
        <x:f>'Employee Attendance'!C144</x:f>
        <x:v>ZM</x:v>
      </x:c>
      <x:c r="D429" t="str">
        <x:f>'Employee Attendance'!D144</x:f>
        <x:v>erick.g.gikaria@pwc.com</x:v>
      </x:c>
      <x:c r="E429" t="str">
        <x:f>"Option 2"</x:f>
        <x:v>Option 2</x:v>
      </x:c>
      <x:c r="F429" s="14" t="n">
        <x:f>'Employee Attendance'!G144</x:f>
        <x:v>0</x:v>
      </x:c>
      <x:c r="G429" t="n">
        <x:f>F429*86400</x:f>
        <x:v>0</x:v>
      </x:c>
      <x:c r="H429" t="str">
        <x:f>'Employee Attendance'!H144</x:f>
        <x:v>Did not attend</x:v>
      </x:c>
      <x:c r="I429" t="str">
        <x:f>'Employee Attendance'!L144</x:f>
        <x:v>No</x:v>
      </x:c>
    </x:row>
    <x:row r="430">
      <x:c r="A430" t="str">
        <x:f>'Employee Attendance'!A144</x:f>
        <x:v>Erick Gikaria</x:v>
      </x:c>
      <x:c r="B430" t="str">
        <x:f>'Employee Attendance'!B144</x:f>
        <x:v>Zambia</x:v>
      </x:c>
      <x:c r="C430" t="str">
        <x:f>'Employee Attendance'!C144</x:f>
        <x:v>ZM</x:v>
      </x:c>
      <x:c r="D430" t="str">
        <x:f>'Employee Attendance'!D144</x:f>
        <x:v>erick.g.gikaria@pwc.com</x:v>
      </x:c>
      <x:c r="E430" t="str">
        <x:f>"Combined"</x:f>
        <x:v>Combined</x:v>
      </x:c>
      <x:c r="F430" s="14" t="n">
        <x:f>'Employee Attendance'!I144</x:f>
        <x:v>0.059097222222222225</x:v>
      </x:c>
      <x:c r="G430" t="n">
        <x:f>F430*86400</x:f>
        <x:v>5106</x:v>
      </x:c>
      <x:c r="H430" t="str">
        <x:f>'Employee Attendance'!J144</x:f>
        <x:v>Partially attended</x:v>
      </x:c>
      <x:c r="I430" t="str">
        <x:f>IF(OR('Employee Attendance'!K144="Yes",'Employee Attendance'!L144="Yes"),"Yes","No")</x:f>
        <x:v>Yes</x:v>
      </x:c>
    </x:row>
    <x:row r="431">
      <x:c r="A431" t="str">
        <x:f>'Employee Attendance'!A145</x:f>
        <x:v>Erick Mona</x:v>
      </x:c>
      <x:c r="B431" t="str">
        <x:f>'Employee Attendance'!B145</x:f>
        <x:v>Tanzania</x:v>
      </x:c>
      <x:c r="C431" t="str">
        <x:f>'Employee Attendance'!C145</x:f>
        <x:v>TZ</x:v>
      </x:c>
      <x:c r="D431" t="str">
        <x:f>'Employee Attendance'!D145</x:f>
        <x:v>erick.mona@pwc.com</x:v>
      </x:c>
      <x:c r="E431" t="str">
        <x:f>"Option 1"</x:f>
        <x:v>Option 1</x:v>
      </x:c>
      <x:c r="F431" s="14" t="n">
        <x:f>'Employee Attendance'!E145</x:f>
        <x:v>0.07413194444444444</x:v>
      </x:c>
      <x:c r="G431" t="n">
        <x:f>F431*86400</x:f>
        <x:v>6405</x:v>
      </x:c>
      <x:c r="H431" t="str">
        <x:f>'Employee Attendance'!F145</x:f>
        <x:v>Fully attended</x:v>
      </x:c>
      <x:c r="I431" t="str">
        <x:f>'Employee Attendance'!K145</x:f>
        <x:v>Yes</x:v>
      </x:c>
    </x:row>
    <x:row r="432">
      <x:c r="A432" t="str">
        <x:f>'Employee Attendance'!A145</x:f>
        <x:v>Erick Mona</x:v>
      </x:c>
      <x:c r="B432" t="str">
        <x:f>'Employee Attendance'!B145</x:f>
        <x:v>Tanzania</x:v>
      </x:c>
      <x:c r="C432" t="str">
        <x:f>'Employee Attendance'!C145</x:f>
        <x:v>TZ</x:v>
      </x:c>
      <x:c r="D432" t="str">
        <x:f>'Employee Attendance'!D145</x:f>
        <x:v>erick.mona@pwc.com</x:v>
      </x:c>
      <x:c r="E432" t="str">
        <x:f>"Option 2"</x:f>
        <x:v>Option 2</x:v>
      </x:c>
      <x:c r="F432" s="14" t="n">
        <x:f>'Employee Attendance'!G145</x:f>
        <x:v>0</x:v>
      </x:c>
      <x:c r="G432" t="n">
        <x:f>F432*86400</x:f>
        <x:v>0</x:v>
      </x:c>
      <x:c r="H432" t="str">
        <x:f>'Employee Attendance'!H145</x:f>
        <x:v>Did not attend</x:v>
      </x:c>
      <x:c r="I432" t="str">
        <x:f>'Employee Attendance'!L145</x:f>
        <x:v>No</x:v>
      </x:c>
    </x:row>
    <x:row r="433">
      <x:c r="A433" t="str">
        <x:f>'Employee Attendance'!A145</x:f>
        <x:v>Erick Mona</x:v>
      </x:c>
      <x:c r="B433" t="str">
        <x:f>'Employee Attendance'!B145</x:f>
        <x:v>Tanzania</x:v>
      </x:c>
      <x:c r="C433" t="str">
        <x:f>'Employee Attendance'!C145</x:f>
        <x:v>TZ</x:v>
      </x:c>
      <x:c r="D433" t="str">
        <x:f>'Employee Attendance'!D145</x:f>
        <x:v>erick.mona@pwc.com</x:v>
      </x:c>
      <x:c r="E433" t="str">
        <x:f>"Combined"</x:f>
        <x:v>Combined</x:v>
      </x:c>
      <x:c r="F433" s="14" t="n">
        <x:f>'Employee Attendance'!I145</x:f>
        <x:v>0.07413194444444444</x:v>
      </x:c>
      <x:c r="G433" t="n">
        <x:f>F433*86400</x:f>
        <x:v>6405</x:v>
      </x:c>
      <x:c r="H433" t="str">
        <x:f>'Employee Attendance'!J145</x:f>
        <x:v>Fully attended</x:v>
      </x:c>
      <x:c r="I433" t="str">
        <x:f>IF(OR('Employee Attendance'!K145="Yes",'Employee Attendance'!L145="Yes"),"Yes","No")</x:f>
        <x:v>Yes</x:v>
      </x:c>
    </x:row>
    <x:row r="434">
      <x:c r="A434" t="str">
        <x:f>'Employee Attendance'!A146</x:f>
        <x:v>Eseri Anita Khabuya</x:v>
      </x:c>
      <x:c r="B434" t="str">
        <x:f>'Employee Attendance'!B146</x:f>
        <x:v>Uganda</x:v>
      </x:c>
      <x:c r="C434" t="str">
        <x:f>'Employee Attendance'!C146</x:f>
        <x:v>UG</x:v>
      </x:c>
      <x:c r="D434" t="str">
        <x:f>'Employee Attendance'!D146</x:f>
        <x:v>eseri.khabuya@pwc.com</x:v>
      </x:c>
      <x:c r="E434" t="str">
        <x:f>"Option 1"</x:f>
        <x:v>Option 1</x:v>
      </x:c>
      <x:c r="F434" s="14" t="n">
        <x:f>'Employee Attendance'!E146</x:f>
        <x:v>0.0006944444444444445</x:v>
      </x:c>
      <x:c r="G434" t="n">
        <x:f>F434*86400</x:f>
        <x:v>60</x:v>
      </x:c>
      <x:c r="H434" t="str">
        <x:f>'Employee Attendance'!F146</x:f>
        <x:v>Partially attended</x:v>
      </x:c>
      <x:c r="I434" t="str">
        <x:f>'Employee Attendance'!K146</x:f>
        <x:v>Yes</x:v>
      </x:c>
    </x:row>
    <x:row r="435">
      <x:c r="A435" t="str">
        <x:f>'Employee Attendance'!A146</x:f>
        <x:v>Eseri Anita Khabuya</x:v>
      </x:c>
      <x:c r="B435" t="str">
        <x:f>'Employee Attendance'!B146</x:f>
        <x:v>Uganda</x:v>
      </x:c>
      <x:c r="C435" t="str">
        <x:f>'Employee Attendance'!C146</x:f>
        <x:v>UG</x:v>
      </x:c>
      <x:c r="D435" t="str">
        <x:f>'Employee Attendance'!D146</x:f>
        <x:v>eseri.khabuya@pwc.com</x:v>
      </x:c>
      <x:c r="E435" t="str">
        <x:f>"Option 2"</x:f>
        <x:v>Option 2</x:v>
      </x:c>
      <x:c r="F435" s="14" t="n">
        <x:f>'Employee Attendance'!G146</x:f>
        <x:v>0.09385416666666667</x:v>
      </x:c>
      <x:c r="G435" t="n">
        <x:f>F435*86400</x:f>
        <x:v>8109</x:v>
      </x:c>
      <x:c r="H435" t="str">
        <x:f>'Employee Attendance'!H146</x:f>
        <x:v>Fully attended</x:v>
      </x:c>
      <x:c r="I435" t="str">
        <x:f>'Employee Attendance'!L146</x:f>
        <x:v>Yes</x:v>
      </x:c>
    </x:row>
    <x:row r="436">
      <x:c r="A436" t="str">
        <x:f>'Employee Attendance'!A146</x:f>
        <x:v>Eseri Anita Khabuya</x:v>
      </x:c>
      <x:c r="B436" t="str">
        <x:f>'Employee Attendance'!B146</x:f>
        <x:v>Uganda</x:v>
      </x:c>
      <x:c r="C436" t="str">
        <x:f>'Employee Attendance'!C146</x:f>
        <x:v>UG</x:v>
      </x:c>
      <x:c r="D436" t="str">
        <x:f>'Employee Attendance'!D146</x:f>
        <x:v>eseri.khabuya@pwc.com</x:v>
      </x:c>
      <x:c r="E436" t="str">
        <x:f>"Combined"</x:f>
        <x:v>Combined</x:v>
      </x:c>
      <x:c r="F436" s="14" t="n">
        <x:f>'Employee Attendance'!I146</x:f>
        <x:v>0.09454861111111111</x:v>
      </x:c>
      <x:c r="G436" t="n">
        <x:f>F436*86400</x:f>
        <x:v>8169</x:v>
      </x:c>
      <x:c r="H436" t="str">
        <x:f>'Employee Attendance'!J146</x:f>
        <x:v>Fully attended</x:v>
      </x:c>
      <x:c r="I436" t="str">
        <x:f>IF(OR('Employee Attendance'!K146="Yes",'Employee Attendance'!L146="Yes"),"Yes","No")</x:f>
        <x:v>Yes</x:v>
      </x:c>
    </x:row>
    <x:row r="437">
      <x:c r="A437" t="str">
        <x:f>'Employee Attendance'!A147</x:f>
        <x:v>Esha Ramsamy</x:v>
      </x:c>
      <x:c r="B437" t="str">
        <x:f>'Employee Attendance'!B147</x:f>
        <x:v>Mauritius</x:v>
      </x:c>
      <x:c r="C437" t="str">
        <x:f>'Employee Attendance'!C147</x:f>
        <x:v>MU</x:v>
      </x:c>
      <x:c r="D437" t="str">
        <x:f>'Employee Attendance'!D147</x:f>
        <x:v>esha.ramsamy@pwc.com</x:v>
      </x:c>
      <x:c r="E437" t="str">
        <x:f>"Option 1"</x:f>
        <x:v>Option 1</x:v>
      </x:c>
      <x:c r="F437" s="14" t="n">
        <x:f>'Employee Attendance'!E147</x:f>
        <x:v>0</x:v>
      </x:c>
      <x:c r="G437" t="n">
        <x:f>F437*86400</x:f>
        <x:v>0</x:v>
      </x:c>
      <x:c r="H437" t="str">
        <x:f>'Employee Attendance'!F147</x:f>
        <x:v>Did not attend</x:v>
      </x:c>
      <x:c r="I437" t="str">
        <x:f>'Employee Attendance'!K147</x:f>
        <x:v>No</x:v>
      </x:c>
    </x:row>
    <x:row r="438">
      <x:c r="A438" t="str">
        <x:f>'Employee Attendance'!A147</x:f>
        <x:v>Esha Ramsamy</x:v>
      </x:c>
      <x:c r="B438" t="str">
        <x:f>'Employee Attendance'!B147</x:f>
        <x:v>Mauritius</x:v>
      </x:c>
      <x:c r="C438" t="str">
        <x:f>'Employee Attendance'!C147</x:f>
        <x:v>MU</x:v>
      </x:c>
      <x:c r="D438" t="str">
        <x:f>'Employee Attendance'!D147</x:f>
        <x:v>esha.ramsamy@pwc.com</x:v>
      </x:c>
      <x:c r="E438" t="str">
        <x:f>"Option 2"</x:f>
        <x:v>Option 2</x:v>
      </x:c>
      <x:c r="F438" s="14" t="n">
        <x:f>'Employee Attendance'!G147</x:f>
        <x:v>0.085625</x:v>
      </x:c>
      <x:c r="G438" t="n">
        <x:f>F438*86400</x:f>
        <x:v>7398.000000000001</x:v>
      </x:c>
      <x:c r="H438" t="str">
        <x:f>'Employee Attendance'!H147</x:f>
        <x:v>Fully attended</x:v>
      </x:c>
      <x:c r="I438" t="str">
        <x:f>'Employee Attendance'!L147</x:f>
        <x:v>Yes</x:v>
      </x:c>
    </x:row>
    <x:row r="439">
      <x:c r="A439" t="str">
        <x:f>'Employee Attendance'!A147</x:f>
        <x:v>Esha Ramsamy</x:v>
      </x:c>
      <x:c r="B439" t="str">
        <x:f>'Employee Attendance'!B147</x:f>
        <x:v>Mauritius</x:v>
      </x:c>
      <x:c r="C439" t="str">
        <x:f>'Employee Attendance'!C147</x:f>
        <x:v>MU</x:v>
      </x:c>
      <x:c r="D439" t="str">
        <x:f>'Employee Attendance'!D147</x:f>
        <x:v>esha.ramsamy@pwc.com</x:v>
      </x:c>
      <x:c r="E439" t="str">
        <x:f>"Combined"</x:f>
        <x:v>Combined</x:v>
      </x:c>
      <x:c r="F439" s="14" t="n">
        <x:f>'Employee Attendance'!I147</x:f>
        <x:v>0.085625</x:v>
      </x:c>
      <x:c r="G439" t="n">
        <x:f>F439*86400</x:f>
        <x:v>7398.000000000001</x:v>
      </x:c>
      <x:c r="H439" t="str">
        <x:f>'Employee Attendance'!J147</x:f>
        <x:v>Fully attended</x:v>
      </x:c>
      <x:c r="I439" t="str">
        <x:f>IF(OR('Employee Attendance'!K147="Yes",'Employee Attendance'!L147="Yes"),"Yes","No")</x:f>
        <x:v>Yes</x:v>
      </x:c>
    </x:row>
    <x:row r="440">
      <x:c r="A440" t="str">
        <x:f>'Employee Attendance'!A148</x:f>
        <x:v>Esmeralda Kavishe</x:v>
      </x:c>
      <x:c r="B440" t="str">
        <x:f>'Employee Attendance'!B148</x:f>
        <x:v>Tanzania</x:v>
      </x:c>
      <x:c r="C440" t="str">
        <x:f>'Employee Attendance'!C148</x:f>
        <x:v>TZ</x:v>
      </x:c>
      <x:c r="D440" t="str">
        <x:f>'Employee Attendance'!D148</x:f>
        <x:v>esmeralda.kavishe@pwc.com</x:v>
      </x:c>
      <x:c r="E440" t="str">
        <x:f>"Option 1"</x:f>
        <x:v>Option 1</x:v>
      </x:c>
      <x:c r="F440" s="14" t="n">
        <x:f>'Employee Attendance'!E148</x:f>
        <x:v>0.0868287037037037</x:v>
      </x:c>
      <x:c r="G440" t="n">
        <x:f>F440*86400</x:f>
        <x:v>7502</x:v>
      </x:c>
      <x:c r="H440" t="str">
        <x:f>'Employee Attendance'!F148</x:f>
        <x:v>Fully attended</x:v>
      </x:c>
      <x:c r="I440" t="str">
        <x:f>'Employee Attendance'!K148</x:f>
        <x:v>Yes</x:v>
      </x:c>
    </x:row>
    <x:row r="441">
      <x:c r="A441" t="str">
        <x:f>'Employee Attendance'!A148</x:f>
        <x:v>Esmeralda Kavishe</x:v>
      </x:c>
      <x:c r="B441" t="str">
        <x:f>'Employee Attendance'!B148</x:f>
        <x:v>Tanzania</x:v>
      </x:c>
      <x:c r="C441" t="str">
        <x:f>'Employee Attendance'!C148</x:f>
        <x:v>TZ</x:v>
      </x:c>
      <x:c r="D441" t="str">
        <x:f>'Employee Attendance'!D148</x:f>
        <x:v>esmeralda.kavishe@pwc.com</x:v>
      </x:c>
      <x:c r="E441" t="str">
        <x:f>"Option 2"</x:f>
        <x:v>Option 2</x:v>
      </x:c>
      <x:c r="F441" s="14" t="n">
        <x:f>'Employee Attendance'!G148</x:f>
        <x:v>0.04111111111111111</x:v>
      </x:c>
      <x:c r="G441" t="n">
        <x:f>F441*86400</x:f>
        <x:v>3552</x:v>
      </x:c>
      <x:c r="H441" t="str">
        <x:f>'Employee Attendance'!H148</x:f>
        <x:v>Partially attended</x:v>
      </x:c>
      <x:c r="I441" t="str">
        <x:f>'Employee Attendance'!L148</x:f>
        <x:v>Yes</x:v>
      </x:c>
    </x:row>
    <x:row r="442">
      <x:c r="A442" t="str">
        <x:f>'Employee Attendance'!A148</x:f>
        <x:v>Esmeralda Kavishe</x:v>
      </x:c>
      <x:c r="B442" t="str">
        <x:f>'Employee Attendance'!B148</x:f>
        <x:v>Tanzania</x:v>
      </x:c>
      <x:c r="C442" t="str">
        <x:f>'Employee Attendance'!C148</x:f>
        <x:v>TZ</x:v>
      </x:c>
      <x:c r="D442" t="str">
        <x:f>'Employee Attendance'!D148</x:f>
        <x:v>esmeralda.kavishe@pwc.com</x:v>
      </x:c>
      <x:c r="E442" t="str">
        <x:f>"Combined"</x:f>
        <x:v>Combined</x:v>
      </x:c>
      <x:c r="F442" s="14" t="n">
        <x:f>'Employee Attendance'!I148</x:f>
        <x:v>0.1279398148148148</x:v>
      </x:c>
      <x:c r="G442" t="n">
        <x:f>F442*86400</x:f>
        <x:v>11054</x:v>
      </x:c>
      <x:c r="H442" t="str">
        <x:f>'Employee Attendance'!J148</x:f>
        <x:v>Fully attended</x:v>
      </x:c>
      <x:c r="I442" t="str">
        <x:f>IF(OR('Employee Attendance'!K148="Yes",'Employee Attendance'!L148="Yes"),"Yes","No")</x:f>
        <x:v>Yes</x:v>
      </x:c>
    </x:row>
    <x:row r="443">
      <x:c r="A443" t="str">
        <x:f>'Employee Attendance'!A149</x:f>
        <x:v>Esther Kimeu</x:v>
      </x:c>
      <x:c r="B443" t="str">
        <x:f>'Employee Attendance'!B149</x:f>
        <x:v>Kenya</x:v>
      </x:c>
      <x:c r="C443" t="str">
        <x:f>'Employee Attendance'!C149</x:f>
        <x:v>KE</x:v>
      </x:c>
      <x:c r="D443" t="str">
        <x:f>'Employee Attendance'!D149</x:f>
        <x:v>esther.kimeu@pwc.com</x:v>
      </x:c>
      <x:c r="E443" t="str">
        <x:f>"Option 1"</x:f>
        <x:v>Option 1</x:v>
      </x:c>
      <x:c r="F443" s="14" t="n">
        <x:f>'Employee Attendance'!E149</x:f>
        <x:v>0</x:v>
      </x:c>
      <x:c r="G443" t="n">
        <x:f>F443*86400</x:f>
        <x:v>0</x:v>
      </x:c>
      <x:c r="H443" t="str">
        <x:f>'Employee Attendance'!F149</x:f>
        <x:v>Did not attend</x:v>
      </x:c>
      <x:c r="I443" t="str">
        <x:f>'Employee Attendance'!K149</x:f>
        <x:v>No</x:v>
      </x:c>
    </x:row>
    <x:row r="444">
      <x:c r="A444" t="str">
        <x:f>'Employee Attendance'!A149</x:f>
        <x:v>Esther Kimeu</x:v>
      </x:c>
      <x:c r="B444" t="str">
        <x:f>'Employee Attendance'!B149</x:f>
        <x:v>Kenya</x:v>
      </x:c>
      <x:c r="C444" t="str">
        <x:f>'Employee Attendance'!C149</x:f>
        <x:v>KE</x:v>
      </x:c>
      <x:c r="D444" t="str">
        <x:f>'Employee Attendance'!D149</x:f>
        <x:v>esther.kimeu@pwc.com</x:v>
      </x:c>
      <x:c r="E444" t="str">
        <x:f>"Option 2"</x:f>
        <x:v>Option 2</x:v>
      </x:c>
      <x:c r="F444" s="14" t="n">
        <x:f>'Employee Attendance'!G149</x:f>
        <x:v>0</x:v>
      </x:c>
      <x:c r="G444" t="n">
        <x:f>F444*86400</x:f>
        <x:v>0</x:v>
      </x:c>
      <x:c r="H444" t="str">
        <x:f>'Employee Attendance'!H149</x:f>
        <x:v>Did not attend</x:v>
      </x:c>
      <x:c r="I444" t="str">
        <x:f>'Employee Attendance'!L149</x:f>
        <x:v>No</x:v>
      </x:c>
    </x:row>
    <x:row r="445">
      <x:c r="A445" t="str">
        <x:f>'Employee Attendance'!A149</x:f>
        <x:v>Esther Kimeu</x:v>
      </x:c>
      <x:c r="B445" t="str">
        <x:f>'Employee Attendance'!B149</x:f>
        <x:v>Kenya</x:v>
      </x:c>
      <x:c r="C445" t="str">
        <x:f>'Employee Attendance'!C149</x:f>
        <x:v>KE</x:v>
      </x:c>
      <x:c r="D445" t="str">
        <x:f>'Employee Attendance'!D149</x:f>
        <x:v>esther.kimeu@pwc.com</x:v>
      </x:c>
      <x:c r="E445" t="str">
        <x:f>"Combined"</x:f>
        <x:v>Combined</x:v>
      </x:c>
      <x:c r="F445" s="14" t="n">
        <x:f>'Employee Attendance'!I149</x:f>
        <x:v>0</x:v>
      </x:c>
      <x:c r="G445" t="n">
        <x:f>F445*86400</x:f>
        <x:v>0</x:v>
      </x:c>
      <x:c r="H445" t="str">
        <x:f>'Employee Attendance'!J149</x:f>
        <x:v>Did not attend</x:v>
      </x:c>
      <x:c r="I445" t="str">
        <x:f>IF(OR('Employee Attendance'!K149="Yes",'Employee Attendance'!L149="Yes"),"Yes","No")</x:f>
        <x:v>No</x:v>
      </x:c>
    </x:row>
    <x:row r="446">
      <x:c r="A446" t="str">
        <x:f>'Employee Attendance'!A150</x:f>
        <x:v>Esther Swai</x:v>
      </x:c>
      <x:c r="B446" t="str">
        <x:f>'Employee Attendance'!B150</x:f>
        <x:v>Tanzania</x:v>
      </x:c>
      <x:c r="C446" t="str">
        <x:f>'Employee Attendance'!C150</x:f>
        <x:v>TZ</x:v>
      </x:c>
      <x:c r="D446" t="str">
        <x:f>'Employee Attendance'!D150</x:f>
        <x:v>esther.swai@pwc.com</x:v>
      </x:c>
      <x:c r="E446" t="str">
        <x:f>"Option 1"</x:f>
        <x:v>Option 1</x:v>
      </x:c>
      <x:c r="F446" s="14" t="n">
        <x:f>'Employee Attendance'!E150</x:f>
        <x:v>0</x:v>
      </x:c>
      <x:c r="G446" t="n">
        <x:f>F446*86400</x:f>
        <x:v>0</x:v>
      </x:c>
      <x:c r="H446" t="str">
        <x:f>'Employee Attendance'!F150</x:f>
        <x:v>Did not attend</x:v>
      </x:c>
      <x:c r="I446" t="str">
        <x:f>'Employee Attendance'!K150</x:f>
        <x:v>No</x:v>
      </x:c>
    </x:row>
    <x:row r="447">
      <x:c r="A447" t="str">
        <x:f>'Employee Attendance'!A150</x:f>
        <x:v>Esther Swai</x:v>
      </x:c>
      <x:c r="B447" t="str">
        <x:f>'Employee Attendance'!B150</x:f>
        <x:v>Tanzania</x:v>
      </x:c>
      <x:c r="C447" t="str">
        <x:f>'Employee Attendance'!C150</x:f>
        <x:v>TZ</x:v>
      </x:c>
      <x:c r="D447" t="str">
        <x:f>'Employee Attendance'!D150</x:f>
        <x:v>esther.swai@pwc.com</x:v>
      </x:c>
      <x:c r="E447" t="str">
        <x:f>"Option 2"</x:f>
        <x:v>Option 2</x:v>
      </x:c>
      <x:c r="F447" s="14" t="n">
        <x:f>'Employee Attendance'!G150</x:f>
        <x:v>0.08797453703703703</x:v>
      </x:c>
      <x:c r="G447" t="n">
        <x:f>F447*86400</x:f>
        <x:v>7600.999999999999</x:v>
      </x:c>
      <x:c r="H447" t="str">
        <x:f>'Employee Attendance'!H150</x:f>
        <x:v>Fully attended</x:v>
      </x:c>
      <x:c r="I447" t="str">
        <x:f>'Employee Attendance'!L150</x:f>
        <x:v>Yes</x:v>
      </x:c>
    </x:row>
    <x:row r="448">
      <x:c r="A448" t="str">
        <x:f>'Employee Attendance'!A150</x:f>
        <x:v>Esther Swai</x:v>
      </x:c>
      <x:c r="B448" t="str">
        <x:f>'Employee Attendance'!B150</x:f>
        <x:v>Tanzania</x:v>
      </x:c>
      <x:c r="C448" t="str">
        <x:f>'Employee Attendance'!C150</x:f>
        <x:v>TZ</x:v>
      </x:c>
      <x:c r="D448" t="str">
        <x:f>'Employee Attendance'!D150</x:f>
        <x:v>esther.swai@pwc.com</x:v>
      </x:c>
      <x:c r="E448" t="str">
        <x:f>"Combined"</x:f>
        <x:v>Combined</x:v>
      </x:c>
      <x:c r="F448" s="14" t="n">
        <x:f>'Employee Attendance'!I150</x:f>
        <x:v>0.08797453703703703</x:v>
      </x:c>
      <x:c r="G448" t="n">
        <x:f>F448*86400</x:f>
        <x:v>7600.999999999999</x:v>
      </x:c>
      <x:c r="H448" t="str">
        <x:f>'Employee Attendance'!J150</x:f>
        <x:v>Fully attended</x:v>
      </x:c>
      <x:c r="I448" t="str">
        <x:f>IF(OR('Employee Attendance'!K150="Yes",'Employee Attendance'!L150="Yes"),"Yes","No")</x:f>
        <x:v>Yes</x:v>
      </x:c>
    </x:row>
    <x:row r="449">
      <x:c r="A449" t="str">
        <x:f>'Employee Attendance'!A151</x:f>
        <x:v>Esther Wilson</x:v>
      </x:c>
      <x:c r="B449" t="str">
        <x:f>'Employee Attendance'!B151</x:f>
        <x:v>Kenya</x:v>
      </x:c>
      <x:c r="C449" t="str">
        <x:f>'Employee Attendance'!C151</x:f>
        <x:v>KE</x:v>
      </x:c>
      <x:c r="D449" t="str">
        <x:f>'Employee Attendance'!D151</x:f>
        <x:v>esther.wilson@pwc.com</x:v>
      </x:c>
      <x:c r="E449" t="str">
        <x:f>"Option 1"</x:f>
        <x:v>Option 1</x:v>
      </x:c>
      <x:c r="F449" s="14" t="n">
        <x:f>'Employee Attendance'!E151</x:f>
        <x:v>0</x:v>
      </x:c>
      <x:c r="G449" t="n">
        <x:f>F449*86400</x:f>
        <x:v>0</x:v>
      </x:c>
      <x:c r="H449" t="str">
        <x:f>'Employee Attendance'!F151</x:f>
        <x:v>Did not attend</x:v>
      </x:c>
      <x:c r="I449" t="str">
        <x:f>'Employee Attendance'!K151</x:f>
        <x:v>No</x:v>
      </x:c>
    </x:row>
    <x:row r="450">
      <x:c r="A450" t="str">
        <x:f>'Employee Attendance'!A151</x:f>
        <x:v>Esther Wilson</x:v>
      </x:c>
      <x:c r="B450" t="str">
        <x:f>'Employee Attendance'!B151</x:f>
        <x:v>Kenya</x:v>
      </x:c>
      <x:c r="C450" t="str">
        <x:f>'Employee Attendance'!C151</x:f>
        <x:v>KE</x:v>
      </x:c>
      <x:c r="D450" t="str">
        <x:f>'Employee Attendance'!D151</x:f>
        <x:v>esther.wilson@pwc.com</x:v>
      </x:c>
      <x:c r="E450" t="str">
        <x:f>"Option 2"</x:f>
        <x:v>Option 2</x:v>
      </x:c>
      <x:c r="F450" s="14" t="n">
        <x:f>'Employee Attendance'!G151</x:f>
        <x:v>0.07288194444444444</x:v>
      </x:c>
      <x:c r="G450" t="n">
        <x:f>F450*86400</x:f>
        <x:v>6297</x:v>
      </x:c>
      <x:c r="H450" t="str">
        <x:f>'Employee Attendance'!H151</x:f>
        <x:v>Fully attended</x:v>
      </x:c>
      <x:c r="I450" t="str">
        <x:f>'Employee Attendance'!L151</x:f>
        <x:v>Yes</x:v>
      </x:c>
    </x:row>
    <x:row r="451">
      <x:c r="A451" t="str">
        <x:f>'Employee Attendance'!A151</x:f>
        <x:v>Esther Wilson</x:v>
      </x:c>
      <x:c r="B451" t="str">
        <x:f>'Employee Attendance'!B151</x:f>
        <x:v>Kenya</x:v>
      </x:c>
      <x:c r="C451" t="str">
        <x:f>'Employee Attendance'!C151</x:f>
        <x:v>KE</x:v>
      </x:c>
      <x:c r="D451" t="str">
        <x:f>'Employee Attendance'!D151</x:f>
        <x:v>esther.wilson@pwc.com</x:v>
      </x:c>
      <x:c r="E451" t="str">
        <x:f>"Combined"</x:f>
        <x:v>Combined</x:v>
      </x:c>
      <x:c r="F451" s="14" t="n">
        <x:f>'Employee Attendance'!I151</x:f>
        <x:v>0.07288194444444444</x:v>
      </x:c>
      <x:c r="G451" t="n">
        <x:f>F451*86400</x:f>
        <x:v>6297</x:v>
      </x:c>
      <x:c r="H451" t="str">
        <x:f>'Employee Attendance'!J151</x:f>
        <x:v>Fully attended</x:v>
      </x:c>
      <x:c r="I451" t="str">
        <x:f>IF(OR('Employee Attendance'!K151="Yes",'Employee Attendance'!L151="Yes"),"Yes","No")</x:f>
        <x:v>Yes</x:v>
      </x:c>
    </x:row>
    <x:row r="452">
      <x:c r="A452" t="str">
        <x:f>'Employee Attendance'!A152</x:f>
        <x:v>Ezra Kemboi</x:v>
      </x:c>
      <x:c r="B452" t="str">
        <x:f>'Employee Attendance'!B152</x:f>
        <x:v>Kenya</x:v>
      </x:c>
      <x:c r="C452" t="str">
        <x:f>'Employee Attendance'!C152</x:f>
        <x:v>KE</x:v>
      </x:c>
      <x:c r="D452" t="str">
        <x:f>'Employee Attendance'!D152</x:f>
        <x:v>ezra.kemboi@pwc.com</x:v>
      </x:c>
      <x:c r="E452" t="str">
        <x:f>"Option 1"</x:f>
        <x:v>Option 1</x:v>
      </x:c>
      <x:c r="F452" s="14" t="n">
        <x:f>'Employee Attendance'!E152</x:f>
        <x:v>0.023136574074074073</x:v>
      </x:c>
      <x:c r="G452" t="n">
        <x:f>F452*86400</x:f>
        <x:v>1999</x:v>
      </x:c>
      <x:c r="H452" t="str">
        <x:f>'Employee Attendance'!F152</x:f>
        <x:v>Partially attended</x:v>
      </x:c>
      <x:c r="I452" t="str">
        <x:f>'Employee Attendance'!K152</x:f>
        <x:v>Yes</x:v>
      </x:c>
    </x:row>
    <x:row r="453">
      <x:c r="A453" t="str">
        <x:f>'Employee Attendance'!A152</x:f>
        <x:v>Ezra Kemboi</x:v>
      </x:c>
      <x:c r="B453" t="str">
        <x:f>'Employee Attendance'!B152</x:f>
        <x:v>Kenya</x:v>
      </x:c>
      <x:c r="C453" t="str">
        <x:f>'Employee Attendance'!C152</x:f>
        <x:v>KE</x:v>
      </x:c>
      <x:c r="D453" t="str">
        <x:f>'Employee Attendance'!D152</x:f>
        <x:v>ezra.kemboi@pwc.com</x:v>
      </x:c>
      <x:c r="E453" t="str">
        <x:f>"Option 2"</x:f>
        <x:v>Option 2</x:v>
      </x:c>
      <x:c r="F453" s="14" t="n">
        <x:f>'Employee Attendance'!G152</x:f>
        <x:v>0.12258101851851852</x:v>
      </x:c>
      <x:c r="G453" t="n">
        <x:f>F453*86400</x:f>
        <x:v>10591</x:v>
      </x:c>
      <x:c r="H453" t="str">
        <x:f>'Employee Attendance'!H152</x:f>
        <x:v>Fully attended</x:v>
      </x:c>
      <x:c r="I453" t="str">
        <x:f>'Employee Attendance'!L152</x:f>
        <x:v>Yes</x:v>
      </x:c>
    </x:row>
    <x:row r="454">
      <x:c r="A454" t="str">
        <x:f>'Employee Attendance'!A152</x:f>
        <x:v>Ezra Kemboi</x:v>
      </x:c>
      <x:c r="B454" t="str">
        <x:f>'Employee Attendance'!B152</x:f>
        <x:v>Kenya</x:v>
      </x:c>
      <x:c r="C454" t="str">
        <x:f>'Employee Attendance'!C152</x:f>
        <x:v>KE</x:v>
      </x:c>
      <x:c r="D454" t="str">
        <x:f>'Employee Attendance'!D152</x:f>
        <x:v>ezra.kemboi@pwc.com</x:v>
      </x:c>
      <x:c r="E454" t="str">
        <x:f>"Combined"</x:f>
        <x:v>Combined</x:v>
      </x:c>
      <x:c r="F454" s="14" t="n">
        <x:f>'Employee Attendance'!I152</x:f>
        <x:v>0.1457175925925926</x:v>
      </x:c>
      <x:c r="G454" t="n">
        <x:f>F454*86400</x:f>
        <x:v>12590</x:v>
      </x:c>
      <x:c r="H454" t="str">
        <x:f>'Employee Attendance'!J152</x:f>
        <x:v>Fully attended</x:v>
      </x:c>
      <x:c r="I454" t="str">
        <x:f>IF(OR('Employee Attendance'!K152="Yes",'Employee Attendance'!L152="Yes"),"Yes","No")</x:f>
        <x:v>Yes</x:v>
      </x:c>
    </x:row>
    <x:row r="455">
      <x:c r="A455" t="str">
        <x:f>'Employee Attendance'!A153</x:f>
        <x:v>Ezra Maruti</x:v>
      </x:c>
      <x:c r="B455" t="str">
        <x:f>'Employee Attendance'!B153</x:f>
        <x:v>Kenya</x:v>
      </x:c>
      <x:c r="C455" t="str">
        <x:f>'Employee Attendance'!C153</x:f>
        <x:v>KE</x:v>
      </x:c>
      <x:c r="D455" t="str">
        <x:f>'Employee Attendance'!D153</x:f>
        <x:v>ezra.maruti@pwc.com</x:v>
      </x:c>
      <x:c r="E455" t="str">
        <x:f>"Option 1"</x:f>
        <x:v>Option 1</x:v>
      </x:c>
      <x:c r="F455" s="14" t="n">
        <x:f>'Employee Attendance'!E153</x:f>
        <x:v>0</x:v>
      </x:c>
      <x:c r="G455" t="n">
        <x:f>F455*86400</x:f>
        <x:v>0</x:v>
      </x:c>
      <x:c r="H455" t="str">
        <x:f>'Employee Attendance'!F153</x:f>
        <x:v>Did not attend</x:v>
      </x:c>
      <x:c r="I455" t="str">
        <x:f>'Employee Attendance'!K153</x:f>
        <x:v>No</x:v>
      </x:c>
    </x:row>
    <x:row r="456">
      <x:c r="A456" t="str">
        <x:f>'Employee Attendance'!A153</x:f>
        <x:v>Ezra Maruti</x:v>
      </x:c>
      <x:c r="B456" t="str">
        <x:f>'Employee Attendance'!B153</x:f>
        <x:v>Kenya</x:v>
      </x:c>
      <x:c r="C456" t="str">
        <x:f>'Employee Attendance'!C153</x:f>
        <x:v>KE</x:v>
      </x:c>
      <x:c r="D456" t="str">
        <x:f>'Employee Attendance'!D153</x:f>
        <x:v>ezra.maruti@pwc.com</x:v>
      </x:c>
      <x:c r="E456" t="str">
        <x:f>"Option 2"</x:f>
        <x:v>Option 2</x:v>
      </x:c>
      <x:c r="F456" s="14" t="n">
        <x:f>'Employee Attendance'!G153</x:f>
        <x:v>0.08212962962962964</x:v>
      </x:c>
      <x:c r="G456" t="n">
        <x:f>F456*86400</x:f>
        <x:v>7096.000000000001</x:v>
      </x:c>
      <x:c r="H456" t="str">
        <x:f>'Employee Attendance'!H153</x:f>
        <x:v>Fully attended</x:v>
      </x:c>
      <x:c r="I456" t="str">
        <x:f>'Employee Attendance'!L153</x:f>
        <x:v>Yes</x:v>
      </x:c>
    </x:row>
    <x:row r="457">
      <x:c r="A457" t="str">
        <x:f>'Employee Attendance'!A153</x:f>
        <x:v>Ezra Maruti</x:v>
      </x:c>
      <x:c r="B457" t="str">
        <x:f>'Employee Attendance'!B153</x:f>
        <x:v>Kenya</x:v>
      </x:c>
      <x:c r="C457" t="str">
        <x:f>'Employee Attendance'!C153</x:f>
        <x:v>KE</x:v>
      </x:c>
      <x:c r="D457" t="str">
        <x:f>'Employee Attendance'!D153</x:f>
        <x:v>ezra.maruti@pwc.com</x:v>
      </x:c>
      <x:c r="E457" t="str">
        <x:f>"Combined"</x:f>
        <x:v>Combined</x:v>
      </x:c>
      <x:c r="F457" s="14" t="n">
        <x:f>'Employee Attendance'!I153</x:f>
        <x:v>0.08212962962962964</x:v>
      </x:c>
      <x:c r="G457" t="n">
        <x:f>F457*86400</x:f>
        <x:v>7096.000000000001</x:v>
      </x:c>
      <x:c r="H457" t="str">
        <x:f>'Employee Attendance'!J153</x:f>
        <x:v>Fully attended</x:v>
      </x:c>
      <x:c r="I457" t="str">
        <x:f>IF(OR('Employee Attendance'!K153="Yes",'Employee Attendance'!L153="Yes"),"Yes","No")</x:f>
        <x:v>Yes</x:v>
      </x:c>
    </x:row>
    <x:row r="458">
      <x:c r="A458" t="str">
        <x:f>'Employee Attendance'!A154</x:f>
        <x:v>Fahim Damaree</x:v>
      </x:c>
      <x:c r="B458" t="str">
        <x:f>'Employee Attendance'!B154</x:f>
        <x:v>Mauritius</x:v>
      </x:c>
      <x:c r="C458" t="str">
        <x:f>'Employee Attendance'!C154</x:f>
        <x:v>MU</x:v>
      </x:c>
      <x:c r="D458" t="str">
        <x:f>'Employee Attendance'!D154</x:f>
        <x:v>fahim.damaree@pwc.com</x:v>
      </x:c>
      <x:c r="E458" t="str">
        <x:f>"Option 1"</x:f>
        <x:v>Option 1</x:v>
      </x:c>
      <x:c r="F458" s="14" t="n">
        <x:f>'Employee Attendance'!E154</x:f>
        <x:v>0</x:v>
      </x:c>
      <x:c r="G458" t="n">
        <x:f>F458*86400</x:f>
        <x:v>0</x:v>
      </x:c>
      <x:c r="H458" t="str">
        <x:f>'Employee Attendance'!F154</x:f>
        <x:v>Did not attend</x:v>
      </x:c>
      <x:c r="I458" t="str">
        <x:f>'Employee Attendance'!K154</x:f>
        <x:v>No</x:v>
      </x:c>
    </x:row>
    <x:row r="459">
      <x:c r="A459" t="str">
        <x:f>'Employee Attendance'!A154</x:f>
        <x:v>Fahim Damaree</x:v>
      </x:c>
      <x:c r="B459" t="str">
        <x:f>'Employee Attendance'!B154</x:f>
        <x:v>Mauritius</x:v>
      </x:c>
      <x:c r="C459" t="str">
        <x:f>'Employee Attendance'!C154</x:f>
        <x:v>MU</x:v>
      </x:c>
      <x:c r="D459" t="str">
        <x:f>'Employee Attendance'!D154</x:f>
        <x:v>fahim.damaree@pwc.com</x:v>
      </x:c>
      <x:c r="E459" t="str">
        <x:f>"Option 2"</x:f>
        <x:v>Option 2</x:v>
      </x:c>
      <x:c r="F459" s="14" t="n">
        <x:f>'Employee Attendance'!G154</x:f>
        <x:v>0.07221064814814815</x:v>
      </x:c>
      <x:c r="G459" t="n">
        <x:f>F459*86400</x:f>
        <x:v>6239</x:v>
      </x:c>
      <x:c r="H459" t="str">
        <x:f>'Employee Attendance'!H154</x:f>
        <x:v>Fully attended</x:v>
      </x:c>
      <x:c r="I459" t="str">
        <x:f>'Employee Attendance'!L154</x:f>
        <x:v>Yes</x:v>
      </x:c>
    </x:row>
    <x:row r="460">
      <x:c r="A460" t="str">
        <x:f>'Employee Attendance'!A154</x:f>
        <x:v>Fahim Damaree</x:v>
      </x:c>
      <x:c r="B460" t="str">
        <x:f>'Employee Attendance'!B154</x:f>
        <x:v>Mauritius</x:v>
      </x:c>
      <x:c r="C460" t="str">
        <x:f>'Employee Attendance'!C154</x:f>
        <x:v>MU</x:v>
      </x:c>
      <x:c r="D460" t="str">
        <x:f>'Employee Attendance'!D154</x:f>
        <x:v>fahim.damaree@pwc.com</x:v>
      </x:c>
      <x:c r="E460" t="str">
        <x:f>"Combined"</x:f>
        <x:v>Combined</x:v>
      </x:c>
      <x:c r="F460" s="14" t="n">
        <x:f>'Employee Attendance'!I154</x:f>
        <x:v>0.07221064814814815</x:v>
      </x:c>
      <x:c r="G460" t="n">
        <x:f>F460*86400</x:f>
        <x:v>6239</x:v>
      </x:c>
      <x:c r="H460" t="str">
        <x:f>'Employee Attendance'!J154</x:f>
        <x:v>Fully attended</x:v>
      </x:c>
      <x:c r="I460" t="str">
        <x:f>IF(OR('Employee Attendance'!K154="Yes",'Employee Attendance'!L154="Yes"),"Yes","No")</x:f>
        <x:v>Yes</x:v>
      </x:c>
    </x:row>
    <x:row r="461">
      <x:c r="A461" t="str">
        <x:f>'Employee Attendance'!A155</x:f>
        <x:v>Faith Makori</x:v>
      </x:c>
      <x:c r="B461" t="str">
        <x:f>'Employee Attendance'!B155</x:f>
        <x:v>Kenya</x:v>
      </x:c>
      <x:c r="C461" t="str">
        <x:f>'Employee Attendance'!C155</x:f>
        <x:v>KE</x:v>
      </x:c>
      <x:c r="D461" t="str">
        <x:f>'Employee Attendance'!D155</x:f>
        <x:v>faith.makori@pwc.com</x:v>
      </x:c>
      <x:c r="E461" t="str">
        <x:f>"Option 1"</x:f>
        <x:v>Option 1</x:v>
      </x:c>
      <x:c r="F461" s="14" t="n">
        <x:f>'Employee Attendance'!E155</x:f>
        <x:v>0</x:v>
      </x:c>
      <x:c r="G461" t="n">
        <x:f>F461*86400</x:f>
        <x:v>0</x:v>
      </x:c>
      <x:c r="H461" t="str">
        <x:f>'Employee Attendance'!F155</x:f>
        <x:v>Did not attend</x:v>
      </x:c>
      <x:c r="I461" t="str">
        <x:f>'Employee Attendance'!K155</x:f>
        <x:v>No</x:v>
      </x:c>
    </x:row>
    <x:row r="462">
      <x:c r="A462" t="str">
        <x:f>'Employee Attendance'!A155</x:f>
        <x:v>Faith Makori</x:v>
      </x:c>
      <x:c r="B462" t="str">
        <x:f>'Employee Attendance'!B155</x:f>
        <x:v>Kenya</x:v>
      </x:c>
      <x:c r="C462" t="str">
        <x:f>'Employee Attendance'!C155</x:f>
        <x:v>KE</x:v>
      </x:c>
      <x:c r="D462" t="str">
        <x:f>'Employee Attendance'!D155</x:f>
        <x:v>faith.makori@pwc.com</x:v>
      </x:c>
      <x:c r="E462" t="str">
        <x:f>"Option 2"</x:f>
        <x:v>Option 2</x:v>
      </x:c>
      <x:c r="F462" s="14" t="n">
        <x:f>'Employee Attendance'!G155</x:f>
        <x:v>0.08605324074074074</x:v>
      </x:c>
      <x:c r="G462" t="n">
        <x:f>F462*86400</x:f>
        <x:v>7435</x:v>
      </x:c>
      <x:c r="H462" t="str">
        <x:f>'Employee Attendance'!H155</x:f>
        <x:v>Fully attended</x:v>
      </x:c>
      <x:c r="I462" t="str">
        <x:f>'Employee Attendance'!L155</x:f>
        <x:v>Yes</x:v>
      </x:c>
    </x:row>
    <x:row r="463">
      <x:c r="A463" t="str">
        <x:f>'Employee Attendance'!A155</x:f>
        <x:v>Faith Makori</x:v>
      </x:c>
      <x:c r="B463" t="str">
        <x:f>'Employee Attendance'!B155</x:f>
        <x:v>Kenya</x:v>
      </x:c>
      <x:c r="C463" t="str">
        <x:f>'Employee Attendance'!C155</x:f>
        <x:v>KE</x:v>
      </x:c>
      <x:c r="D463" t="str">
        <x:f>'Employee Attendance'!D155</x:f>
        <x:v>faith.makori@pwc.com</x:v>
      </x:c>
      <x:c r="E463" t="str">
        <x:f>"Combined"</x:f>
        <x:v>Combined</x:v>
      </x:c>
      <x:c r="F463" s="14" t="n">
        <x:f>'Employee Attendance'!I155</x:f>
        <x:v>0.08605324074074074</x:v>
      </x:c>
      <x:c r="G463" t="n">
        <x:f>F463*86400</x:f>
        <x:v>7435</x:v>
      </x:c>
      <x:c r="H463" t="str">
        <x:f>'Employee Attendance'!J155</x:f>
        <x:v>Fully attended</x:v>
      </x:c>
      <x:c r="I463" t="str">
        <x:f>IF(OR('Employee Attendance'!K155="Yes",'Employee Attendance'!L155="Yes"),"Yes","No")</x:f>
        <x:v>Yes</x:v>
      </x:c>
    </x:row>
    <x:row r="464">
      <x:c r="A464" t="str">
        <x:f>'Employee Attendance'!A156</x:f>
        <x:v>Fardeen Dullull</x:v>
      </x:c>
      <x:c r="B464" t="str">
        <x:f>'Employee Attendance'!B156</x:f>
        <x:v>Mauritius</x:v>
      </x:c>
      <x:c r="C464" t="str">
        <x:f>'Employee Attendance'!C156</x:f>
        <x:v>MU</x:v>
      </x:c>
      <x:c r="D464" t="str">
        <x:f>'Employee Attendance'!D156</x:f>
        <x:v>fardeen.dullull@pwc.com</x:v>
      </x:c>
      <x:c r="E464" t="str">
        <x:f>"Option 1"</x:f>
        <x:v>Option 1</x:v>
      </x:c>
      <x:c r="F464" s="14" t="n">
        <x:f>'Employee Attendance'!E156</x:f>
        <x:v>0</x:v>
      </x:c>
      <x:c r="G464" t="n">
        <x:f>F464*86400</x:f>
        <x:v>0</x:v>
      </x:c>
      <x:c r="H464" t="str">
        <x:f>'Employee Attendance'!F156</x:f>
        <x:v>Did not attend</x:v>
      </x:c>
      <x:c r="I464" t="str">
        <x:f>'Employee Attendance'!K156</x:f>
        <x:v>No</x:v>
      </x:c>
    </x:row>
    <x:row r="465">
      <x:c r="A465" t="str">
        <x:f>'Employee Attendance'!A156</x:f>
        <x:v>Fardeen Dullull</x:v>
      </x:c>
      <x:c r="B465" t="str">
        <x:f>'Employee Attendance'!B156</x:f>
        <x:v>Mauritius</x:v>
      </x:c>
      <x:c r="C465" t="str">
        <x:f>'Employee Attendance'!C156</x:f>
        <x:v>MU</x:v>
      </x:c>
      <x:c r="D465" t="str">
        <x:f>'Employee Attendance'!D156</x:f>
        <x:v>fardeen.dullull@pwc.com</x:v>
      </x:c>
      <x:c r="E465" t="str">
        <x:f>"Option 2"</x:f>
        <x:v>Option 2</x:v>
      </x:c>
      <x:c r="F465" s="14" t="n">
        <x:f>'Employee Attendance'!G156</x:f>
        <x:v>0.07491898148148148</x:v>
      </x:c>
      <x:c r="G465" t="n">
        <x:f>F465*86400</x:f>
        <x:v>6472.999999999999</x:v>
      </x:c>
      <x:c r="H465" t="str">
        <x:f>'Employee Attendance'!H156</x:f>
        <x:v>Fully attended</x:v>
      </x:c>
      <x:c r="I465" t="str">
        <x:f>'Employee Attendance'!L156</x:f>
        <x:v>Yes</x:v>
      </x:c>
    </x:row>
    <x:row r="466">
      <x:c r="A466" t="str">
        <x:f>'Employee Attendance'!A156</x:f>
        <x:v>Fardeen Dullull</x:v>
      </x:c>
      <x:c r="B466" t="str">
        <x:f>'Employee Attendance'!B156</x:f>
        <x:v>Mauritius</x:v>
      </x:c>
      <x:c r="C466" t="str">
        <x:f>'Employee Attendance'!C156</x:f>
        <x:v>MU</x:v>
      </x:c>
      <x:c r="D466" t="str">
        <x:f>'Employee Attendance'!D156</x:f>
        <x:v>fardeen.dullull@pwc.com</x:v>
      </x:c>
      <x:c r="E466" t="str">
        <x:f>"Combined"</x:f>
        <x:v>Combined</x:v>
      </x:c>
      <x:c r="F466" s="14" t="n">
        <x:f>'Employee Attendance'!I156</x:f>
        <x:v>0.07491898148148148</x:v>
      </x:c>
      <x:c r="G466" t="n">
        <x:f>F466*86400</x:f>
        <x:v>6472.999999999999</x:v>
      </x:c>
      <x:c r="H466" t="str">
        <x:f>'Employee Attendance'!J156</x:f>
        <x:v>Fully attended</x:v>
      </x:c>
      <x:c r="I466" t="str">
        <x:f>IF(OR('Employee Attendance'!K156="Yes",'Employee Attendance'!L156="Yes"),"Yes","No")</x:f>
        <x:v>Yes</x:v>
      </x:c>
    </x:row>
    <x:row r="467">
      <x:c r="A467" t="str">
        <x:f>'Employee Attendance'!A157</x:f>
        <x:v>Farhaan Salamuth</x:v>
      </x:c>
      <x:c r="B467" t="str">
        <x:f>'Employee Attendance'!B157</x:f>
        <x:v>Mauritius</x:v>
      </x:c>
      <x:c r="C467" t="str">
        <x:f>'Employee Attendance'!C157</x:f>
        <x:v>MU</x:v>
      </x:c>
      <x:c r="D467" t="str">
        <x:f>'Employee Attendance'!D157</x:f>
        <x:v>farhaan.salamuth@pwc.com</x:v>
      </x:c>
      <x:c r="E467" t="str">
        <x:f>"Option 1"</x:f>
        <x:v>Option 1</x:v>
      </x:c>
      <x:c r="F467" s="14" t="n">
        <x:f>'Employee Attendance'!E157</x:f>
        <x:v>0</x:v>
      </x:c>
      <x:c r="G467" t="n">
        <x:f>F467*86400</x:f>
        <x:v>0</x:v>
      </x:c>
      <x:c r="H467" t="str">
        <x:f>'Employee Attendance'!F157</x:f>
        <x:v>Did not attend</x:v>
      </x:c>
      <x:c r="I467" t="str">
        <x:f>'Employee Attendance'!K157</x:f>
        <x:v>No</x:v>
      </x:c>
    </x:row>
    <x:row r="468">
      <x:c r="A468" t="str">
        <x:f>'Employee Attendance'!A157</x:f>
        <x:v>Farhaan Salamuth</x:v>
      </x:c>
      <x:c r="B468" t="str">
        <x:f>'Employee Attendance'!B157</x:f>
        <x:v>Mauritius</x:v>
      </x:c>
      <x:c r="C468" t="str">
        <x:f>'Employee Attendance'!C157</x:f>
        <x:v>MU</x:v>
      </x:c>
      <x:c r="D468" t="str">
        <x:f>'Employee Attendance'!D157</x:f>
        <x:v>farhaan.salamuth@pwc.com</x:v>
      </x:c>
      <x:c r="E468" t="str">
        <x:f>"Option 2"</x:f>
        <x:v>Option 2</x:v>
      </x:c>
      <x:c r="F468" s="14" t="n">
        <x:f>'Employee Attendance'!G157</x:f>
        <x:v>0.061782407407407404</x:v>
      </x:c>
      <x:c r="G468" t="n">
        <x:f>F468*86400</x:f>
        <x:v>5338</x:v>
      </x:c>
      <x:c r="H468" t="str">
        <x:f>'Employee Attendance'!H157</x:f>
        <x:v>Partially attended</x:v>
      </x:c>
      <x:c r="I468" t="str">
        <x:f>'Employee Attendance'!L157</x:f>
        <x:v>Yes</x:v>
      </x:c>
    </x:row>
    <x:row r="469">
      <x:c r="A469" t="str">
        <x:f>'Employee Attendance'!A157</x:f>
        <x:v>Farhaan Salamuth</x:v>
      </x:c>
      <x:c r="B469" t="str">
        <x:f>'Employee Attendance'!B157</x:f>
        <x:v>Mauritius</x:v>
      </x:c>
      <x:c r="C469" t="str">
        <x:f>'Employee Attendance'!C157</x:f>
        <x:v>MU</x:v>
      </x:c>
      <x:c r="D469" t="str">
        <x:f>'Employee Attendance'!D157</x:f>
        <x:v>farhaan.salamuth@pwc.com</x:v>
      </x:c>
      <x:c r="E469" t="str">
        <x:f>"Combined"</x:f>
        <x:v>Combined</x:v>
      </x:c>
      <x:c r="F469" s="14" t="n">
        <x:f>'Employee Attendance'!I157</x:f>
        <x:v>0.061782407407407404</x:v>
      </x:c>
      <x:c r="G469" t="n">
        <x:f>F469*86400</x:f>
        <x:v>5338</x:v>
      </x:c>
      <x:c r="H469" t="str">
        <x:f>'Employee Attendance'!J157</x:f>
        <x:v>Partially attended</x:v>
      </x:c>
      <x:c r="I469" t="str">
        <x:f>IF(OR('Employee Attendance'!K157="Yes",'Employee Attendance'!L157="Yes"),"Yes","No")</x:f>
        <x:v>Yes</x:v>
      </x:c>
    </x:row>
    <x:row r="470">
      <x:c r="A470" t="str">
        <x:f>'Employee Attendance'!A158</x:f>
        <x:v>Farouk Kasadha</x:v>
      </x:c>
      <x:c r="B470" t="str">
        <x:f>'Employee Attendance'!B158</x:f>
        <x:v>Uganda</x:v>
      </x:c>
      <x:c r="C470" t="str">
        <x:f>'Employee Attendance'!C158</x:f>
        <x:v>UG</x:v>
      </x:c>
      <x:c r="D470" t="str">
        <x:f>'Employee Attendance'!D158</x:f>
        <x:v>farouk.kasadha@pwc.com</x:v>
      </x:c>
      <x:c r="E470" t="str">
        <x:f>"Option 1"</x:f>
        <x:v>Option 1</x:v>
      </x:c>
      <x:c r="F470" s="14" t="n">
        <x:f>'Employee Attendance'!E158</x:f>
        <x:v>0.019664351851851853</x:v>
      </x:c>
      <x:c r="G470" t="n">
        <x:f>F470*86400</x:f>
        <x:v>1699</x:v>
      </x:c>
      <x:c r="H470" t="str">
        <x:f>'Employee Attendance'!F158</x:f>
        <x:v>Partially attended</x:v>
      </x:c>
      <x:c r="I470" t="str">
        <x:f>'Employee Attendance'!K158</x:f>
        <x:v>Yes</x:v>
      </x:c>
    </x:row>
    <x:row r="471">
      <x:c r="A471" t="str">
        <x:f>'Employee Attendance'!A158</x:f>
        <x:v>Farouk Kasadha</x:v>
      </x:c>
      <x:c r="B471" t="str">
        <x:f>'Employee Attendance'!B158</x:f>
        <x:v>Uganda</x:v>
      </x:c>
      <x:c r="C471" t="str">
        <x:f>'Employee Attendance'!C158</x:f>
        <x:v>UG</x:v>
      </x:c>
      <x:c r="D471" t="str">
        <x:f>'Employee Attendance'!D158</x:f>
        <x:v>farouk.kasadha@pwc.com</x:v>
      </x:c>
      <x:c r="E471" t="str">
        <x:f>"Option 2"</x:f>
        <x:v>Option 2</x:v>
      </x:c>
      <x:c r="F471" s="14" t="n">
        <x:f>'Employee Attendance'!G158</x:f>
        <x:v>0.06498842592592592</x:v>
      </x:c>
      <x:c r="G471" t="n">
        <x:f>F471*86400</x:f>
        <x:v>5615</x:v>
      </x:c>
      <x:c r="H471" t="str">
        <x:f>'Employee Attendance'!H158</x:f>
        <x:v>Fully attended</x:v>
      </x:c>
      <x:c r="I471" t="str">
        <x:f>'Employee Attendance'!L158</x:f>
        <x:v>Yes</x:v>
      </x:c>
    </x:row>
    <x:row r="472">
      <x:c r="A472" t="str">
        <x:f>'Employee Attendance'!A158</x:f>
        <x:v>Farouk Kasadha</x:v>
      </x:c>
      <x:c r="B472" t="str">
        <x:f>'Employee Attendance'!B158</x:f>
        <x:v>Uganda</x:v>
      </x:c>
      <x:c r="C472" t="str">
        <x:f>'Employee Attendance'!C158</x:f>
        <x:v>UG</x:v>
      </x:c>
      <x:c r="D472" t="str">
        <x:f>'Employee Attendance'!D158</x:f>
        <x:v>farouk.kasadha@pwc.com</x:v>
      </x:c>
      <x:c r="E472" t="str">
        <x:f>"Combined"</x:f>
        <x:v>Combined</x:v>
      </x:c>
      <x:c r="F472" s="14" t="n">
        <x:f>'Employee Attendance'!I158</x:f>
        <x:v>0.08465277777777777</x:v>
      </x:c>
      <x:c r="G472" t="n">
        <x:f>F472*86400</x:f>
        <x:v>7313.999999999999</x:v>
      </x:c>
      <x:c r="H472" t="str">
        <x:f>'Employee Attendance'!J158</x:f>
        <x:v>Fully attended</x:v>
      </x:c>
      <x:c r="I472" t="str">
        <x:f>IF(OR('Employee Attendance'!K158="Yes",'Employee Attendance'!L158="Yes"),"Yes","No")</x:f>
        <x:v>Yes</x:v>
      </x:c>
    </x:row>
    <x:row r="473">
      <x:c r="A473" t="str">
        <x:f>'Employee Attendance'!A159</x:f>
        <x:v>Fayson Munkombwe</x:v>
      </x:c>
      <x:c r="B473" t="str">
        <x:f>'Employee Attendance'!B159</x:f>
        <x:v>Zambia</x:v>
      </x:c>
      <x:c r="C473" t="str">
        <x:f>'Employee Attendance'!C159</x:f>
        <x:v>ZM</x:v>
      </x:c>
      <x:c r="D473" t="str">
        <x:f>'Employee Attendance'!D159</x:f>
        <x:v>fayson.x.munkombwe@pwc.com</x:v>
      </x:c>
      <x:c r="E473" t="str">
        <x:f>"Option 1"</x:f>
        <x:v>Option 1</x:v>
      </x:c>
      <x:c r="F473" s="14" t="n">
        <x:f>'Employee Attendance'!E159</x:f>
        <x:v>0.08083333333333333</x:v>
      </x:c>
      <x:c r="G473" t="n">
        <x:f>F473*86400</x:f>
        <x:v>6983.999999999999</x:v>
      </x:c>
      <x:c r="H473" t="str">
        <x:f>'Employee Attendance'!F159</x:f>
        <x:v>Fully attended</x:v>
      </x:c>
      <x:c r="I473" t="str">
        <x:f>'Employee Attendance'!K159</x:f>
        <x:v>Yes</x:v>
      </x:c>
    </x:row>
    <x:row r="474">
      <x:c r="A474" t="str">
        <x:f>'Employee Attendance'!A159</x:f>
        <x:v>Fayson Munkombwe</x:v>
      </x:c>
      <x:c r="B474" t="str">
        <x:f>'Employee Attendance'!B159</x:f>
        <x:v>Zambia</x:v>
      </x:c>
      <x:c r="C474" t="str">
        <x:f>'Employee Attendance'!C159</x:f>
        <x:v>ZM</x:v>
      </x:c>
      <x:c r="D474" t="str">
        <x:f>'Employee Attendance'!D159</x:f>
        <x:v>fayson.x.munkombwe@pwc.com</x:v>
      </x:c>
      <x:c r="E474" t="str">
        <x:f>"Option 2"</x:f>
        <x:v>Option 2</x:v>
      </x:c>
      <x:c r="F474" s="14" t="n">
        <x:f>'Employee Attendance'!G159</x:f>
        <x:v>0</x:v>
      </x:c>
      <x:c r="G474" t="n">
        <x:f>F474*86400</x:f>
        <x:v>0</x:v>
      </x:c>
      <x:c r="H474" t="str">
        <x:f>'Employee Attendance'!H159</x:f>
        <x:v>Did not attend</x:v>
      </x:c>
      <x:c r="I474" t="str">
        <x:f>'Employee Attendance'!L159</x:f>
        <x:v>No</x:v>
      </x:c>
    </x:row>
    <x:row r="475">
      <x:c r="A475" t="str">
        <x:f>'Employee Attendance'!A159</x:f>
        <x:v>Fayson Munkombwe</x:v>
      </x:c>
      <x:c r="B475" t="str">
        <x:f>'Employee Attendance'!B159</x:f>
        <x:v>Zambia</x:v>
      </x:c>
      <x:c r="C475" t="str">
        <x:f>'Employee Attendance'!C159</x:f>
        <x:v>ZM</x:v>
      </x:c>
      <x:c r="D475" t="str">
        <x:f>'Employee Attendance'!D159</x:f>
        <x:v>fayson.x.munkombwe@pwc.com</x:v>
      </x:c>
      <x:c r="E475" t="str">
        <x:f>"Combined"</x:f>
        <x:v>Combined</x:v>
      </x:c>
      <x:c r="F475" s="14" t="n">
        <x:f>'Employee Attendance'!I159</x:f>
        <x:v>0.08083333333333333</x:v>
      </x:c>
      <x:c r="G475" t="n">
        <x:f>F475*86400</x:f>
        <x:v>6983.999999999999</x:v>
      </x:c>
      <x:c r="H475" t="str">
        <x:f>'Employee Attendance'!J159</x:f>
        <x:v>Fully attended</x:v>
      </x:c>
      <x:c r="I475" t="str">
        <x:f>IF(OR('Employee Attendance'!K159="Yes",'Employee Attendance'!L159="Yes"),"Yes","No")</x:f>
        <x:v>Yes</x:v>
      </x:c>
    </x:row>
    <x:row r="476">
      <x:c r="A476" t="str">
        <x:f>'Employee Attendance'!A160</x:f>
        <x:v>Flavia Kaluba</x:v>
      </x:c>
      <x:c r="B476" t="str">
        <x:f>'Employee Attendance'!B160</x:f>
        <x:v>Zambia</x:v>
      </x:c>
      <x:c r="C476" t="str">
        <x:f>'Employee Attendance'!C160</x:f>
        <x:v>ZM</x:v>
      </x:c>
      <x:c r="D476" t="str">
        <x:f>'Employee Attendance'!D160</x:f>
        <x:v>flavia.kaluba@pwc.com</x:v>
      </x:c>
      <x:c r="E476" t="str">
        <x:f>"Option 1"</x:f>
        <x:v>Option 1</x:v>
      </x:c>
      <x:c r="F476" s="14" t="n">
        <x:f>'Employee Attendance'!E160</x:f>
        <x:v>0</x:v>
      </x:c>
      <x:c r="G476" t="n">
        <x:f>F476*86400</x:f>
        <x:v>0</x:v>
      </x:c>
      <x:c r="H476" t="str">
        <x:f>'Employee Attendance'!F160</x:f>
        <x:v>Did not attend</x:v>
      </x:c>
      <x:c r="I476" t="str">
        <x:f>'Employee Attendance'!K160</x:f>
        <x:v>No</x:v>
      </x:c>
    </x:row>
    <x:row r="477">
      <x:c r="A477" t="str">
        <x:f>'Employee Attendance'!A160</x:f>
        <x:v>Flavia Kaluba</x:v>
      </x:c>
      <x:c r="B477" t="str">
        <x:f>'Employee Attendance'!B160</x:f>
        <x:v>Zambia</x:v>
      </x:c>
      <x:c r="C477" t="str">
        <x:f>'Employee Attendance'!C160</x:f>
        <x:v>ZM</x:v>
      </x:c>
      <x:c r="D477" t="str">
        <x:f>'Employee Attendance'!D160</x:f>
        <x:v>flavia.kaluba@pwc.com</x:v>
      </x:c>
      <x:c r="E477" t="str">
        <x:f>"Option 2"</x:f>
        <x:v>Option 2</x:v>
      </x:c>
      <x:c r="F477" s="14" t="n">
        <x:f>'Employee Attendance'!G160</x:f>
        <x:v>0.08524305555555556</x:v>
      </x:c>
      <x:c r="G477" t="n">
        <x:f>F477*86400</x:f>
        <x:v>7365</x:v>
      </x:c>
      <x:c r="H477" t="str">
        <x:f>'Employee Attendance'!H160</x:f>
        <x:v>Fully attended</x:v>
      </x:c>
      <x:c r="I477" t="str">
        <x:f>'Employee Attendance'!L160</x:f>
        <x:v>Yes</x:v>
      </x:c>
    </x:row>
    <x:row r="478">
      <x:c r="A478" t="str">
        <x:f>'Employee Attendance'!A160</x:f>
        <x:v>Flavia Kaluba</x:v>
      </x:c>
      <x:c r="B478" t="str">
        <x:f>'Employee Attendance'!B160</x:f>
        <x:v>Zambia</x:v>
      </x:c>
      <x:c r="C478" t="str">
        <x:f>'Employee Attendance'!C160</x:f>
        <x:v>ZM</x:v>
      </x:c>
      <x:c r="D478" t="str">
        <x:f>'Employee Attendance'!D160</x:f>
        <x:v>flavia.kaluba@pwc.com</x:v>
      </x:c>
      <x:c r="E478" t="str">
        <x:f>"Combined"</x:f>
        <x:v>Combined</x:v>
      </x:c>
      <x:c r="F478" s="14" t="n">
        <x:f>'Employee Attendance'!I160</x:f>
        <x:v>0.08524305555555556</x:v>
      </x:c>
      <x:c r="G478" t="n">
        <x:f>F478*86400</x:f>
        <x:v>7365</x:v>
      </x:c>
      <x:c r="H478" t="str">
        <x:f>'Employee Attendance'!J160</x:f>
        <x:v>Fully attended</x:v>
      </x:c>
      <x:c r="I478" t="str">
        <x:f>IF(OR('Employee Attendance'!K160="Yes",'Employee Attendance'!L160="Yes"),"Yes","No")</x:f>
        <x:v>Yes</x:v>
      </x:c>
    </x:row>
    <x:row r="479">
      <x:c r="A479" t="str">
        <x:f>'Employee Attendance'!A161</x:f>
        <x:v>Florencia Kituku</x:v>
      </x:c>
      <x:c r="B479" t="str">
        <x:f>'Employee Attendance'!B161</x:f>
        <x:v>Tanzania</x:v>
      </x:c>
      <x:c r="C479" t="str">
        <x:f>'Employee Attendance'!C161</x:f>
        <x:v>TZ</x:v>
      </x:c>
      <x:c r="D479" t="str">
        <x:f>'Employee Attendance'!D161</x:f>
        <x:v>florencia.kituku@pwc.com</x:v>
      </x:c>
      <x:c r="E479" t="str">
        <x:f>"Option 1"</x:f>
        <x:v>Option 1</x:v>
      </x:c>
      <x:c r="F479" s="14" t="n">
        <x:f>'Employee Attendance'!E161</x:f>
        <x:v>0.07921296296296296</x:v>
      </x:c>
      <x:c r="G479" t="n">
        <x:f>F479*86400</x:f>
        <x:v>6843.999999999999</x:v>
      </x:c>
      <x:c r="H479" t="str">
        <x:f>'Employee Attendance'!F161</x:f>
        <x:v>Fully attended</x:v>
      </x:c>
      <x:c r="I479" t="str">
        <x:f>'Employee Attendance'!K161</x:f>
        <x:v>Yes</x:v>
      </x:c>
    </x:row>
    <x:row r="480">
      <x:c r="A480" t="str">
        <x:f>'Employee Attendance'!A161</x:f>
        <x:v>Florencia Kituku</x:v>
      </x:c>
      <x:c r="B480" t="str">
        <x:f>'Employee Attendance'!B161</x:f>
        <x:v>Tanzania</x:v>
      </x:c>
      <x:c r="C480" t="str">
        <x:f>'Employee Attendance'!C161</x:f>
        <x:v>TZ</x:v>
      </x:c>
      <x:c r="D480" t="str">
        <x:f>'Employee Attendance'!D161</x:f>
        <x:v>florencia.kituku@pwc.com</x:v>
      </x:c>
      <x:c r="E480" t="str">
        <x:f>"Option 2"</x:f>
        <x:v>Option 2</x:v>
      </x:c>
      <x:c r="F480" s="14" t="n">
        <x:f>'Employee Attendance'!G161</x:f>
        <x:v>0</x:v>
      </x:c>
      <x:c r="G480" t="n">
        <x:f>F480*86400</x:f>
        <x:v>0</x:v>
      </x:c>
      <x:c r="H480" t="str">
        <x:f>'Employee Attendance'!H161</x:f>
        <x:v>Did not attend</x:v>
      </x:c>
      <x:c r="I480" t="str">
        <x:f>'Employee Attendance'!L161</x:f>
        <x:v>No</x:v>
      </x:c>
    </x:row>
    <x:row r="481">
      <x:c r="A481" t="str">
        <x:f>'Employee Attendance'!A161</x:f>
        <x:v>Florencia Kituku</x:v>
      </x:c>
      <x:c r="B481" t="str">
        <x:f>'Employee Attendance'!B161</x:f>
        <x:v>Tanzania</x:v>
      </x:c>
      <x:c r="C481" t="str">
        <x:f>'Employee Attendance'!C161</x:f>
        <x:v>TZ</x:v>
      </x:c>
      <x:c r="D481" t="str">
        <x:f>'Employee Attendance'!D161</x:f>
        <x:v>florencia.kituku@pwc.com</x:v>
      </x:c>
      <x:c r="E481" t="str">
        <x:f>"Combined"</x:f>
        <x:v>Combined</x:v>
      </x:c>
      <x:c r="F481" s="14" t="n">
        <x:f>'Employee Attendance'!I161</x:f>
        <x:v>0.07921296296296296</x:v>
      </x:c>
      <x:c r="G481" t="n">
        <x:f>F481*86400</x:f>
        <x:v>6843.999999999999</x:v>
      </x:c>
      <x:c r="H481" t="str">
        <x:f>'Employee Attendance'!J161</x:f>
        <x:v>Fully attended</x:v>
      </x:c>
      <x:c r="I481" t="str">
        <x:f>IF(OR('Employee Attendance'!K161="Yes",'Employee Attendance'!L161="Yes"),"Yes","No")</x:f>
        <x:v>Yes</x:v>
      </x:c>
    </x:row>
    <x:row r="482">
      <x:c r="A482" t="str">
        <x:f>'Employee Attendance'!A162</x:f>
        <x:v>Fraciah Maina</x:v>
      </x:c>
      <x:c r="B482" t="str">
        <x:f>'Employee Attendance'!B162</x:f>
        <x:v>Kenya</x:v>
      </x:c>
      <x:c r="C482" t="str">
        <x:f>'Employee Attendance'!C162</x:f>
        <x:v>KE</x:v>
      </x:c>
      <x:c r="D482" t="str">
        <x:f>'Employee Attendance'!D162</x:f>
        <x:v>fraciah.maina@pwc.com</x:v>
      </x:c>
      <x:c r="E482" t="str">
        <x:f>"Option 1"</x:f>
        <x:v>Option 1</x:v>
      </x:c>
      <x:c r="F482" s="14" t="n">
        <x:f>'Employee Attendance'!E162</x:f>
        <x:v>0.08206018518518518</x:v>
      </x:c>
      <x:c r="G482" t="n">
        <x:f>F482*86400</x:f>
        <x:v>7090</x:v>
      </x:c>
      <x:c r="H482" t="str">
        <x:f>'Employee Attendance'!F162</x:f>
        <x:v>Fully attended</x:v>
      </x:c>
      <x:c r="I482" t="str">
        <x:f>'Employee Attendance'!K162</x:f>
        <x:v>Yes</x:v>
      </x:c>
    </x:row>
    <x:row r="483">
      <x:c r="A483" t="str">
        <x:f>'Employee Attendance'!A162</x:f>
        <x:v>Fraciah Maina</x:v>
      </x:c>
      <x:c r="B483" t="str">
        <x:f>'Employee Attendance'!B162</x:f>
        <x:v>Kenya</x:v>
      </x:c>
      <x:c r="C483" t="str">
        <x:f>'Employee Attendance'!C162</x:f>
        <x:v>KE</x:v>
      </x:c>
      <x:c r="D483" t="str">
        <x:f>'Employee Attendance'!D162</x:f>
        <x:v>fraciah.maina@pwc.com</x:v>
      </x:c>
      <x:c r="E483" t="str">
        <x:f>"Option 2"</x:f>
        <x:v>Option 2</x:v>
      </x:c>
      <x:c r="F483" s="14" t="n">
        <x:f>'Employee Attendance'!G162</x:f>
        <x:v>0</x:v>
      </x:c>
      <x:c r="G483" t="n">
        <x:f>F483*86400</x:f>
        <x:v>0</x:v>
      </x:c>
      <x:c r="H483" t="str">
        <x:f>'Employee Attendance'!H162</x:f>
        <x:v>Did not attend</x:v>
      </x:c>
      <x:c r="I483" t="str">
        <x:f>'Employee Attendance'!L162</x:f>
        <x:v>No</x:v>
      </x:c>
    </x:row>
    <x:row r="484">
      <x:c r="A484" t="str">
        <x:f>'Employee Attendance'!A162</x:f>
        <x:v>Fraciah Maina</x:v>
      </x:c>
      <x:c r="B484" t="str">
        <x:f>'Employee Attendance'!B162</x:f>
        <x:v>Kenya</x:v>
      </x:c>
      <x:c r="C484" t="str">
        <x:f>'Employee Attendance'!C162</x:f>
        <x:v>KE</x:v>
      </x:c>
      <x:c r="D484" t="str">
        <x:f>'Employee Attendance'!D162</x:f>
        <x:v>fraciah.maina@pwc.com</x:v>
      </x:c>
      <x:c r="E484" t="str">
        <x:f>"Combined"</x:f>
        <x:v>Combined</x:v>
      </x:c>
      <x:c r="F484" s="14" t="n">
        <x:f>'Employee Attendance'!I162</x:f>
        <x:v>0.08206018518518518</x:v>
      </x:c>
      <x:c r="G484" t="n">
        <x:f>F484*86400</x:f>
        <x:v>7090</x:v>
      </x:c>
      <x:c r="H484" t="str">
        <x:f>'Employee Attendance'!J162</x:f>
        <x:v>Fully attended</x:v>
      </x:c>
      <x:c r="I484" t="str">
        <x:f>IF(OR('Employee Attendance'!K162="Yes",'Employee Attendance'!L162="Yes"),"Yes","No")</x:f>
        <x:v>Yes</x:v>
      </x:c>
    </x:row>
    <x:row r="485">
      <x:c r="A485" t="str">
        <x:f>'Employee Attendance'!A163</x:f>
        <x:v>Francis Muriu</x:v>
      </x:c>
      <x:c r="B485" t="str">
        <x:f>'Employee Attendance'!B163</x:f>
        <x:v>Kenya</x:v>
      </x:c>
      <x:c r="C485" t="str">
        <x:f>'Employee Attendance'!C163</x:f>
        <x:v>KE</x:v>
      </x:c>
      <x:c r="D485" t="str">
        <x:f>'Employee Attendance'!D163</x:f>
        <x:v>francis.muriu@pwc.com</x:v>
      </x:c>
      <x:c r="E485" t="str">
        <x:f>"Option 1"</x:f>
        <x:v>Option 1</x:v>
      </x:c>
      <x:c r="F485" s="14" t="n">
        <x:f>'Employee Attendance'!E163</x:f>
        <x:v>0</x:v>
      </x:c>
      <x:c r="G485" t="n">
        <x:f>F485*86400</x:f>
        <x:v>0</x:v>
      </x:c>
      <x:c r="H485" t="str">
        <x:f>'Employee Attendance'!F163</x:f>
        <x:v>Did not attend</x:v>
      </x:c>
      <x:c r="I485" t="str">
        <x:f>'Employee Attendance'!K163</x:f>
        <x:v>No</x:v>
      </x:c>
    </x:row>
    <x:row r="486">
      <x:c r="A486" t="str">
        <x:f>'Employee Attendance'!A163</x:f>
        <x:v>Francis Muriu</x:v>
      </x:c>
      <x:c r="B486" t="str">
        <x:f>'Employee Attendance'!B163</x:f>
        <x:v>Kenya</x:v>
      </x:c>
      <x:c r="C486" t="str">
        <x:f>'Employee Attendance'!C163</x:f>
        <x:v>KE</x:v>
      </x:c>
      <x:c r="D486" t="str">
        <x:f>'Employee Attendance'!D163</x:f>
        <x:v>francis.muriu@pwc.com</x:v>
      </x:c>
      <x:c r="E486" t="str">
        <x:f>"Option 2"</x:f>
        <x:v>Option 2</x:v>
      </x:c>
      <x:c r="F486" s="14" t="n">
        <x:f>'Employee Attendance'!G163</x:f>
        <x:v>0.08766203703703704</x:v>
      </x:c>
      <x:c r="G486" t="n">
        <x:f>F486*86400</x:f>
        <x:v>7574</x:v>
      </x:c>
      <x:c r="H486" t="str">
        <x:f>'Employee Attendance'!H163</x:f>
        <x:v>Fully attended</x:v>
      </x:c>
      <x:c r="I486" t="str">
        <x:f>'Employee Attendance'!L163</x:f>
        <x:v>Yes</x:v>
      </x:c>
    </x:row>
    <x:row r="487">
      <x:c r="A487" t="str">
        <x:f>'Employee Attendance'!A163</x:f>
        <x:v>Francis Muriu</x:v>
      </x:c>
      <x:c r="B487" t="str">
        <x:f>'Employee Attendance'!B163</x:f>
        <x:v>Kenya</x:v>
      </x:c>
      <x:c r="C487" t="str">
        <x:f>'Employee Attendance'!C163</x:f>
        <x:v>KE</x:v>
      </x:c>
      <x:c r="D487" t="str">
        <x:f>'Employee Attendance'!D163</x:f>
        <x:v>francis.muriu@pwc.com</x:v>
      </x:c>
      <x:c r="E487" t="str">
        <x:f>"Combined"</x:f>
        <x:v>Combined</x:v>
      </x:c>
      <x:c r="F487" s="14" t="n">
        <x:f>'Employee Attendance'!I163</x:f>
        <x:v>0.08766203703703704</x:v>
      </x:c>
      <x:c r="G487" t="n">
        <x:f>F487*86400</x:f>
        <x:v>7574</x:v>
      </x:c>
      <x:c r="H487" t="str">
        <x:f>'Employee Attendance'!J163</x:f>
        <x:v>Fully attended</x:v>
      </x:c>
      <x:c r="I487" t="str">
        <x:f>IF(OR('Employee Attendance'!K163="Yes",'Employee Attendance'!L163="Yes"),"Yes","No")</x:f>
        <x:v>Yes</x:v>
      </x:c>
    </x:row>
    <x:row r="488">
      <x:c r="A488" t="str">
        <x:f>'Employee Attendance'!A164</x:f>
        <x:v>Francis Nzau</x:v>
      </x:c>
      <x:c r="B488" t="str">
        <x:f>'Employee Attendance'!B164</x:f>
        <x:v>Tanzania</x:v>
      </x:c>
      <x:c r="C488" t="str">
        <x:f>'Employee Attendance'!C164</x:f>
        <x:v>TZ</x:v>
      </x:c>
      <x:c r="D488" t="str">
        <x:f>'Employee Attendance'!D164</x:f>
        <x:v>francis.k.nzau@pwc.com</x:v>
      </x:c>
      <x:c r="E488" t="str">
        <x:f>"Option 1"</x:f>
        <x:v>Option 1</x:v>
      </x:c>
      <x:c r="F488" s="14" t="n">
        <x:f>'Employee Attendance'!E164</x:f>
        <x:v>0</x:v>
      </x:c>
      <x:c r="G488" t="n">
        <x:f>F488*86400</x:f>
        <x:v>0</x:v>
      </x:c>
      <x:c r="H488" t="str">
        <x:f>'Employee Attendance'!F164</x:f>
        <x:v>Did not attend</x:v>
      </x:c>
      <x:c r="I488" t="str">
        <x:f>'Employee Attendance'!K164</x:f>
        <x:v>No</x:v>
      </x:c>
    </x:row>
    <x:row r="489">
      <x:c r="A489" t="str">
        <x:f>'Employee Attendance'!A164</x:f>
        <x:v>Francis Nzau</x:v>
      </x:c>
      <x:c r="B489" t="str">
        <x:f>'Employee Attendance'!B164</x:f>
        <x:v>Tanzania</x:v>
      </x:c>
      <x:c r="C489" t="str">
        <x:f>'Employee Attendance'!C164</x:f>
        <x:v>TZ</x:v>
      </x:c>
      <x:c r="D489" t="str">
        <x:f>'Employee Attendance'!D164</x:f>
        <x:v>francis.k.nzau@pwc.com</x:v>
      </x:c>
      <x:c r="E489" t="str">
        <x:f>"Option 2"</x:f>
        <x:v>Option 2</x:v>
      </x:c>
      <x:c r="F489" s="14" t="n">
        <x:f>'Employee Attendance'!G164</x:f>
        <x:v>0.08866898148148149</x:v>
      </x:c>
      <x:c r="G489" t="n">
        <x:f>F489*86400</x:f>
        <x:v>7661.000000000001</x:v>
      </x:c>
      <x:c r="H489" t="str">
        <x:f>'Employee Attendance'!H164</x:f>
        <x:v>Fully attended</x:v>
      </x:c>
      <x:c r="I489" t="str">
        <x:f>'Employee Attendance'!L164</x:f>
        <x:v>Yes</x:v>
      </x:c>
    </x:row>
    <x:row r="490">
      <x:c r="A490" t="str">
        <x:f>'Employee Attendance'!A164</x:f>
        <x:v>Francis Nzau</x:v>
      </x:c>
      <x:c r="B490" t="str">
        <x:f>'Employee Attendance'!B164</x:f>
        <x:v>Tanzania</x:v>
      </x:c>
      <x:c r="C490" t="str">
        <x:f>'Employee Attendance'!C164</x:f>
        <x:v>TZ</x:v>
      </x:c>
      <x:c r="D490" t="str">
        <x:f>'Employee Attendance'!D164</x:f>
        <x:v>francis.k.nzau@pwc.com</x:v>
      </x:c>
      <x:c r="E490" t="str">
        <x:f>"Combined"</x:f>
        <x:v>Combined</x:v>
      </x:c>
      <x:c r="F490" s="14" t="n">
        <x:f>'Employee Attendance'!I164</x:f>
        <x:v>0.08866898148148149</x:v>
      </x:c>
      <x:c r="G490" t="n">
        <x:f>F490*86400</x:f>
        <x:v>7661.000000000001</x:v>
      </x:c>
      <x:c r="H490" t="str">
        <x:f>'Employee Attendance'!J164</x:f>
        <x:v>Fully attended</x:v>
      </x:c>
      <x:c r="I490" t="str">
        <x:f>IF(OR('Employee Attendance'!K164="Yes",'Employee Attendance'!L164="Yes"),"Yes","No")</x:f>
        <x:v>Yes</x:v>
      </x:c>
    </x:row>
    <x:row r="491">
      <x:c r="A491" t="str">
        <x:f>'Employee Attendance'!A165</x:f>
        <x:v>Freda Kithinji</x:v>
      </x:c>
      <x:c r="B491" t="str">
        <x:f>'Employee Attendance'!B165</x:f>
        <x:v>Kenya</x:v>
      </x:c>
      <x:c r="C491" t="str">
        <x:f>'Employee Attendance'!C165</x:f>
        <x:v>KE</x:v>
      </x:c>
      <x:c r="D491" t="str">
        <x:f>'Employee Attendance'!D165</x:f>
        <x:v>freda.k.kithinji@pwc.com</x:v>
      </x:c>
      <x:c r="E491" t="str">
        <x:f>"Option 1"</x:f>
        <x:v>Option 1</x:v>
      </x:c>
      <x:c r="F491" s="14" t="n">
        <x:f>'Employee Attendance'!E165</x:f>
        <x:v>0.07988425925925927</x:v>
      </x:c>
      <x:c r="G491" t="n">
        <x:f>F491*86400</x:f>
        <x:v>6902.000000000001</x:v>
      </x:c>
      <x:c r="H491" t="str">
        <x:f>'Employee Attendance'!F165</x:f>
        <x:v>Fully attended</x:v>
      </x:c>
      <x:c r="I491" t="str">
        <x:f>'Employee Attendance'!K165</x:f>
        <x:v>Yes</x:v>
      </x:c>
    </x:row>
    <x:row r="492">
      <x:c r="A492" t="str">
        <x:f>'Employee Attendance'!A165</x:f>
        <x:v>Freda Kithinji</x:v>
      </x:c>
      <x:c r="B492" t="str">
        <x:f>'Employee Attendance'!B165</x:f>
        <x:v>Kenya</x:v>
      </x:c>
      <x:c r="C492" t="str">
        <x:f>'Employee Attendance'!C165</x:f>
        <x:v>KE</x:v>
      </x:c>
      <x:c r="D492" t="str">
        <x:f>'Employee Attendance'!D165</x:f>
        <x:v>freda.k.kithinji@pwc.com</x:v>
      </x:c>
      <x:c r="E492" t="str">
        <x:f>"Option 2"</x:f>
        <x:v>Option 2</x:v>
      </x:c>
      <x:c r="F492" s="14" t="n">
        <x:f>'Employee Attendance'!G165</x:f>
        <x:v>0</x:v>
      </x:c>
      <x:c r="G492" t="n">
        <x:f>F492*86400</x:f>
        <x:v>0</x:v>
      </x:c>
      <x:c r="H492" t="str">
        <x:f>'Employee Attendance'!H165</x:f>
        <x:v>Did not attend</x:v>
      </x:c>
      <x:c r="I492" t="str">
        <x:f>'Employee Attendance'!L165</x:f>
        <x:v>No</x:v>
      </x:c>
    </x:row>
    <x:row r="493">
      <x:c r="A493" t="str">
        <x:f>'Employee Attendance'!A165</x:f>
        <x:v>Freda Kithinji</x:v>
      </x:c>
      <x:c r="B493" t="str">
        <x:f>'Employee Attendance'!B165</x:f>
        <x:v>Kenya</x:v>
      </x:c>
      <x:c r="C493" t="str">
        <x:f>'Employee Attendance'!C165</x:f>
        <x:v>KE</x:v>
      </x:c>
      <x:c r="D493" t="str">
        <x:f>'Employee Attendance'!D165</x:f>
        <x:v>freda.k.kithinji@pwc.com</x:v>
      </x:c>
      <x:c r="E493" t="str">
        <x:f>"Combined"</x:f>
        <x:v>Combined</x:v>
      </x:c>
      <x:c r="F493" s="14" t="n">
        <x:f>'Employee Attendance'!I165</x:f>
        <x:v>0.07988425925925927</x:v>
      </x:c>
      <x:c r="G493" t="n">
        <x:f>F493*86400</x:f>
        <x:v>6902.000000000001</x:v>
      </x:c>
      <x:c r="H493" t="str">
        <x:f>'Employee Attendance'!J165</x:f>
        <x:v>Fully attended</x:v>
      </x:c>
      <x:c r="I493" t="str">
        <x:f>IF(OR('Employee Attendance'!K165="Yes",'Employee Attendance'!L165="Yes"),"Yes","No")</x:f>
        <x:v>Yes</x:v>
      </x:c>
    </x:row>
    <x:row r="494">
      <x:c r="A494" t="str">
        <x:f>'Employee Attendance'!A166</x:f>
        <x:v>Fredrick Ogolla</x:v>
      </x:c>
      <x:c r="B494" t="str">
        <x:f>'Employee Attendance'!B166</x:f>
        <x:v>Kenya</x:v>
      </x:c>
      <x:c r="C494" t="str">
        <x:f>'Employee Attendance'!C166</x:f>
        <x:v>KE</x:v>
      </x:c>
      <x:c r="D494" t="str">
        <x:f>'Employee Attendance'!D166</x:f>
        <x:v>fredrick.k.ogolla@pwc.com</x:v>
      </x:c>
      <x:c r="E494" t="str">
        <x:f>"Option 1"</x:f>
        <x:v>Option 1</x:v>
      </x:c>
      <x:c r="F494" s="14" t="n">
        <x:f>'Employee Attendance'!E166</x:f>
        <x:v>0.08335648148148148</x:v>
      </x:c>
      <x:c r="G494" t="n">
        <x:f>F494*86400</x:f>
        <x:v>7201.999999999999</x:v>
      </x:c>
      <x:c r="H494" t="str">
        <x:f>'Employee Attendance'!F166</x:f>
        <x:v>Fully attended</x:v>
      </x:c>
      <x:c r="I494" t="str">
        <x:f>'Employee Attendance'!K166</x:f>
        <x:v>Yes</x:v>
      </x:c>
    </x:row>
    <x:row r="495">
      <x:c r="A495" t="str">
        <x:f>'Employee Attendance'!A166</x:f>
        <x:v>Fredrick Ogolla</x:v>
      </x:c>
      <x:c r="B495" t="str">
        <x:f>'Employee Attendance'!B166</x:f>
        <x:v>Kenya</x:v>
      </x:c>
      <x:c r="C495" t="str">
        <x:f>'Employee Attendance'!C166</x:f>
        <x:v>KE</x:v>
      </x:c>
      <x:c r="D495" t="str">
        <x:f>'Employee Attendance'!D166</x:f>
        <x:v>fredrick.k.ogolla@pwc.com</x:v>
      </x:c>
      <x:c r="E495" t="str">
        <x:f>"Option 2"</x:f>
        <x:v>Option 2</x:v>
      </x:c>
      <x:c r="F495" s="14" t="n">
        <x:f>'Employee Attendance'!G166</x:f>
        <x:v>0</x:v>
      </x:c>
      <x:c r="G495" t="n">
        <x:f>F495*86400</x:f>
        <x:v>0</x:v>
      </x:c>
      <x:c r="H495" t="str">
        <x:f>'Employee Attendance'!H166</x:f>
        <x:v>Did not attend</x:v>
      </x:c>
      <x:c r="I495" t="str">
        <x:f>'Employee Attendance'!L166</x:f>
        <x:v>No</x:v>
      </x:c>
    </x:row>
    <x:row r="496">
      <x:c r="A496" t="str">
        <x:f>'Employee Attendance'!A166</x:f>
        <x:v>Fredrick Ogolla</x:v>
      </x:c>
      <x:c r="B496" t="str">
        <x:f>'Employee Attendance'!B166</x:f>
        <x:v>Kenya</x:v>
      </x:c>
      <x:c r="C496" t="str">
        <x:f>'Employee Attendance'!C166</x:f>
        <x:v>KE</x:v>
      </x:c>
      <x:c r="D496" t="str">
        <x:f>'Employee Attendance'!D166</x:f>
        <x:v>fredrick.k.ogolla@pwc.com</x:v>
      </x:c>
      <x:c r="E496" t="str">
        <x:f>"Combined"</x:f>
        <x:v>Combined</x:v>
      </x:c>
      <x:c r="F496" s="14" t="n">
        <x:f>'Employee Attendance'!I166</x:f>
        <x:v>0.08335648148148148</x:v>
      </x:c>
      <x:c r="G496" t="n">
        <x:f>F496*86400</x:f>
        <x:v>7201.999999999999</x:v>
      </x:c>
      <x:c r="H496" t="str">
        <x:f>'Employee Attendance'!J166</x:f>
        <x:v>Fully attended</x:v>
      </x:c>
      <x:c r="I496" t="str">
        <x:f>IF(OR('Employee Attendance'!K166="Yes",'Employee Attendance'!L166="Yes"),"Yes","No")</x:f>
        <x:v>Yes</x:v>
      </x:c>
    </x:row>
    <x:row r="497">
      <x:c r="A497" t="str">
        <x:f>'Employee Attendance'!A167</x:f>
        <x:v>Frida Umuhire</x:v>
      </x:c>
      <x:c r="B497" t="str">
        <x:f>'Employee Attendance'!B167</x:f>
        <x:v>Rwanda</x:v>
      </x:c>
      <x:c r="C497" t="str">
        <x:f>'Employee Attendance'!C167</x:f>
        <x:v>RW</x:v>
      </x:c>
      <x:c r="D497" t="str">
        <x:f>'Employee Attendance'!D167</x:f>
        <x:v>frida.umuhire@pwc.com</x:v>
      </x:c>
      <x:c r="E497" t="str">
        <x:f>"Option 1"</x:f>
        <x:v>Option 1</x:v>
      </x:c>
      <x:c r="F497" s="14" t="n">
        <x:f>'Employee Attendance'!E167</x:f>
        <x:v>0.08630787037037037</x:v>
      </x:c>
      <x:c r="G497" t="n">
        <x:f>F497*86400</x:f>
        <x:v>7457</x:v>
      </x:c>
      <x:c r="H497" t="str">
        <x:f>'Employee Attendance'!F167</x:f>
        <x:v>Fully attended</x:v>
      </x:c>
      <x:c r="I497" t="str">
        <x:f>'Employee Attendance'!K167</x:f>
        <x:v>Yes</x:v>
      </x:c>
    </x:row>
    <x:row r="498">
      <x:c r="A498" t="str">
        <x:f>'Employee Attendance'!A167</x:f>
        <x:v>Frida Umuhire</x:v>
      </x:c>
      <x:c r="B498" t="str">
        <x:f>'Employee Attendance'!B167</x:f>
        <x:v>Rwanda</x:v>
      </x:c>
      <x:c r="C498" t="str">
        <x:f>'Employee Attendance'!C167</x:f>
        <x:v>RW</x:v>
      </x:c>
      <x:c r="D498" t="str">
        <x:f>'Employee Attendance'!D167</x:f>
        <x:v>frida.umuhire@pwc.com</x:v>
      </x:c>
      <x:c r="E498" t="str">
        <x:f>"Option 2"</x:f>
        <x:v>Option 2</x:v>
      </x:c>
      <x:c r="F498" s="14" t="n">
        <x:f>'Employee Attendance'!G167</x:f>
        <x:v>0</x:v>
      </x:c>
      <x:c r="G498" t="n">
        <x:f>F498*86400</x:f>
        <x:v>0</x:v>
      </x:c>
      <x:c r="H498" t="str">
        <x:f>'Employee Attendance'!H167</x:f>
        <x:v>Did not attend</x:v>
      </x:c>
      <x:c r="I498" t="str">
        <x:f>'Employee Attendance'!L167</x:f>
        <x:v>No</x:v>
      </x:c>
    </x:row>
    <x:row r="499">
      <x:c r="A499" t="str">
        <x:f>'Employee Attendance'!A167</x:f>
        <x:v>Frida Umuhire</x:v>
      </x:c>
      <x:c r="B499" t="str">
        <x:f>'Employee Attendance'!B167</x:f>
        <x:v>Rwanda</x:v>
      </x:c>
      <x:c r="C499" t="str">
        <x:f>'Employee Attendance'!C167</x:f>
        <x:v>RW</x:v>
      </x:c>
      <x:c r="D499" t="str">
        <x:f>'Employee Attendance'!D167</x:f>
        <x:v>frida.umuhire@pwc.com</x:v>
      </x:c>
      <x:c r="E499" t="str">
        <x:f>"Combined"</x:f>
        <x:v>Combined</x:v>
      </x:c>
      <x:c r="F499" s="14" t="n">
        <x:f>'Employee Attendance'!I167</x:f>
        <x:v>0.08630787037037037</x:v>
      </x:c>
      <x:c r="G499" t="n">
        <x:f>F499*86400</x:f>
        <x:v>7457</x:v>
      </x:c>
      <x:c r="H499" t="str">
        <x:f>'Employee Attendance'!J167</x:f>
        <x:v>Fully attended</x:v>
      </x:c>
      <x:c r="I499" t="str">
        <x:f>IF(OR('Employee Attendance'!K167="Yes",'Employee Attendance'!L167="Yes"),"Yes","No")</x:f>
        <x:v>Yes</x:v>
      </x:c>
    </x:row>
    <x:row r="500">
      <x:c r="A500" t="str">
        <x:f>'Employee Attendance'!A168</x:f>
        <x:v>Gabrielle Faydherbe</x:v>
      </x:c>
      <x:c r="B500" t="str">
        <x:f>'Employee Attendance'!B168</x:f>
        <x:v>Mauritius</x:v>
      </x:c>
      <x:c r="C500" t="str">
        <x:f>'Employee Attendance'!C168</x:f>
        <x:v>MU</x:v>
      </x:c>
      <x:c r="D500" t="str">
        <x:f>'Employee Attendance'!D168</x:f>
        <x:v>gabrielle.faydherbe@pwc.com</x:v>
      </x:c>
      <x:c r="E500" t="str">
        <x:f>"Option 1"</x:f>
        <x:v>Option 1</x:v>
      </x:c>
      <x:c r="F500" s="14" t="n">
        <x:f>'Employee Attendance'!E168</x:f>
        <x:v>0</x:v>
      </x:c>
      <x:c r="G500" t="n">
        <x:f>F500*86400</x:f>
        <x:v>0</x:v>
      </x:c>
      <x:c r="H500" t="str">
        <x:f>'Employee Attendance'!F168</x:f>
        <x:v>Did not attend</x:v>
      </x:c>
      <x:c r="I500" t="str">
        <x:f>'Employee Attendance'!K168</x:f>
        <x:v>No</x:v>
      </x:c>
    </x:row>
    <x:row r="501">
      <x:c r="A501" t="str">
        <x:f>'Employee Attendance'!A168</x:f>
        <x:v>Gabrielle Faydherbe</x:v>
      </x:c>
      <x:c r="B501" t="str">
        <x:f>'Employee Attendance'!B168</x:f>
        <x:v>Mauritius</x:v>
      </x:c>
      <x:c r="C501" t="str">
        <x:f>'Employee Attendance'!C168</x:f>
        <x:v>MU</x:v>
      </x:c>
      <x:c r="D501" t="str">
        <x:f>'Employee Attendance'!D168</x:f>
        <x:v>gabrielle.faydherbe@pwc.com</x:v>
      </x:c>
      <x:c r="E501" t="str">
        <x:f>"Option 2"</x:f>
        <x:v>Option 2</x:v>
      </x:c>
      <x:c r="F501" s="14" t="n">
        <x:f>'Employee Attendance'!G168</x:f>
        <x:v>0</x:v>
      </x:c>
      <x:c r="G501" t="n">
        <x:f>F501*86400</x:f>
        <x:v>0</x:v>
      </x:c>
      <x:c r="H501" t="str">
        <x:f>'Employee Attendance'!H168</x:f>
        <x:v>Did not attend</x:v>
      </x:c>
      <x:c r="I501" t="str">
        <x:f>'Employee Attendance'!L168</x:f>
        <x:v>No</x:v>
      </x:c>
    </x:row>
    <x:row r="502">
      <x:c r="A502" t="str">
        <x:f>'Employee Attendance'!A168</x:f>
        <x:v>Gabrielle Faydherbe</x:v>
      </x:c>
      <x:c r="B502" t="str">
        <x:f>'Employee Attendance'!B168</x:f>
        <x:v>Mauritius</x:v>
      </x:c>
      <x:c r="C502" t="str">
        <x:f>'Employee Attendance'!C168</x:f>
        <x:v>MU</x:v>
      </x:c>
      <x:c r="D502" t="str">
        <x:f>'Employee Attendance'!D168</x:f>
        <x:v>gabrielle.faydherbe@pwc.com</x:v>
      </x:c>
      <x:c r="E502" t="str">
        <x:f>"Combined"</x:f>
        <x:v>Combined</x:v>
      </x:c>
      <x:c r="F502" s="14" t="n">
        <x:f>'Employee Attendance'!I168</x:f>
        <x:v>0</x:v>
      </x:c>
      <x:c r="G502" t="n">
        <x:f>F502*86400</x:f>
        <x:v>0</x:v>
      </x:c>
      <x:c r="H502" t="str">
        <x:f>'Employee Attendance'!J168</x:f>
        <x:v>Did not attend</x:v>
      </x:c>
      <x:c r="I502" t="str">
        <x:f>IF(OR('Employee Attendance'!K168="Yes",'Employee Attendance'!L168="Yes"),"Yes","No")</x:f>
        <x:v>No</x:v>
      </x:c>
    </x:row>
    <x:row r="503">
      <x:c r="A503" t="str">
        <x:f>'Employee Attendance'!A169</x:f>
        <x:v>Gaurav Seeam</x:v>
      </x:c>
      <x:c r="B503" t="str">
        <x:f>'Employee Attendance'!B169</x:f>
        <x:v>Mauritius</x:v>
      </x:c>
      <x:c r="C503" t="str">
        <x:f>'Employee Attendance'!C169</x:f>
        <x:v>MU</x:v>
      </x:c>
      <x:c r="D503" t="str">
        <x:f>'Employee Attendance'!D169</x:f>
        <x:v>gaurav.seeam@pwc.com</x:v>
      </x:c>
      <x:c r="E503" t="str">
        <x:f>"Option 1"</x:f>
        <x:v>Option 1</x:v>
      </x:c>
      <x:c r="F503" s="14" t="n">
        <x:f>'Employee Attendance'!E169</x:f>
        <x:v>0</x:v>
      </x:c>
      <x:c r="G503" t="n">
        <x:f>F503*86400</x:f>
        <x:v>0</x:v>
      </x:c>
      <x:c r="H503" t="str">
        <x:f>'Employee Attendance'!F169</x:f>
        <x:v>Did not attend</x:v>
      </x:c>
      <x:c r="I503" t="str">
        <x:f>'Employee Attendance'!K169</x:f>
        <x:v>No</x:v>
      </x:c>
    </x:row>
    <x:row r="504">
      <x:c r="A504" t="str">
        <x:f>'Employee Attendance'!A169</x:f>
        <x:v>Gaurav Seeam</x:v>
      </x:c>
      <x:c r="B504" t="str">
        <x:f>'Employee Attendance'!B169</x:f>
        <x:v>Mauritius</x:v>
      </x:c>
      <x:c r="C504" t="str">
        <x:f>'Employee Attendance'!C169</x:f>
        <x:v>MU</x:v>
      </x:c>
      <x:c r="D504" t="str">
        <x:f>'Employee Attendance'!D169</x:f>
        <x:v>gaurav.seeam@pwc.com</x:v>
      </x:c>
      <x:c r="E504" t="str">
        <x:f>"Option 2"</x:f>
        <x:v>Option 2</x:v>
      </x:c>
      <x:c r="F504" s="14" t="n">
        <x:f>'Employee Attendance'!G169</x:f>
        <x:v>0.0884837962962963</x:v>
      </x:c>
      <x:c r="G504" t="n">
        <x:f>F504*86400</x:f>
        <x:v>7645</x:v>
      </x:c>
      <x:c r="H504" t="str">
        <x:f>'Employee Attendance'!H169</x:f>
        <x:v>Fully attended</x:v>
      </x:c>
      <x:c r="I504" t="str">
        <x:f>'Employee Attendance'!L169</x:f>
        <x:v>Yes</x:v>
      </x:c>
    </x:row>
    <x:row r="505">
      <x:c r="A505" t="str">
        <x:f>'Employee Attendance'!A169</x:f>
        <x:v>Gaurav Seeam</x:v>
      </x:c>
      <x:c r="B505" t="str">
        <x:f>'Employee Attendance'!B169</x:f>
        <x:v>Mauritius</x:v>
      </x:c>
      <x:c r="C505" t="str">
        <x:f>'Employee Attendance'!C169</x:f>
        <x:v>MU</x:v>
      </x:c>
      <x:c r="D505" t="str">
        <x:f>'Employee Attendance'!D169</x:f>
        <x:v>gaurav.seeam@pwc.com</x:v>
      </x:c>
      <x:c r="E505" t="str">
        <x:f>"Combined"</x:f>
        <x:v>Combined</x:v>
      </x:c>
      <x:c r="F505" s="14" t="n">
        <x:f>'Employee Attendance'!I169</x:f>
        <x:v>0.0884837962962963</x:v>
      </x:c>
      <x:c r="G505" t="n">
        <x:f>F505*86400</x:f>
        <x:v>7645</x:v>
      </x:c>
      <x:c r="H505" t="str">
        <x:f>'Employee Attendance'!J169</x:f>
        <x:v>Fully attended</x:v>
      </x:c>
      <x:c r="I505" t="str">
        <x:f>IF(OR('Employee Attendance'!K169="Yes",'Employee Attendance'!L169="Yes"),"Yes","No")</x:f>
        <x:v>Yes</x:v>
      </x:c>
    </x:row>
    <x:row r="506">
      <x:c r="A506" t="str">
        <x:f>'Employee Attendance'!A170</x:f>
        <x:v>Gavin Allagapen</x:v>
      </x:c>
      <x:c r="B506" t="str">
        <x:f>'Employee Attendance'!B170</x:f>
        <x:v>Mauritius</x:v>
      </x:c>
      <x:c r="C506" t="str">
        <x:f>'Employee Attendance'!C170</x:f>
        <x:v>MU</x:v>
      </x:c>
      <x:c r="D506" t="str">
        <x:f>'Employee Attendance'!D170</x:f>
        <x:v>gavin.allagapen@pwc.com</x:v>
      </x:c>
      <x:c r="E506" t="str">
        <x:f>"Option 1"</x:f>
        <x:v>Option 1</x:v>
      </x:c>
      <x:c r="F506" s="14" t="n">
        <x:f>'Employee Attendance'!E170</x:f>
        <x:v>0</x:v>
      </x:c>
      <x:c r="G506" t="n">
        <x:f>F506*86400</x:f>
        <x:v>0</x:v>
      </x:c>
      <x:c r="H506" t="str">
        <x:f>'Employee Attendance'!F170</x:f>
        <x:v>Did not attend</x:v>
      </x:c>
      <x:c r="I506" t="str">
        <x:f>'Employee Attendance'!K170</x:f>
        <x:v>No</x:v>
      </x:c>
    </x:row>
    <x:row r="507">
      <x:c r="A507" t="str">
        <x:f>'Employee Attendance'!A170</x:f>
        <x:v>Gavin Allagapen</x:v>
      </x:c>
      <x:c r="B507" t="str">
        <x:f>'Employee Attendance'!B170</x:f>
        <x:v>Mauritius</x:v>
      </x:c>
      <x:c r="C507" t="str">
        <x:f>'Employee Attendance'!C170</x:f>
        <x:v>MU</x:v>
      </x:c>
      <x:c r="D507" t="str">
        <x:f>'Employee Attendance'!D170</x:f>
        <x:v>gavin.allagapen@pwc.com</x:v>
      </x:c>
      <x:c r="E507" t="str">
        <x:f>"Option 2"</x:f>
        <x:v>Option 2</x:v>
      </x:c>
      <x:c r="F507" s="14" t="n">
        <x:f>'Employee Attendance'!G170</x:f>
        <x:v>0.08981481481481482</x:v>
      </x:c>
      <x:c r="G507" t="n">
        <x:f>F507*86400</x:f>
        <x:v>7760</x:v>
      </x:c>
      <x:c r="H507" t="str">
        <x:f>'Employee Attendance'!H170</x:f>
        <x:v>Fully attended</x:v>
      </x:c>
      <x:c r="I507" t="str">
        <x:f>'Employee Attendance'!L170</x:f>
        <x:v>Yes</x:v>
      </x:c>
    </x:row>
    <x:row r="508">
      <x:c r="A508" t="str">
        <x:f>'Employee Attendance'!A170</x:f>
        <x:v>Gavin Allagapen</x:v>
      </x:c>
      <x:c r="B508" t="str">
        <x:f>'Employee Attendance'!B170</x:f>
        <x:v>Mauritius</x:v>
      </x:c>
      <x:c r="C508" t="str">
        <x:f>'Employee Attendance'!C170</x:f>
        <x:v>MU</x:v>
      </x:c>
      <x:c r="D508" t="str">
        <x:f>'Employee Attendance'!D170</x:f>
        <x:v>gavin.allagapen@pwc.com</x:v>
      </x:c>
      <x:c r="E508" t="str">
        <x:f>"Combined"</x:f>
        <x:v>Combined</x:v>
      </x:c>
      <x:c r="F508" s="14" t="n">
        <x:f>'Employee Attendance'!I170</x:f>
        <x:v>0.08981481481481482</x:v>
      </x:c>
      <x:c r="G508" t="n">
        <x:f>F508*86400</x:f>
        <x:v>7760</x:v>
      </x:c>
      <x:c r="H508" t="str">
        <x:f>'Employee Attendance'!J170</x:f>
        <x:v>Fully attended</x:v>
      </x:c>
      <x:c r="I508" t="str">
        <x:f>IF(OR('Employee Attendance'!K170="Yes",'Employee Attendance'!L170="Yes"),"Yes","No")</x:f>
        <x:v>Yes</x:v>
      </x:c>
    </x:row>
    <x:row r="509">
      <x:c r="A509" t="str">
        <x:f>'Employee Attendance'!A171</x:f>
        <x:v>George Mukupa</x:v>
      </x:c>
      <x:c r="B509" t="str">
        <x:f>'Employee Attendance'!B171</x:f>
        <x:v>Zambia</x:v>
      </x:c>
      <x:c r="C509" t="str">
        <x:f>'Employee Attendance'!C171</x:f>
        <x:v>ZM</x:v>
      </x:c>
      <x:c r="D509" t="str">
        <x:f>'Employee Attendance'!D171</x:f>
        <x:v>george.mukupa@pwc.com</x:v>
      </x:c>
      <x:c r="E509" t="str">
        <x:f>"Option 1"</x:f>
        <x:v>Option 1</x:v>
      </x:c>
      <x:c r="F509" s="14" t="n">
        <x:f>'Employee Attendance'!E171</x:f>
        <x:v>0</x:v>
      </x:c>
      <x:c r="G509" t="n">
        <x:f>F509*86400</x:f>
        <x:v>0</x:v>
      </x:c>
      <x:c r="H509" t="str">
        <x:f>'Employee Attendance'!F171</x:f>
        <x:v>Did not attend</x:v>
      </x:c>
      <x:c r="I509" t="str">
        <x:f>'Employee Attendance'!K171</x:f>
        <x:v>No</x:v>
      </x:c>
    </x:row>
    <x:row r="510">
      <x:c r="A510" t="str">
        <x:f>'Employee Attendance'!A171</x:f>
        <x:v>George Mukupa</x:v>
      </x:c>
      <x:c r="B510" t="str">
        <x:f>'Employee Attendance'!B171</x:f>
        <x:v>Zambia</x:v>
      </x:c>
      <x:c r="C510" t="str">
        <x:f>'Employee Attendance'!C171</x:f>
        <x:v>ZM</x:v>
      </x:c>
      <x:c r="D510" t="str">
        <x:f>'Employee Attendance'!D171</x:f>
        <x:v>george.mukupa@pwc.com</x:v>
      </x:c>
      <x:c r="E510" t="str">
        <x:f>"Option 2"</x:f>
        <x:v>Option 2</x:v>
      </x:c>
      <x:c r="F510" s="14" t="n">
        <x:f>'Employee Attendance'!G171</x:f>
        <x:v>0.08444444444444445</x:v>
      </x:c>
      <x:c r="G510" t="n">
        <x:f>F510*86400</x:f>
        <x:v>7296</x:v>
      </x:c>
      <x:c r="H510" t="str">
        <x:f>'Employee Attendance'!H171</x:f>
        <x:v>Fully attended</x:v>
      </x:c>
      <x:c r="I510" t="str">
        <x:f>'Employee Attendance'!L171</x:f>
        <x:v>Yes</x:v>
      </x:c>
    </x:row>
    <x:row r="511">
      <x:c r="A511" t="str">
        <x:f>'Employee Attendance'!A171</x:f>
        <x:v>George Mukupa</x:v>
      </x:c>
      <x:c r="B511" t="str">
        <x:f>'Employee Attendance'!B171</x:f>
        <x:v>Zambia</x:v>
      </x:c>
      <x:c r="C511" t="str">
        <x:f>'Employee Attendance'!C171</x:f>
        <x:v>ZM</x:v>
      </x:c>
      <x:c r="D511" t="str">
        <x:f>'Employee Attendance'!D171</x:f>
        <x:v>george.mukupa@pwc.com</x:v>
      </x:c>
      <x:c r="E511" t="str">
        <x:f>"Combined"</x:f>
        <x:v>Combined</x:v>
      </x:c>
      <x:c r="F511" s="14" t="n">
        <x:f>'Employee Attendance'!I171</x:f>
        <x:v>0.08444444444444445</x:v>
      </x:c>
      <x:c r="G511" t="n">
        <x:f>F511*86400</x:f>
        <x:v>7296</x:v>
      </x:c>
      <x:c r="H511" t="str">
        <x:f>'Employee Attendance'!J171</x:f>
        <x:v>Fully attended</x:v>
      </x:c>
      <x:c r="I511" t="str">
        <x:f>IF(OR('Employee Attendance'!K171="Yes",'Employee Attendance'!L171="Yes"),"Yes","No")</x:f>
        <x:v>Yes</x:v>
      </x:c>
    </x:row>
    <x:row r="512">
      <x:c r="A512" t="str">
        <x:f>'Employee Attendance'!A172</x:f>
        <x:v>Georgina Mkuchu</x:v>
      </x:c>
      <x:c r="B512" t="str">
        <x:f>'Employee Attendance'!B172</x:f>
        <x:v>Tanzania</x:v>
      </x:c>
      <x:c r="C512" t="str">
        <x:f>'Employee Attendance'!C172</x:f>
        <x:v>TZ</x:v>
      </x:c>
      <x:c r="D512" t="str">
        <x:f>'Employee Attendance'!D172</x:f>
        <x:v>georgina.mkuchu@pwc.com</x:v>
      </x:c>
      <x:c r="E512" t="str">
        <x:f>"Option 1"</x:f>
        <x:v>Option 1</x:v>
      </x:c>
      <x:c r="F512" s="14" t="n">
        <x:f>'Employee Attendance'!E172</x:f>
        <x:v>0.08716435185185185</x:v>
      </x:c>
      <x:c r="G512" t="n">
        <x:f>F512*86400</x:f>
        <x:v>7531</x:v>
      </x:c>
      <x:c r="H512" t="str">
        <x:f>'Employee Attendance'!F172</x:f>
        <x:v>Fully attended</x:v>
      </x:c>
      <x:c r="I512" t="str">
        <x:f>'Employee Attendance'!K172</x:f>
        <x:v>Yes</x:v>
      </x:c>
    </x:row>
    <x:row r="513">
      <x:c r="A513" t="str">
        <x:f>'Employee Attendance'!A172</x:f>
        <x:v>Georgina Mkuchu</x:v>
      </x:c>
      <x:c r="B513" t="str">
        <x:f>'Employee Attendance'!B172</x:f>
        <x:v>Tanzania</x:v>
      </x:c>
      <x:c r="C513" t="str">
        <x:f>'Employee Attendance'!C172</x:f>
        <x:v>TZ</x:v>
      </x:c>
      <x:c r="D513" t="str">
        <x:f>'Employee Attendance'!D172</x:f>
        <x:v>georgina.mkuchu@pwc.com</x:v>
      </x:c>
      <x:c r="E513" t="str">
        <x:f>"Option 2"</x:f>
        <x:v>Option 2</x:v>
      </x:c>
      <x:c r="F513" s="14" t="n">
        <x:f>'Employee Attendance'!G172</x:f>
        <x:v>0.05282407407407407</x:v>
      </x:c>
      <x:c r="G513" t="n">
        <x:f>F513*86400</x:f>
        <x:v>4564</x:v>
      </x:c>
      <x:c r="H513" t="str">
        <x:f>'Employee Attendance'!H172</x:f>
        <x:v>Partially attended</x:v>
      </x:c>
      <x:c r="I513" t="str">
        <x:f>'Employee Attendance'!L172</x:f>
        <x:v>Yes</x:v>
      </x:c>
    </x:row>
    <x:row r="514">
      <x:c r="A514" t="str">
        <x:f>'Employee Attendance'!A172</x:f>
        <x:v>Georgina Mkuchu</x:v>
      </x:c>
      <x:c r="B514" t="str">
        <x:f>'Employee Attendance'!B172</x:f>
        <x:v>Tanzania</x:v>
      </x:c>
      <x:c r="C514" t="str">
        <x:f>'Employee Attendance'!C172</x:f>
        <x:v>TZ</x:v>
      </x:c>
      <x:c r="D514" t="str">
        <x:f>'Employee Attendance'!D172</x:f>
        <x:v>georgina.mkuchu@pwc.com</x:v>
      </x:c>
      <x:c r="E514" t="str">
        <x:f>"Combined"</x:f>
        <x:v>Combined</x:v>
      </x:c>
      <x:c r="F514" s="14" t="n">
        <x:f>'Employee Attendance'!I172</x:f>
        <x:v>0.13998842592592592</x:v>
      </x:c>
      <x:c r="G514" t="n">
        <x:f>F514*86400</x:f>
        <x:v>12095</x:v>
      </x:c>
      <x:c r="H514" t="str">
        <x:f>'Employee Attendance'!J172</x:f>
        <x:v>Fully attended</x:v>
      </x:c>
      <x:c r="I514" t="str">
        <x:f>IF(OR('Employee Attendance'!K172="Yes",'Employee Attendance'!L172="Yes"),"Yes","No")</x:f>
        <x:v>Yes</x:v>
      </x:c>
    </x:row>
    <x:row r="515">
      <x:c r="A515" t="str">
        <x:f>'Employee Attendance'!A173</x:f>
        <x:v>Gerald Aheebwa</x:v>
      </x:c>
      <x:c r="B515" t="str">
        <x:f>'Employee Attendance'!B173</x:f>
        <x:v>Uganda</x:v>
      </x:c>
      <x:c r="C515" t="str">
        <x:f>'Employee Attendance'!C173</x:f>
        <x:v>UG</x:v>
      </x:c>
      <x:c r="D515" t="str">
        <x:f>'Employee Attendance'!D173</x:f>
        <x:v>gerald.aheebwa@pwc.com</x:v>
      </x:c>
      <x:c r="E515" t="str">
        <x:f>"Option 1"</x:f>
        <x:v>Option 1</x:v>
      </x:c>
      <x:c r="F515" s="14" t="n">
        <x:f>'Employee Attendance'!E173</x:f>
        <x:v>0</x:v>
      </x:c>
      <x:c r="G515" t="n">
        <x:f>F515*86400</x:f>
        <x:v>0</x:v>
      </x:c>
      <x:c r="H515" t="str">
        <x:f>'Employee Attendance'!F173</x:f>
        <x:v>Did not attend</x:v>
      </x:c>
      <x:c r="I515" t="str">
        <x:f>'Employee Attendance'!K173</x:f>
        <x:v>No</x:v>
      </x:c>
    </x:row>
    <x:row r="516">
      <x:c r="A516" t="str">
        <x:f>'Employee Attendance'!A173</x:f>
        <x:v>Gerald Aheebwa</x:v>
      </x:c>
      <x:c r="B516" t="str">
        <x:f>'Employee Attendance'!B173</x:f>
        <x:v>Uganda</x:v>
      </x:c>
      <x:c r="C516" t="str">
        <x:f>'Employee Attendance'!C173</x:f>
        <x:v>UG</x:v>
      </x:c>
      <x:c r="D516" t="str">
        <x:f>'Employee Attendance'!D173</x:f>
        <x:v>gerald.aheebwa@pwc.com</x:v>
      </x:c>
      <x:c r="E516" t="str">
        <x:f>"Option 2"</x:f>
        <x:v>Option 2</x:v>
      </x:c>
      <x:c r="F516" s="14" t="n">
        <x:f>'Employee Attendance'!G173</x:f>
        <x:v>0.08543981481481482</x:v>
      </x:c>
      <x:c r="G516" t="n">
        <x:f>F516*86400</x:f>
        <x:v>7382</x:v>
      </x:c>
      <x:c r="H516" t="str">
        <x:f>'Employee Attendance'!H173</x:f>
        <x:v>Fully attended</x:v>
      </x:c>
      <x:c r="I516" t="str">
        <x:f>'Employee Attendance'!L173</x:f>
        <x:v>Yes</x:v>
      </x:c>
    </x:row>
    <x:row r="517">
      <x:c r="A517" t="str">
        <x:f>'Employee Attendance'!A173</x:f>
        <x:v>Gerald Aheebwa</x:v>
      </x:c>
      <x:c r="B517" t="str">
        <x:f>'Employee Attendance'!B173</x:f>
        <x:v>Uganda</x:v>
      </x:c>
      <x:c r="C517" t="str">
        <x:f>'Employee Attendance'!C173</x:f>
        <x:v>UG</x:v>
      </x:c>
      <x:c r="D517" t="str">
        <x:f>'Employee Attendance'!D173</x:f>
        <x:v>gerald.aheebwa@pwc.com</x:v>
      </x:c>
      <x:c r="E517" t="str">
        <x:f>"Combined"</x:f>
        <x:v>Combined</x:v>
      </x:c>
      <x:c r="F517" s="14" t="n">
        <x:f>'Employee Attendance'!I173</x:f>
        <x:v>0.08543981481481482</x:v>
      </x:c>
      <x:c r="G517" t="n">
        <x:f>F517*86400</x:f>
        <x:v>7382</x:v>
      </x:c>
      <x:c r="H517" t="str">
        <x:f>'Employee Attendance'!J173</x:f>
        <x:v>Fully attended</x:v>
      </x:c>
      <x:c r="I517" t="str">
        <x:f>IF(OR('Employee Attendance'!K173="Yes",'Employee Attendance'!L173="Yes"),"Yes","No")</x:f>
        <x:v>Yes</x:v>
      </x:c>
    </x:row>
    <x:row r="518">
      <x:c r="A518" t="str">
        <x:f>'Employee Attendance'!A174</x:f>
        <x:v>Gillian Elwor</x:v>
      </x:c>
      <x:c r="B518" t="str">
        <x:f>'Employee Attendance'!B174</x:f>
        <x:v>Uganda</x:v>
      </x:c>
      <x:c r="C518" t="str">
        <x:f>'Employee Attendance'!C174</x:f>
        <x:v>UG</x:v>
      </x:c>
      <x:c r="D518" t="str">
        <x:f>'Employee Attendance'!D174</x:f>
        <x:v>gillian.elwor@pwc.com</x:v>
      </x:c>
      <x:c r="E518" t="str">
        <x:f>"Option 1"</x:f>
        <x:v>Option 1</x:v>
      </x:c>
      <x:c r="F518" s="14" t="n">
        <x:f>'Employee Attendance'!E174</x:f>
        <x:v>0</x:v>
      </x:c>
      <x:c r="G518" t="n">
        <x:f>F518*86400</x:f>
        <x:v>0</x:v>
      </x:c>
      <x:c r="H518" t="str">
        <x:f>'Employee Attendance'!F174</x:f>
        <x:v>Did not attend</x:v>
      </x:c>
      <x:c r="I518" t="str">
        <x:f>'Employee Attendance'!K174</x:f>
        <x:v>No</x:v>
      </x:c>
    </x:row>
    <x:row r="519">
      <x:c r="A519" t="str">
        <x:f>'Employee Attendance'!A174</x:f>
        <x:v>Gillian Elwor</x:v>
      </x:c>
      <x:c r="B519" t="str">
        <x:f>'Employee Attendance'!B174</x:f>
        <x:v>Uganda</x:v>
      </x:c>
      <x:c r="C519" t="str">
        <x:f>'Employee Attendance'!C174</x:f>
        <x:v>UG</x:v>
      </x:c>
      <x:c r="D519" t="str">
        <x:f>'Employee Attendance'!D174</x:f>
        <x:v>gillian.elwor@pwc.com</x:v>
      </x:c>
      <x:c r="E519" t="str">
        <x:f>"Option 2"</x:f>
        <x:v>Option 2</x:v>
      </x:c>
      <x:c r="F519" s="14" t="n">
        <x:f>'Employee Attendance'!G174</x:f>
        <x:v>0.08497685185185185</x:v>
      </x:c>
      <x:c r="G519" t="n">
        <x:f>F519*86400</x:f>
        <x:v>7341.999999999999</x:v>
      </x:c>
      <x:c r="H519" t="str">
        <x:f>'Employee Attendance'!H174</x:f>
        <x:v>Fully attended</x:v>
      </x:c>
      <x:c r="I519" t="str">
        <x:f>'Employee Attendance'!L174</x:f>
        <x:v>Yes</x:v>
      </x:c>
    </x:row>
    <x:row r="520">
      <x:c r="A520" t="str">
        <x:f>'Employee Attendance'!A174</x:f>
        <x:v>Gillian Elwor</x:v>
      </x:c>
      <x:c r="B520" t="str">
        <x:f>'Employee Attendance'!B174</x:f>
        <x:v>Uganda</x:v>
      </x:c>
      <x:c r="C520" t="str">
        <x:f>'Employee Attendance'!C174</x:f>
        <x:v>UG</x:v>
      </x:c>
      <x:c r="D520" t="str">
        <x:f>'Employee Attendance'!D174</x:f>
        <x:v>gillian.elwor@pwc.com</x:v>
      </x:c>
      <x:c r="E520" t="str">
        <x:f>"Combined"</x:f>
        <x:v>Combined</x:v>
      </x:c>
      <x:c r="F520" s="14" t="n">
        <x:f>'Employee Attendance'!I174</x:f>
        <x:v>0.08497685185185185</x:v>
      </x:c>
      <x:c r="G520" t="n">
        <x:f>F520*86400</x:f>
        <x:v>7341.999999999999</x:v>
      </x:c>
      <x:c r="H520" t="str">
        <x:f>'Employee Attendance'!J174</x:f>
        <x:v>Fully attended</x:v>
      </x:c>
      <x:c r="I520" t="str">
        <x:f>IF(OR('Employee Attendance'!K174="Yes",'Employee Attendance'!L174="Yes"),"Yes","No")</x:f>
        <x:v>Yes</x:v>
      </x:c>
    </x:row>
    <x:row r="521">
      <x:c r="A521" t="str">
        <x:f>'Employee Attendance'!A175</x:f>
        <x:v>Girish Balchurn</x:v>
      </x:c>
      <x:c r="B521" t="str">
        <x:f>'Employee Attendance'!B175</x:f>
        <x:v>Mauritius</x:v>
      </x:c>
      <x:c r="C521" t="str">
        <x:f>'Employee Attendance'!C175</x:f>
        <x:v>MU</x:v>
      </x:c>
      <x:c r="D521" t="str">
        <x:f>'Employee Attendance'!D175</x:f>
        <x:v>girish.balchurn@pwc.com</x:v>
      </x:c>
      <x:c r="E521" t="str">
        <x:f>"Option 1"</x:f>
        <x:v>Option 1</x:v>
      </x:c>
      <x:c r="F521" s="14" t="n">
        <x:f>'Employee Attendance'!E175</x:f>
        <x:v>0.050555555555555555</x:v>
      </x:c>
      <x:c r="G521" t="n">
        <x:f>F521*86400</x:f>
        <x:v>4368</x:v>
      </x:c>
      <x:c r="H521" t="str">
        <x:f>'Employee Attendance'!F175</x:f>
        <x:v>Partially attended</x:v>
      </x:c>
      <x:c r="I521" t="str">
        <x:f>'Employee Attendance'!K175</x:f>
        <x:v>Yes</x:v>
      </x:c>
    </x:row>
    <x:row r="522">
      <x:c r="A522" t="str">
        <x:f>'Employee Attendance'!A175</x:f>
        <x:v>Girish Balchurn</x:v>
      </x:c>
      <x:c r="B522" t="str">
        <x:f>'Employee Attendance'!B175</x:f>
        <x:v>Mauritius</x:v>
      </x:c>
      <x:c r="C522" t="str">
        <x:f>'Employee Attendance'!C175</x:f>
        <x:v>MU</x:v>
      </x:c>
      <x:c r="D522" t="str">
        <x:f>'Employee Attendance'!D175</x:f>
        <x:v>girish.balchurn@pwc.com</x:v>
      </x:c>
      <x:c r="E522" t="str">
        <x:f>"Option 2"</x:f>
        <x:v>Option 2</x:v>
      </x:c>
      <x:c r="F522" s="14" t="n">
        <x:f>'Employee Attendance'!G175</x:f>
        <x:v>0.07759259259259259</x:v>
      </x:c>
      <x:c r="G522" t="n">
        <x:f>F522*86400</x:f>
        <x:v>6704</x:v>
      </x:c>
      <x:c r="H522" t="str">
        <x:f>'Employee Attendance'!H175</x:f>
        <x:v>Fully attended</x:v>
      </x:c>
      <x:c r="I522" t="str">
        <x:f>'Employee Attendance'!L175</x:f>
        <x:v>Yes</x:v>
      </x:c>
    </x:row>
    <x:row r="523">
      <x:c r="A523" t="str">
        <x:f>'Employee Attendance'!A175</x:f>
        <x:v>Girish Balchurn</x:v>
      </x:c>
      <x:c r="B523" t="str">
        <x:f>'Employee Attendance'!B175</x:f>
        <x:v>Mauritius</x:v>
      </x:c>
      <x:c r="C523" t="str">
        <x:f>'Employee Attendance'!C175</x:f>
        <x:v>MU</x:v>
      </x:c>
      <x:c r="D523" t="str">
        <x:f>'Employee Attendance'!D175</x:f>
        <x:v>girish.balchurn@pwc.com</x:v>
      </x:c>
      <x:c r="E523" t="str">
        <x:f>"Combined"</x:f>
        <x:v>Combined</x:v>
      </x:c>
      <x:c r="F523" s="14" t="n">
        <x:f>'Employee Attendance'!I175</x:f>
        <x:v>0.12814814814814815</x:v>
      </x:c>
      <x:c r="G523" t="n">
        <x:f>F523*86400</x:f>
        <x:v>11072</x:v>
      </x:c>
      <x:c r="H523" t="str">
        <x:f>'Employee Attendance'!J175</x:f>
        <x:v>Fully attended</x:v>
      </x:c>
      <x:c r="I523" t="str">
        <x:f>IF(OR('Employee Attendance'!K175="Yes",'Employee Attendance'!L175="Yes"),"Yes","No")</x:f>
        <x:v>Yes</x:v>
      </x:c>
    </x:row>
    <x:row r="524">
      <x:c r="A524" t="str">
        <x:f>'Employee Attendance'!A176</x:f>
        <x:v>Gisele Ngoga</x:v>
      </x:c>
      <x:c r="B524" t="str">
        <x:f>'Employee Attendance'!B176</x:f>
        <x:v>Rwanda</x:v>
      </x:c>
      <x:c r="C524" t="str">
        <x:f>'Employee Attendance'!C176</x:f>
        <x:v>RW</x:v>
      </x:c>
      <x:c r="D524" t="str">
        <x:f>'Employee Attendance'!D176</x:f>
        <x:v>gisele.ngoga@pwc.com</x:v>
      </x:c>
      <x:c r="E524" t="str">
        <x:f>"Option 1"</x:f>
        <x:v>Option 1</x:v>
      </x:c>
      <x:c r="F524" s="14" t="n">
        <x:f>'Employee Attendance'!E176</x:f>
        <x:v>0.08609953703703704</x:v>
      </x:c>
      <x:c r="G524" t="n">
        <x:f>F524*86400</x:f>
        <x:v>7439.000000000001</x:v>
      </x:c>
      <x:c r="H524" t="str">
        <x:f>'Employee Attendance'!F176</x:f>
        <x:v>Fully attended</x:v>
      </x:c>
      <x:c r="I524" t="str">
        <x:f>'Employee Attendance'!K176</x:f>
        <x:v>Yes</x:v>
      </x:c>
    </x:row>
    <x:row r="525">
      <x:c r="A525" t="str">
        <x:f>'Employee Attendance'!A176</x:f>
        <x:v>Gisele Ngoga</x:v>
      </x:c>
      <x:c r="B525" t="str">
        <x:f>'Employee Attendance'!B176</x:f>
        <x:v>Rwanda</x:v>
      </x:c>
      <x:c r="C525" t="str">
        <x:f>'Employee Attendance'!C176</x:f>
        <x:v>RW</x:v>
      </x:c>
      <x:c r="D525" t="str">
        <x:f>'Employee Attendance'!D176</x:f>
        <x:v>gisele.ngoga@pwc.com</x:v>
      </x:c>
      <x:c r="E525" t="str">
        <x:f>"Option 2"</x:f>
        <x:v>Option 2</x:v>
      </x:c>
      <x:c r="F525" s="14" t="n">
        <x:f>'Employee Attendance'!G176</x:f>
        <x:v>0</x:v>
      </x:c>
      <x:c r="G525" t="n">
        <x:f>F525*86400</x:f>
        <x:v>0</x:v>
      </x:c>
      <x:c r="H525" t="str">
        <x:f>'Employee Attendance'!H176</x:f>
        <x:v>Did not attend</x:v>
      </x:c>
      <x:c r="I525" t="str">
        <x:f>'Employee Attendance'!L176</x:f>
        <x:v>No</x:v>
      </x:c>
    </x:row>
    <x:row r="526">
      <x:c r="A526" t="str">
        <x:f>'Employee Attendance'!A176</x:f>
        <x:v>Gisele Ngoga</x:v>
      </x:c>
      <x:c r="B526" t="str">
        <x:f>'Employee Attendance'!B176</x:f>
        <x:v>Rwanda</x:v>
      </x:c>
      <x:c r="C526" t="str">
        <x:f>'Employee Attendance'!C176</x:f>
        <x:v>RW</x:v>
      </x:c>
      <x:c r="D526" t="str">
        <x:f>'Employee Attendance'!D176</x:f>
        <x:v>gisele.ngoga@pwc.com</x:v>
      </x:c>
      <x:c r="E526" t="str">
        <x:f>"Combined"</x:f>
        <x:v>Combined</x:v>
      </x:c>
      <x:c r="F526" s="14" t="n">
        <x:f>'Employee Attendance'!I176</x:f>
        <x:v>0.08609953703703704</x:v>
      </x:c>
      <x:c r="G526" t="n">
        <x:f>F526*86400</x:f>
        <x:v>7439.000000000001</x:v>
      </x:c>
      <x:c r="H526" t="str">
        <x:f>'Employee Attendance'!J176</x:f>
        <x:v>Fully attended</x:v>
      </x:c>
      <x:c r="I526" t="str">
        <x:f>IF(OR('Employee Attendance'!K176="Yes",'Employee Attendance'!L176="Yes"),"Yes","No")</x:f>
        <x:v>Yes</x:v>
      </x:c>
    </x:row>
    <x:row r="527">
      <x:c r="A527" t="str">
        <x:f>'Employee Attendance'!A177</x:f>
        <x:v>Godbless Kafimbi</x:v>
      </x:c>
      <x:c r="B527" t="str">
        <x:f>'Employee Attendance'!B177</x:f>
        <x:v>Tanzania</x:v>
      </x:c>
      <x:c r="C527" t="str">
        <x:f>'Employee Attendance'!C177</x:f>
        <x:v>TZ</x:v>
      </x:c>
      <x:c r="D527" t="str">
        <x:f>'Employee Attendance'!D177</x:f>
        <x:v>godbless.kafimbi@pwc.com</x:v>
      </x:c>
      <x:c r="E527" t="str">
        <x:f>"Option 1"</x:f>
        <x:v>Option 1</x:v>
      </x:c>
      <x:c r="F527" s="14" t="n">
        <x:f>'Employee Attendance'!E177</x:f>
        <x:v>0</x:v>
      </x:c>
      <x:c r="G527" t="n">
        <x:f>F527*86400</x:f>
        <x:v>0</x:v>
      </x:c>
      <x:c r="H527" t="str">
        <x:f>'Employee Attendance'!F177</x:f>
        <x:v>Did not attend</x:v>
      </x:c>
      <x:c r="I527" t="str">
        <x:f>'Employee Attendance'!K177</x:f>
        <x:v>No</x:v>
      </x:c>
    </x:row>
    <x:row r="528">
      <x:c r="A528" t="str">
        <x:f>'Employee Attendance'!A177</x:f>
        <x:v>Godbless Kafimbi</x:v>
      </x:c>
      <x:c r="B528" t="str">
        <x:f>'Employee Attendance'!B177</x:f>
        <x:v>Tanzania</x:v>
      </x:c>
      <x:c r="C528" t="str">
        <x:f>'Employee Attendance'!C177</x:f>
        <x:v>TZ</x:v>
      </x:c>
      <x:c r="D528" t="str">
        <x:f>'Employee Attendance'!D177</x:f>
        <x:v>godbless.kafimbi@pwc.com</x:v>
      </x:c>
      <x:c r="E528" t="str">
        <x:f>"Option 2"</x:f>
        <x:v>Option 2</x:v>
      </x:c>
      <x:c r="F528" s="14" t="n">
        <x:f>'Employee Attendance'!G177</x:f>
        <x:v>0.06081018518518518</x:v>
      </x:c>
      <x:c r="G528" t="n">
        <x:f>F528*86400</x:f>
        <x:v>5254</x:v>
      </x:c>
      <x:c r="H528" t="str">
        <x:f>'Employee Attendance'!H177</x:f>
        <x:v>Partially attended</x:v>
      </x:c>
      <x:c r="I528" t="str">
        <x:f>'Employee Attendance'!L177</x:f>
        <x:v>Yes</x:v>
      </x:c>
    </x:row>
    <x:row r="529">
      <x:c r="A529" t="str">
        <x:f>'Employee Attendance'!A177</x:f>
        <x:v>Godbless Kafimbi</x:v>
      </x:c>
      <x:c r="B529" t="str">
        <x:f>'Employee Attendance'!B177</x:f>
        <x:v>Tanzania</x:v>
      </x:c>
      <x:c r="C529" t="str">
        <x:f>'Employee Attendance'!C177</x:f>
        <x:v>TZ</x:v>
      </x:c>
      <x:c r="D529" t="str">
        <x:f>'Employee Attendance'!D177</x:f>
        <x:v>godbless.kafimbi@pwc.com</x:v>
      </x:c>
      <x:c r="E529" t="str">
        <x:f>"Combined"</x:f>
        <x:v>Combined</x:v>
      </x:c>
      <x:c r="F529" s="14" t="n">
        <x:f>'Employee Attendance'!I177</x:f>
        <x:v>0.06081018518518518</x:v>
      </x:c>
      <x:c r="G529" t="n">
        <x:f>F529*86400</x:f>
        <x:v>5254</x:v>
      </x:c>
      <x:c r="H529" t="str">
        <x:f>'Employee Attendance'!J177</x:f>
        <x:v>Partially attended</x:v>
      </x:c>
      <x:c r="I529" t="str">
        <x:f>IF(OR('Employee Attendance'!K177="Yes",'Employee Attendance'!L177="Yes"),"Yes","No")</x:f>
        <x:v>Yes</x:v>
      </x:c>
    </x:row>
    <x:row r="530">
      <x:c r="A530" t="str">
        <x:f>'Employee Attendance'!A178</x:f>
        <x:v>Godfrey Kizza</x:v>
      </x:c>
      <x:c r="B530" t="str">
        <x:f>'Employee Attendance'!B178</x:f>
        <x:v>Uganda</x:v>
      </x:c>
      <x:c r="C530" t="str">
        <x:f>'Employee Attendance'!C178</x:f>
        <x:v>UG</x:v>
      </x:c>
      <x:c r="D530" t="str">
        <x:f>'Employee Attendance'!D178</x:f>
        <x:v>godfrey.kizza@pwc.com</x:v>
      </x:c>
      <x:c r="E530" t="str">
        <x:f>"Option 1"</x:f>
        <x:v>Option 1</x:v>
      </x:c>
      <x:c r="F530" s="14" t="n">
        <x:f>'Employee Attendance'!E178</x:f>
        <x:v>0.061168981481481484</x:v>
      </x:c>
      <x:c r="G530" t="n">
        <x:f>F530*86400</x:f>
        <x:v>5285</x:v>
      </x:c>
      <x:c r="H530" t="str">
        <x:f>'Employee Attendance'!F178</x:f>
        <x:v>Partially attended</x:v>
      </x:c>
      <x:c r="I530" t="str">
        <x:f>'Employee Attendance'!K178</x:f>
        <x:v>Yes</x:v>
      </x:c>
    </x:row>
    <x:row r="531">
      <x:c r="A531" t="str">
        <x:f>'Employee Attendance'!A178</x:f>
        <x:v>Godfrey Kizza</x:v>
      </x:c>
      <x:c r="B531" t="str">
        <x:f>'Employee Attendance'!B178</x:f>
        <x:v>Uganda</x:v>
      </x:c>
      <x:c r="C531" t="str">
        <x:f>'Employee Attendance'!C178</x:f>
        <x:v>UG</x:v>
      </x:c>
      <x:c r="D531" t="str">
        <x:f>'Employee Attendance'!D178</x:f>
        <x:v>godfrey.kizza@pwc.com</x:v>
      </x:c>
      <x:c r="E531" t="str">
        <x:f>"Option 2"</x:f>
        <x:v>Option 2</x:v>
      </x:c>
      <x:c r="F531" s="14" t="n">
        <x:f>'Employee Attendance'!G178</x:f>
        <x:v>0.08092592592592593</x:v>
      </x:c>
      <x:c r="G531" t="n">
        <x:f>F531*86400</x:f>
        <x:v>6992</x:v>
      </x:c>
      <x:c r="H531" t="str">
        <x:f>'Employee Attendance'!H178</x:f>
        <x:v>Fully attended</x:v>
      </x:c>
      <x:c r="I531" t="str">
        <x:f>'Employee Attendance'!L178</x:f>
        <x:v>Yes</x:v>
      </x:c>
    </x:row>
    <x:row r="532">
      <x:c r="A532" t="str">
        <x:f>'Employee Attendance'!A178</x:f>
        <x:v>Godfrey Kizza</x:v>
      </x:c>
      <x:c r="B532" t="str">
        <x:f>'Employee Attendance'!B178</x:f>
        <x:v>Uganda</x:v>
      </x:c>
      <x:c r="C532" t="str">
        <x:f>'Employee Attendance'!C178</x:f>
        <x:v>UG</x:v>
      </x:c>
      <x:c r="D532" t="str">
        <x:f>'Employee Attendance'!D178</x:f>
        <x:v>godfrey.kizza@pwc.com</x:v>
      </x:c>
      <x:c r="E532" t="str">
        <x:f>"Combined"</x:f>
        <x:v>Combined</x:v>
      </x:c>
      <x:c r="F532" s="14" t="n">
        <x:f>'Employee Attendance'!I178</x:f>
        <x:v>0.1420949074074074</x:v>
      </x:c>
      <x:c r="G532" t="n">
        <x:f>F532*86400</x:f>
        <x:v>12277</x:v>
      </x:c>
      <x:c r="H532" t="str">
        <x:f>'Employee Attendance'!J178</x:f>
        <x:v>Fully attended</x:v>
      </x:c>
      <x:c r="I532" t="str">
        <x:f>IF(OR('Employee Attendance'!K178="Yes",'Employee Attendance'!L178="Yes"),"Yes","No")</x:f>
        <x:v>Yes</x:v>
      </x:c>
    </x:row>
    <x:row r="533">
      <x:c r="A533" t="str">
        <x:f>'Employee Attendance'!A179</x:f>
        <x:v>Golder Kamuzora</x:v>
      </x:c>
      <x:c r="B533" t="str">
        <x:f>'Employee Attendance'!B179</x:f>
        <x:v>Tanzania</x:v>
      </x:c>
      <x:c r="C533" t="str">
        <x:f>'Employee Attendance'!C179</x:f>
        <x:v>TZ</x:v>
      </x:c>
      <x:c r="D533" t="str">
        <x:f>'Employee Attendance'!D179</x:f>
        <x:v>golder.k.kamuzora@pwc.com</x:v>
      </x:c>
      <x:c r="E533" t="str">
        <x:f>"Option 1"</x:f>
        <x:v>Option 1</x:v>
      </x:c>
      <x:c r="F533" s="14" t="n">
        <x:f>'Employee Attendance'!E179</x:f>
        <x:v>0.07686342592592593</x:v>
      </x:c>
      <x:c r="G533" t="n">
        <x:f>F533*86400</x:f>
        <x:v>6641.000000000001</x:v>
      </x:c>
      <x:c r="H533" t="str">
        <x:f>'Employee Attendance'!F179</x:f>
        <x:v>Fully attended</x:v>
      </x:c>
      <x:c r="I533" t="str">
        <x:f>'Employee Attendance'!K179</x:f>
        <x:v>Yes</x:v>
      </x:c>
    </x:row>
    <x:row r="534">
      <x:c r="A534" t="str">
        <x:f>'Employee Attendance'!A179</x:f>
        <x:v>Golder Kamuzora</x:v>
      </x:c>
      <x:c r="B534" t="str">
        <x:f>'Employee Attendance'!B179</x:f>
        <x:v>Tanzania</x:v>
      </x:c>
      <x:c r="C534" t="str">
        <x:f>'Employee Attendance'!C179</x:f>
        <x:v>TZ</x:v>
      </x:c>
      <x:c r="D534" t="str">
        <x:f>'Employee Attendance'!D179</x:f>
        <x:v>golder.k.kamuzora@pwc.com</x:v>
      </x:c>
      <x:c r="E534" t="str">
        <x:f>"Option 2"</x:f>
        <x:v>Option 2</x:v>
      </x:c>
      <x:c r="F534" s="14" t="n">
        <x:f>'Employee Attendance'!G179</x:f>
        <x:v>0</x:v>
      </x:c>
      <x:c r="G534" t="n">
        <x:f>F534*86400</x:f>
        <x:v>0</x:v>
      </x:c>
      <x:c r="H534" t="str">
        <x:f>'Employee Attendance'!H179</x:f>
        <x:v>Did not attend</x:v>
      </x:c>
      <x:c r="I534" t="str">
        <x:f>'Employee Attendance'!L179</x:f>
        <x:v>No</x:v>
      </x:c>
    </x:row>
    <x:row r="535">
      <x:c r="A535" t="str">
        <x:f>'Employee Attendance'!A179</x:f>
        <x:v>Golder Kamuzora</x:v>
      </x:c>
      <x:c r="B535" t="str">
        <x:f>'Employee Attendance'!B179</x:f>
        <x:v>Tanzania</x:v>
      </x:c>
      <x:c r="C535" t="str">
        <x:f>'Employee Attendance'!C179</x:f>
        <x:v>TZ</x:v>
      </x:c>
      <x:c r="D535" t="str">
        <x:f>'Employee Attendance'!D179</x:f>
        <x:v>golder.k.kamuzora@pwc.com</x:v>
      </x:c>
      <x:c r="E535" t="str">
        <x:f>"Combined"</x:f>
        <x:v>Combined</x:v>
      </x:c>
      <x:c r="F535" s="14" t="n">
        <x:f>'Employee Attendance'!I179</x:f>
        <x:v>0.07686342592592593</x:v>
      </x:c>
      <x:c r="G535" t="n">
        <x:f>F535*86400</x:f>
        <x:v>6641.000000000001</x:v>
      </x:c>
      <x:c r="H535" t="str">
        <x:f>'Employee Attendance'!J179</x:f>
        <x:v>Fully attended</x:v>
      </x:c>
      <x:c r="I535" t="str">
        <x:f>IF(OR('Employee Attendance'!K179="Yes",'Employee Attendance'!L179="Yes"),"Yes","No")</x:f>
        <x:v>Yes</x:v>
      </x:c>
    </x:row>
    <x:row r="536">
      <x:c r="A536" t="str">
        <x:f>'Employee Attendance'!A180</x:f>
        <x:v>Grace Kinyanjui</x:v>
      </x:c>
      <x:c r="B536" t="str">
        <x:f>'Employee Attendance'!B180</x:f>
        <x:v>Kenya</x:v>
      </x:c>
      <x:c r="C536" t="str">
        <x:f>'Employee Attendance'!C180</x:f>
        <x:v>KE</x:v>
      </x:c>
      <x:c r="D536" t="str">
        <x:f>'Employee Attendance'!D180</x:f>
        <x:v>grace.kinyanjui@pwc.com</x:v>
      </x:c>
      <x:c r="E536" t="str">
        <x:f>"Option 1"</x:f>
        <x:v>Option 1</x:v>
      </x:c>
      <x:c r="F536" s="14" t="n">
        <x:f>'Employee Attendance'!E180</x:f>
        <x:v>0.08094907407407408</x:v>
      </x:c>
      <x:c r="G536" t="n">
        <x:f>F536*86400</x:f>
        <x:v>6994</x:v>
      </x:c>
      <x:c r="H536" t="str">
        <x:f>'Employee Attendance'!F180</x:f>
        <x:v>Fully attended</x:v>
      </x:c>
      <x:c r="I536" t="str">
        <x:f>'Employee Attendance'!K180</x:f>
        <x:v>Yes</x:v>
      </x:c>
    </x:row>
    <x:row r="537">
      <x:c r="A537" t="str">
        <x:f>'Employee Attendance'!A180</x:f>
        <x:v>Grace Kinyanjui</x:v>
      </x:c>
      <x:c r="B537" t="str">
        <x:f>'Employee Attendance'!B180</x:f>
        <x:v>Kenya</x:v>
      </x:c>
      <x:c r="C537" t="str">
        <x:f>'Employee Attendance'!C180</x:f>
        <x:v>KE</x:v>
      </x:c>
      <x:c r="D537" t="str">
        <x:f>'Employee Attendance'!D180</x:f>
        <x:v>grace.kinyanjui@pwc.com</x:v>
      </x:c>
      <x:c r="E537" t="str">
        <x:f>"Option 2"</x:f>
        <x:v>Option 2</x:v>
      </x:c>
      <x:c r="F537" s="14" t="n">
        <x:f>'Employee Attendance'!G180</x:f>
        <x:v>0</x:v>
      </x:c>
      <x:c r="G537" t="n">
        <x:f>F537*86400</x:f>
        <x:v>0</x:v>
      </x:c>
      <x:c r="H537" t="str">
        <x:f>'Employee Attendance'!H180</x:f>
        <x:v>Did not attend</x:v>
      </x:c>
      <x:c r="I537" t="str">
        <x:f>'Employee Attendance'!L180</x:f>
        <x:v>No</x:v>
      </x:c>
    </x:row>
    <x:row r="538">
      <x:c r="A538" t="str">
        <x:f>'Employee Attendance'!A180</x:f>
        <x:v>Grace Kinyanjui</x:v>
      </x:c>
      <x:c r="B538" t="str">
        <x:f>'Employee Attendance'!B180</x:f>
        <x:v>Kenya</x:v>
      </x:c>
      <x:c r="C538" t="str">
        <x:f>'Employee Attendance'!C180</x:f>
        <x:v>KE</x:v>
      </x:c>
      <x:c r="D538" t="str">
        <x:f>'Employee Attendance'!D180</x:f>
        <x:v>grace.kinyanjui@pwc.com</x:v>
      </x:c>
      <x:c r="E538" t="str">
        <x:f>"Combined"</x:f>
        <x:v>Combined</x:v>
      </x:c>
      <x:c r="F538" s="14" t="n">
        <x:f>'Employee Attendance'!I180</x:f>
        <x:v>0.08094907407407408</x:v>
      </x:c>
      <x:c r="G538" t="n">
        <x:f>F538*86400</x:f>
        <x:v>6994</x:v>
      </x:c>
      <x:c r="H538" t="str">
        <x:f>'Employee Attendance'!J180</x:f>
        <x:v>Fully attended</x:v>
      </x:c>
      <x:c r="I538" t="str">
        <x:f>IF(OR('Employee Attendance'!K180="Yes",'Employee Attendance'!L180="Yes"),"Yes","No")</x:f>
        <x:v>Yes</x:v>
      </x:c>
    </x:row>
    <x:row r="539">
      <x:c r="A539" t="str">
        <x:f>'Employee Attendance'!A181</x:f>
        <x:v>Grace Nalwanga</x:v>
      </x:c>
      <x:c r="B539" t="str">
        <x:f>'Employee Attendance'!B181</x:f>
        <x:v>Uganda</x:v>
      </x:c>
      <x:c r="C539" t="str">
        <x:f>'Employee Attendance'!C181</x:f>
        <x:v>UG</x:v>
      </x:c>
      <x:c r="D539" t="str">
        <x:f>'Employee Attendance'!D181</x:f>
        <x:v>grace.nalwanga@pwc.com</x:v>
      </x:c>
      <x:c r="E539" t="str">
        <x:f>"Option 1"</x:f>
        <x:v>Option 1</x:v>
      </x:c>
      <x:c r="F539" s="14" t="n">
        <x:f>'Employee Attendance'!E181</x:f>
        <x:v>0</x:v>
      </x:c>
      <x:c r="G539" t="n">
        <x:f>F539*86400</x:f>
        <x:v>0</x:v>
      </x:c>
      <x:c r="H539" t="str">
        <x:f>'Employee Attendance'!F181</x:f>
        <x:v>Did not attend</x:v>
      </x:c>
      <x:c r="I539" t="str">
        <x:f>'Employee Attendance'!K181</x:f>
        <x:v>No</x:v>
      </x:c>
    </x:row>
    <x:row r="540">
      <x:c r="A540" t="str">
        <x:f>'Employee Attendance'!A181</x:f>
        <x:v>Grace Nalwanga</x:v>
      </x:c>
      <x:c r="B540" t="str">
        <x:f>'Employee Attendance'!B181</x:f>
        <x:v>Uganda</x:v>
      </x:c>
      <x:c r="C540" t="str">
        <x:f>'Employee Attendance'!C181</x:f>
        <x:v>UG</x:v>
      </x:c>
      <x:c r="D540" t="str">
        <x:f>'Employee Attendance'!D181</x:f>
        <x:v>grace.nalwanga@pwc.com</x:v>
      </x:c>
      <x:c r="E540" t="str">
        <x:f>"Option 2"</x:f>
        <x:v>Option 2</x:v>
      </x:c>
      <x:c r="F540" s="14" t="n">
        <x:f>'Employee Attendance'!G181</x:f>
        <x:v>0.07423611111111111</x:v>
      </x:c>
      <x:c r="G540" t="n">
        <x:f>F540*86400</x:f>
        <x:v>6414</x:v>
      </x:c>
      <x:c r="H540" t="str">
        <x:f>'Employee Attendance'!H181</x:f>
        <x:v>Fully attended</x:v>
      </x:c>
      <x:c r="I540" t="str">
        <x:f>'Employee Attendance'!L181</x:f>
        <x:v>Yes</x:v>
      </x:c>
    </x:row>
    <x:row r="541">
      <x:c r="A541" t="str">
        <x:f>'Employee Attendance'!A181</x:f>
        <x:v>Grace Nalwanga</x:v>
      </x:c>
      <x:c r="B541" t="str">
        <x:f>'Employee Attendance'!B181</x:f>
        <x:v>Uganda</x:v>
      </x:c>
      <x:c r="C541" t="str">
        <x:f>'Employee Attendance'!C181</x:f>
        <x:v>UG</x:v>
      </x:c>
      <x:c r="D541" t="str">
        <x:f>'Employee Attendance'!D181</x:f>
        <x:v>grace.nalwanga@pwc.com</x:v>
      </x:c>
      <x:c r="E541" t="str">
        <x:f>"Combined"</x:f>
        <x:v>Combined</x:v>
      </x:c>
      <x:c r="F541" s="14" t="n">
        <x:f>'Employee Attendance'!I181</x:f>
        <x:v>0.07423611111111111</x:v>
      </x:c>
      <x:c r="G541" t="n">
        <x:f>F541*86400</x:f>
        <x:v>6414</x:v>
      </x:c>
      <x:c r="H541" t="str">
        <x:f>'Employee Attendance'!J181</x:f>
        <x:v>Fully attended</x:v>
      </x:c>
      <x:c r="I541" t="str">
        <x:f>IF(OR('Employee Attendance'!K181="Yes",'Employee Attendance'!L181="Yes"),"Yes","No")</x:f>
        <x:v>Yes</x:v>
      </x:c>
    </x:row>
    <x:row r="542">
      <x:c r="A542" t="str">
        <x:f>'Employee Attendance'!A182</x:f>
        <x:v>Grace Namatovu</x:v>
      </x:c>
      <x:c r="B542" t="str">
        <x:f>'Employee Attendance'!B182</x:f>
        <x:v>Uganda</x:v>
      </x:c>
      <x:c r="C542" t="str">
        <x:f>'Employee Attendance'!C182</x:f>
        <x:v>UG</x:v>
      </x:c>
      <x:c r="D542" t="str">
        <x:f>'Employee Attendance'!D182</x:f>
        <x:v>grace.namatovu@pwc.com</x:v>
      </x:c>
      <x:c r="E542" t="str">
        <x:f>"Option 1"</x:f>
        <x:v>Option 1</x:v>
      </x:c>
      <x:c r="F542" s="14" t="n">
        <x:f>'Employee Attendance'!E182</x:f>
        <x:v>0</x:v>
      </x:c>
      <x:c r="G542" t="n">
        <x:f>F542*86400</x:f>
        <x:v>0</x:v>
      </x:c>
      <x:c r="H542" t="str">
        <x:f>'Employee Attendance'!F182</x:f>
        <x:v>Did not attend</x:v>
      </x:c>
      <x:c r="I542" t="str">
        <x:f>'Employee Attendance'!K182</x:f>
        <x:v>No</x:v>
      </x:c>
    </x:row>
    <x:row r="543">
      <x:c r="A543" t="str">
        <x:f>'Employee Attendance'!A182</x:f>
        <x:v>Grace Namatovu</x:v>
      </x:c>
      <x:c r="B543" t="str">
        <x:f>'Employee Attendance'!B182</x:f>
        <x:v>Uganda</x:v>
      </x:c>
      <x:c r="C543" t="str">
        <x:f>'Employee Attendance'!C182</x:f>
        <x:v>UG</x:v>
      </x:c>
      <x:c r="D543" t="str">
        <x:f>'Employee Attendance'!D182</x:f>
        <x:v>grace.namatovu@pwc.com</x:v>
      </x:c>
      <x:c r="E543" t="str">
        <x:f>"Option 2"</x:f>
        <x:v>Option 2</x:v>
      </x:c>
      <x:c r="F543" s="14" t="n">
        <x:f>'Employee Attendance'!G182</x:f>
        <x:v>0.03607638888888889</x:v>
      </x:c>
      <x:c r="G543" t="n">
        <x:f>F543*86400</x:f>
        <x:v>3117</x:v>
      </x:c>
      <x:c r="H543" t="str">
        <x:f>'Employee Attendance'!H182</x:f>
        <x:v>Partially attended</x:v>
      </x:c>
      <x:c r="I543" t="str">
        <x:f>'Employee Attendance'!L182</x:f>
        <x:v>Yes</x:v>
      </x:c>
    </x:row>
    <x:row r="544">
      <x:c r="A544" t="str">
        <x:f>'Employee Attendance'!A182</x:f>
        <x:v>Grace Namatovu</x:v>
      </x:c>
      <x:c r="B544" t="str">
        <x:f>'Employee Attendance'!B182</x:f>
        <x:v>Uganda</x:v>
      </x:c>
      <x:c r="C544" t="str">
        <x:f>'Employee Attendance'!C182</x:f>
        <x:v>UG</x:v>
      </x:c>
      <x:c r="D544" t="str">
        <x:f>'Employee Attendance'!D182</x:f>
        <x:v>grace.namatovu@pwc.com</x:v>
      </x:c>
      <x:c r="E544" t="str">
        <x:f>"Combined"</x:f>
        <x:v>Combined</x:v>
      </x:c>
      <x:c r="F544" s="14" t="n">
        <x:f>'Employee Attendance'!I182</x:f>
        <x:v>0.03607638888888889</x:v>
      </x:c>
      <x:c r="G544" t="n">
        <x:f>F544*86400</x:f>
        <x:v>3117</x:v>
      </x:c>
      <x:c r="H544" t="str">
        <x:f>'Employee Attendance'!J182</x:f>
        <x:v>Partially attended</x:v>
      </x:c>
      <x:c r="I544" t="str">
        <x:f>IF(OR('Employee Attendance'!K182="Yes",'Employee Attendance'!L182="Yes"),"Yes","No")</x:f>
        <x:v>Yes</x:v>
      </x:c>
    </x:row>
    <x:row r="545">
      <x:c r="A545" t="str">
        <x:f>'Employee Attendance'!A183</x:f>
        <x:v>Grace Ndhlovu</x:v>
      </x:c>
      <x:c r="B545" t="str">
        <x:f>'Employee Attendance'!B183</x:f>
        <x:v>Zambia</x:v>
      </x:c>
      <x:c r="C545" t="str">
        <x:f>'Employee Attendance'!C183</x:f>
        <x:v>ZM</x:v>
      </x:c>
      <x:c r="D545" t="str">
        <x:f>'Employee Attendance'!D183</x:f>
        <x:v>grace.n.ndhlovu@pwc.com</x:v>
      </x:c>
      <x:c r="E545" t="str">
        <x:f>"Option 1"</x:f>
        <x:v>Option 1</x:v>
      </x:c>
      <x:c r="F545" s="14" t="n">
        <x:f>'Employee Attendance'!E183</x:f>
        <x:v>0.07377314814814814</x:v>
      </x:c>
      <x:c r="G545" t="n">
        <x:f>F545*86400</x:f>
        <x:v>6374</x:v>
      </x:c>
      <x:c r="H545" t="str">
        <x:f>'Employee Attendance'!F183</x:f>
        <x:v>Fully attended</x:v>
      </x:c>
      <x:c r="I545" t="str">
        <x:f>'Employee Attendance'!K183</x:f>
        <x:v>Yes</x:v>
      </x:c>
    </x:row>
    <x:row r="546">
      <x:c r="A546" t="str">
        <x:f>'Employee Attendance'!A183</x:f>
        <x:v>Grace Ndhlovu</x:v>
      </x:c>
      <x:c r="B546" t="str">
        <x:f>'Employee Attendance'!B183</x:f>
        <x:v>Zambia</x:v>
      </x:c>
      <x:c r="C546" t="str">
        <x:f>'Employee Attendance'!C183</x:f>
        <x:v>ZM</x:v>
      </x:c>
      <x:c r="D546" t="str">
        <x:f>'Employee Attendance'!D183</x:f>
        <x:v>grace.n.ndhlovu@pwc.com</x:v>
      </x:c>
      <x:c r="E546" t="str">
        <x:f>"Option 2"</x:f>
        <x:v>Option 2</x:v>
      </x:c>
      <x:c r="F546" s="14" t="n">
        <x:f>'Employee Attendance'!G183</x:f>
        <x:v>0</x:v>
      </x:c>
      <x:c r="G546" t="n">
        <x:f>F546*86400</x:f>
        <x:v>0</x:v>
      </x:c>
      <x:c r="H546" t="str">
        <x:f>'Employee Attendance'!H183</x:f>
        <x:v>Did not attend</x:v>
      </x:c>
      <x:c r="I546" t="str">
        <x:f>'Employee Attendance'!L183</x:f>
        <x:v>No</x:v>
      </x:c>
    </x:row>
    <x:row r="547">
      <x:c r="A547" t="str">
        <x:f>'Employee Attendance'!A183</x:f>
        <x:v>Grace Ndhlovu</x:v>
      </x:c>
      <x:c r="B547" t="str">
        <x:f>'Employee Attendance'!B183</x:f>
        <x:v>Zambia</x:v>
      </x:c>
      <x:c r="C547" t="str">
        <x:f>'Employee Attendance'!C183</x:f>
        <x:v>ZM</x:v>
      </x:c>
      <x:c r="D547" t="str">
        <x:f>'Employee Attendance'!D183</x:f>
        <x:v>grace.n.ndhlovu@pwc.com</x:v>
      </x:c>
      <x:c r="E547" t="str">
        <x:f>"Combined"</x:f>
        <x:v>Combined</x:v>
      </x:c>
      <x:c r="F547" s="14" t="n">
        <x:f>'Employee Attendance'!I183</x:f>
        <x:v>0.07377314814814814</x:v>
      </x:c>
      <x:c r="G547" t="n">
        <x:f>F547*86400</x:f>
        <x:v>6374</x:v>
      </x:c>
      <x:c r="H547" t="str">
        <x:f>'Employee Attendance'!J183</x:f>
        <x:v>Fully attended</x:v>
      </x:c>
      <x:c r="I547" t="str">
        <x:f>IF(OR('Employee Attendance'!K183="Yes",'Employee Attendance'!L183="Yes"),"Yes","No")</x:f>
        <x:v>Yes</x:v>
      </x:c>
    </x:row>
    <x:row r="548">
      <x:c r="A548" t="str">
        <x:f>'Employee Attendance'!A184</x:f>
        <x:v>Gregory Lallman</x:v>
      </x:c>
      <x:c r="B548" t="str">
        <x:f>'Employee Attendance'!B184</x:f>
        <x:v>Mauritius</x:v>
      </x:c>
      <x:c r="C548" t="str">
        <x:f>'Employee Attendance'!C184</x:f>
        <x:v>MU</x:v>
      </x:c>
      <x:c r="D548" t="str">
        <x:f>'Employee Attendance'!D184</x:f>
        <x:v>gregory.lallman@pwc.com</x:v>
      </x:c>
      <x:c r="E548" t="str">
        <x:f>"Option 1"</x:f>
        <x:v>Option 1</x:v>
      </x:c>
      <x:c r="F548" s="14" t="n">
        <x:f>'Employee Attendance'!E184</x:f>
        <x:v>0</x:v>
      </x:c>
      <x:c r="G548" t="n">
        <x:f>F548*86400</x:f>
        <x:v>0</x:v>
      </x:c>
      <x:c r="H548" t="str">
        <x:f>'Employee Attendance'!F184</x:f>
        <x:v>Did not attend</x:v>
      </x:c>
      <x:c r="I548" t="str">
        <x:f>'Employee Attendance'!K184</x:f>
        <x:v>No</x:v>
      </x:c>
    </x:row>
    <x:row r="549">
      <x:c r="A549" t="str">
        <x:f>'Employee Attendance'!A184</x:f>
        <x:v>Gregory Lallman</x:v>
      </x:c>
      <x:c r="B549" t="str">
        <x:f>'Employee Attendance'!B184</x:f>
        <x:v>Mauritius</x:v>
      </x:c>
      <x:c r="C549" t="str">
        <x:f>'Employee Attendance'!C184</x:f>
        <x:v>MU</x:v>
      </x:c>
      <x:c r="D549" t="str">
        <x:f>'Employee Attendance'!D184</x:f>
        <x:v>gregory.lallman@pwc.com</x:v>
      </x:c>
      <x:c r="E549" t="str">
        <x:f>"Option 2"</x:f>
        <x:v>Option 2</x:v>
      </x:c>
      <x:c r="F549" s="14" t="n">
        <x:f>'Employee Attendance'!G184</x:f>
        <x:v>0.06600694444444444</x:v>
      </x:c>
      <x:c r="G549" t="n">
        <x:f>F549*86400</x:f>
        <x:v>5702.999999999999</x:v>
      </x:c>
      <x:c r="H549" t="str">
        <x:f>'Employee Attendance'!H184</x:f>
        <x:v>Fully attended</x:v>
      </x:c>
      <x:c r="I549" t="str">
        <x:f>'Employee Attendance'!L184</x:f>
        <x:v>Yes</x:v>
      </x:c>
    </x:row>
    <x:row r="550">
      <x:c r="A550" t="str">
        <x:f>'Employee Attendance'!A184</x:f>
        <x:v>Gregory Lallman</x:v>
      </x:c>
      <x:c r="B550" t="str">
        <x:f>'Employee Attendance'!B184</x:f>
        <x:v>Mauritius</x:v>
      </x:c>
      <x:c r="C550" t="str">
        <x:f>'Employee Attendance'!C184</x:f>
        <x:v>MU</x:v>
      </x:c>
      <x:c r="D550" t="str">
        <x:f>'Employee Attendance'!D184</x:f>
        <x:v>gregory.lallman@pwc.com</x:v>
      </x:c>
      <x:c r="E550" t="str">
        <x:f>"Combined"</x:f>
        <x:v>Combined</x:v>
      </x:c>
      <x:c r="F550" s="14" t="n">
        <x:f>'Employee Attendance'!I184</x:f>
        <x:v>0.06600694444444444</x:v>
      </x:c>
      <x:c r="G550" t="n">
        <x:f>F550*86400</x:f>
        <x:v>5702.999999999999</x:v>
      </x:c>
      <x:c r="H550" t="str">
        <x:f>'Employee Attendance'!J184</x:f>
        <x:v>Fully attended</x:v>
      </x:c>
      <x:c r="I550" t="str">
        <x:f>IF(OR('Employee Attendance'!K184="Yes",'Employee Attendance'!L184="Yes"),"Yes","No")</x:f>
        <x:v>Yes</x:v>
      </x:c>
    </x:row>
    <x:row r="551">
      <x:c r="A551" t="str">
        <x:f>'Employee Attendance'!A185</x:f>
        <x:v>Griffin Erasmus</x:v>
      </x:c>
      <x:c r="B551" t="str">
        <x:f>'Employee Attendance'!B185</x:f>
        <x:v>Tanzania</x:v>
      </x:c>
      <x:c r="C551" t="str">
        <x:f>'Employee Attendance'!C185</x:f>
        <x:v>TZ</x:v>
      </x:c>
      <x:c r="D551" t="str">
        <x:f>'Employee Attendance'!D185</x:f>
        <x:v>griffin.erasmus@pwc.com</x:v>
      </x:c>
      <x:c r="E551" t="str">
        <x:f>"Option 1"</x:f>
        <x:v>Option 1</x:v>
      </x:c>
      <x:c r="F551" s="14" t="n">
        <x:f>'Employee Attendance'!E185</x:f>
        <x:v>0.11747685185185185</x:v>
      </x:c>
      <x:c r="G551" t="n">
        <x:f>F551*86400</x:f>
        <x:v>10150</x:v>
      </x:c>
      <x:c r="H551" t="str">
        <x:f>'Employee Attendance'!F185</x:f>
        <x:v>Fully attended</x:v>
      </x:c>
      <x:c r="I551" t="str">
        <x:f>'Employee Attendance'!K185</x:f>
        <x:v>Yes</x:v>
      </x:c>
    </x:row>
    <x:row r="552">
      <x:c r="A552" t="str">
        <x:f>'Employee Attendance'!A185</x:f>
        <x:v>Griffin Erasmus</x:v>
      </x:c>
      <x:c r="B552" t="str">
        <x:f>'Employee Attendance'!B185</x:f>
        <x:v>Tanzania</x:v>
      </x:c>
      <x:c r="C552" t="str">
        <x:f>'Employee Attendance'!C185</x:f>
        <x:v>TZ</x:v>
      </x:c>
      <x:c r="D552" t="str">
        <x:f>'Employee Attendance'!D185</x:f>
        <x:v>griffin.erasmus@pwc.com</x:v>
      </x:c>
      <x:c r="E552" t="str">
        <x:f>"Option 2"</x:f>
        <x:v>Option 2</x:v>
      </x:c>
      <x:c r="F552" s="14" t="n">
        <x:f>'Employee Attendance'!G185</x:f>
        <x:v>0</x:v>
      </x:c>
      <x:c r="G552" t="n">
        <x:f>F552*86400</x:f>
        <x:v>0</x:v>
      </x:c>
      <x:c r="H552" t="str">
        <x:f>'Employee Attendance'!H185</x:f>
        <x:v>Did not attend</x:v>
      </x:c>
      <x:c r="I552" t="str">
        <x:f>'Employee Attendance'!L185</x:f>
        <x:v>No</x:v>
      </x:c>
    </x:row>
    <x:row r="553">
      <x:c r="A553" t="str">
        <x:f>'Employee Attendance'!A185</x:f>
        <x:v>Griffin Erasmus</x:v>
      </x:c>
      <x:c r="B553" t="str">
        <x:f>'Employee Attendance'!B185</x:f>
        <x:v>Tanzania</x:v>
      </x:c>
      <x:c r="C553" t="str">
        <x:f>'Employee Attendance'!C185</x:f>
        <x:v>TZ</x:v>
      </x:c>
      <x:c r="D553" t="str">
        <x:f>'Employee Attendance'!D185</x:f>
        <x:v>griffin.erasmus@pwc.com</x:v>
      </x:c>
      <x:c r="E553" t="str">
        <x:f>"Combined"</x:f>
        <x:v>Combined</x:v>
      </x:c>
      <x:c r="F553" s="14" t="n">
        <x:f>'Employee Attendance'!I185</x:f>
        <x:v>0.11747685185185185</x:v>
      </x:c>
      <x:c r="G553" t="n">
        <x:f>F553*86400</x:f>
        <x:v>10150</x:v>
      </x:c>
      <x:c r="H553" t="str">
        <x:f>'Employee Attendance'!J185</x:f>
        <x:v>Fully attended</x:v>
      </x:c>
      <x:c r="I553" t="str">
        <x:f>IF(OR('Employee Attendance'!K185="Yes",'Employee Attendance'!L185="Yes"),"Yes","No")</x:f>
        <x:v>Yes</x:v>
      </x:c>
    </x:row>
    <x:row r="554">
      <x:c r="A554" t="str">
        <x:f>'Employee Attendance'!A186</x:f>
        <x:v>Hadija Chivugo</x:v>
      </x:c>
      <x:c r="B554" t="str">
        <x:f>'Employee Attendance'!B186</x:f>
        <x:v>Tanzania</x:v>
      </x:c>
      <x:c r="C554" t="str">
        <x:f>'Employee Attendance'!C186</x:f>
        <x:v>TZ</x:v>
      </x:c>
      <x:c r="D554" t="str">
        <x:f>'Employee Attendance'!D186</x:f>
        <x:v>hadija.chivugo@pwc.com</x:v>
      </x:c>
      <x:c r="E554" t="str">
        <x:f>"Option 1"</x:f>
        <x:v>Option 1</x:v>
      </x:c>
      <x:c r="F554" s="14" t="n">
        <x:f>'Employee Attendance'!E186</x:f>
        <x:v>0</x:v>
      </x:c>
      <x:c r="G554" t="n">
        <x:f>F554*86400</x:f>
        <x:v>0</x:v>
      </x:c>
      <x:c r="H554" t="str">
        <x:f>'Employee Attendance'!F186</x:f>
        <x:v>Did not attend</x:v>
      </x:c>
      <x:c r="I554" t="str">
        <x:f>'Employee Attendance'!K186</x:f>
        <x:v>No</x:v>
      </x:c>
    </x:row>
    <x:row r="555">
      <x:c r="A555" t="str">
        <x:f>'Employee Attendance'!A186</x:f>
        <x:v>Hadija Chivugo</x:v>
      </x:c>
      <x:c r="B555" t="str">
        <x:f>'Employee Attendance'!B186</x:f>
        <x:v>Tanzania</x:v>
      </x:c>
      <x:c r="C555" t="str">
        <x:f>'Employee Attendance'!C186</x:f>
        <x:v>TZ</x:v>
      </x:c>
      <x:c r="D555" t="str">
        <x:f>'Employee Attendance'!D186</x:f>
        <x:v>hadija.chivugo@pwc.com</x:v>
      </x:c>
      <x:c r="E555" t="str">
        <x:f>"Option 2"</x:f>
        <x:v>Option 2</x:v>
      </x:c>
      <x:c r="F555" s="14" t="n">
        <x:f>'Employee Attendance'!G186</x:f>
        <x:v>0.07149305555555556</x:v>
      </x:c>
      <x:c r="G555" t="n">
        <x:f>F555*86400</x:f>
        <x:v>6177</x:v>
      </x:c>
      <x:c r="H555" t="str">
        <x:f>'Employee Attendance'!H186</x:f>
        <x:v>Fully attended</x:v>
      </x:c>
      <x:c r="I555" t="str">
        <x:f>'Employee Attendance'!L186</x:f>
        <x:v>Yes</x:v>
      </x:c>
    </x:row>
    <x:row r="556">
      <x:c r="A556" t="str">
        <x:f>'Employee Attendance'!A186</x:f>
        <x:v>Hadija Chivugo</x:v>
      </x:c>
      <x:c r="B556" t="str">
        <x:f>'Employee Attendance'!B186</x:f>
        <x:v>Tanzania</x:v>
      </x:c>
      <x:c r="C556" t="str">
        <x:f>'Employee Attendance'!C186</x:f>
        <x:v>TZ</x:v>
      </x:c>
      <x:c r="D556" t="str">
        <x:f>'Employee Attendance'!D186</x:f>
        <x:v>hadija.chivugo@pwc.com</x:v>
      </x:c>
      <x:c r="E556" t="str">
        <x:f>"Combined"</x:f>
        <x:v>Combined</x:v>
      </x:c>
      <x:c r="F556" s="14" t="n">
        <x:f>'Employee Attendance'!I186</x:f>
        <x:v>0.07149305555555556</x:v>
      </x:c>
      <x:c r="G556" t="n">
        <x:f>F556*86400</x:f>
        <x:v>6177</x:v>
      </x:c>
      <x:c r="H556" t="str">
        <x:f>'Employee Attendance'!J186</x:f>
        <x:v>Fully attended</x:v>
      </x:c>
      <x:c r="I556" t="str">
        <x:f>IF(OR('Employee Attendance'!K186="Yes",'Employee Attendance'!L186="Yes"),"Yes","No")</x:f>
        <x:v>Yes</x:v>
      </x:c>
    </x:row>
    <x:row r="557">
      <x:c r="A557" t="str">
        <x:f>'Employee Attendance'!A187</x:f>
        <x:v>Hannes Jansen Van Rensburg</x:v>
      </x:c>
      <x:c r="B557" t="str">
        <x:f>'Employee Attendance'!B187</x:f>
        <x:v>Mauritius</x:v>
      </x:c>
      <x:c r="C557" t="str">
        <x:f>'Employee Attendance'!C187</x:f>
        <x:v>MU</x:v>
      </x:c>
      <x:c r="D557" t="str">
        <x:f>'Employee Attendance'!D187</x:f>
        <x:v>hannes.jvrensburg@pwc.com</x:v>
      </x:c>
      <x:c r="E557" t="str">
        <x:f>"Option 1"</x:f>
        <x:v>Option 1</x:v>
      </x:c>
      <x:c r="F557" s="14" t="n">
        <x:f>'Employee Attendance'!E187</x:f>
        <x:v>0</x:v>
      </x:c>
      <x:c r="G557" t="n">
        <x:f>F557*86400</x:f>
        <x:v>0</x:v>
      </x:c>
      <x:c r="H557" t="str">
        <x:f>'Employee Attendance'!F187</x:f>
        <x:v>Did not attend</x:v>
      </x:c>
      <x:c r="I557" t="str">
        <x:f>'Employee Attendance'!K187</x:f>
        <x:v>No</x:v>
      </x:c>
    </x:row>
    <x:row r="558">
      <x:c r="A558" t="str">
        <x:f>'Employee Attendance'!A187</x:f>
        <x:v>Hannes Jansen Van Rensburg</x:v>
      </x:c>
      <x:c r="B558" t="str">
        <x:f>'Employee Attendance'!B187</x:f>
        <x:v>Mauritius</x:v>
      </x:c>
      <x:c r="C558" t="str">
        <x:f>'Employee Attendance'!C187</x:f>
        <x:v>MU</x:v>
      </x:c>
      <x:c r="D558" t="str">
        <x:f>'Employee Attendance'!D187</x:f>
        <x:v>hannes.jvrensburg@pwc.com</x:v>
      </x:c>
      <x:c r="E558" t="str">
        <x:f>"Option 2"</x:f>
        <x:v>Option 2</x:v>
      </x:c>
      <x:c r="F558" s="14" t="n">
        <x:f>'Employee Attendance'!G187</x:f>
        <x:v>0.08887731481481481</x:v>
      </x:c>
      <x:c r="G558" t="n">
        <x:f>F558*86400</x:f>
        <x:v>7679</x:v>
      </x:c>
      <x:c r="H558" t="str">
        <x:f>'Employee Attendance'!H187</x:f>
        <x:v>Fully attended</x:v>
      </x:c>
      <x:c r="I558" t="str">
        <x:f>'Employee Attendance'!L187</x:f>
        <x:v>Yes</x:v>
      </x:c>
    </x:row>
    <x:row r="559">
      <x:c r="A559" t="str">
        <x:f>'Employee Attendance'!A187</x:f>
        <x:v>Hannes Jansen Van Rensburg</x:v>
      </x:c>
      <x:c r="B559" t="str">
        <x:f>'Employee Attendance'!B187</x:f>
        <x:v>Mauritius</x:v>
      </x:c>
      <x:c r="C559" t="str">
        <x:f>'Employee Attendance'!C187</x:f>
        <x:v>MU</x:v>
      </x:c>
      <x:c r="D559" t="str">
        <x:f>'Employee Attendance'!D187</x:f>
        <x:v>hannes.jvrensburg@pwc.com</x:v>
      </x:c>
      <x:c r="E559" t="str">
        <x:f>"Combined"</x:f>
        <x:v>Combined</x:v>
      </x:c>
      <x:c r="F559" s="14" t="n">
        <x:f>'Employee Attendance'!I187</x:f>
        <x:v>0.08887731481481481</x:v>
      </x:c>
      <x:c r="G559" t="n">
        <x:f>F559*86400</x:f>
        <x:v>7679</x:v>
      </x:c>
      <x:c r="H559" t="str">
        <x:f>'Employee Attendance'!J187</x:f>
        <x:v>Fully attended</x:v>
      </x:c>
      <x:c r="I559" t="str">
        <x:f>IF(OR('Employee Attendance'!K187="Yes",'Employee Attendance'!L187="Yes"),"Yes","No")</x:f>
        <x:v>Yes</x:v>
      </x:c>
    </x:row>
    <x:row r="560">
      <x:c r="A560" t="str">
        <x:f>'Employee Attendance'!A188</x:f>
        <x:v>Hassan Soormally</x:v>
      </x:c>
      <x:c r="B560" t="str">
        <x:f>'Employee Attendance'!B188</x:f>
        <x:v>Mauritius</x:v>
      </x:c>
      <x:c r="C560" t="str">
        <x:f>'Employee Attendance'!C188</x:f>
        <x:v>MU</x:v>
      </x:c>
      <x:c r="D560" t="str">
        <x:f>'Employee Attendance'!D188</x:f>
        <x:v>hassan.soormally@pwc.com</x:v>
      </x:c>
      <x:c r="E560" t="str">
        <x:f>"Option 1"</x:f>
        <x:v>Option 1</x:v>
      </x:c>
      <x:c r="F560" s="14" t="n">
        <x:f>'Employee Attendance'!E188</x:f>
        <x:v>0.07966435185185185</x:v>
      </x:c>
      <x:c r="G560" t="n">
        <x:f>F560*86400</x:f>
        <x:v>6883</x:v>
      </x:c>
      <x:c r="H560" t="str">
        <x:f>'Employee Attendance'!F188</x:f>
        <x:v>Fully attended</x:v>
      </x:c>
      <x:c r="I560" t="str">
        <x:f>'Employee Attendance'!K188</x:f>
        <x:v>Yes</x:v>
      </x:c>
    </x:row>
    <x:row r="561">
      <x:c r="A561" t="str">
        <x:f>'Employee Attendance'!A188</x:f>
        <x:v>Hassan Soormally</x:v>
      </x:c>
      <x:c r="B561" t="str">
        <x:f>'Employee Attendance'!B188</x:f>
        <x:v>Mauritius</x:v>
      </x:c>
      <x:c r="C561" t="str">
        <x:f>'Employee Attendance'!C188</x:f>
        <x:v>MU</x:v>
      </x:c>
      <x:c r="D561" t="str">
        <x:f>'Employee Attendance'!D188</x:f>
        <x:v>hassan.soormally@pwc.com</x:v>
      </x:c>
      <x:c r="E561" t="str">
        <x:f>"Option 2"</x:f>
        <x:v>Option 2</x:v>
      </x:c>
      <x:c r="F561" s="14" t="n">
        <x:f>'Employee Attendance'!G188</x:f>
        <x:v>0</x:v>
      </x:c>
      <x:c r="G561" t="n">
        <x:f>F561*86400</x:f>
        <x:v>0</x:v>
      </x:c>
      <x:c r="H561" t="str">
        <x:f>'Employee Attendance'!H188</x:f>
        <x:v>Did not attend</x:v>
      </x:c>
      <x:c r="I561" t="str">
        <x:f>'Employee Attendance'!L188</x:f>
        <x:v>No</x:v>
      </x:c>
    </x:row>
    <x:row r="562">
      <x:c r="A562" t="str">
        <x:f>'Employee Attendance'!A188</x:f>
        <x:v>Hassan Soormally</x:v>
      </x:c>
      <x:c r="B562" t="str">
        <x:f>'Employee Attendance'!B188</x:f>
        <x:v>Mauritius</x:v>
      </x:c>
      <x:c r="C562" t="str">
        <x:f>'Employee Attendance'!C188</x:f>
        <x:v>MU</x:v>
      </x:c>
      <x:c r="D562" t="str">
        <x:f>'Employee Attendance'!D188</x:f>
        <x:v>hassan.soormally@pwc.com</x:v>
      </x:c>
      <x:c r="E562" t="str">
        <x:f>"Combined"</x:f>
        <x:v>Combined</x:v>
      </x:c>
      <x:c r="F562" s="14" t="n">
        <x:f>'Employee Attendance'!I188</x:f>
        <x:v>0.07966435185185185</x:v>
      </x:c>
      <x:c r="G562" t="n">
        <x:f>F562*86400</x:f>
        <x:v>6883</x:v>
      </x:c>
      <x:c r="H562" t="str">
        <x:f>'Employee Attendance'!J188</x:f>
        <x:v>Fully attended</x:v>
      </x:c>
      <x:c r="I562" t="str">
        <x:f>IF(OR('Employee Attendance'!K188="Yes",'Employee Attendance'!L188="Yes"),"Yes","No")</x:f>
        <x:v>Yes</x:v>
      </x:c>
    </x:row>
    <x:row r="563">
      <x:c r="A563" t="str">
        <x:f>'Employee Attendance'!A189</x:f>
        <x:v>Hemisha Bhookhul</x:v>
      </x:c>
      <x:c r="B563" t="str">
        <x:f>'Employee Attendance'!B189</x:f>
        <x:v>Mauritius</x:v>
      </x:c>
      <x:c r="C563" t="str">
        <x:f>'Employee Attendance'!C189</x:f>
        <x:v>MU</x:v>
      </x:c>
      <x:c r="D563" t="str">
        <x:f>'Employee Attendance'!D189</x:f>
        <x:v>hemisha.bhookhul@pwc.com</x:v>
      </x:c>
      <x:c r="E563" t="str">
        <x:f>"Option 1"</x:f>
        <x:v>Option 1</x:v>
      </x:c>
      <x:c r="F563" s="14" t="n">
        <x:f>'Employee Attendance'!E189</x:f>
        <x:v>0</x:v>
      </x:c>
      <x:c r="G563" t="n">
        <x:f>F563*86400</x:f>
        <x:v>0</x:v>
      </x:c>
      <x:c r="H563" t="str">
        <x:f>'Employee Attendance'!F189</x:f>
        <x:v>Did not attend</x:v>
      </x:c>
      <x:c r="I563" t="str">
        <x:f>'Employee Attendance'!K189</x:f>
        <x:v>No</x:v>
      </x:c>
    </x:row>
    <x:row r="564">
      <x:c r="A564" t="str">
        <x:f>'Employee Attendance'!A189</x:f>
        <x:v>Hemisha Bhookhul</x:v>
      </x:c>
      <x:c r="B564" t="str">
        <x:f>'Employee Attendance'!B189</x:f>
        <x:v>Mauritius</x:v>
      </x:c>
      <x:c r="C564" t="str">
        <x:f>'Employee Attendance'!C189</x:f>
        <x:v>MU</x:v>
      </x:c>
      <x:c r="D564" t="str">
        <x:f>'Employee Attendance'!D189</x:f>
        <x:v>hemisha.bhookhul@pwc.com</x:v>
      </x:c>
      <x:c r="E564" t="str">
        <x:f>"Option 2"</x:f>
        <x:v>Option 2</x:v>
      </x:c>
      <x:c r="F564" s="14" t="n">
        <x:f>'Employee Attendance'!G189</x:f>
        <x:v>0.06935185185185185</x:v>
      </x:c>
      <x:c r="G564" t="n">
        <x:f>F564*86400</x:f>
        <x:v>5991.999999999999</x:v>
      </x:c>
      <x:c r="H564" t="str">
        <x:f>'Employee Attendance'!H189</x:f>
        <x:v>Fully attended</x:v>
      </x:c>
      <x:c r="I564" t="str">
        <x:f>'Employee Attendance'!L189</x:f>
        <x:v>Yes</x:v>
      </x:c>
    </x:row>
    <x:row r="565">
      <x:c r="A565" t="str">
        <x:f>'Employee Attendance'!A189</x:f>
        <x:v>Hemisha Bhookhul</x:v>
      </x:c>
      <x:c r="B565" t="str">
        <x:f>'Employee Attendance'!B189</x:f>
        <x:v>Mauritius</x:v>
      </x:c>
      <x:c r="C565" t="str">
        <x:f>'Employee Attendance'!C189</x:f>
        <x:v>MU</x:v>
      </x:c>
      <x:c r="D565" t="str">
        <x:f>'Employee Attendance'!D189</x:f>
        <x:v>hemisha.bhookhul@pwc.com</x:v>
      </x:c>
      <x:c r="E565" t="str">
        <x:f>"Combined"</x:f>
        <x:v>Combined</x:v>
      </x:c>
      <x:c r="F565" s="14" t="n">
        <x:f>'Employee Attendance'!I189</x:f>
        <x:v>0.06935185185185185</x:v>
      </x:c>
      <x:c r="G565" t="n">
        <x:f>F565*86400</x:f>
        <x:v>5991.999999999999</x:v>
      </x:c>
      <x:c r="H565" t="str">
        <x:f>'Employee Attendance'!J189</x:f>
        <x:v>Fully attended</x:v>
      </x:c>
      <x:c r="I565" t="str">
        <x:f>IF(OR('Employee Attendance'!K189="Yes",'Employee Attendance'!L189="Yes"),"Yes","No")</x:f>
        <x:v>Yes</x:v>
      </x:c>
    </x:row>
    <x:row r="566">
      <x:c r="A566" t="str">
        <x:f>'Employee Attendance'!A190</x:f>
        <x:v>Hillary Osoro</x:v>
      </x:c>
      <x:c r="B566" t="str">
        <x:f>'Employee Attendance'!B190</x:f>
        <x:v>Kenya</x:v>
      </x:c>
      <x:c r="C566" t="str">
        <x:f>'Employee Attendance'!C190</x:f>
        <x:v>KE</x:v>
      </x:c>
      <x:c r="D566" t="str">
        <x:f>'Employee Attendance'!D190</x:f>
        <x:v>hillary.osoro@pwc.com</x:v>
      </x:c>
      <x:c r="E566" t="str">
        <x:f>"Option 1"</x:f>
        <x:v>Option 1</x:v>
      </x:c>
      <x:c r="F566" s="14" t="n">
        <x:f>'Employee Attendance'!E190</x:f>
        <x:v>0</x:v>
      </x:c>
      <x:c r="G566" t="n">
        <x:f>F566*86400</x:f>
        <x:v>0</x:v>
      </x:c>
      <x:c r="H566" t="str">
        <x:f>'Employee Attendance'!F190</x:f>
        <x:v>Did not attend</x:v>
      </x:c>
      <x:c r="I566" t="str">
        <x:f>'Employee Attendance'!K190</x:f>
        <x:v>No</x:v>
      </x:c>
    </x:row>
    <x:row r="567">
      <x:c r="A567" t="str">
        <x:f>'Employee Attendance'!A190</x:f>
        <x:v>Hillary Osoro</x:v>
      </x:c>
      <x:c r="B567" t="str">
        <x:f>'Employee Attendance'!B190</x:f>
        <x:v>Kenya</x:v>
      </x:c>
      <x:c r="C567" t="str">
        <x:f>'Employee Attendance'!C190</x:f>
        <x:v>KE</x:v>
      </x:c>
      <x:c r="D567" t="str">
        <x:f>'Employee Attendance'!D190</x:f>
        <x:v>hillary.osoro@pwc.com</x:v>
      </x:c>
      <x:c r="E567" t="str">
        <x:f>"Option 2"</x:f>
        <x:v>Option 2</x:v>
      </x:c>
      <x:c r="F567" s="14" t="n">
        <x:f>'Employee Attendance'!G190</x:f>
        <x:v>0.0775462962962963</x:v>
      </x:c>
      <x:c r="G567" t="n">
        <x:f>F567*86400</x:f>
        <x:v>6700</x:v>
      </x:c>
      <x:c r="H567" t="str">
        <x:f>'Employee Attendance'!H190</x:f>
        <x:v>Fully attended</x:v>
      </x:c>
      <x:c r="I567" t="str">
        <x:f>'Employee Attendance'!L190</x:f>
        <x:v>Yes</x:v>
      </x:c>
    </x:row>
    <x:row r="568">
      <x:c r="A568" t="str">
        <x:f>'Employee Attendance'!A190</x:f>
        <x:v>Hillary Osoro</x:v>
      </x:c>
      <x:c r="B568" t="str">
        <x:f>'Employee Attendance'!B190</x:f>
        <x:v>Kenya</x:v>
      </x:c>
      <x:c r="C568" t="str">
        <x:f>'Employee Attendance'!C190</x:f>
        <x:v>KE</x:v>
      </x:c>
      <x:c r="D568" t="str">
        <x:f>'Employee Attendance'!D190</x:f>
        <x:v>hillary.osoro@pwc.com</x:v>
      </x:c>
      <x:c r="E568" t="str">
        <x:f>"Combined"</x:f>
        <x:v>Combined</x:v>
      </x:c>
      <x:c r="F568" s="14" t="n">
        <x:f>'Employee Attendance'!I190</x:f>
        <x:v>0.0775462962962963</x:v>
      </x:c>
      <x:c r="G568" t="n">
        <x:f>F568*86400</x:f>
        <x:v>6700</x:v>
      </x:c>
      <x:c r="H568" t="str">
        <x:f>'Employee Attendance'!J190</x:f>
        <x:v>Fully attended</x:v>
      </x:c>
      <x:c r="I568" t="str">
        <x:f>IF(OR('Employee Attendance'!K190="Yes",'Employee Attendance'!L190="Yes"),"Yes","No")</x:f>
        <x:v>Yes</x:v>
      </x:c>
    </x:row>
    <x:row r="569">
      <x:c r="A569" t="str">
        <x:f>'Employee Attendance'!A191</x:f>
        <x:v>Homeshwaree Chaytoo</x:v>
      </x:c>
      <x:c r="B569" t="str">
        <x:f>'Employee Attendance'!B191</x:f>
        <x:v>Mauritius</x:v>
      </x:c>
      <x:c r="C569" t="str">
        <x:f>'Employee Attendance'!C191</x:f>
        <x:v>MU</x:v>
      </x:c>
      <x:c r="D569" t="str">
        <x:f>'Employee Attendance'!D191</x:f>
        <x:v>homeshwaree.chaytoo@pwc.com</x:v>
      </x:c>
      <x:c r="E569" t="str">
        <x:f>"Option 1"</x:f>
        <x:v>Option 1</x:v>
      </x:c>
      <x:c r="F569" s="14" t="n">
        <x:f>'Employee Attendance'!E191</x:f>
        <x:v>0</x:v>
      </x:c>
      <x:c r="G569" t="n">
        <x:f>F569*86400</x:f>
        <x:v>0</x:v>
      </x:c>
      <x:c r="H569" t="str">
        <x:f>'Employee Attendance'!F191</x:f>
        <x:v>Did not attend</x:v>
      </x:c>
      <x:c r="I569" t="str">
        <x:f>'Employee Attendance'!K191</x:f>
        <x:v>No</x:v>
      </x:c>
    </x:row>
    <x:row r="570">
      <x:c r="A570" t="str">
        <x:f>'Employee Attendance'!A191</x:f>
        <x:v>Homeshwaree Chaytoo</x:v>
      </x:c>
      <x:c r="B570" t="str">
        <x:f>'Employee Attendance'!B191</x:f>
        <x:v>Mauritius</x:v>
      </x:c>
      <x:c r="C570" t="str">
        <x:f>'Employee Attendance'!C191</x:f>
        <x:v>MU</x:v>
      </x:c>
      <x:c r="D570" t="str">
        <x:f>'Employee Attendance'!D191</x:f>
        <x:v>homeshwaree.chaytoo@pwc.com</x:v>
      </x:c>
      <x:c r="E570" t="str">
        <x:f>"Option 2"</x:f>
        <x:v>Option 2</x:v>
      </x:c>
      <x:c r="F570" s="14" t="n">
        <x:f>'Employee Attendance'!G191</x:f>
        <x:v>0.06848379629629629</x:v>
      </x:c>
      <x:c r="G570" t="n">
        <x:f>F570*86400</x:f>
        <x:v>5917</x:v>
      </x:c>
      <x:c r="H570" t="str">
        <x:f>'Employee Attendance'!H191</x:f>
        <x:v>Fully attended</x:v>
      </x:c>
      <x:c r="I570" t="str">
        <x:f>'Employee Attendance'!L191</x:f>
        <x:v>Yes</x:v>
      </x:c>
    </x:row>
    <x:row r="571">
      <x:c r="A571" t="str">
        <x:f>'Employee Attendance'!A191</x:f>
        <x:v>Homeshwaree Chaytoo</x:v>
      </x:c>
      <x:c r="B571" t="str">
        <x:f>'Employee Attendance'!B191</x:f>
        <x:v>Mauritius</x:v>
      </x:c>
      <x:c r="C571" t="str">
        <x:f>'Employee Attendance'!C191</x:f>
        <x:v>MU</x:v>
      </x:c>
      <x:c r="D571" t="str">
        <x:f>'Employee Attendance'!D191</x:f>
        <x:v>homeshwaree.chaytoo@pwc.com</x:v>
      </x:c>
      <x:c r="E571" t="str">
        <x:f>"Combined"</x:f>
        <x:v>Combined</x:v>
      </x:c>
      <x:c r="F571" s="14" t="n">
        <x:f>'Employee Attendance'!I191</x:f>
        <x:v>0.06848379629629629</x:v>
      </x:c>
      <x:c r="G571" t="n">
        <x:f>F571*86400</x:f>
        <x:v>5917</x:v>
      </x:c>
      <x:c r="H571" t="str">
        <x:f>'Employee Attendance'!J191</x:f>
        <x:v>Fully attended</x:v>
      </x:c>
      <x:c r="I571" t="str">
        <x:f>IF(OR('Employee Attendance'!K191="Yes",'Employee Attendance'!L191="Yes"),"Yes","No")</x:f>
        <x:v>Yes</x:v>
      </x:c>
    </x:row>
    <x:row r="572">
      <x:c r="A572" t="str">
        <x:f>'Employee Attendance'!A192</x:f>
        <x:v>Hope Msoffe</x:v>
      </x:c>
      <x:c r="B572" t="str">
        <x:f>'Employee Attendance'!B192</x:f>
        <x:v>Tanzania</x:v>
      </x:c>
      <x:c r="C572" t="str">
        <x:f>'Employee Attendance'!C192</x:f>
        <x:v>TZ</x:v>
      </x:c>
      <x:c r="D572" t="str">
        <x:f>'Employee Attendance'!D192</x:f>
        <x:v>hope.msoffe@pwc.com</x:v>
      </x:c>
      <x:c r="E572" t="str">
        <x:f>"Option 1"</x:f>
        <x:v>Option 1</x:v>
      </x:c>
      <x:c r="F572" s="14" t="n">
        <x:f>'Employee Attendance'!E192</x:f>
        <x:v>0.08072916666666667</x:v>
      </x:c>
      <x:c r="G572" t="n">
        <x:f>F572*86400</x:f>
        <x:v>6975</x:v>
      </x:c>
      <x:c r="H572" t="str">
        <x:f>'Employee Attendance'!F192</x:f>
        <x:v>Fully attended</x:v>
      </x:c>
      <x:c r="I572" t="str">
        <x:f>'Employee Attendance'!K192</x:f>
        <x:v>Yes</x:v>
      </x:c>
    </x:row>
    <x:row r="573">
      <x:c r="A573" t="str">
        <x:f>'Employee Attendance'!A192</x:f>
        <x:v>Hope Msoffe</x:v>
      </x:c>
      <x:c r="B573" t="str">
        <x:f>'Employee Attendance'!B192</x:f>
        <x:v>Tanzania</x:v>
      </x:c>
      <x:c r="C573" t="str">
        <x:f>'Employee Attendance'!C192</x:f>
        <x:v>TZ</x:v>
      </x:c>
      <x:c r="D573" t="str">
        <x:f>'Employee Attendance'!D192</x:f>
        <x:v>hope.msoffe@pwc.com</x:v>
      </x:c>
      <x:c r="E573" t="str">
        <x:f>"Option 2"</x:f>
        <x:v>Option 2</x:v>
      </x:c>
      <x:c r="F573" s="14" t="n">
        <x:f>'Employee Attendance'!G192</x:f>
        <x:v>0.08890046296296296</x:v>
      </x:c>
      <x:c r="G573" t="n">
        <x:f>F573*86400</x:f>
        <x:v>7681</x:v>
      </x:c>
      <x:c r="H573" t="str">
        <x:f>'Employee Attendance'!H192</x:f>
        <x:v>Fully attended</x:v>
      </x:c>
      <x:c r="I573" t="str">
        <x:f>'Employee Attendance'!L192</x:f>
        <x:v>Yes</x:v>
      </x:c>
    </x:row>
    <x:row r="574">
      <x:c r="A574" t="str">
        <x:f>'Employee Attendance'!A192</x:f>
        <x:v>Hope Msoffe</x:v>
      </x:c>
      <x:c r="B574" t="str">
        <x:f>'Employee Attendance'!B192</x:f>
        <x:v>Tanzania</x:v>
      </x:c>
      <x:c r="C574" t="str">
        <x:f>'Employee Attendance'!C192</x:f>
        <x:v>TZ</x:v>
      </x:c>
      <x:c r="D574" t="str">
        <x:f>'Employee Attendance'!D192</x:f>
        <x:v>hope.msoffe@pwc.com</x:v>
      </x:c>
      <x:c r="E574" t="str">
        <x:f>"Combined"</x:f>
        <x:v>Combined</x:v>
      </x:c>
      <x:c r="F574" s="14" t="n">
        <x:f>'Employee Attendance'!I192</x:f>
        <x:v>0.16962962962962963</x:v>
      </x:c>
      <x:c r="G574" t="n">
        <x:f>F574*86400</x:f>
        <x:v>14656</x:v>
      </x:c>
      <x:c r="H574" t="str">
        <x:f>'Employee Attendance'!J192</x:f>
        <x:v>Fully attended</x:v>
      </x:c>
      <x:c r="I574" t="str">
        <x:f>IF(OR('Employee Attendance'!K192="Yes",'Employee Attendance'!L192="Yes"),"Yes","No")</x:f>
        <x:v>Yes</x:v>
      </x:c>
    </x:row>
    <x:row r="575">
      <x:c r="A575" t="str">
        <x:f>'Employee Attendance'!A193</x:f>
        <x:v>Housnah Sullimun</x:v>
      </x:c>
      <x:c r="B575" t="str">
        <x:f>'Employee Attendance'!B193</x:f>
        <x:v>Mauritius</x:v>
      </x:c>
      <x:c r="C575" t="str">
        <x:f>'Employee Attendance'!C193</x:f>
        <x:v>MU</x:v>
      </x:c>
      <x:c r="D575" t="str">
        <x:f>'Employee Attendance'!D193</x:f>
        <x:v>housnah.sullimun@pwc.com</x:v>
      </x:c>
      <x:c r="E575" t="str">
        <x:f>"Option 1"</x:f>
        <x:v>Option 1</x:v>
      </x:c>
      <x:c r="F575" s="14" t="n">
        <x:f>'Employee Attendance'!E193</x:f>
        <x:v>0</x:v>
      </x:c>
      <x:c r="G575" t="n">
        <x:f>F575*86400</x:f>
        <x:v>0</x:v>
      </x:c>
      <x:c r="H575" t="str">
        <x:f>'Employee Attendance'!F193</x:f>
        <x:v>Did not attend</x:v>
      </x:c>
      <x:c r="I575" t="str">
        <x:f>'Employee Attendance'!K193</x:f>
        <x:v>No</x:v>
      </x:c>
    </x:row>
    <x:row r="576">
      <x:c r="A576" t="str">
        <x:f>'Employee Attendance'!A193</x:f>
        <x:v>Housnah Sullimun</x:v>
      </x:c>
      <x:c r="B576" t="str">
        <x:f>'Employee Attendance'!B193</x:f>
        <x:v>Mauritius</x:v>
      </x:c>
      <x:c r="C576" t="str">
        <x:f>'Employee Attendance'!C193</x:f>
        <x:v>MU</x:v>
      </x:c>
      <x:c r="D576" t="str">
        <x:f>'Employee Attendance'!D193</x:f>
        <x:v>housnah.sullimun@pwc.com</x:v>
      </x:c>
      <x:c r="E576" t="str">
        <x:f>"Option 2"</x:f>
        <x:v>Option 2</x:v>
      </x:c>
      <x:c r="F576" s="14" t="n">
        <x:f>'Employee Attendance'!G193</x:f>
        <x:v>0.0871875</x:v>
      </x:c>
      <x:c r="G576" t="n">
        <x:f>F576*86400</x:f>
        <x:v>7533</x:v>
      </x:c>
      <x:c r="H576" t="str">
        <x:f>'Employee Attendance'!H193</x:f>
        <x:v>Fully attended</x:v>
      </x:c>
      <x:c r="I576" t="str">
        <x:f>'Employee Attendance'!L193</x:f>
        <x:v>Yes</x:v>
      </x:c>
    </x:row>
    <x:row r="577">
      <x:c r="A577" t="str">
        <x:f>'Employee Attendance'!A193</x:f>
        <x:v>Housnah Sullimun</x:v>
      </x:c>
      <x:c r="B577" t="str">
        <x:f>'Employee Attendance'!B193</x:f>
        <x:v>Mauritius</x:v>
      </x:c>
      <x:c r="C577" t="str">
        <x:f>'Employee Attendance'!C193</x:f>
        <x:v>MU</x:v>
      </x:c>
      <x:c r="D577" t="str">
        <x:f>'Employee Attendance'!D193</x:f>
        <x:v>housnah.sullimun@pwc.com</x:v>
      </x:c>
      <x:c r="E577" t="str">
        <x:f>"Combined"</x:f>
        <x:v>Combined</x:v>
      </x:c>
      <x:c r="F577" s="14" t="n">
        <x:f>'Employee Attendance'!I193</x:f>
        <x:v>0.0871875</x:v>
      </x:c>
      <x:c r="G577" t="n">
        <x:f>F577*86400</x:f>
        <x:v>7533</x:v>
      </x:c>
      <x:c r="H577" t="str">
        <x:f>'Employee Attendance'!J193</x:f>
        <x:v>Fully attended</x:v>
      </x:c>
      <x:c r="I577" t="str">
        <x:f>IF(OR('Employee Attendance'!K193="Yes",'Employee Attendance'!L193="Yes"),"Yes","No")</x:f>
        <x:v>Yes</x:v>
      </x:c>
    </x:row>
    <x:row r="578">
      <x:c r="A578" t="str">
        <x:f>'Employee Attendance'!A194</x:f>
        <x:v>Howary Kharbush</x:v>
      </x:c>
      <x:c r="B578" t="str">
        <x:f>'Employee Attendance'!B194</x:f>
        <x:v>Tanzania</x:v>
      </x:c>
      <x:c r="C578" t="str">
        <x:f>'Employee Attendance'!C194</x:f>
        <x:v>TZ</x:v>
      </x:c>
      <x:c r="D578" t="str">
        <x:f>'Employee Attendance'!D194</x:f>
        <x:v>howary.k.kharbush@pwc.com</x:v>
      </x:c>
      <x:c r="E578" t="str">
        <x:f>"Option 1"</x:f>
        <x:v>Option 1</x:v>
      </x:c>
      <x:c r="F578" s="14" t="n">
        <x:f>'Employee Attendance'!E194</x:f>
        <x:v>0</x:v>
      </x:c>
      <x:c r="G578" t="n">
        <x:f>F578*86400</x:f>
        <x:v>0</x:v>
      </x:c>
      <x:c r="H578" t="str">
        <x:f>'Employee Attendance'!F194</x:f>
        <x:v>Did not attend</x:v>
      </x:c>
      <x:c r="I578" t="str">
        <x:f>'Employee Attendance'!K194</x:f>
        <x:v>No</x:v>
      </x:c>
    </x:row>
    <x:row r="579">
      <x:c r="A579" t="str">
        <x:f>'Employee Attendance'!A194</x:f>
        <x:v>Howary Kharbush</x:v>
      </x:c>
      <x:c r="B579" t="str">
        <x:f>'Employee Attendance'!B194</x:f>
        <x:v>Tanzania</x:v>
      </x:c>
      <x:c r="C579" t="str">
        <x:f>'Employee Attendance'!C194</x:f>
        <x:v>TZ</x:v>
      </x:c>
      <x:c r="D579" t="str">
        <x:f>'Employee Attendance'!D194</x:f>
        <x:v>howary.k.kharbush@pwc.com</x:v>
      </x:c>
      <x:c r="E579" t="str">
        <x:f>"Option 2"</x:f>
        <x:v>Option 2</x:v>
      </x:c>
      <x:c r="F579" s="14" t="n">
        <x:f>'Employee Attendance'!G194</x:f>
        <x:v>0.08814814814814814</x:v>
      </x:c>
      <x:c r="G579" t="n">
        <x:f>F579*86400</x:f>
        <x:v>7615.999999999999</x:v>
      </x:c>
      <x:c r="H579" t="str">
        <x:f>'Employee Attendance'!H194</x:f>
        <x:v>Fully attended</x:v>
      </x:c>
      <x:c r="I579" t="str">
        <x:f>'Employee Attendance'!L194</x:f>
        <x:v>Yes</x:v>
      </x:c>
    </x:row>
    <x:row r="580">
      <x:c r="A580" t="str">
        <x:f>'Employee Attendance'!A194</x:f>
        <x:v>Howary Kharbush</x:v>
      </x:c>
      <x:c r="B580" t="str">
        <x:f>'Employee Attendance'!B194</x:f>
        <x:v>Tanzania</x:v>
      </x:c>
      <x:c r="C580" t="str">
        <x:f>'Employee Attendance'!C194</x:f>
        <x:v>TZ</x:v>
      </x:c>
      <x:c r="D580" t="str">
        <x:f>'Employee Attendance'!D194</x:f>
        <x:v>howary.k.kharbush@pwc.com</x:v>
      </x:c>
      <x:c r="E580" t="str">
        <x:f>"Combined"</x:f>
        <x:v>Combined</x:v>
      </x:c>
      <x:c r="F580" s="14" t="n">
        <x:f>'Employee Attendance'!I194</x:f>
        <x:v>0.08814814814814814</x:v>
      </x:c>
      <x:c r="G580" t="n">
        <x:f>F580*86400</x:f>
        <x:v>7615.999999999999</x:v>
      </x:c>
      <x:c r="H580" t="str">
        <x:f>'Employee Attendance'!J194</x:f>
        <x:v>Fully attended</x:v>
      </x:c>
      <x:c r="I580" t="str">
        <x:f>IF(OR('Employee Attendance'!K194="Yes",'Employee Attendance'!L194="Yes"),"Yes","No")</x:f>
        <x:v>Yes</x:v>
      </x:c>
    </x:row>
    <x:row r="581">
      <x:c r="A581" t="str">
        <x:f>'Employee Attendance'!A195</x:f>
        <x:v>Ian Sejinja</x:v>
      </x:c>
      <x:c r="B581" t="str">
        <x:f>'Employee Attendance'!B195</x:f>
        <x:v>Uganda</x:v>
      </x:c>
      <x:c r="C581" t="str">
        <x:f>'Employee Attendance'!C195</x:f>
        <x:v>UG</x:v>
      </x:c>
      <x:c r="D581" t="str">
        <x:f>'Employee Attendance'!D195</x:f>
        <x:v>ian.sejinja@pwc.com</x:v>
      </x:c>
      <x:c r="E581" t="str">
        <x:f>"Option 1"</x:f>
        <x:v>Option 1</x:v>
      </x:c>
      <x:c r="F581" s="14" t="n">
        <x:f>'Employee Attendance'!E195</x:f>
        <x:v>0</x:v>
      </x:c>
      <x:c r="G581" t="n">
        <x:f>F581*86400</x:f>
        <x:v>0</x:v>
      </x:c>
      <x:c r="H581" t="str">
        <x:f>'Employee Attendance'!F195</x:f>
        <x:v>Did not attend</x:v>
      </x:c>
      <x:c r="I581" t="str">
        <x:f>'Employee Attendance'!K195</x:f>
        <x:v>No</x:v>
      </x:c>
    </x:row>
    <x:row r="582">
      <x:c r="A582" t="str">
        <x:f>'Employee Attendance'!A195</x:f>
        <x:v>Ian Sejinja</x:v>
      </x:c>
      <x:c r="B582" t="str">
        <x:f>'Employee Attendance'!B195</x:f>
        <x:v>Uganda</x:v>
      </x:c>
      <x:c r="C582" t="str">
        <x:f>'Employee Attendance'!C195</x:f>
        <x:v>UG</x:v>
      </x:c>
      <x:c r="D582" t="str">
        <x:f>'Employee Attendance'!D195</x:f>
        <x:v>ian.sejinja@pwc.com</x:v>
      </x:c>
      <x:c r="E582" t="str">
        <x:f>"Option 2"</x:f>
        <x:v>Option 2</x:v>
      </x:c>
      <x:c r="F582" s="14" t="n">
        <x:f>'Employee Attendance'!G195</x:f>
        <x:v>0</x:v>
      </x:c>
      <x:c r="G582" t="n">
        <x:f>F582*86400</x:f>
        <x:v>0</x:v>
      </x:c>
      <x:c r="H582" t="str">
        <x:f>'Employee Attendance'!H195</x:f>
        <x:v>Did not attend</x:v>
      </x:c>
      <x:c r="I582" t="str">
        <x:f>'Employee Attendance'!L195</x:f>
        <x:v>No</x:v>
      </x:c>
    </x:row>
    <x:row r="583">
      <x:c r="A583" t="str">
        <x:f>'Employee Attendance'!A195</x:f>
        <x:v>Ian Sejinja</x:v>
      </x:c>
      <x:c r="B583" t="str">
        <x:f>'Employee Attendance'!B195</x:f>
        <x:v>Uganda</x:v>
      </x:c>
      <x:c r="C583" t="str">
        <x:f>'Employee Attendance'!C195</x:f>
        <x:v>UG</x:v>
      </x:c>
      <x:c r="D583" t="str">
        <x:f>'Employee Attendance'!D195</x:f>
        <x:v>ian.sejinja@pwc.com</x:v>
      </x:c>
      <x:c r="E583" t="str">
        <x:f>"Combined"</x:f>
        <x:v>Combined</x:v>
      </x:c>
      <x:c r="F583" s="14" t="n">
        <x:f>'Employee Attendance'!I195</x:f>
        <x:v>0</x:v>
      </x:c>
      <x:c r="G583" t="n">
        <x:f>F583*86400</x:f>
        <x:v>0</x:v>
      </x:c>
      <x:c r="H583" t="str">
        <x:f>'Employee Attendance'!J195</x:f>
        <x:v>Did not attend</x:v>
      </x:c>
      <x:c r="I583" t="str">
        <x:f>IF(OR('Employee Attendance'!K195="Yes",'Employee Attendance'!L195="Yes"),"Yes","No")</x:f>
        <x:v>No</x:v>
      </x:c>
    </x:row>
    <x:row r="584">
      <x:c r="A584" t="str">
        <x:f>'Employee Attendance'!A196</x:f>
        <x:v>Irene Sabuni</x:v>
      </x:c>
      <x:c r="B584" t="str">
        <x:f>'Employee Attendance'!B196</x:f>
        <x:v>Tanzania</x:v>
      </x:c>
      <x:c r="C584" t="str">
        <x:f>'Employee Attendance'!C196</x:f>
        <x:v>TZ</x:v>
      </x:c>
      <x:c r="D584" t="str">
        <x:f>'Employee Attendance'!D196</x:f>
        <x:v>irene.sabuni@pwc.com</x:v>
      </x:c>
      <x:c r="E584" t="str">
        <x:f>"Option 1"</x:f>
        <x:v>Option 1</x:v>
      </x:c>
      <x:c r="F584" s="14" t="n">
        <x:f>'Employee Attendance'!E196</x:f>
        <x:v>0.06917824074074073</x:v>
      </x:c>
      <x:c r="G584" t="n">
        <x:f>F584*86400</x:f>
        <x:v>5976.999999999999</x:v>
      </x:c>
      <x:c r="H584" t="str">
        <x:f>'Employee Attendance'!F196</x:f>
        <x:v>Fully attended</x:v>
      </x:c>
      <x:c r="I584" t="str">
        <x:f>'Employee Attendance'!K196</x:f>
        <x:v>Yes</x:v>
      </x:c>
    </x:row>
    <x:row r="585">
      <x:c r="A585" t="str">
        <x:f>'Employee Attendance'!A196</x:f>
        <x:v>Irene Sabuni</x:v>
      </x:c>
      <x:c r="B585" t="str">
        <x:f>'Employee Attendance'!B196</x:f>
        <x:v>Tanzania</x:v>
      </x:c>
      <x:c r="C585" t="str">
        <x:f>'Employee Attendance'!C196</x:f>
        <x:v>TZ</x:v>
      </x:c>
      <x:c r="D585" t="str">
        <x:f>'Employee Attendance'!D196</x:f>
        <x:v>irene.sabuni@pwc.com</x:v>
      </x:c>
      <x:c r="E585" t="str">
        <x:f>"Option 2"</x:f>
        <x:v>Option 2</x:v>
      </x:c>
      <x:c r="F585" s="14" t="n">
        <x:f>'Employee Attendance'!G196</x:f>
        <x:v>0</x:v>
      </x:c>
      <x:c r="G585" t="n">
        <x:f>F585*86400</x:f>
        <x:v>0</x:v>
      </x:c>
      <x:c r="H585" t="str">
        <x:f>'Employee Attendance'!H196</x:f>
        <x:v>Did not attend</x:v>
      </x:c>
      <x:c r="I585" t="str">
        <x:f>'Employee Attendance'!L196</x:f>
        <x:v>No</x:v>
      </x:c>
    </x:row>
    <x:row r="586">
      <x:c r="A586" t="str">
        <x:f>'Employee Attendance'!A196</x:f>
        <x:v>Irene Sabuni</x:v>
      </x:c>
      <x:c r="B586" t="str">
        <x:f>'Employee Attendance'!B196</x:f>
        <x:v>Tanzania</x:v>
      </x:c>
      <x:c r="C586" t="str">
        <x:f>'Employee Attendance'!C196</x:f>
        <x:v>TZ</x:v>
      </x:c>
      <x:c r="D586" t="str">
        <x:f>'Employee Attendance'!D196</x:f>
        <x:v>irene.sabuni@pwc.com</x:v>
      </x:c>
      <x:c r="E586" t="str">
        <x:f>"Combined"</x:f>
        <x:v>Combined</x:v>
      </x:c>
      <x:c r="F586" s="14" t="n">
        <x:f>'Employee Attendance'!I196</x:f>
        <x:v>0.06917824074074073</x:v>
      </x:c>
      <x:c r="G586" t="n">
        <x:f>F586*86400</x:f>
        <x:v>5976.999999999999</x:v>
      </x:c>
      <x:c r="H586" t="str">
        <x:f>'Employee Attendance'!J196</x:f>
        <x:v>Fully attended</x:v>
      </x:c>
      <x:c r="I586" t="str">
        <x:f>IF(OR('Employee Attendance'!K196="Yes",'Employee Attendance'!L196="Yes"),"Yes","No")</x:f>
        <x:v>Yes</x:v>
      </x:c>
    </x:row>
    <x:row r="587">
      <x:c r="A587" t="str">
        <x:f>'Employee Attendance'!A197</x:f>
        <x:v>Isaac Ntwali</x:v>
      </x:c>
      <x:c r="B587" t="str">
        <x:f>'Employee Attendance'!B197</x:f>
        <x:v>Rwanda</x:v>
      </x:c>
      <x:c r="C587" t="str">
        <x:f>'Employee Attendance'!C197</x:f>
        <x:v>RW</x:v>
      </x:c>
      <x:c r="D587" t="str">
        <x:f>'Employee Attendance'!D197</x:f>
        <x:v>isaac.ntwali@pwc.com</x:v>
      </x:c>
      <x:c r="E587" t="str">
        <x:f>"Option 1"</x:f>
        <x:v>Option 1</x:v>
      </x:c>
      <x:c r="F587" s="14" t="n">
        <x:f>'Employee Attendance'!E197</x:f>
        <x:v>0</x:v>
      </x:c>
      <x:c r="G587" t="n">
        <x:f>F587*86400</x:f>
        <x:v>0</x:v>
      </x:c>
      <x:c r="H587" t="str">
        <x:f>'Employee Attendance'!F197</x:f>
        <x:v>Did not attend</x:v>
      </x:c>
      <x:c r="I587" t="str">
        <x:f>'Employee Attendance'!K197</x:f>
        <x:v>No</x:v>
      </x:c>
    </x:row>
    <x:row r="588">
      <x:c r="A588" t="str">
        <x:f>'Employee Attendance'!A197</x:f>
        <x:v>Isaac Ntwali</x:v>
      </x:c>
      <x:c r="B588" t="str">
        <x:f>'Employee Attendance'!B197</x:f>
        <x:v>Rwanda</x:v>
      </x:c>
      <x:c r="C588" t="str">
        <x:f>'Employee Attendance'!C197</x:f>
        <x:v>RW</x:v>
      </x:c>
      <x:c r="D588" t="str">
        <x:f>'Employee Attendance'!D197</x:f>
        <x:v>isaac.ntwali@pwc.com</x:v>
      </x:c>
      <x:c r="E588" t="str">
        <x:f>"Option 2"</x:f>
        <x:v>Option 2</x:v>
      </x:c>
      <x:c r="F588" s="14" t="n">
        <x:f>'Employee Attendance'!G197</x:f>
        <x:v>0.05466435185185185</x:v>
      </x:c>
      <x:c r="G588" t="n">
        <x:f>F588*86400</x:f>
        <x:v>4723</x:v>
      </x:c>
      <x:c r="H588" t="str">
        <x:f>'Employee Attendance'!H197</x:f>
        <x:v>Partially attended</x:v>
      </x:c>
      <x:c r="I588" t="str">
        <x:f>'Employee Attendance'!L197</x:f>
        <x:v>Yes</x:v>
      </x:c>
    </x:row>
    <x:row r="589">
      <x:c r="A589" t="str">
        <x:f>'Employee Attendance'!A197</x:f>
        <x:v>Isaac Ntwali</x:v>
      </x:c>
      <x:c r="B589" t="str">
        <x:f>'Employee Attendance'!B197</x:f>
        <x:v>Rwanda</x:v>
      </x:c>
      <x:c r="C589" t="str">
        <x:f>'Employee Attendance'!C197</x:f>
        <x:v>RW</x:v>
      </x:c>
      <x:c r="D589" t="str">
        <x:f>'Employee Attendance'!D197</x:f>
        <x:v>isaac.ntwali@pwc.com</x:v>
      </x:c>
      <x:c r="E589" t="str">
        <x:f>"Combined"</x:f>
        <x:v>Combined</x:v>
      </x:c>
      <x:c r="F589" s="14" t="n">
        <x:f>'Employee Attendance'!I197</x:f>
        <x:v>0.05466435185185185</x:v>
      </x:c>
      <x:c r="G589" t="n">
        <x:f>F589*86400</x:f>
        <x:v>4723</x:v>
      </x:c>
      <x:c r="H589" t="str">
        <x:f>'Employee Attendance'!J197</x:f>
        <x:v>Partially attended</x:v>
      </x:c>
      <x:c r="I589" t="str">
        <x:f>IF(OR('Employee Attendance'!K197="Yes",'Employee Attendance'!L197="Yes"),"Yes","No")</x:f>
        <x:v>Yes</x:v>
      </x:c>
    </x:row>
    <x:row r="590">
      <x:c r="A590" t="str">
        <x:f>'Employee Attendance'!A198</x:f>
        <x:v>Isabella Mayeku</x:v>
      </x:c>
      <x:c r="B590" t="str">
        <x:f>'Employee Attendance'!B198</x:f>
        <x:v>Uganda</x:v>
      </x:c>
      <x:c r="C590" t="str">
        <x:f>'Employee Attendance'!C198</x:f>
        <x:v>UG</x:v>
      </x:c>
      <x:c r="D590" t="str">
        <x:f>'Employee Attendance'!D198</x:f>
        <x:v>isabella.mayeku@pwc.com</x:v>
      </x:c>
      <x:c r="E590" t="str">
        <x:f>"Option 1"</x:f>
        <x:v>Option 1</x:v>
      </x:c>
      <x:c r="F590" s="14" t="n">
        <x:f>'Employee Attendance'!E198</x:f>
        <x:v>0.0014814814814814814</x:v>
      </x:c>
      <x:c r="G590" t="n">
        <x:f>F590*86400</x:f>
        <x:v>128</x:v>
      </x:c>
      <x:c r="H590" t="str">
        <x:f>'Employee Attendance'!F198</x:f>
        <x:v>Partially attended</x:v>
      </x:c>
      <x:c r="I590" t="str">
        <x:f>'Employee Attendance'!K198</x:f>
        <x:v>Yes</x:v>
      </x:c>
    </x:row>
    <x:row r="591">
      <x:c r="A591" t="str">
        <x:f>'Employee Attendance'!A198</x:f>
        <x:v>Isabella Mayeku</x:v>
      </x:c>
      <x:c r="B591" t="str">
        <x:f>'Employee Attendance'!B198</x:f>
        <x:v>Uganda</x:v>
      </x:c>
      <x:c r="C591" t="str">
        <x:f>'Employee Attendance'!C198</x:f>
        <x:v>UG</x:v>
      </x:c>
      <x:c r="D591" t="str">
        <x:f>'Employee Attendance'!D198</x:f>
        <x:v>isabella.mayeku@pwc.com</x:v>
      </x:c>
      <x:c r="E591" t="str">
        <x:f>"Option 2"</x:f>
        <x:v>Option 2</x:v>
      </x:c>
      <x:c r="F591" s="14" t="n">
        <x:f>'Employee Attendance'!G198</x:f>
        <x:v>0.08288194444444444</x:v>
      </x:c>
      <x:c r="G591" t="n">
        <x:f>F591*86400</x:f>
        <x:v>7160.999999999999</x:v>
      </x:c>
      <x:c r="H591" t="str">
        <x:f>'Employee Attendance'!H198</x:f>
        <x:v>Fully attended</x:v>
      </x:c>
      <x:c r="I591" t="str">
        <x:f>'Employee Attendance'!L198</x:f>
        <x:v>Yes</x:v>
      </x:c>
    </x:row>
    <x:row r="592">
      <x:c r="A592" t="str">
        <x:f>'Employee Attendance'!A198</x:f>
        <x:v>Isabella Mayeku</x:v>
      </x:c>
      <x:c r="B592" t="str">
        <x:f>'Employee Attendance'!B198</x:f>
        <x:v>Uganda</x:v>
      </x:c>
      <x:c r="C592" t="str">
        <x:f>'Employee Attendance'!C198</x:f>
        <x:v>UG</x:v>
      </x:c>
      <x:c r="D592" t="str">
        <x:f>'Employee Attendance'!D198</x:f>
        <x:v>isabella.mayeku@pwc.com</x:v>
      </x:c>
      <x:c r="E592" t="str">
        <x:f>"Combined"</x:f>
        <x:v>Combined</x:v>
      </x:c>
      <x:c r="F592" s="14" t="n">
        <x:f>'Employee Attendance'!I198</x:f>
        <x:v>0.08436342592592593</x:v>
      </x:c>
      <x:c r="G592" t="n">
        <x:f>F592*86400</x:f>
        <x:v>7289</x:v>
      </x:c>
      <x:c r="H592" t="str">
        <x:f>'Employee Attendance'!J198</x:f>
        <x:v>Fully attended</x:v>
      </x:c>
      <x:c r="I592" t="str">
        <x:f>IF(OR('Employee Attendance'!K198="Yes",'Employee Attendance'!L198="Yes"),"Yes","No")</x:f>
        <x:v>Yes</x:v>
      </x:c>
    </x:row>
    <x:row r="593">
      <x:c r="A593" t="str">
        <x:f>'Employee Attendance'!A199</x:f>
        <x:v>Issen Koothan</x:v>
      </x:c>
      <x:c r="B593" t="str">
        <x:f>'Employee Attendance'!B199</x:f>
        <x:v>Mauritius</x:v>
      </x:c>
      <x:c r="C593" t="str">
        <x:f>'Employee Attendance'!C199</x:f>
        <x:v>MU</x:v>
      </x:c>
      <x:c r="D593" t="str">
        <x:f>'Employee Attendance'!D199</x:f>
        <x:v>mordagun.koothan@pwc.com</x:v>
      </x:c>
      <x:c r="E593" t="str">
        <x:f>"Option 1"</x:f>
        <x:v>Option 1</x:v>
      </x:c>
      <x:c r="F593" s="14" t="n">
        <x:f>'Employee Attendance'!E199</x:f>
        <x:v>0.08069444444444444</x:v>
      </x:c>
      <x:c r="G593" t="n">
        <x:f>F593*86400</x:f>
        <x:v>6972</x:v>
      </x:c>
      <x:c r="H593" t="str">
        <x:f>'Employee Attendance'!F199</x:f>
        <x:v>Fully attended</x:v>
      </x:c>
      <x:c r="I593" t="str">
        <x:f>'Employee Attendance'!K199</x:f>
        <x:v>Yes</x:v>
      </x:c>
    </x:row>
    <x:row r="594">
      <x:c r="A594" t="str">
        <x:f>'Employee Attendance'!A199</x:f>
        <x:v>Issen Koothan</x:v>
      </x:c>
      <x:c r="B594" t="str">
        <x:f>'Employee Attendance'!B199</x:f>
        <x:v>Mauritius</x:v>
      </x:c>
      <x:c r="C594" t="str">
        <x:f>'Employee Attendance'!C199</x:f>
        <x:v>MU</x:v>
      </x:c>
      <x:c r="D594" t="str">
        <x:f>'Employee Attendance'!D199</x:f>
        <x:v>mordagun.koothan@pwc.com</x:v>
      </x:c>
      <x:c r="E594" t="str">
        <x:f>"Option 2"</x:f>
        <x:v>Option 2</x:v>
      </x:c>
      <x:c r="F594" s="14" t="n">
        <x:f>'Employee Attendance'!G199</x:f>
        <x:v>0</x:v>
      </x:c>
      <x:c r="G594" t="n">
        <x:f>F594*86400</x:f>
        <x:v>0</x:v>
      </x:c>
      <x:c r="H594" t="str">
        <x:f>'Employee Attendance'!H199</x:f>
        <x:v>Did not attend</x:v>
      </x:c>
      <x:c r="I594" t="str">
        <x:f>'Employee Attendance'!L199</x:f>
        <x:v>No</x:v>
      </x:c>
    </x:row>
    <x:row r="595">
      <x:c r="A595" t="str">
        <x:f>'Employee Attendance'!A199</x:f>
        <x:v>Issen Koothan</x:v>
      </x:c>
      <x:c r="B595" t="str">
        <x:f>'Employee Attendance'!B199</x:f>
        <x:v>Mauritius</x:v>
      </x:c>
      <x:c r="C595" t="str">
        <x:f>'Employee Attendance'!C199</x:f>
        <x:v>MU</x:v>
      </x:c>
      <x:c r="D595" t="str">
        <x:f>'Employee Attendance'!D199</x:f>
        <x:v>mordagun.koothan@pwc.com</x:v>
      </x:c>
      <x:c r="E595" t="str">
        <x:f>"Combined"</x:f>
        <x:v>Combined</x:v>
      </x:c>
      <x:c r="F595" s="14" t="n">
        <x:f>'Employee Attendance'!I199</x:f>
        <x:v>0.08069444444444444</x:v>
      </x:c>
      <x:c r="G595" t="n">
        <x:f>F595*86400</x:f>
        <x:v>6972</x:v>
      </x:c>
      <x:c r="H595" t="str">
        <x:f>'Employee Attendance'!J199</x:f>
        <x:v>Fully attended</x:v>
      </x:c>
      <x:c r="I595" t="str">
        <x:f>IF(OR('Employee Attendance'!K199="Yes",'Employee Attendance'!L199="Yes"),"Yes","No")</x:f>
        <x:v>Yes</x:v>
      </x:c>
    </x:row>
    <x:row r="596">
      <x:c r="A596" t="str">
        <x:f>'Employee Attendance'!A200</x:f>
        <x:v>Izam Joomun</x:v>
      </x:c>
      <x:c r="B596" t="str">
        <x:f>'Employee Attendance'!B200</x:f>
        <x:v>Mauritius</x:v>
      </x:c>
      <x:c r="C596" t="str">
        <x:f>'Employee Attendance'!C200</x:f>
        <x:v>MU</x:v>
      </x:c>
      <x:c r="D596" t="str">
        <x:f>'Employee Attendance'!D200</x:f>
        <x:v>izam.joomun@pwc.com</x:v>
      </x:c>
      <x:c r="E596" t="str">
        <x:f>"Option 1"</x:f>
        <x:v>Option 1</x:v>
      </x:c>
      <x:c r="F596" s="14" t="n">
        <x:f>'Employee Attendance'!E200</x:f>
        <x:v>0</x:v>
      </x:c>
      <x:c r="G596" t="n">
        <x:f>F596*86400</x:f>
        <x:v>0</x:v>
      </x:c>
      <x:c r="H596" t="str">
        <x:f>'Employee Attendance'!F200</x:f>
        <x:v>Did not attend</x:v>
      </x:c>
      <x:c r="I596" t="str">
        <x:f>'Employee Attendance'!K200</x:f>
        <x:v>No</x:v>
      </x:c>
    </x:row>
    <x:row r="597">
      <x:c r="A597" t="str">
        <x:f>'Employee Attendance'!A200</x:f>
        <x:v>Izam Joomun</x:v>
      </x:c>
      <x:c r="B597" t="str">
        <x:f>'Employee Attendance'!B200</x:f>
        <x:v>Mauritius</x:v>
      </x:c>
      <x:c r="C597" t="str">
        <x:f>'Employee Attendance'!C200</x:f>
        <x:v>MU</x:v>
      </x:c>
      <x:c r="D597" t="str">
        <x:f>'Employee Attendance'!D200</x:f>
        <x:v>izam.joomun@pwc.com</x:v>
      </x:c>
      <x:c r="E597" t="str">
        <x:f>"Option 2"</x:f>
        <x:v>Option 2</x:v>
      </x:c>
      <x:c r="F597" s="14" t="n">
        <x:f>'Employee Attendance'!G200</x:f>
        <x:v>0.08872685185185185</x:v>
      </x:c>
      <x:c r="G597" t="n">
        <x:f>F597*86400</x:f>
        <x:v>7666</x:v>
      </x:c>
      <x:c r="H597" t="str">
        <x:f>'Employee Attendance'!H200</x:f>
        <x:v>Fully attended</x:v>
      </x:c>
      <x:c r="I597" t="str">
        <x:f>'Employee Attendance'!L200</x:f>
        <x:v>Yes</x:v>
      </x:c>
    </x:row>
    <x:row r="598">
      <x:c r="A598" t="str">
        <x:f>'Employee Attendance'!A200</x:f>
        <x:v>Izam Joomun</x:v>
      </x:c>
      <x:c r="B598" t="str">
        <x:f>'Employee Attendance'!B200</x:f>
        <x:v>Mauritius</x:v>
      </x:c>
      <x:c r="C598" t="str">
        <x:f>'Employee Attendance'!C200</x:f>
        <x:v>MU</x:v>
      </x:c>
      <x:c r="D598" t="str">
        <x:f>'Employee Attendance'!D200</x:f>
        <x:v>izam.joomun@pwc.com</x:v>
      </x:c>
      <x:c r="E598" t="str">
        <x:f>"Combined"</x:f>
        <x:v>Combined</x:v>
      </x:c>
      <x:c r="F598" s="14" t="n">
        <x:f>'Employee Attendance'!I200</x:f>
        <x:v>0.08872685185185185</x:v>
      </x:c>
      <x:c r="G598" t="n">
        <x:f>F598*86400</x:f>
        <x:v>7666</x:v>
      </x:c>
      <x:c r="H598" t="str">
        <x:f>'Employee Attendance'!J200</x:f>
        <x:v>Fully attended</x:v>
      </x:c>
      <x:c r="I598" t="str">
        <x:f>IF(OR('Employee Attendance'!K200="Yes",'Employee Attendance'!L200="Yes"),"Yes","No")</x:f>
        <x:v>Yes</x:v>
      </x:c>
    </x:row>
    <x:row r="599">
      <x:c r="A599" t="str">
        <x:f>'Employee Attendance'!A201</x:f>
        <x:v>Jackie Nampala</x:v>
      </x:c>
      <x:c r="B599" t="str">
        <x:f>'Employee Attendance'!B201</x:f>
        <x:v>Uganda</x:v>
      </x:c>
      <x:c r="C599" t="str">
        <x:f>'Employee Attendance'!C201</x:f>
        <x:v>UG</x:v>
      </x:c>
      <x:c r="D599" t="str">
        <x:f>'Employee Attendance'!D201</x:f>
        <x:v>jackie.nampala@pwc.com</x:v>
      </x:c>
      <x:c r="E599" t="str">
        <x:f>"Option 1"</x:f>
        <x:v>Option 1</x:v>
      </x:c>
      <x:c r="F599" s="14" t="n">
        <x:f>'Employee Attendance'!E201</x:f>
        <x:v>0.08422453703703704</x:v>
      </x:c>
      <x:c r="G599" t="n">
        <x:f>F599*86400</x:f>
        <x:v>7277</x:v>
      </x:c>
      <x:c r="H599" t="str">
        <x:f>'Employee Attendance'!F201</x:f>
        <x:v>Fully attended</x:v>
      </x:c>
      <x:c r="I599" t="str">
        <x:f>'Employee Attendance'!K201</x:f>
        <x:v>Yes</x:v>
      </x:c>
    </x:row>
    <x:row r="600">
      <x:c r="A600" t="str">
        <x:f>'Employee Attendance'!A201</x:f>
        <x:v>Jackie Nampala</x:v>
      </x:c>
      <x:c r="B600" t="str">
        <x:f>'Employee Attendance'!B201</x:f>
        <x:v>Uganda</x:v>
      </x:c>
      <x:c r="C600" t="str">
        <x:f>'Employee Attendance'!C201</x:f>
        <x:v>UG</x:v>
      </x:c>
      <x:c r="D600" t="str">
        <x:f>'Employee Attendance'!D201</x:f>
        <x:v>jackie.nampala@pwc.com</x:v>
      </x:c>
      <x:c r="E600" t="str">
        <x:f>"Option 2"</x:f>
        <x:v>Option 2</x:v>
      </x:c>
      <x:c r="F600" s="14" t="n">
        <x:f>'Employee Attendance'!G201</x:f>
        <x:v>0</x:v>
      </x:c>
      <x:c r="G600" t="n">
        <x:f>F600*86400</x:f>
        <x:v>0</x:v>
      </x:c>
      <x:c r="H600" t="str">
        <x:f>'Employee Attendance'!H201</x:f>
        <x:v>Did not attend</x:v>
      </x:c>
      <x:c r="I600" t="str">
        <x:f>'Employee Attendance'!L201</x:f>
        <x:v>No</x:v>
      </x:c>
    </x:row>
    <x:row r="601">
      <x:c r="A601" t="str">
        <x:f>'Employee Attendance'!A201</x:f>
        <x:v>Jackie Nampala</x:v>
      </x:c>
      <x:c r="B601" t="str">
        <x:f>'Employee Attendance'!B201</x:f>
        <x:v>Uganda</x:v>
      </x:c>
      <x:c r="C601" t="str">
        <x:f>'Employee Attendance'!C201</x:f>
        <x:v>UG</x:v>
      </x:c>
      <x:c r="D601" t="str">
        <x:f>'Employee Attendance'!D201</x:f>
        <x:v>jackie.nampala@pwc.com</x:v>
      </x:c>
      <x:c r="E601" t="str">
        <x:f>"Combined"</x:f>
        <x:v>Combined</x:v>
      </x:c>
      <x:c r="F601" s="14" t="n">
        <x:f>'Employee Attendance'!I201</x:f>
        <x:v>0.08422453703703704</x:v>
      </x:c>
      <x:c r="G601" t="n">
        <x:f>F601*86400</x:f>
        <x:v>7277</x:v>
      </x:c>
      <x:c r="H601" t="str">
        <x:f>'Employee Attendance'!J201</x:f>
        <x:v>Fully attended</x:v>
      </x:c>
      <x:c r="I601" t="str">
        <x:f>IF(OR('Employee Attendance'!K201="Yes",'Employee Attendance'!L201="Yes"),"Yes","No")</x:f>
        <x:v>Yes</x:v>
      </x:c>
    </x:row>
    <x:row r="602">
      <x:c r="A602" t="str">
        <x:f>'Employee Attendance'!A202</x:f>
        <x:v>Jackline Mchomvu</x:v>
      </x:c>
      <x:c r="B602" t="str">
        <x:f>'Employee Attendance'!B202</x:f>
        <x:v>Tanzania</x:v>
      </x:c>
      <x:c r="C602" t="str">
        <x:f>'Employee Attendance'!C202</x:f>
        <x:v>TZ</x:v>
      </x:c>
      <x:c r="D602" t="str">
        <x:f>'Employee Attendance'!D202</x:f>
        <x:v>jackline.mchomvu@pwc.com</x:v>
      </x:c>
      <x:c r="E602" t="str">
        <x:f>"Option 1"</x:f>
        <x:v>Option 1</x:v>
      </x:c>
      <x:c r="F602" s="14" t="n">
        <x:f>'Employee Attendance'!E202</x:f>
        <x:v>0</x:v>
      </x:c>
      <x:c r="G602" t="n">
        <x:f>F602*86400</x:f>
        <x:v>0</x:v>
      </x:c>
      <x:c r="H602" t="str">
        <x:f>'Employee Attendance'!F202</x:f>
        <x:v>Did not attend</x:v>
      </x:c>
      <x:c r="I602" t="str">
        <x:f>'Employee Attendance'!K202</x:f>
        <x:v>No</x:v>
      </x:c>
    </x:row>
    <x:row r="603">
      <x:c r="A603" t="str">
        <x:f>'Employee Attendance'!A202</x:f>
        <x:v>Jackline Mchomvu</x:v>
      </x:c>
      <x:c r="B603" t="str">
        <x:f>'Employee Attendance'!B202</x:f>
        <x:v>Tanzania</x:v>
      </x:c>
      <x:c r="C603" t="str">
        <x:f>'Employee Attendance'!C202</x:f>
        <x:v>TZ</x:v>
      </x:c>
      <x:c r="D603" t="str">
        <x:f>'Employee Attendance'!D202</x:f>
        <x:v>jackline.mchomvu@pwc.com</x:v>
      </x:c>
      <x:c r="E603" t="str">
        <x:f>"Option 2"</x:f>
        <x:v>Option 2</x:v>
      </x:c>
      <x:c r="F603" s="14" t="n">
        <x:f>'Employee Attendance'!G202</x:f>
        <x:v>0.08462962962962962</x:v>
      </x:c>
      <x:c r="G603" t="n">
        <x:f>F603*86400</x:f>
        <x:v>7311.999999999999</x:v>
      </x:c>
      <x:c r="H603" t="str">
        <x:f>'Employee Attendance'!H202</x:f>
        <x:v>Fully attended</x:v>
      </x:c>
      <x:c r="I603" t="str">
        <x:f>'Employee Attendance'!L202</x:f>
        <x:v>Yes</x:v>
      </x:c>
    </x:row>
    <x:row r="604">
      <x:c r="A604" t="str">
        <x:f>'Employee Attendance'!A202</x:f>
        <x:v>Jackline Mchomvu</x:v>
      </x:c>
      <x:c r="B604" t="str">
        <x:f>'Employee Attendance'!B202</x:f>
        <x:v>Tanzania</x:v>
      </x:c>
      <x:c r="C604" t="str">
        <x:f>'Employee Attendance'!C202</x:f>
        <x:v>TZ</x:v>
      </x:c>
      <x:c r="D604" t="str">
        <x:f>'Employee Attendance'!D202</x:f>
        <x:v>jackline.mchomvu@pwc.com</x:v>
      </x:c>
      <x:c r="E604" t="str">
        <x:f>"Combined"</x:f>
        <x:v>Combined</x:v>
      </x:c>
      <x:c r="F604" s="14" t="n">
        <x:f>'Employee Attendance'!I202</x:f>
        <x:v>0.08462962962962962</x:v>
      </x:c>
      <x:c r="G604" t="n">
        <x:f>F604*86400</x:f>
        <x:v>7311.999999999999</x:v>
      </x:c>
      <x:c r="H604" t="str">
        <x:f>'Employee Attendance'!J202</x:f>
        <x:v>Fully attended</x:v>
      </x:c>
      <x:c r="I604" t="str">
        <x:f>IF(OR('Employee Attendance'!K202="Yes",'Employee Attendance'!L202="Yes"),"Yes","No")</x:f>
        <x:v>Yes</x:v>
      </x:c>
    </x:row>
    <x:row r="605">
      <x:c r="A605" t="str">
        <x:f>'Employee Attendance'!A203</x:f>
        <x:v>Jackson Kakae</x:v>
      </x:c>
      <x:c r="B605" t="str">
        <x:f>'Employee Attendance'!B203</x:f>
        <x:v>Kenya</x:v>
      </x:c>
      <x:c r="C605" t="str">
        <x:f>'Employee Attendance'!C203</x:f>
        <x:v>KE</x:v>
      </x:c>
      <x:c r="D605" t="str">
        <x:f>'Employee Attendance'!D203</x:f>
        <x:v>jackson.kakae@pwc.com</x:v>
      </x:c>
      <x:c r="E605" t="str">
        <x:f>"Option 1"</x:f>
        <x:v>Option 1</x:v>
      </x:c>
      <x:c r="F605" s="14" t="n">
        <x:f>'Employee Attendance'!E203</x:f>
        <x:v>0.0810300925925926</x:v>
      </x:c>
      <x:c r="G605" t="n">
        <x:f>F605*86400</x:f>
        <x:v>7001.000000000001</x:v>
      </x:c>
      <x:c r="H605" t="str">
        <x:f>'Employee Attendance'!F203</x:f>
        <x:v>Fully attended</x:v>
      </x:c>
      <x:c r="I605" t="str">
        <x:f>'Employee Attendance'!K203</x:f>
        <x:v>Yes</x:v>
      </x:c>
    </x:row>
    <x:row r="606">
      <x:c r="A606" t="str">
        <x:f>'Employee Attendance'!A203</x:f>
        <x:v>Jackson Kakae</x:v>
      </x:c>
      <x:c r="B606" t="str">
        <x:f>'Employee Attendance'!B203</x:f>
        <x:v>Kenya</x:v>
      </x:c>
      <x:c r="C606" t="str">
        <x:f>'Employee Attendance'!C203</x:f>
        <x:v>KE</x:v>
      </x:c>
      <x:c r="D606" t="str">
        <x:f>'Employee Attendance'!D203</x:f>
        <x:v>jackson.kakae@pwc.com</x:v>
      </x:c>
      <x:c r="E606" t="str">
        <x:f>"Option 2"</x:f>
        <x:v>Option 2</x:v>
      </x:c>
      <x:c r="F606" s="14" t="n">
        <x:f>'Employee Attendance'!G203</x:f>
        <x:v>0</x:v>
      </x:c>
      <x:c r="G606" t="n">
        <x:f>F606*86400</x:f>
        <x:v>0</x:v>
      </x:c>
      <x:c r="H606" t="str">
        <x:f>'Employee Attendance'!H203</x:f>
        <x:v>Did not attend</x:v>
      </x:c>
      <x:c r="I606" t="str">
        <x:f>'Employee Attendance'!L203</x:f>
        <x:v>No</x:v>
      </x:c>
    </x:row>
    <x:row r="607">
      <x:c r="A607" t="str">
        <x:f>'Employee Attendance'!A203</x:f>
        <x:v>Jackson Kakae</x:v>
      </x:c>
      <x:c r="B607" t="str">
        <x:f>'Employee Attendance'!B203</x:f>
        <x:v>Kenya</x:v>
      </x:c>
      <x:c r="C607" t="str">
        <x:f>'Employee Attendance'!C203</x:f>
        <x:v>KE</x:v>
      </x:c>
      <x:c r="D607" t="str">
        <x:f>'Employee Attendance'!D203</x:f>
        <x:v>jackson.kakae@pwc.com</x:v>
      </x:c>
      <x:c r="E607" t="str">
        <x:f>"Combined"</x:f>
        <x:v>Combined</x:v>
      </x:c>
      <x:c r="F607" s="14" t="n">
        <x:f>'Employee Attendance'!I203</x:f>
        <x:v>0.0810300925925926</x:v>
      </x:c>
      <x:c r="G607" t="n">
        <x:f>F607*86400</x:f>
        <x:v>7001.000000000001</x:v>
      </x:c>
      <x:c r="H607" t="str">
        <x:f>'Employee Attendance'!J203</x:f>
        <x:v>Fully attended</x:v>
      </x:c>
      <x:c r="I607" t="str">
        <x:f>IF(OR('Employee Attendance'!K203="Yes",'Employee Attendance'!L203="Yes"),"Yes","No")</x:f>
        <x:v>Yes</x:v>
      </x:c>
    </x:row>
    <x:row r="608">
      <x:c r="A608" t="str">
        <x:f>'Employee Attendance'!A204</x:f>
        <x:v>Jackson Omondi</x:v>
      </x:c>
      <x:c r="B608" t="str">
        <x:f>'Employee Attendance'!B204</x:f>
        <x:v>Kenya</x:v>
      </x:c>
      <x:c r="C608" t="str">
        <x:f>'Employee Attendance'!C204</x:f>
        <x:v>KE</x:v>
      </x:c>
      <x:c r="D608" t="str">
        <x:f>'Employee Attendance'!D204</x:f>
        <x:v>jackson.omondi@pwc.com</x:v>
      </x:c>
      <x:c r="E608" t="str">
        <x:f>"Option 1"</x:f>
        <x:v>Option 1</x:v>
      </x:c>
      <x:c r="F608" s="14" t="n">
        <x:f>'Employee Attendance'!E204</x:f>
        <x:v>0.0811111111111111</x:v>
      </x:c>
      <x:c r="G608" t="n">
        <x:f>F608*86400</x:f>
        <x:v>7008</x:v>
      </x:c>
      <x:c r="H608" t="str">
        <x:f>'Employee Attendance'!F204</x:f>
        <x:v>Fully attended</x:v>
      </x:c>
      <x:c r="I608" t="str">
        <x:f>'Employee Attendance'!K204</x:f>
        <x:v>Yes</x:v>
      </x:c>
    </x:row>
    <x:row r="609">
      <x:c r="A609" t="str">
        <x:f>'Employee Attendance'!A204</x:f>
        <x:v>Jackson Omondi</x:v>
      </x:c>
      <x:c r="B609" t="str">
        <x:f>'Employee Attendance'!B204</x:f>
        <x:v>Kenya</x:v>
      </x:c>
      <x:c r="C609" t="str">
        <x:f>'Employee Attendance'!C204</x:f>
        <x:v>KE</x:v>
      </x:c>
      <x:c r="D609" t="str">
        <x:f>'Employee Attendance'!D204</x:f>
        <x:v>jackson.omondi@pwc.com</x:v>
      </x:c>
      <x:c r="E609" t="str">
        <x:f>"Option 2"</x:f>
        <x:v>Option 2</x:v>
      </x:c>
      <x:c r="F609" s="14" t="n">
        <x:f>'Employee Attendance'!G204</x:f>
        <x:v>0</x:v>
      </x:c>
      <x:c r="G609" t="n">
        <x:f>F609*86400</x:f>
        <x:v>0</x:v>
      </x:c>
      <x:c r="H609" t="str">
        <x:f>'Employee Attendance'!H204</x:f>
        <x:v>Did not attend</x:v>
      </x:c>
      <x:c r="I609" t="str">
        <x:f>'Employee Attendance'!L204</x:f>
        <x:v>No</x:v>
      </x:c>
    </x:row>
    <x:row r="610">
      <x:c r="A610" t="str">
        <x:f>'Employee Attendance'!A204</x:f>
        <x:v>Jackson Omondi</x:v>
      </x:c>
      <x:c r="B610" t="str">
        <x:f>'Employee Attendance'!B204</x:f>
        <x:v>Kenya</x:v>
      </x:c>
      <x:c r="C610" t="str">
        <x:f>'Employee Attendance'!C204</x:f>
        <x:v>KE</x:v>
      </x:c>
      <x:c r="D610" t="str">
        <x:f>'Employee Attendance'!D204</x:f>
        <x:v>jackson.omondi@pwc.com</x:v>
      </x:c>
      <x:c r="E610" t="str">
        <x:f>"Combined"</x:f>
        <x:v>Combined</x:v>
      </x:c>
      <x:c r="F610" s="14" t="n">
        <x:f>'Employee Attendance'!I204</x:f>
        <x:v>0.0811111111111111</x:v>
      </x:c>
      <x:c r="G610" t="n">
        <x:f>F610*86400</x:f>
        <x:v>7008</x:v>
      </x:c>
      <x:c r="H610" t="str">
        <x:f>'Employee Attendance'!J204</x:f>
        <x:v>Fully attended</x:v>
      </x:c>
      <x:c r="I610" t="str">
        <x:f>IF(OR('Employee Attendance'!K204="Yes",'Employee Attendance'!L204="Yes"),"Yes","No")</x:f>
        <x:v>Yes</x:v>
      </x:c>
    </x:row>
    <x:row r="611">
      <x:c r="A611" t="str">
        <x:f>'Employee Attendance'!A205</x:f>
        <x:v>Jacqueline Kamau</x:v>
      </x:c>
      <x:c r="B611" t="str">
        <x:f>'Employee Attendance'!B205</x:f>
        <x:v>Kenya</x:v>
      </x:c>
      <x:c r="C611" t="str">
        <x:f>'Employee Attendance'!C205</x:f>
        <x:v>KE</x:v>
      </x:c>
      <x:c r="D611" t="str">
        <x:f>'Employee Attendance'!D205</x:f>
        <x:v>jacqueline.kamau@pwc.com</x:v>
      </x:c>
      <x:c r="E611" t="str">
        <x:f>"Option 1"</x:f>
        <x:v>Option 1</x:v>
      </x:c>
      <x:c r="F611" s="14" t="n">
        <x:f>'Employee Attendance'!E205</x:f>
        <x:v>0.08145833333333333</x:v>
      </x:c>
      <x:c r="G611" t="n">
        <x:f>F611*86400</x:f>
        <x:v>7037.999999999999</x:v>
      </x:c>
      <x:c r="H611" t="str">
        <x:f>'Employee Attendance'!F205</x:f>
        <x:v>Fully attended</x:v>
      </x:c>
      <x:c r="I611" t="str">
        <x:f>'Employee Attendance'!K205</x:f>
        <x:v>Yes</x:v>
      </x:c>
    </x:row>
    <x:row r="612">
      <x:c r="A612" t="str">
        <x:f>'Employee Attendance'!A205</x:f>
        <x:v>Jacqueline Kamau</x:v>
      </x:c>
      <x:c r="B612" t="str">
        <x:f>'Employee Attendance'!B205</x:f>
        <x:v>Kenya</x:v>
      </x:c>
      <x:c r="C612" t="str">
        <x:f>'Employee Attendance'!C205</x:f>
        <x:v>KE</x:v>
      </x:c>
      <x:c r="D612" t="str">
        <x:f>'Employee Attendance'!D205</x:f>
        <x:v>jacqueline.kamau@pwc.com</x:v>
      </x:c>
      <x:c r="E612" t="str">
        <x:f>"Option 2"</x:f>
        <x:v>Option 2</x:v>
      </x:c>
      <x:c r="F612" s="14" t="n">
        <x:f>'Employee Attendance'!G205</x:f>
        <x:v>0</x:v>
      </x:c>
      <x:c r="G612" t="n">
        <x:f>F612*86400</x:f>
        <x:v>0</x:v>
      </x:c>
      <x:c r="H612" t="str">
        <x:f>'Employee Attendance'!H205</x:f>
        <x:v>Did not attend</x:v>
      </x:c>
      <x:c r="I612" t="str">
        <x:f>'Employee Attendance'!L205</x:f>
        <x:v>No</x:v>
      </x:c>
    </x:row>
    <x:row r="613">
      <x:c r="A613" t="str">
        <x:f>'Employee Attendance'!A205</x:f>
        <x:v>Jacqueline Kamau</x:v>
      </x:c>
      <x:c r="B613" t="str">
        <x:f>'Employee Attendance'!B205</x:f>
        <x:v>Kenya</x:v>
      </x:c>
      <x:c r="C613" t="str">
        <x:f>'Employee Attendance'!C205</x:f>
        <x:v>KE</x:v>
      </x:c>
      <x:c r="D613" t="str">
        <x:f>'Employee Attendance'!D205</x:f>
        <x:v>jacqueline.kamau@pwc.com</x:v>
      </x:c>
      <x:c r="E613" t="str">
        <x:f>"Combined"</x:f>
        <x:v>Combined</x:v>
      </x:c>
      <x:c r="F613" s="14" t="n">
        <x:f>'Employee Attendance'!I205</x:f>
        <x:v>0.08145833333333333</x:v>
      </x:c>
      <x:c r="G613" t="n">
        <x:f>F613*86400</x:f>
        <x:v>7037.999999999999</x:v>
      </x:c>
      <x:c r="H613" t="str">
        <x:f>'Employee Attendance'!J205</x:f>
        <x:v>Fully attended</x:v>
      </x:c>
      <x:c r="I613" t="str">
        <x:f>IF(OR('Employee Attendance'!K205="Yes",'Employee Attendance'!L205="Yes"),"Yes","No")</x:f>
        <x:v>Yes</x:v>
      </x:c>
    </x:row>
    <x:row r="614">
      <x:c r="A614" t="str">
        <x:f>'Employee Attendance'!A206</x:f>
        <x:v>Jacqueline Makasa</x:v>
      </x:c>
      <x:c r="B614" t="str">
        <x:f>'Employee Attendance'!B206</x:f>
        <x:v>Zambia</x:v>
      </x:c>
      <x:c r="C614" t="str">
        <x:f>'Employee Attendance'!C206</x:f>
        <x:v>ZM</x:v>
      </x:c>
      <x:c r="D614" t="str">
        <x:f>'Employee Attendance'!D206</x:f>
        <x:v>jacqueline.makasa@pwc.com</x:v>
      </x:c>
      <x:c r="E614" t="str">
        <x:f>"Option 1"</x:f>
        <x:v>Option 1</x:v>
      </x:c>
      <x:c r="F614" s="14" t="n">
        <x:f>'Employee Attendance'!E206</x:f>
        <x:v>0.07180555555555555</x:v>
      </x:c>
      <x:c r="G614" t="n">
        <x:f>F614*86400</x:f>
        <x:v>6204</x:v>
      </x:c>
      <x:c r="H614" t="str">
        <x:f>'Employee Attendance'!F206</x:f>
        <x:v>Fully attended</x:v>
      </x:c>
      <x:c r="I614" t="str">
        <x:f>'Employee Attendance'!K206</x:f>
        <x:v>Yes</x:v>
      </x:c>
    </x:row>
    <x:row r="615">
      <x:c r="A615" t="str">
        <x:f>'Employee Attendance'!A206</x:f>
        <x:v>Jacqueline Makasa</x:v>
      </x:c>
      <x:c r="B615" t="str">
        <x:f>'Employee Attendance'!B206</x:f>
        <x:v>Zambia</x:v>
      </x:c>
      <x:c r="C615" t="str">
        <x:f>'Employee Attendance'!C206</x:f>
        <x:v>ZM</x:v>
      </x:c>
      <x:c r="D615" t="str">
        <x:f>'Employee Attendance'!D206</x:f>
        <x:v>jacqueline.makasa@pwc.com</x:v>
      </x:c>
      <x:c r="E615" t="str">
        <x:f>"Option 2"</x:f>
        <x:v>Option 2</x:v>
      </x:c>
      <x:c r="F615" s="14" t="n">
        <x:f>'Employee Attendance'!G206</x:f>
        <x:v>0</x:v>
      </x:c>
      <x:c r="G615" t="n">
        <x:f>F615*86400</x:f>
        <x:v>0</x:v>
      </x:c>
      <x:c r="H615" t="str">
        <x:f>'Employee Attendance'!H206</x:f>
        <x:v>Did not attend</x:v>
      </x:c>
      <x:c r="I615" t="str">
        <x:f>'Employee Attendance'!L206</x:f>
        <x:v>No</x:v>
      </x:c>
    </x:row>
    <x:row r="616">
      <x:c r="A616" t="str">
        <x:f>'Employee Attendance'!A206</x:f>
        <x:v>Jacqueline Makasa</x:v>
      </x:c>
      <x:c r="B616" t="str">
        <x:f>'Employee Attendance'!B206</x:f>
        <x:v>Zambia</x:v>
      </x:c>
      <x:c r="C616" t="str">
        <x:f>'Employee Attendance'!C206</x:f>
        <x:v>ZM</x:v>
      </x:c>
      <x:c r="D616" t="str">
        <x:f>'Employee Attendance'!D206</x:f>
        <x:v>jacqueline.makasa@pwc.com</x:v>
      </x:c>
      <x:c r="E616" t="str">
        <x:f>"Combined"</x:f>
        <x:v>Combined</x:v>
      </x:c>
      <x:c r="F616" s="14" t="n">
        <x:f>'Employee Attendance'!I206</x:f>
        <x:v>0.07180555555555555</x:v>
      </x:c>
      <x:c r="G616" t="n">
        <x:f>F616*86400</x:f>
        <x:v>6204</x:v>
      </x:c>
      <x:c r="H616" t="str">
        <x:f>'Employee Attendance'!J206</x:f>
        <x:v>Fully attended</x:v>
      </x:c>
      <x:c r="I616" t="str">
        <x:f>IF(OR('Employee Attendance'!K206="Yes",'Employee Attendance'!L206="Yes"),"Yes","No")</x:f>
        <x:v>Yes</x:v>
      </x:c>
    </x:row>
    <x:row r="617">
      <x:c r="A617" t="str">
        <x:f>'Employee Attendance'!A207</x:f>
        <x:v>Jacqueline Moshi</x:v>
      </x:c>
      <x:c r="B617" t="str">
        <x:f>'Employee Attendance'!B207</x:f>
        <x:v>Tanzania</x:v>
      </x:c>
      <x:c r="C617" t="str">
        <x:f>'Employee Attendance'!C207</x:f>
        <x:v>TZ</x:v>
      </x:c>
      <x:c r="D617" t="str">
        <x:f>'Employee Attendance'!D207</x:f>
        <x:v>jacqueline.m.moshi@pwc.com</x:v>
      </x:c>
      <x:c r="E617" t="str">
        <x:f>"Option 1"</x:f>
        <x:v>Option 1</x:v>
      </x:c>
      <x:c r="F617" s="14" t="n">
        <x:f>'Employee Attendance'!E207</x:f>
        <x:v>0</x:v>
      </x:c>
      <x:c r="G617" t="n">
        <x:f>F617*86400</x:f>
        <x:v>0</x:v>
      </x:c>
      <x:c r="H617" t="str">
        <x:f>'Employee Attendance'!F207</x:f>
        <x:v>Did not attend</x:v>
      </x:c>
      <x:c r="I617" t="str">
        <x:f>'Employee Attendance'!K207</x:f>
        <x:v>No</x:v>
      </x:c>
    </x:row>
    <x:row r="618">
      <x:c r="A618" t="str">
        <x:f>'Employee Attendance'!A207</x:f>
        <x:v>Jacqueline Moshi</x:v>
      </x:c>
      <x:c r="B618" t="str">
        <x:f>'Employee Attendance'!B207</x:f>
        <x:v>Tanzania</x:v>
      </x:c>
      <x:c r="C618" t="str">
        <x:f>'Employee Attendance'!C207</x:f>
        <x:v>TZ</x:v>
      </x:c>
      <x:c r="D618" t="str">
        <x:f>'Employee Attendance'!D207</x:f>
        <x:v>jacqueline.m.moshi@pwc.com</x:v>
      </x:c>
      <x:c r="E618" t="str">
        <x:f>"Option 2"</x:f>
        <x:v>Option 2</x:v>
      </x:c>
      <x:c r="F618" s="14" t="n">
        <x:f>'Employee Attendance'!G207</x:f>
        <x:v>0.08763888888888889</x:v>
      </x:c>
      <x:c r="G618" t="n">
        <x:f>F618*86400</x:f>
        <x:v>7572</x:v>
      </x:c>
      <x:c r="H618" t="str">
        <x:f>'Employee Attendance'!H207</x:f>
        <x:v>Fully attended</x:v>
      </x:c>
      <x:c r="I618" t="str">
        <x:f>'Employee Attendance'!L207</x:f>
        <x:v>Yes</x:v>
      </x:c>
    </x:row>
    <x:row r="619">
      <x:c r="A619" t="str">
        <x:f>'Employee Attendance'!A207</x:f>
        <x:v>Jacqueline Moshi</x:v>
      </x:c>
      <x:c r="B619" t="str">
        <x:f>'Employee Attendance'!B207</x:f>
        <x:v>Tanzania</x:v>
      </x:c>
      <x:c r="C619" t="str">
        <x:f>'Employee Attendance'!C207</x:f>
        <x:v>TZ</x:v>
      </x:c>
      <x:c r="D619" t="str">
        <x:f>'Employee Attendance'!D207</x:f>
        <x:v>jacqueline.m.moshi@pwc.com</x:v>
      </x:c>
      <x:c r="E619" t="str">
        <x:f>"Combined"</x:f>
        <x:v>Combined</x:v>
      </x:c>
      <x:c r="F619" s="14" t="n">
        <x:f>'Employee Attendance'!I207</x:f>
        <x:v>0.08763888888888889</x:v>
      </x:c>
      <x:c r="G619" t="n">
        <x:f>F619*86400</x:f>
        <x:v>7572</x:v>
      </x:c>
      <x:c r="H619" t="str">
        <x:f>'Employee Attendance'!J207</x:f>
        <x:v>Fully attended</x:v>
      </x:c>
      <x:c r="I619" t="str">
        <x:f>IF(OR('Employee Attendance'!K207="Yes",'Employee Attendance'!L207="Yes"),"Yes","No")</x:f>
        <x:v>Yes</x:v>
      </x:c>
    </x:row>
    <x:row r="620">
      <x:c r="A620" t="str">
        <x:f>'Employee Attendance'!A208</x:f>
        <x:v>James Kimani</x:v>
      </x:c>
      <x:c r="B620" t="str">
        <x:f>'Employee Attendance'!B208</x:f>
        <x:v>Kenya</x:v>
      </x:c>
      <x:c r="C620" t="str">
        <x:f>'Employee Attendance'!C208</x:f>
        <x:v>KE</x:v>
      </x:c>
      <x:c r="D620" t="str">
        <x:f>'Employee Attendance'!D208</x:f>
        <x:v>james.kimani@pwc.com</x:v>
      </x:c>
      <x:c r="E620" t="str">
        <x:f>"Option 1"</x:f>
        <x:v>Option 1</x:v>
      </x:c>
      <x:c r="F620" s="14" t="n">
        <x:f>'Employee Attendance'!E208</x:f>
        <x:v>0</x:v>
      </x:c>
      <x:c r="G620" t="n">
        <x:f>F620*86400</x:f>
        <x:v>0</x:v>
      </x:c>
      <x:c r="H620" t="str">
        <x:f>'Employee Attendance'!F208</x:f>
        <x:v>Did not attend</x:v>
      </x:c>
      <x:c r="I620" t="str">
        <x:f>'Employee Attendance'!K208</x:f>
        <x:v>No</x:v>
      </x:c>
    </x:row>
    <x:row r="621">
      <x:c r="A621" t="str">
        <x:f>'Employee Attendance'!A208</x:f>
        <x:v>James Kimani</x:v>
      </x:c>
      <x:c r="B621" t="str">
        <x:f>'Employee Attendance'!B208</x:f>
        <x:v>Kenya</x:v>
      </x:c>
      <x:c r="C621" t="str">
        <x:f>'Employee Attendance'!C208</x:f>
        <x:v>KE</x:v>
      </x:c>
      <x:c r="D621" t="str">
        <x:f>'Employee Attendance'!D208</x:f>
        <x:v>james.kimani@pwc.com</x:v>
      </x:c>
      <x:c r="E621" t="str">
        <x:f>"Option 2"</x:f>
        <x:v>Option 2</x:v>
      </x:c>
      <x:c r="F621" s="14" t="n">
        <x:f>'Employee Attendance'!G208</x:f>
        <x:v>0.09017361111111111</x:v>
      </x:c>
      <x:c r="G621" t="n">
        <x:f>F621*86400</x:f>
        <x:v>7791</x:v>
      </x:c>
      <x:c r="H621" t="str">
        <x:f>'Employee Attendance'!H208</x:f>
        <x:v>Fully attended</x:v>
      </x:c>
      <x:c r="I621" t="str">
        <x:f>'Employee Attendance'!L208</x:f>
        <x:v>Yes</x:v>
      </x:c>
    </x:row>
    <x:row r="622">
      <x:c r="A622" t="str">
        <x:f>'Employee Attendance'!A208</x:f>
        <x:v>James Kimani</x:v>
      </x:c>
      <x:c r="B622" t="str">
        <x:f>'Employee Attendance'!B208</x:f>
        <x:v>Kenya</x:v>
      </x:c>
      <x:c r="C622" t="str">
        <x:f>'Employee Attendance'!C208</x:f>
        <x:v>KE</x:v>
      </x:c>
      <x:c r="D622" t="str">
        <x:f>'Employee Attendance'!D208</x:f>
        <x:v>james.kimani@pwc.com</x:v>
      </x:c>
      <x:c r="E622" t="str">
        <x:f>"Combined"</x:f>
        <x:v>Combined</x:v>
      </x:c>
      <x:c r="F622" s="14" t="n">
        <x:f>'Employee Attendance'!I208</x:f>
        <x:v>0.09017361111111111</x:v>
      </x:c>
      <x:c r="G622" t="n">
        <x:f>F622*86400</x:f>
        <x:v>7791</x:v>
      </x:c>
      <x:c r="H622" t="str">
        <x:f>'Employee Attendance'!J208</x:f>
        <x:v>Fully attended</x:v>
      </x:c>
      <x:c r="I622" t="str">
        <x:f>IF(OR('Employee Attendance'!K208="Yes",'Employee Attendance'!L208="Yes"),"Yes","No")</x:f>
        <x:v>Yes</x:v>
      </x:c>
    </x:row>
    <x:row r="623">
      <x:c r="A623" t="str">
        <x:f>'Employee Attendance'!A209</x:f>
        <x:v>James Msele</x:v>
      </x:c>
      <x:c r="B623" t="str">
        <x:f>'Employee Attendance'!B209</x:f>
        <x:v>Tanzania</x:v>
      </x:c>
      <x:c r="C623" t="str">
        <x:f>'Employee Attendance'!C209</x:f>
        <x:v>TZ</x:v>
      </x:c>
      <x:c r="D623" t="str">
        <x:f>'Employee Attendance'!D209</x:f>
        <x:v>james.msele@pwc.com</x:v>
      </x:c>
      <x:c r="E623" t="str">
        <x:f>"Option 1"</x:f>
        <x:v>Option 1</x:v>
      </x:c>
      <x:c r="F623" s="14" t="n">
        <x:f>'Employee Attendance'!E209</x:f>
        <x:v>0</x:v>
      </x:c>
      <x:c r="G623" t="n">
        <x:f>F623*86400</x:f>
        <x:v>0</x:v>
      </x:c>
      <x:c r="H623" t="str">
        <x:f>'Employee Attendance'!F209</x:f>
        <x:v>Did not attend</x:v>
      </x:c>
      <x:c r="I623" t="str">
        <x:f>'Employee Attendance'!K209</x:f>
        <x:v>No</x:v>
      </x:c>
    </x:row>
    <x:row r="624">
      <x:c r="A624" t="str">
        <x:f>'Employee Attendance'!A209</x:f>
        <x:v>James Msele</x:v>
      </x:c>
      <x:c r="B624" t="str">
        <x:f>'Employee Attendance'!B209</x:f>
        <x:v>Tanzania</x:v>
      </x:c>
      <x:c r="C624" t="str">
        <x:f>'Employee Attendance'!C209</x:f>
        <x:v>TZ</x:v>
      </x:c>
      <x:c r="D624" t="str">
        <x:f>'Employee Attendance'!D209</x:f>
        <x:v>james.msele@pwc.com</x:v>
      </x:c>
      <x:c r="E624" t="str">
        <x:f>"Option 2"</x:f>
        <x:v>Option 2</x:v>
      </x:c>
      <x:c r="F624" s="14" t="n">
        <x:f>'Employee Attendance'!G209</x:f>
        <x:v>0</x:v>
      </x:c>
      <x:c r="G624" t="n">
        <x:f>F624*86400</x:f>
        <x:v>0</x:v>
      </x:c>
      <x:c r="H624" t="str">
        <x:f>'Employee Attendance'!H209</x:f>
        <x:v>Did not attend</x:v>
      </x:c>
      <x:c r="I624" t="str">
        <x:f>'Employee Attendance'!L209</x:f>
        <x:v>No</x:v>
      </x:c>
    </x:row>
    <x:row r="625">
      <x:c r="A625" t="str">
        <x:f>'Employee Attendance'!A209</x:f>
        <x:v>James Msele</x:v>
      </x:c>
      <x:c r="B625" t="str">
        <x:f>'Employee Attendance'!B209</x:f>
        <x:v>Tanzania</x:v>
      </x:c>
      <x:c r="C625" t="str">
        <x:f>'Employee Attendance'!C209</x:f>
        <x:v>TZ</x:v>
      </x:c>
      <x:c r="D625" t="str">
        <x:f>'Employee Attendance'!D209</x:f>
        <x:v>james.msele@pwc.com</x:v>
      </x:c>
      <x:c r="E625" t="str">
        <x:f>"Combined"</x:f>
        <x:v>Combined</x:v>
      </x:c>
      <x:c r="F625" s="14" t="n">
        <x:f>'Employee Attendance'!I209</x:f>
        <x:v>0</x:v>
      </x:c>
      <x:c r="G625" t="n">
        <x:f>F625*86400</x:f>
        <x:v>0</x:v>
      </x:c>
      <x:c r="H625" t="str">
        <x:f>'Employee Attendance'!J209</x:f>
        <x:v>Did not attend</x:v>
      </x:c>
      <x:c r="I625" t="str">
        <x:f>IF(OR('Employee Attendance'!K209="Yes",'Employee Attendance'!L209="Yes"),"Yes","No")</x:f>
        <x:v>No</x:v>
      </x:c>
    </x:row>
    <x:row r="626">
      <x:c r="A626" t="str">
        <x:f>'Employee Attendance'!A210</x:f>
        <x:v>James Musyoka</x:v>
      </x:c>
      <x:c r="B626" t="str">
        <x:f>'Employee Attendance'!B210</x:f>
        <x:v>Kenya</x:v>
      </x:c>
      <x:c r="C626" t="str">
        <x:f>'Employee Attendance'!C210</x:f>
        <x:v>KE</x:v>
      </x:c>
      <x:c r="D626" t="str">
        <x:f>'Employee Attendance'!D210</x:f>
        <x:v>james.musyoka@pwc.com</x:v>
      </x:c>
      <x:c r="E626" t="str">
        <x:f>"Option 1"</x:f>
        <x:v>Option 1</x:v>
      </x:c>
      <x:c r="F626" s="14" t="n">
        <x:f>'Employee Attendance'!E210</x:f>
        <x:v>0.05609953703703704</x:v>
      </x:c>
      <x:c r="G626" t="n">
        <x:f>F626*86400</x:f>
        <x:v>4847</x:v>
      </x:c>
      <x:c r="H626" t="str">
        <x:f>'Employee Attendance'!F210</x:f>
        <x:v>Partially attended</x:v>
      </x:c>
      <x:c r="I626" t="str">
        <x:f>'Employee Attendance'!K210</x:f>
        <x:v>Yes</x:v>
      </x:c>
    </x:row>
    <x:row r="627">
      <x:c r="A627" t="str">
        <x:f>'Employee Attendance'!A210</x:f>
        <x:v>James Musyoka</x:v>
      </x:c>
      <x:c r="B627" t="str">
        <x:f>'Employee Attendance'!B210</x:f>
        <x:v>Kenya</x:v>
      </x:c>
      <x:c r="C627" t="str">
        <x:f>'Employee Attendance'!C210</x:f>
        <x:v>KE</x:v>
      </x:c>
      <x:c r="D627" t="str">
        <x:f>'Employee Attendance'!D210</x:f>
        <x:v>james.musyoka@pwc.com</x:v>
      </x:c>
      <x:c r="E627" t="str">
        <x:f>"Option 2"</x:f>
        <x:v>Option 2</x:v>
      </x:c>
      <x:c r="F627" s="14" t="n">
        <x:f>'Employee Attendance'!G210</x:f>
        <x:v>0.007106481481481482</x:v>
      </x:c>
      <x:c r="G627" t="n">
        <x:f>F627*86400</x:f>
        <x:v>614</x:v>
      </x:c>
      <x:c r="H627" t="str">
        <x:f>'Employee Attendance'!H210</x:f>
        <x:v>Partially attended</x:v>
      </x:c>
      <x:c r="I627" t="str">
        <x:f>'Employee Attendance'!L210</x:f>
        <x:v>Yes</x:v>
      </x:c>
    </x:row>
    <x:row r="628">
      <x:c r="A628" t="str">
        <x:f>'Employee Attendance'!A210</x:f>
        <x:v>James Musyoka</x:v>
      </x:c>
      <x:c r="B628" t="str">
        <x:f>'Employee Attendance'!B210</x:f>
        <x:v>Kenya</x:v>
      </x:c>
      <x:c r="C628" t="str">
        <x:f>'Employee Attendance'!C210</x:f>
        <x:v>KE</x:v>
      </x:c>
      <x:c r="D628" t="str">
        <x:f>'Employee Attendance'!D210</x:f>
        <x:v>james.musyoka@pwc.com</x:v>
      </x:c>
      <x:c r="E628" t="str">
        <x:f>"Combined"</x:f>
        <x:v>Combined</x:v>
      </x:c>
      <x:c r="F628" s="14" t="n">
        <x:f>'Employee Attendance'!I210</x:f>
        <x:v>0.06320601851851852</x:v>
      </x:c>
      <x:c r="G628" t="n">
        <x:f>F628*86400</x:f>
        <x:v>5461</x:v>
      </x:c>
      <x:c r="H628" t="str">
        <x:f>'Employee Attendance'!J210</x:f>
        <x:v>Fully attended</x:v>
      </x:c>
      <x:c r="I628" t="str">
        <x:f>IF(OR('Employee Attendance'!K210="Yes",'Employee Attendance'!L210="Yes"),"Yes","No")</x:f>
        <x:v>Yes</x:v>
      </x:c>
    </x:row>
    <x:row r="629">
      <x:c r="A629" t="str">
        <x:f>'Employee Attendance'!A211</x:f>
        <x:v>James Mwaniki</x:v>
      </x:c>
      <x:c r="B629" t="str">
        <x:f>'Employee Attendance'!B211</x:f>
        <x:v>Kenya</x:v>
      </x:c>
      <x:c r="C629" t="str">
        <x:f>'Employee Attendance'!C211</x:f>
        <x:v>KE</x:v>
      </x:c>
      <x:c r="D629" t="str">
        <x:f>'Employee Attendance'!D211</x:f>
        <x:v>james.mwaniki@pwc.com</x:v>
      </x:c>
      <x:c r="E629" t="str">
        <x:f>"Option 1"</x:f>
        <x:v>Option 1</x:v>
      </x:c>
      <x:c r="F629" s="14" t="n">
        <x:f>'Employee Attendance'!E211</x:f>
        <x:v>0.07526620370370371</x:v>
      </x:c>
      <x:c r="G629" t="n">
        <x:f>F629*86400</x:f>
        <x:v>6503.000000000001</x:v>
      </x:c>
      <x:c r="H629" t="str">
        <x:f>'Employee Attendance'!F211</x:f>
        <x:v>Fully attended</x:v>
      </x:c>
      <x:c r="I629" t="str">
        <x:f>'Employee Attendance'!K211</x:f>
        <x:v>Yes</x:v>
      </x:c>
    </x:row>
    <x:row r="630">
      <x:c r="A630" t="str">
        <x:f>'Employee Attendance'!A211</x:f>
        <x:v>James Mwaniki</x:v>
      </x:c>
      <x:c r="B630" t="str">
        <x:f>'Employee Attendance'!B211</x:f>
        <x:v>Kenya</x:v>
      </x:c>
      <x:c r="C630" t="str">
        <x:f>'Employee Attendance'!C211</x:f>
        <x:v>KE</x:v>
      </x:c>
      <x:c r="D630" t="str">
        <x:f>'Employee Attendance'!D211</x:f>
        <x:v>james.mwaniki@pwc.com</x:v>
      </x:c>
      <x:c r="E630" t="str">
        <x:f>"Option 2"</x:f>
        <x:v>Option 2</x:v>
      </x:c>
      <x:c r="F630" s="14" t="n">
        <x:f>'Employee Attendance'!G211</x:f>
        <x:v>0</x:v>
      </x:c>
      <x:c r="G630" t="n">
        <x:f>F630*86400</x:f>
        <x:v>0</x:v>
      </x:c>
      <x:c r="H630" t="str">
        <x:f>'Employee Attendance'!H211</x:f>
        <x:v>Did not attend</x:v>
      </x:c>
      <x:c r="I630" t="str">
        <x:f>'Employee Attendance'!L211</x:f>
        <x:v>No</x:v>
      </x:c>
    </x:row>
    <x:row r="631">
      <x:c r="A631" t="str">
        <x:f>'Employee Attendance'!A211</x:f>
        <x:v>James Mwaniki</x:v>
      </x:c>
      <x:c r="B631" t="str">
        <x:f>'Employee Attendance'!B211</x:f>
        <x:v>Kenya</x:v>
      </x:c>
      <x:c r="C631" t="str">
        <x:f>'Employee Attendance'!C211</x:f>
        <x:v>KE</x:v>
      </x:c>
      <x:c r="D631" t="str">
        <x:f>'Employee Attendance'!D211</x:f>
        <x:v>james.mwaniki@pwc.com</x:v>
      </x:c>
      <x:c r="E631" t="str">
        <x:f>"Combined"</x:f>
        <x:v>Combined</x:v>
      </x:c>
      <x:c r="F631" s="14" t="n">
        <x:f>'Employee Attendance'!I211</x:f>
        <x:v>0.07526620370370371</x:v>
      </x:c>
      <x:c r="G631" t="n">
        <x:f>F631*86400</x:f>
        <x:v>6503.000000000001</x:v>
      </x:c>
      <x:c r="H631" t="str">
        <x:f>'Employee Attendance'!J211</x:f>
        <x:v>Fully attended</x:v>
      </x:c>
      <x:c r="I631" t="str">
        <x:f>IF(OR('Employee Attendance'!K211="Yes",'Employee Attendance'!L211="Yes"),"Yes","No")</x:f>
        <x:v>Yes</x:v>
      </x:c>
    </x:row>
    <x:row r="632">
      <x:c r="A632" t="str">
        <x:f>'Employee Attendance'!A212</x:f>
        <x:v>Janat Nankya</x:v>
      </x:c>
      <x:c r="B632" t="str">
        <x:f>'Employee Attendance'!B212</x:f>
        <x:v>Uganda</x:v>
      </x:c>
      <x:c r="C632" t="str">
        <x:f>'Employee Attendance'!C212</x:f>
        <x:v>UG</x:v>
      </x:c>
      <x:c r="D632" t="str">
        <x:f>'Employee Attendance'!D212</x:f>
        <x:v>janat.nankya@pwc.com</x:v>
      </x:c>
      <x:c r="E632" t="str">
        <x:f>"Option 1"</x:f>
        <x:v>Option 1</x:v>
      </x:c>
      <x:c r="F632" s="14" t="n">
        <x:f>'Employee Attendance'!E212</x:f>
        <x:v>0.0430787037037037</x:v>
      </x:c>
      <x:c r="G632" t="n">
        <x:f>F632*86400</x:f>
        <x:v>3722</x:v>
      </x:c>
      <x:c r="H632" t="str">
        <x:f>'Employee Attendance'!F212</x:f>
        <x:v>Partially attended</x:v>
      </x:c>
      <x:c r="I632" t="str">
        <x:f>'Employee Attendance'!K212</x:f>
        <x:v>Yes</x:v>
      </x:c>
    </x:row>
    <x:row r="633">
      <x:c r="A633" t="str">
        <x:f>'Employee Attendance'!A212</x:f>
        <x:v>Janat Nankya</x:v>
      </x:c>
      <x:c r="B633" t="str">
        <x:f>'Employee Attendance'!B212</x:f>
        <x:v>Uganda</x:v>
      </x:c>
      <x:c r="C633" t="str">
        <x:f>'Employee Attendance'!C212</x:f>
        <x:v>UG</x:v>
      </x:c>
      <x:c r="D633" t="str">
        <x:f>'Employee Attendance'!D212</x:f>
        <x:v>janat.nankya@pwc.com</x:v>
      </x:c>
      <x:c r="E633" t="str">
        <x:f>"Option 2"</x:f>
        <x:v>Option 2</x:v>
      </x:c>
      <x:c r="F633" s="14" t="n">
        <x:f>'Employee Attendance'!G212</x:f>
        <x:v>0</x:v>
      </x:c>
      <x:c r="G633" t="n">
        <x:f>F633*86400</x:f>
        <x:v>0</x:v>
      </x:c>
      <x:c r="H633" t="str">
        <x:f>'Employee Attendance'!H212</x:f>
        <x:v>Did not attend</x:v>
      </x:c>
      <x:c r="I633" t="str">
        <x:f>'Employee Attendance'!L212</x:f>
        <x:v>No</x:v>
      </x:c>
    </x:row>
    <x:row r="634">
      <x:c r="A634" t="str">
        <x:f>'Employee Attendance'!A212</x:f>
        <x:v>Janat Nankya</x:v>
      </x:c>
      <x:c r="B634" t="str">
        <x:f>'Employee Attendance'!B212</x:f>
        <x:v>Uganda</x:v>
      </x:c>
      <x:c r="C634" t="str">
        <x:f>'Employee Attendance'!C212</x:f>
        <x:v>UG</x:v>
      </x:c>
      <x:c r="D634" t="str">
        <x:f>'Employee Attendance'!D212</x:f>
        <x:v>janat.nankya@pwc.com</x:v>
      </x:c>
      <x:c r="E634" t="str">
        <x:f>"Combined"</x:f>
        <x:v>Combined</x:v>
      </x:c>
      <x:c r="F634" s="14" t="n">
        <x:f>'Employee Attendance'!I212</x:f>
        <x:v>0.0430787037037037</x:v>
      </x:c>
      <x:c r="G634" t="n">
        <x:f>F634*86400</x:f>
        <x:v>3722</x:v>
      </x:c>
      <x:c r="H634" t="str">
        <x:f>'Employee Attendance'!J212</x:f>
        <x:v>Partially attended</x:v>
      </x:c>
      <x:c r="I634" t="str">
        <x:f>IF(OR('Employee Attendance'!K212="Yes",'Employee Attendance'!L212="Yes"),"Yes","No")</x:f>
        <x:v>Yes</x:v>
      </x:c>
    </x:row>
    <x:row r="635">
      <x:c r="A635" t="str">
        <x:f>'Employee Attendance'!A213</x:f>
        <x:v>Janneke Timmers</x:v>
      </x:c>
      <x:c r="B635" t="str">
        <x:f>'Employee Attendance'!B213</x:f>
        <x:v>Kenya</x:v>
      </x:c>
      <x:c r="C635" t="str">
        <x:f>'Employee Attendance'!C213</x:f>
        <x:v>KE</x:v>
      </x:c>
      <x:c r="D635" t="str">
        <x:f>'Employee Attendance'!D213</x:f>
        <x:v>janneke.t.timmers@pwc.com</x:v>
      </x:c>
      <x:c r="E635" t="str">
        <x:f>"Option 1"</x:f>
        <x:v>Option 1</x:v>
      </x:c>
      <x:c r="F635" s="14" t="n">
        <x:f>'Employee Attendance'!E213</x:f>
        <x:v>0</x:v>
      </x:c>
      <x:c r="G635" t="n">
        <x:f>F635*86400</x:f>
        <x:v>0</x:v>
      </x:c>
      <x:c r="H635" t="str">
        <x:f>'Employee Attendance'!F213</x:f>
        <x:v>Did not attend</x:v>
      </x:c>
      <x:c r="I635" t="str">
        <x:f>'Employee Attendance'!K213</x:f>
        <x:v>No</x:v>
      </x:c>
    </x:row>
    <x:row r="636">
      <x:c r="A636" t="str">
        <x:f>'Employee Attendance'!A213</x:f>
        <x:v>Janneke Timmers</x:v>
      </x:c>
      <x:c r="B636" t="str">
        <x:f>'Employee Attendance'!B213</x:f>
        <x:v>Kenya</x:v>
      </x:c>
      <x:c r="C636" t="str">
        <x:f>'Employee Attendance'!C213</x:f>
        <x:v>KE</x:v>
      </x:c>
      <x:c r="D636" t="str">
        <x:f>'Employee Attendance'!D213</x:f>
        <x:v>janneke.t.timmers@pwc.com</x:v>
      </x:c>
      <x:c r="E636" t="str">
        <x:f>"Option 2"</x:f>
        <x:v>Option 2</x:v>
      </x:c>
      <x:c r="F636" s="14" t="n">
        <x:f>'Employee Attendance'!G213</x:f>
        <x:v>0</x:v>
      </x:c>
      <x:c r="G636" t="n">
        <x:f>F636*86400</x:f>
        <x:v>0</x:v>
      </x:c>
      <x:c r="H636" t="str">
        <x:f>'Employee Attendance'!H213</x:f>
        <x:v>Did not attend</x:v>
      </x:c>
      <x:c r="I636" t="str">
        <x:f>'Employee Attendance'!L213</x:f>
        <x:v>No</x:v>
      </x:c>
    </x:row>
    <x:row r="637">
      <x:c r="A637" t="str">
        <x:f>'Employee Attendance'!A213</x:f>
        <x:v>Janneke Timmers</x:v>
      </x:c>
      <x:c r="B637" t="str">
        <x:f>'Employee Attendance'!B213</x:f>
        <x:v>Kenya</x:v>
      </x:c>
      <x:c r="C637" t="str">
        <x:f>'Employee Attendance'!C213</x:f>
        <x:v>KE</x:v>
      </x:c>
      <x:c r="D637" t="str">
        <x:f>'Employee Attendance'!D213</x:f>
        <x:v>janneke.t.timmers@pwc.com</x:v>
      </x:c>
      <x:c r="E637" t="str">
        <x:f>"Combined"</x:f>
        <x:v>Combined</x:v>
      </x:c>
      <x:c r="F637" s="14" t="n">
        <x:f>'Employee Attendance'!I213</x:f>
        <x:v>0</x:v>
      </x:c>
      <x:c r="G637" t="n">
        <x:f>F637*86400</x:f>
        <x:v>0</x:v>
      </x:c>
      <x:c r="H637" t="str">
        <x:f>'Employee Attendance'!J213</x:f>
        <x:v>Did not attend</x:v>
      </x:c>
      <x:c r="I637" t="str">
        <x:f>IF(OR('Employee Attendance'!K213="Yes",'Employee Attendance'!L213="Yes"),"Yes","No")</x:f>
        <x:v>No</x:v>
      </x:c>
    </x:row>
    <x:row r="638">
      <x:c r="A638" t="str">
        <x:f>'Employee Attendance'!A214</x:f>
        <x:v>Jaya Moctaram</x:v>
      </x:c>
      <x:c r="B638" t="str">
        <x:f>'Employee Attendance'!B214</x:f>
        <x:v>Mauritius</x:v>
      </x:c>
      <x:c r="C638" t="str">
        <x:f>'Employee Attendance'!C214</x:f>
        <x:v>MU</x:v>
      </x:c>
      <x:c r="D638" t="str">
        <x:f>'Employee Attendance'!D214</x:f>
        <x:v>jaya.moctaram@pwc.com</x:v>
      </x:c>
      <x:c r="E638" t="str">
        <x:f>"Option 1"</x:f>
        <x:v>Option 1</x:v>
      </x:c>
      <x:c r="F638" s="14" t="n">
        <x:f>'Employee Attendance'!E214</x:f>
        <x:v>0</x:v>
      </x:c>
      <x:c r="G638" t="n">
        <x:f>F638*86400</x:f>
        <x:v>0</x:v>
      </x:c>
      <x:c r="H638" t="str">
        <x:f>'Employee Attendance'!F214</x:f>
        <x:v>Did not attend</x:v>
      </x:c>
      <x:c r="I638" t="str">
        <x:f>'Employee Attendance'!K214</x:f>
        <x:v>No</x:v>
      </x:c>
    </x:row>
    <x:row r="639">
      <x:c r="A639" t="str">
        <x:f>'Employee Attendance'!A214</x:f>
        <x:v>Jaya Moctaram</x:v>
      </x:c>
      <x:c r="B639" t="str">
        <x:f>'Employee Attendance'!B214</x:f>
        <x:v>Mauritius</x:v>
      </x:c>
      <x:c r="C639" t="str">
        <x:f>'Employee Attendance'!C214</x:f>
        <x:v>MU</x:v>
      </x:c>
      <x:c r="D639" t="str">
        <x:f>'Employee Attendance'!D214</x:f>
        <x:v>jaya.moctaram@pwc.com</x:v>
      </x:c>
      <x:c r="E639" t="str">
        <x:f>"Option 2"</x:f>
        <x:v>Option 2</x:v>
      </x:c>
      <x:c r="F639" s="14" t="n">
        <x:f>'Employee Attendance'!G214</x:f>
        <x:v>0.08284722222222222</x:v>
      </x:c>
      <x:c r="G639" t="n">
        <x:f>F639*86400</x:f>
        <x:v>7158</x:v>
      </x:c>
      <x:c r="H639" t="str">
        <x:f>'Employee Attendance'!H214</x:f>
        <x:v>Fully attended</x:v>
      </x:c>
      <x:c r="I639" t="str">
        <x:f>'Employee Attendance'!L214</x:f>
        <x:v>Yes</x:v>
      </x:c>
    </x:row>
    <x:row r="640">
      <x:c r="A640" t="str">
        <x:f>'Employee Attendance'!A214</x:f>
        <x:v>Jaya Moctaram</x:v>
      </x:c>
      <x:c r="B640" t="str">
        <x:f>'Employee Attendance'!B214</x:f>
        <x:v>Mauritius</x:v>
      </x:c>
      <x:c r="C640" t="str">
        <x:f>'Employee Attendance'!C214</x:f>
        <x:v>MU</x:v>
      </x:c>
      <x:c r="D640" t="str">
        <x:f>'Employee Attendance'!D214</x:f>
        <x:v>jaya.moctaram@pwc.com</x:v>
      </x:c>
      <x:c r="E640" t="str">
        <x:f>"Combined"</x:f>
        <x:v>Combined</x:v>
      </x:c>
      <x:c r="F640" s="14" t="n">
        <x:f>'Employee Attendance'!I214</x:f>
        <x:v>0.08284722222222222</x:v>
      </x:c>
      <x:c r="G640" t="n">
        <x:f>F640*86400</x:f>
        <x:v>7158</x:v>
      </x:c>
      <x:c r="H640" t="str">
        <x:f>'Employee Attendance'!J214</x:f>
        <x:v>Fully attended</x:v>
      </x:c>
      <x:c r="I640" t="str">
        <x:f>IF(OR('Employee Attendance'!K214="Yes",'Employee Attendance'!L214="Yes"),"Yes","No")</x:f>
        <x:v>Yes</x:v>
      </x:c>
    </x:row>
    <x:row r="641">
      <x:c r="A641" t="str">
        <x:f>'Employee Attendance'!A215</x:f>
        <x:v>Jeannie Daka</x:v>
      </x:c>
      <x:c r="B641" t="str">
        <x:f>'Employee Attendance'!B215</x:f>
        <x:v>Zambia</x:v>
      </x:c>
      <x:c r="C641" t="str">
        <x:f>'Employee Attendance'!C215</x:f>
        <x:v>ZM</x:v>
      </x:c>
      <x:c r="D641" t="str">
        <x:f>'Employee Attendance'!D215</x:f>
        <x:v>jeannie.daka@pwc.com</x:v>
      </x:c>
      <x:c r="E641" t="str">
        <x:f>"Option 1"</x:f>
        <x:v>Option 1</x:v>
      </x:c>
      <x:c r="F641" s="14" t="n">
        <x:f>'Employee Attendance'!E215</x:f>
        <x:v>0.08199074074074074</x:v>
      </x:c>
      <x:c r="G641" t="n">
        <x:f>F641*86400</x:f>
        <x:v>7084</x:v>
      </x:c>
      <x:c r="H641" t="str">
        <x:f>'Employee Attendance'!F215</x:f>
        <x:v>Fully attended</x:v>
      </x:c>
      <x:c r="I641" t="str">
        <x:f>'Employee Attendance'!K215</x:f>
        <x:v>Yes</x:v>
      </x:c>
    </x:row>
    <x:row r="642">
      <x:c r="A642" t="str">
        <x:f>'Employee Attendance'!A215</x:f>
        <x:v>Jeannie Daka</x:v>
      </x:c>
      <x:c r="B642" t="str">
        <x:f>'Employee Attendance'!B215</x:f>
        <x:v>Zambia</x:v>
      </x:c>
      <x:c r="C642" t="str">
        <x:f>'Employee Attendance'!C215</x:f>
        <x:v>ZM</x:v>
      </x:c>
      <x:c r="D642" t="str">
        <x:f>'Employee Attendance'!D215</x:f>
        <x:v>jeannie.daka@pwc.com</x:v>
      </x:c>
      <x:c r="E642" t="str">
        <x:f>"Option 2"</x:f>
        <x:v>Option 2</x:v>
      </x:c>
      <x:c r="F642" s="14" t="n">
        <x:f>'Employee Attendance'!G215</x:f>
        <x:v>0</x:v>
      </x:c>
      <x:c r="G642" t="n">
        <x:f>F642*86400</x:f>
        <x:v>0</x:v>
      </x:c>
      <x:c r="H642" t="str">
        <x:f>'Employee Attendance'!H215</x:f>
        <x:v>Did not attend</x:v>
      </x:c>
      <x:c r="I642" t="str">
        <x:f>'Employee Attendance'!L215</x:f>
        <x:v>No</x:v>
      </x:c>
    </x:row>
    <x:row r="643">
      <x:c r="A643" t="str">
        <x:f>'Employee Attendance'!A215</x:f>
        <x:v>Jeannie Daka</x:v>
      </x:c>
      <x:c r="B643" t="str">
        <x:f>'Employee Attendance'!B215</x:f>
        <x:v>Zambia</x:v>
      </x:c>
      <x:c r="C643" t="str">
        <x:f>'Employee Attendance'!C215</x:f>
        <x:v>ZM</x:v>
      </x:c>
      <x:c r="D643" t="str">
        <x:f>'Employee Attendance'!D215</x:f>
        <x:v>jeannie.daka@pwc.com</x:v>
      </x:c>
      <x:c r="E643" t="str">
        <x:f>"Combined"</x:f>
        <x:v>Combined</x:v>
      </x:c>
      <x:c r="F643" s="14" t="n">
        <x:f>'Employee Attendance'!I215</x:f>
        <x:v>0.08199074074074074</x:v>
      </x:c>
      <x:c r="G643" t="n">
        <x:f>F643*86400</x:f>
        <x:v>7084</x:v>
      </x:c>
      <x:c r="H643" t="str">
        <x:f>'Employee Attendance'!J215</x:f>
        <x:v>Fully attended</x:v>
      </x:c>
      <x:c r="I643" t="str">
        <x:f>IF(OR('Employee Attendance'!K215="Yes",'Employee Attendance'!L215="Yes"),"Yes","No")</x:f>
        <x:v>Yes</x:v>
      </x:c>
    </x:row>
    <x:row r="644">
      <x:c r="A644" t="str">
        <x:f>'Employee Attendance'!A216</x:f>
        <x:v>Jeffrey Koo</x:v>
      </x:c>
      <x:c r="B644" t="str">
        <x:f>'Employee Attendance'!B216</x:f>
        <x:v>Mauritius</x:v>
      </x:c>
      <x:c r="C644" t="str">
        <x:f>'Employee Attendance'!C216</x:f>
        <x:v>MU</x:v>
      </x:c>
      <x:c r="D644" t="str">
        <x:f>'Employee Attendance'!D216</x:f>
        <x:v>jeffrey.koo@pwc.com</x:v>
      </x:c>
      <x:c r="E644" t="str">
        <x:f>"Option 1"</x:f>
        <x:v>Option 1</x:v>
      </x:c>
      <x:c r="F644" s="14" t="n">
        <x:f>'Employee Attendance'!E216</x:f>
        <x:v>0.05918981481481481</x:v>
      </x:c>
      <x:c r="G644" t="n">
        <x:f>F644*86400</x:f>
        <x:v>5114</x:v>
      </x:c>
      <x:c r="H644" t="str">
        <x:f>'Employee Attendance'!F216</x:f>
        <x:v>Partially attended</x:v>
      </x:c>
      <x:c r="I644" t="str">
        <x:f>'Employee Attendance'!K216</x:f>
        <x:v>Yes</x:v>
      </x:c>
    </x:row>
    <x:row r="645">
      <x:c r="A645" t="str">
        <x:f>'Employee Attendance'!A216</x:f>
        <x:v>Jeffrey Koo</x:v>
      </x:c>
      <x:c r="B645" t="str">
        <x:f>'Employee Attendance'!B216</x:f>
        <x:v>Mauritius</x:v>
      </x:c>
      <x:c r="C645" t="str">
        <x:f>'Employee Attendance'!C216</x:f>
        <x:v>MU</x:v>
      </x:c>
      <x:c r="D645" t="str">
        <x:f>'Employee Attendance'!D216</x:f>
        <x:v>jeffrey.koo@pwc.com</x:v>
      </x:c>
      <x:c r="E645" t="str">
        <x:f>"Option 2"</x:f>
        <x:v>Option 2</x:v>
      </x:c>
      <x:c r="F645" s="14" t="n">
        <x:f>'Employee Attendance'!G216</x:f>
        <x:v>0</x:v>
      </x:c>
      <x:c r="G645" t="n">
        <x:f>F645*86400</x:f>
        <x:v>0</x:v>
      </x:c>
      <x:c r="H645" t="str">
        <x:f>'Employee Attendance'!H216</x:f>
        <x:v>Did not attend</x:v>
      </x:c>
      <x:c r="I645" t="str">
        <x:f>'Employee Attendance'!L216</x:f>
        <x:v>No</x:v>
      </x:c>
    </x:row>
    <x:row r="646">
      <x:c r="A646" t="str">
        <x:f>'Employee Attendance'!A216</x:f>
        <x:v>Jeffrey Koo</x:v>
      </x:c>
      <x:c r="B646" t="str">
        <x:f>'Employee Attendance'!B216</x:f>
        <x:v>Mauritius</x:v>
      </x:c>
      <x:c r="C646" t="str">
        <x:f>'Employee Attendance'!C216</x:f>
        <x:v>MU</x:v>
      </x:c>
      <x:c r="D646" t="str">
        <x:f>'Employee Attendance'!D216</x:f>
        <x:v>jeffrey.koo@pwc.com</x:v>
      </x:c>
      <x:c r="E646" t="str">
        <x:f>"Combined"</x:f>
        <x:v>Combined</x:v>
      </x:c>
      <x:c r="F646" s="14" t="n">
        <x:f>'Employee Attendance'!I216</x:f>
        <x:v>0.05918981481481481</x:v>
      </x:c>
      <x:c r="G646" t="n">
        <x:f>F646*86400</x:f>
        <x:v>5114</x:v>
      </x:c>
      <x:c r="H646" t="str">
        <x:f>'Employee Attendance'!J216</x:f>
        <x:v>Partially attended</x:v>
      </x:c>
      <x:c r="I646" t="str">
        <x:f>IF(OR('Employee Attendance'!K216="Yes",'Employee Attendance'!L216="Yes"),"Yes","No")</x:f>
        <x:v>Yes</x:v>
      </x:c>
    </x:row>
    <x:row r="647">
      <x:c r="A647" t="str">
        <x:f>'Employee Attendance'!A217</x:f>
        <x:v>Jeremiah Musembi</x:v>
      </x:c>
      <x:c r="B647" t="str">
        <x:f>'Employee Attendance'!B217</x:f>
        <x:v>Kenya</x:v>
      </x:c>
      <x:c r="C647" t="str">
        <x:f>'Employee Attendance'!C217</x:f>
        <x:v>KE</x:v>
      </x:c>
      <x:c r="D647" t="str">
        <x:f>'Employee Attendance'!D217</x:f>
        <x:v>jeremiah.musembi@pwc.com</x:v>
      </x:c>
      <x:c r="E647" t="str">
        <x:f>"Option 1"</x:f>
        <x:v>Option 1</x:v>
      </x:c>
      <x:c r="F647" s="14" t="n">
        <x:f>'Employee Attendance'!E217</x:f>
        <x:v>0.023078703703703702</x:v>
      </x:c>
      <x:c r="G647" t="n">
        <x:f>F647*86400</x:f>
        <x:v>1993.9999999999998</x:v>
      </x:c>
      <x:c r="H647" t="str">
        <x:f>'Employee Attendance'!F217</x:f>
        <x:v>Partially attended</x:v>
      </x:c>
      <x:c r="I647" t="str">
        <x:f>'Employee Attendance'!K217</x:f>
        <x:v>Yes</x:v>
      </x:c>
    </x:row>
    <x:row r="648">
      <x:c r="A648" t="str">
        <x:f>'Employee Attendance'!A217</x:f>
        <x:v>Jeremiah Musembi</x:v>
      </x:c>
      <x:c r="B648" t="str">
        <x:f>'Employee Attendance'!B217</x:f>
        <x:v>Kenya</x:v>
      </x:c>
      <x:c r="C648" t="str">
        <x:f>'Employee Attendance'!C217</x:f>
        <x:v>KE</x:v>
      </x:c>
      <x:c r="D648" t="str">
        <x:f>'Employee Attendance'!D217</x:f>
        <x:v>jeremiah.musembi@pwc.com</x:v>
      </x:c>
      <x:c r="E648" t="str">
        <x:f>"Option 2"</x:f>
        <x:v>Option 2</x:v>
      </x:c>
      <x:c r="F648" s="14" t="n">
        <x:f>'Employee Attendance'!G217</x:f>
        <x:v>0</x:v>
      </x:c>
      <x:c r="G648" t="n">
        <x:f>F648*86400</x:f>
        <x:v>0</x:v>
      </x:c>
      <x:c r="H648" t="str">
        <x:f>'Employee Attendance'!H217</x:f>
        <x:v>Did not attend</x:v>
      </x:c>
      <x:c r="I648" t="str">
        <x:f>'Employee Attendance'!L217</x:f>
        <x:v>No</x:v>
      </x:c>
    </x:row>
    <x:row r="649">
      <x:c r="A649" t="str">
        <x:f>'Employee Attendance'!A217</x:f>
        <x:v>Jeremiah Musembi</x:v>
      </x:c>
      <x:c r="B649" t="str">
        <x:f>'Employee Attendance'!B217</x:f>
        <x:v>Kenya</x:v>
      </x:c>
      <x:c r="C649" t="str">
        <x:f>'Employee Attendance'!C217</x:f>
        <x:v>KE</x:v>
      </x:c>
      <x:c r="D649" t="str">
        <x:f>'Employee Attendance'!D217</x:f>
        <x:v>jeremiah.musembi@pwc.com</x:v>
      </x:c>
      <x:c r="E649" t="str">
        <x:f>"Combined"</x:f>
        <x:v>Combined</x:v>
      </x:c>
      <x:c r="F649" s="14" t="n">
        <x:f>'Employee Attendance'!I217</x:f>
        <x:v>0.023078703703703702</x:v>
      </x:c>
      <x:c r="G649" t="n">
        <x:f>F649*86400</x:f>
        <x:v>1993.9999999999998</x:v>
      </x:c>
      <x:c r="H649" t="str">
        <x:f>'Employee Attendance'!J217</x:f>
        <x:v>Partially attended</x:v>
      </x:c>
      <x:c r="I649" t="str">
        <x:f>IF(OR('Employee Attendance'!K217="Yes",'Employee Attendance'!L217="Yes"),"Yes","No")</x:f>
        <x:v>Yes</x:v>
      </x:c>
    </x:row>
    <x:row r="650">
      <x:c r="A650" t="str">
        <x:f>'Employee Attendance'!A218</x:f>
        <x:v>Jeremiah Ruita</x:v>
      </x:c>
      <x:c r="B650" t="str">
        <x:f>'Employee Attendance'!B218</x:f>
        <x:v>Kenya</x:v>
      </x:c>
      <x:c r="C650" t="str">
        <x:f>'Employee Attendance'!C218</x:f>
        <x:v>KE</x:v>
      </x:c>
      <x:c r="D650" t="str">
        <x:f>'Employee Attendance'!D218</x:f>
        <x:v>jeremiah.ruita@pwc.com</x:v>
      </x:c>
      <x:c r="E650" t="str">
        <x:f>"Option 1"</x:f>
        <x:v>Option 1</x:v>
      </x:c>
      <x:c r="F650" s="14" t="n">
        <x:f>'Employee Attendance'!E218</x:f>
        <x:v>0</x:v>
      </x:c>
      <x:c r="G650" t="n">
        <x:f>F650*86400</x:f>
        <x:v>0</x:v>
      </x:c>
      <x:c r="H650" t="str">
        <x:f>'Employee Attendance'!F218</x:f>
        <x:v>Did not attend</x:v>
      </x:c>
      <x:c r="I650" t="str">
        <x:f>'Employee Attendance'!K218</x:f>
        <x:v>No</x:v>
      </x:c>
    </x:row>
    <x:row r="651">
      <x:c r="A651" t="str">
        <x:f>'Employee Attendance'!A218</x:f>
        <x:v>Jeremiah Ruita</x:v>
      </x:c>
      <x:c r="B651" t="str">
        <x:f>'Employee Attendance'!B218</x:f>
        <x:v>Kenya</x:v>
      </x:c>
      <x:c r="C651" t="str">
        <x:f>'Employee Attendance'!C218</x:f>
        <x:v>KE</x:v>
      </x:c>
      <x:c r="D651" t="str">
        <x:f>'Employee Attendance'!D218</x:f>
        <x:v>jeremiah.ruita@pwc.com</x:v>
      </x:c>
      <x:c r="E651" t="str">
        <x:f>"Option 2"</x:f>
        <x:v>Option 2</x:v>
      </x:c>
      <x:c r="F651" s="14" t="n">
        <x:f>'Employee Attendance'!G218</x:f>
        <x:v>0.08289351851851852</x:v>
      </x:c>
      <x:c r="G651" t="n">
        <x:f>F651*86400</x:f>
        <x:v>7162</x:v>
      </x:c>
      <x:c r="H651" t="str">
        <x:f>'Employee Attendance'!H218</x:f>
        <x:v>Fully attended</x:v>
      </x:c>
      <x:c r="I651" t="str">
        <x:f>'Employee Attendance'!L218</x:f>
        <x:v>Yes</x:v>
      </x:c>
    </x:row>
    <x:row r="652">
      <x:c r="A652" t="str">
        <x:f>'Employee Attendance'!A218</x:f>
        <x:v>Jeremiah Ruita</x:v>
      </x:c>
      <x:c r="B652" t="str">
        <x:f>'Employee Attendance'!B218</x:f>
        <x:v>Kenya</x:v>
      </x:c>
      <x:c r="C652" t="str">
        <x:f>'Employee Attendance'!C218</x:f>
        <x:v>KE</x:v>
      </x:c>
      <x:c r="D652" t="str">
        <x:f>'Employee Attendance'!D218</x:f>
        <x:v>jeremiah.ruita@pwc.com</x:v>
      </x:c>
      <x:c r="E652" t="str">
        <x:f>"Combined"</x:f>
        <x:v>Combined</x:v>
      </x:c>
      <x:c r="F652" s="14" t="n">
        <x:f>'Employee Attendance'!I218</x:f>
        <x:v>0.08289351851851852</x:v>
      </x:c>
      <x:c r="G652" t="n">
        <x:f>F652*86400</x:f>
        <x:v>7162</x:v>
      </x:c>
      <x:c r="H652" t="str">
        <x:f>'Employee Attendance'!J218</x:f>
        <x:v>Fully attended</x:v>
      </x:c>
      <x:c r="I652" t="str">
        <x:f>IF(OR('Employee Attendance'!K218="Yes",'Employee Attendance'!L218="Yes"),"Yes","No")</x:f>
        <x:v>Yes</x:v>
      </x:c>
    </x:row>
    <x:row r="653">
      <x:c r="A653" t="str">
        <x:f>'Employee Attendance'!A219</x:f>
        <x:v>Jessina Galchoolah</x:v>
      </x:c>
      <x:c r="B653" t="str">
        <x:f>'Employee Attendance'!B219</x:f>
        <x:v>Mauritius</x:v>
      </x:c>
      <x:c r="C653" t="str">
        <x:f>'Employee Attendance'!C219</x:f>
        <x:v>MU</x:v>
      </x:c>
      <x:c r="D653" t="str">
        <x:f>'Employee Attendance'!D219</x:f>
        <x:v>jessina.galchoolah@pwc.com</x:v>
      </x:c>
      <x:c r="E653" t="str">
        <x:f>"Option 1"</x:f>
        <x:v>Option 1</x:v>
      </x:c>
      <x:c r="F653" s="14" t="n">
        <x:f>'Employee Attendance'!E219</x:f>
        <x:v>0</x:v>
      </x:c>
      <x:c r="G653" t="n">
        <x:f>F653*86400</x:f>
        <x:v>0</x:v>
      </x:c>
      <x:c r="H653" t="str">
        <x:f>'Employee Attendance'!F219</x:f>
        <x:v>Did not attend</x:v>
      </x:c>
      <x:c r="I653" t="str">
        <x:f>'Employee Attendance'!K219</x:f>
        <x:v>No</x:v>
      </x:c>
    </x:row>
    <x:row r="654">
      <x:c r="A654" t="str">
        <x:f>'Employee Attendance'!A219</x:f>
        <x:v>Jessina Galchoolah</x:v>
      </x:c>
      <x:c r="B654" t="str">
        <x:f>'Employee Attendance'!B219</x:f>
        <x:v>Mauritius</x:v>
      </x:c>
      <x:c r="C654" t="str">
        <x:f>'Employee Attendance'!C219</x:f>
        <x:v>MU</x:v>
      </x:c>
      <x:c r="D654" t="str">
        <x:f>'Employee Attendance'!D219</x:f>
        <x:v>jessina.galchoolah@pwc.com</x:v>
      </x:c>
      <x:c r="E654" t="str">
        <x:f>"Option 2"</x:f>
        <x:v>Option 2</x:v>
      </x:c>
      <x:c r="F654" s="14" t="n">
        <x:f>'Employee Attendance'!G219</x:f>
        <x:v>0</x:v>
      </x:c>
      <x:c r="G654" t="n">
        <x:f>F654*86400</x:f>
        <x:v>0</x:v>
      </x:c>
      <x:c r="H654" t="str">
        <x:f>'Employee Attendance'!H219</x:f>
        <x:v>Did not attend</x:v>
      </x:c>
      <x:c r="I654" t="str">
        <x:f>'Employee Attendance'!L219</x:f>
        <x:v>No</x:v>
      </x:c>
    </x:row>
    <x:row r="655">
      <x:c r="A655" t="str">
        <x:f>'Employee Attendance'!A219</x:f>
        <x:v>Jessina Galchoolah</x:v>
      </x:c>
      <x:c r="B655" t="str">
        <x:f>'Employee Attendance'!B219</x:f>
        <x:v>Mauritius</x:v>
      </x:c>
      <x:c r="C655" t="str">
        <x:f>'Employee Attendance'!C219</x:f>
        <x:v>MU</x:v>
      </x:c>
      <x:c r="D655" t="str">
        <x:f>'Employee Attendance'!D219</x:f>
        <x:v>jessina.galchoolah@pwc.com</x:v>
      </x:c>
      <x:c r="E655" t="str">
        <x:f>"Combined"</x:f>
        <x:v>Combined</x:v>
      </x:c>
      <x:c r="F655" s="14" t="n">
        <x:f>'Employee Attendance'!I219</x:f>
        <x:v>0</x:v>
      </x:c>
      <x:c r="G655" t="n">
        <x:f>F655*86400</x:f>
        <x:v>0</x:v>
      </x:c>
      <x:c r="H655" t="str">
        <x:f>'Employee Attendance'!J219</x:f>
        <x:v>Did not attend</x:v>
      </x:c>
      <x:c r="I655" t="str">
        <x:f>IF(OR('Employee Attendance'!K219="Yes",'Employee Attendance'!L219="Yes"),"Yes","No")</x:f>
        <x:v>No</x:v>
      </x:c>
    </x:row>
    <x:row r="656">
      <x:c r="A656" t="str">
        <x:f>'Employee Attendance'!A220</x:f>
        <x:v>Joan Letasi</x:v>
      </x:c>
      <x:c r="B656" t="str">
        <x:f>'Employee Attendance'!B220</x:f>
        <x:v>Uganda</x:v>
      </x:c>
      <x:c r="C656" t="str">
        <x:f>'Employee Attendance'!C220</x:f>
        <x:v>UG</x:v>
      </x:c>
      <x:c r="D656" t="str">
        <x:f>'Employee Attendance'!D220</x:f>
        <x:v>joan.letasi@pwc.com</x:v>
      </x:c>
      <x:c r="E656" t="str">
        <x:f>"Option 1"</x:f>
        <x:v>Option 1</x:v>
      </x:c>
      <x:c r="F656" s="14" t="n">
        <x:f>'Employee Attendance'!E220</x:f>
        <x:v>0</x:v>
      </x:c>
      <x:c r="G656" t="n">
        <x:f>F656*86400</x:f>
        <x:v>0</x:v>
      </x:c>
      <x:c r="H656" t="str">
        <x:f>'Employee Attendance'!F220</x:f>
        <x:v>Did not attend</x:v>
      </x:c>
      <x:c r="I656" t="str">
        <x:f>'Employee Attendance'!K220</x:f>
        <x:v>No</x:v>
      </x:c>
    </x:row>
    <x:row r="657">
      <x:c r="A657" t="str">
        <x:f>'Employee Attendance'!A220</x:f>
        <x:v>Joan Letasi</x:v>
      </x:c>
      <x:c r="B657" t="str">
        <x:f>'Employee Attendance'!B220</x:f>
        <x:v>Uganda</x:v>
      </x:c>
      <x:c r="C657" t="str">
        <x:f>'Employee Attendance'!C220</x:f>
        <x:v>UG</x:v>
      </x:c>
      <x:c r="D657" t="str">
        <x:f>'Employee Attendance'!D220</x:f>
        <x:v>joan.letasi@pwc.com</x:v>
      </x:c>
      <x:c r="E657" t="str">
        <x:f>"Option 2"</x:f>
        <x:v>Option 2</x:v>
      </x:c>
      <x:c r="F657" s="14" t="n">
        <x:f>'Employee Attendance'!G220</x:f>
        <x:v>0</x:v>
      </x:c>
      <x:c r="G657" t="n">
        <x:f>F657*86400</x:f>
        <x:v>0</x:v>
      </x:c>
      <x:c r="H657" t="str">
        <x:f>'Employee Attendance'!H220</x:f>
        <x:v>Did not attend</x:v>
      </x:c>
      <x:c r="I657" t="str">
        <x:f>'Employee Attendance'!L220</x:f>
        <x:v>No</x:v>
      </x:c>
    </x:row>
    <x:row r="658">
      <x:c r="A658" t="str">
        <x:f>'Employee Attendance'!A220</x:f>
        <x:v>Joan Letasi</x:v>
      </x:c>
      <x:c r="B658" t="str">
        <x:f>'Employee Attendance'!B220</x:f>
        <x:v>Uganda</x:v>
      </x:c>
      <x:c r="C658" t="str">
        <x:f>'Employee Attendance'!C220</x:f>
        <x:v>UG</x:v>
      </x:c>
      <x:c r="D658" t="str">
        <x:f>'Employee Attendance'!D220</x:f>
        <x:v>joan.letasi@pwc.com</x:v>
      </x:c>
      <x:c r="E658" t="str">
        <x:f>"Combined"</x:f>
        <x:v>Combined</x:v>
      </x:c>
      <x:c r="F658" s="14" t="n">
        <x:f>'Employee Attendance'!I220</x:f>
        <x:v>0</x:v>
      </x:c>
      <x:c r="G658" t="n">
        <x:f>F658*86400</x:f>
        <x:v>0</x:v>
      </x:c>
      <x:c r="H658" t="str">
        <x:f>'Employee Attendance'!J220</x:f>
        <x:v>Did not attend</x:v>
      </x:c>
      <x:c r="I658" t="str">
        <x:f>IF(OR('Employee Attendance'!K220="Yes",'Employee Attendance'!L220="Yes"),"Yes","No")</x:f>
        <x:v>No</x:v>
      </x:c>
    </x:row>
    <x:row r="659">
      <x:c r="A659" t="str">
        <x:f>'Employee Attendance'!A221</x:f>
        <x:v>Joan Maina</x:v>
      </x:c>
      <x:c r="B659" t="str">
        <x:f>'Employee Attendance'!B221</x:f>
        <x:v>Kenya</x:v>
      </x:c>
      <x:c r="C659" t="str">
        <x:f>'Employee Attendance'!C221</x:f>
        <x:v>KE</x:v>
      </x:c>
      <x:c r="D659" t="str">
        <x:f>'Employee Attendance'!D221</x:f>
        <x:v>joan.maina@pwc.com</x:v>
      </x:c>
      <x:c r="E659" t="str">
        <x:f>"Option 1"</x:f>
        <x:v>Option 1</x:v>
      </x:c>
      <x:c r="F659" s="14" t="n">
        <x:f>'Employee Attendance'!E221</x:f>
        <x:v>0.05170138888888889</x:v>
      </x:c>
      <x:c r="G659" t="n">
        <x:f>F659*86400</x:f>
        <x:v>4467</x:v>
      </x:c>
      <x:c r="H659" t="str">
        <x:f>'Employee Attendance'!F221</x:f>
        <x:v>Partially attended</x:v>
      </x:c>
      <x:c r="I659" t="str">
        <x:f>'Employee Attendance'!K221</x:f>
        <x:v>Yes</x:v>
      </x:c>
    </x:row>
    <x:row r="660">
      <x:c r="A660" t="str">
        <x:f>'Employee Attendance'!A221</x:f>
        <x:v>Joan Maina</x:v>
      </x:c>
      <x:c r="B660" t="str">
        <x:f>'Employee Attendance'!B221</x:f>
        <x:v>Kenya</x:v>
      </x:c>
      <x:c r="C660" t="str">
        <x:f>'Employee Attendance'!C221</x:f>
        <x:v>KE</x:v>
      </x:c>
      <x:c r="D660" t="str">
        <x:f>'Employee Attendance'!D221</x:f>
        <x:v>joan.maina@pwc.com</x:v>
      </x:c>
      <x:c r="E660" t="str">
        <x:f>"Option 2"</x:f>
        <x:v>Option 2</x:v>
      </x:c>
      <x:c r="F660" s="14" t="n">
        <x:f>'Employee Attendance'!G221</x:f>
        <x:v>0</x:v>
      </x:c>
      <x:c r="G660" t="n">
        <x:f>F660*86400</x:f>
        <x:v>0</x:v>
      </x:c>
      <x:c r="H660" t="str">
        <x:f>'Employee Attendance'!H221</x:f>
        <x:v>Did not attend</x:v>
      </x:c>
      <x:c r="I660" t="str">
        <x:f>'Employee Attendance'!L221</x:f>
        <x:v>No</x:v>
      </x:c>
    </x:row>
    <x:row r="661">
      <x:c r="A661" t="str">
        <x:f>'Employee Attendance'!A221</x:f>
        <x:v>Joan Maina</x:v>
      </x:c>
      <x:c r="B661" t="str">
        <x:f>'Employee Attendance'!B221</x:f>
        <x:v>Kenya</x:v>
      </x:c>
      <x:c r="C661" t="str">
        <x:f>'Employee Attendance'!C221</x:f>
        <x:v>KE</x:v>
      </x:c>
      <x:c r="D661" t="str">
        <x:f>'Employee Attendance'!D221</x:f>
        <x:v>joan.maina@pwc.com</x:v>
      </x:c>
      <x:c r="E661" t="str">
        <x:f>"Combined"</x:f>
        <x:v>Combined</x:v>
      </x:c>
      <x:c r="F661" s="14" t="n">
        <x:f>'Employee Attendance'!I221</x:f>
        <x:v>0.05170138888888889</x:v>
      </x:c>
      <x:c r="G661" t="n">
        <x:f>F661*86400</x:f>
        <x:v>4467</x:v>
      </x:c>
      <x:c r="H661" t="str">
        <x:f>'Employee Attendance'!J221</x:f>
        <x:v>Partially attended</x:v>
      </x:c>
      <x:c r="I661" t="str">
        <x:f>IF(OR('Employee Attendance'!K221="Yes",'Employee Attendance'!L221="Yes"),"Yes","No")</x:f>
        <x:v>Yes</x:v>
      </x:c>
    </x:row>
    <x:row r="662">
      <x:c r="A662" t="str">
        <x:f>'Employee Attendance'!A222</x:f>
        <x:v>Job Ngunu</x:v>
      </x:c>
      <x:c r="B662" t="str">
        <x:f>'Employee Attendance'!B222</x:f>
        <x:v>Kenya</x:v>
      </x:c>
      <x:c r="C662" t="str">
        <x:f>'Employee Attendance'!C222</x:f>
        <x:v>KE</x:v>
      </x:c>
      <x:c r="D662" t="str">
        <x:f>'Employee Attendance'!D222</x:f>
        <x:v>job.ngunu@pwc.com</x:v>
      </x:c>
      <x:c r="E662" t="str">
        <x:f>"Option 1"</x:f>
        <x:v>Option 1</x:v>
      </x:c>
      <x:c r="F662" s="14" t="n">
        <x:f>'Employee Attendance'!E222</x:f>
        <x:v>0.08074074074074074</x:v>
      </x:c>
      <x:c r="G662" t="n">
        <x:f>F662*86400</x:f>
        <x:v>6976</x:v>
      </x:c>
      <x:c r="H662" t="str">
        <x:f>'Employee Attendance'!F222</x:f>
        <x:v>Fully attended</x:v>
      </x:c>
      <x:c r="I662" t="str">
        <x:f>'Employee Attendance'!K222</x:f>
        <x:v>Yes</x:v>
      </x:c>
    </x:row>
    <x:row r="663">
      <x:c r="A663" t="str">
        <x:f>'Employee Attendance'!A222</x:f>
        <x:v>Job Ngunu</x:v>
      </x:c>
      <x:c r="B663" t="str">
        <x:f>'Employee Attendance'!B222</x:f>
        <x:v>Kenya</x:v>
      </x:c>
      <x:c r="C663" t="str">
        <x:f>'Employee Attendance'!C222</x:f>
        <x:v>KE</x:v>
      </x:c>
      <x:c r="D663" t="str">
        <x:f>'Employee Attendance'!D222</x:f>
        <x:v>job.ngunu@pwc.com</x:v>
      </x:c>
      <x:c r="E663" t="str">
        <x:f>"Option 2"</x:f>
        <x:v>Option 2</x:v>
      </x:c>
      <x:c r="F663" s="14" t="n">
        <x:f>'Employee Attendance'!G222</x:f>
        <x:v>0</x:v>
      </x:c>
      <x:c r="G663" t="n">
        <x:f>F663*86400</x:f>
        <x:v>0</x:v>
      </x:c>
      <x:c r="H663" t="str">
        <x:f>'Employee Attendance'!H222</x:f>
        <x:v>Did not attend</x:v>
      </x:c>
      <x:c r="I663" t="str">
        <x:f>'Employee Attendance'!L222</x:f>
        <x:v>No</x:v>
      </x:c>
    </x:row>
    <x:row r="664">
      <x:c r="A664" t="str">
        <x:f>'Employee Attendance'!A222</x:f>
        <x:v>Job Ngunu</x:v>
      </x:c>
      <x:c r="B664" t="str">
        <x:f>'Employee Attendance'!B222</x:f>
        <x:v>Kenya</x:v>
      </x:c>
      <x:c r="C664" t="str">
        <x:f>'Employee Attendance'!C222</x:f>
        <x:v>KE</x:v>
      </x:c>
      <x:c r="D664" t="str">
        <x:f>'Employee Attendance'!D222</x:f>
        <x:v>job.ngunu@pwc.com</x:v>
      </x:c>
      <x:c r="E664" t="str">
        <x:f>"Combined"</x:f>
        <x:v>Combined</x:v>
      </x:c>
      <x:c r="F664" s="14" t="n">
        <x:f>'Employee Attendance'!I222</x:f>
        <x:v>0.08074074074074074</x:v>
      </x:c>
      <x:c r="G664" t="n">
        <x:f>F664*86400</x:f>
        <x:v>6976</x:v>
      </x:c>
      <x:c r="H664" t="str">
        <x:f>'Employee Attendance'!J222</x:f>
        <x:v>Fully attended</x:v>
      </x:c>
      <x:c r="I664" t="str">
        <x:f>IF(OR('Employee Attendance'!K222="Yes",'Employee Attendance'!L222="Yes"),"Yes","No")</x:f>
        <x:v>Yes</x:v>
      </x:c>
    </x:row>
    <x:row r="665">
      <x:c r="A665" t="str">
        <x:f>'Employee Attendance'!A223</x:f>
        <x:v>Jocelyn Batanyita</x:v>
      </x:c>
      <x:c r="B665" t="str">
        <x:f>'Employee Attendance'!B223</x:f>
        <x:v>Tanzania</x:v>
      </x:c>
      <x:c r="C665" t="str">
        <x:f>'Employee Attendance'!C223</x:f>
        <x:v>TZ</x:v>
      </x:c>
      <x:c r="D665" t="str">
        <x:f>'Employee Attendance'!D223</x:f>
        <x:v>jocelyn.batanyita@pwc.com</x:v>
      </x:c>
      <x:c r="E665" t="str">
        <x:f>"Option 1"</x:f>
        <x:v>Option 1</x:v>
      </x:c>
      <x:c r="F665" s="14" t="n">
        <x:f>'Employee Attendance'!E223</x:f>
        <x:v>0</x:v>
      </x:c>
      <x:c r="G665" t="n">
        <x:f>F665*86400</x:f>
        <x:v>0</x:v>
      </x:c>
      <x:c r="H665" t="str">
        <x:f>'Employee Attendance'!F223</x:f>
        <x:v>Did not attend</x:v>
      </x:c>
      <x:c r="I665" t="str">
        <x:f>'Employee Attendance'!K223</x:f>
        <x:v>No</x:v>
      </x:c>
    </x:row>
    <x:row r="666">
      <x:c r="A666" t="str">
        <x:f>'Employee Attendance'!A223</x:f>
        <x:v>Jocelyn Batanyita</x:v>
      </x:c>
      <x:c r="B666" t="str">
        <x:f>'Employee Attendance'!B223</x:f>
        <x:v>Tanzania</x:v>
      </x:c>
      <x:c r="C666" t="str">
        <x:f>'Employee Attendance'!C223</x:f>
        <x:v>TZ</x:v>
      </x:c>
      <x:c r="D666" t="str">
        <x:f>'Employee Attendance'!D223</x:f>
        <x:v>jocelyn.batanyita@pwc.com</x:v>
      </x:c>
      <x:c r="E666" t="str">
        <x:f>"Option 2"</x:f>
        <x:v>Option 2</x:v>
      </x:c>
      <x:c r="F666" s="14" t="n">
        <x:f>'Employee Attendance'!G223</x:f>
        <x:v>0.08831018518518519</x:v>
      </x:c>
      <x:c r="G666" t="n">
        <x:f>F666*86400</x:f>
        <x:v>7630</x:v>
      </x:c>
      <x:c r="H666" t="str">
        <x:f>'Employee Attendance'!H223</x:f>
        <x:v>Fully attended</x:v>
      </x:c>
      <x:c r="I666" t="str">
        <x:f>'Employee Attendance'!L223</x:f>
        <x:v>Yes</x:v>
      </x:c>
    </x:row>
    <x:row r="667">
      <x:c r="A667" t="str">
        <x:f>'Employee Attendance'!A223</x:f>
        <x:v>Jocelyn Batanyita</x:v>
      </x:c>
      <x:c r="B667" t="str">
        <x:f>'Employee Attendance'!B223</x:f>
        <x:v>Tanzania</x:v>
      </x:c>
      <x:c r="C667" t="str">
        <x:f>'Employee Attendance'!C223</x:f>
        <x:v>TZ</x:v>
      </x:c>
      <x:c r="D667" t="str">
        <x:f>'Employee Attendance'!D223</x:f>
        <x:v>jocelyn.batanyita@pwc.com</x:v>
      </x:c>
      <x:c r="E667" t="str">
        <x:f>"Combined"</x:f>
        <x:v>Combined</x:v>
      </x:c>
      <x:c r="F667" s="14" t="n">
        <x:f>'Employee Attendance'!I223</x:f>
        <x:v>0.08831018518518519</x:v>
      </x:c>
      <x:c r="G667" t="n">
        <x:f>F667*86400</x:f>
        <x:v>7630</x:v>
      </x:c>
      <x:c r="H667" t="str">
        <x:f>'Employee Attendance'!J223</x:f>
        <x:v>Fully attended</x:v>
      </x:c>
      <x:c r="I667" t="str">
        <x:f>IF(OR('Employee Attendance'!K223="Yes",'Employee Attendance'!L223="Yes"),"Yes","No")</x:f>
        <x:v>Yes</x:v>
      </x:c>
    </x:row>
    <x:row r="668">
      <x:c r="A668" t="str">
        <x:f>'Employee Attendance'!A224</x:f>
        <x:v>Joe Manyalla</x:v>
      </x:c>
      <x:c r="B668" t="str">
        <x:f>'Employee Attendance'!B224</x:f>
        <x:v>Tanzania</x:v>
      </x:c>
      <x:c r="C668" t="str">
        <x:f>'Employee Attendance'!C224</x:f>
        <x:v>TZ</x:v>
      </x:c>
      <x:c r="D668" t="str">
        <x:f>'Employee Attendance'!D224</x:f>
        <x:v>joe.manyalla@pwc.com</x:v>
      </x:c>
      <x:c r="E668" t="str">
        <x:f>"Option 1"</x:f>
        <x:v>Option 1</x:v>
      </x:c>
      <x:c r="F668" s="14" t="n">
        <x:f>'Employee Attendance'!E224</x:f>
        <x:v>0.08288194444444444</x:v>
      </x:c>
      <x:c r="G668" t="n">
        <x:f>F668*86400</x:f>
        <x:v>7160.999999999999</x:v>
      </x:c>
      <x:c r="H668" t="str">
        <x:f>'Employee Attendance'!F224</x:f>
        <x:v>Fully attended</x:v>
      </x:c>
      <x:c r="I668" t="str">
        <x:f>'Employee Attendance'!K224</x:f>
        <x:v>Yes</x:v>
      </x:c>
    </x:row>
    <x:row r="669">
      <x:c r="A669" t="str">
        <x:f>'Employee Attendance'!A224</x:f>
        <x:v>Joe Manyalla</x:v>
      </x:c>
      <x:c r="B669" t="str">
        <x:f>'Employee Attendance'!B224</x:f>
        <x:v>Tanzania</x:v>
      </x:c>
      <x:c r="C669" t="str">
        <x:f>'Employee Attendance'!C224</x:f>
        <x:v>TZ</x:v>
      </x:c>
      <x:c r="D669" t="str">
        <x:f>'Employee Attendance'!D224</x:f>
        <x:v>joe.manyalla@pwc.com</x:v>
      </x:c>
      <x:c r="E669" t="str">
        <x:f>"Option 2"</x:f>
        <x:v>Option 2</x:v>
      </x:c>
      <x:c r="F669" s="14" t="n">
        <x:f>'Employee Attendance'!G224</x:f>
        <x:v>0</x:v>
      </x:c>
      <x:c r="G669" t="n">
        <x:f>F669*86400</x:f>
        <x:v>0</x:v>
      </x:c>
      <x:c r="H669" t="str">
        <x:f>'Employee Attendance'!H224</x:f>
        <x:v>Did not attend</x:v>
      </x:c>
      <x:c r="I669" t="str">
        <x:f>'Employee Attendance'!L224</x:f>
        <x:v>No</x:v>
      </x:c>
    </x:row>
    <x:row r="670">
      <x:c r="A670" t="str">
        <x:f>'Employee Attendance'!A224</x:f>
        <x:v>Joe Manyalla</x:v>
      </x:c>
      <x:c r="B670" t="str">
        <x:f>'Employee Attendance'!B224</x:f>
        <x:v>Tanzania</x:v>
      </x:c>
      <x:c r="C670" t="str">
        <x:f>'Employee Attendance'!C224</x:f>
        <x:v>TZ</x:v>
      </x:c>
      <x:c r="D670" t="str">
        <x:f>'Employee Attendance'!D224</x:f>
        <x:v>joe.manyalla@pwc.com</x:v>
      </x:c>
      <x:c r="E670" t="str">
        <x:f>"Combined"</x:f>
        <x:v>Combined</x:v>
      </x:c>
      <x:c r="F670" s="14" t="n">
        <x:f>'Employee Attendance'!I224</x:f>
        <x:v>0.08288194444444444</x:v>
      </x:c>
      <x:c r="G670" t="n">
        <x:f>F670*86400</x:f>
        <x:v>7160.999999999999</x:v>
      </x:c>
      <x:c r="H670" t="str">
        <x:f>'Employee Attendance'!J224</x:f>
        <x:v>Fully attended</x:v>
      </x:c>
      <x:c r="I670" t="str">
        <x:f>IF(OR('Employee Attendance'!K224="Yes",'Employee Attendance'!L224="Yes"),"Yes","No")</x:f>
        <x:v>Yes</x:v>
      </x:c>
    </x:row>
    <x:row r="671">
      <x:c r="A671" t="str">
        <x:f>'Employee Attendance'!A225</x:f>
        <x:v>Johanne How</x:v>
      </x:c>
      <x:c r="B671" t="str">
        <x:f>'Employee Attendance'!B225</x:f>
        <x:v>Mauritius</x:v>
      </x:c>
      <x:c r="C671" t="str">
        <x:f>'Employee Attendance'!C225</x:f>
        <x:v>MU</x:v>
      </x:c>
      <x:c r="D671" t="str">
        <x:f>'Employee Attendance'!D225</x:f>
        <x:v>how.johanne@pwc.com</x:v>
      </x:c>
      <x:c r="E671" t="str">
        <x:f>"Option 1"</x:f>
        <x:v>Option 1</x:v>
      </x:c>
      <x:c r="F671" s="14" t="n">
        <x:f>'Employee Attendance'!E225</x:f>
        <x:v>0</x:v>
      </x:c>
      <x:c r="G671" t="n">
        <x:f>F671*86400</x:f>
        <x:v>0</x:v>
      </x:c>
      <x:c r="H671" t="str">
        <x:f>'Employee Attendance'!F225</x:f>
        <x:v>Did not attend</x:v>
      </x:c>
      <x:c r="I671" t="str">
        <x:f>'Employee Attendance'!K225</x:f>
        <x:v>No</x:v>
      </x:c>
    </x:row>
    <x:row r="672">
      <x:c r="A672" t="str">
        <x:f>'Employee Attendance'!A225</x:f>
        <x:v>Johanne How</x:v>
      </x:c>
      <x:c r="B672" t="str">
        <x:f>'Employee Attendance'!B225</x:f>
        <x:v>Mauritius</x:v>
      </x:c>
      <x:c r="C672" t="str">
        <x:f>'Employee Attendance'!C225</x:f>
        <x:v>MU</x:v>
      </x:c>
      <x:c r="D672" t="str">
        <x:f>'Employee Attendance'!D225</x:f>
        <x:v>how.johanne@pwc.com</x:v>
      </x:c>
      <x:c r="E672" t="str">
        <x:f>"Option 2"</x:f>
        <x:v>Option 2</x:v>
      </x:c>
      <x:c r="F672" s="14" t="n">
        <x:f>'Employee Attendance'!G225</x:f>
        <x:v>0.08334490740740741</x:v>
      </x:c>
      <x:c r="G672" t="n">
        <x:f>F672*86400</x:f>
        <x:v>7201</x:v>
      </x:c>
      <x:c r="H672" t="str">
        <x:f>'Employee Attendance'!H225</x:f>
        <x:v>Fully attended</x:v>
      </x:c>
      <x:c r="I672" t="str">
        <x:f>'Employee Attendance'!L225</x:f>
        <x:v>Yes</x:v>
      </x:c>
    </x:row>
    <x:row r="673">
      <x:c r="A673" t="str">
        <x:f>'Employee Attendance'!A225</x:f>
        <x:v>Johanne How</x:v>
      </x:c>
      <x:c r="B673" t="str">
        <x:f>'Employee Attendance'!B225</x:f>
        <x:v>Mauritius</x:v>
      </x:c>
      <x:c r="C673" t="str">
        <x:f>'Employee Attendance'!C225</x:f>
        <x:v>MU</x:v>
      </x:c>
      <x:c r="D673" t="str">
        <x:f>'Employee Attendance'!D225</x:f>
        <x:v>how.johanne@pwc.com</x:v>
      </x:c>
      <x:c r="E673" t="str">
        <x:f>"Combined"</x:f>
        <x:v>Combined</x:v>
      </x:c>
      <x:c r="F673" s="14" t="n">
        <x:f>'Employee Attendance'!I225</x:f>
        <x:v>0.08334490740740741</x:v>
      </x:c>
      <x:c r="G673" t="n">
        <x:f>F673*86400</x:f>
        <x:v>7201</x:v>
      </x:c>
      <x:c r="H673" t="str">
        <x:f>'Employee Attendance'!J225</x:f>
        <x:v>Fully attended</x:v>
      </x:c>
      <x:c r="I673" t="str">
        <x:f>IF(OR('Employee Attendance'!K225="Yes",'Employee Attendance'!L225="Yes"),"Yes","No")</x:f>
        <x:v>Yes</x:v>
      </x:c>
    </x:row>
    <x:row r="674">
      <x:c r="A674" t="str">
        <x:f>'Employee Attendance'!A226</x:f>
        <x:v>John Lukwesa</x:v>
      </x:c>
      <x:c r="B674" t="str">
        <x:f>'Employee Attendance'!B226</x:f>
        <x:v>Zambia</x:v>
      </x:c>
      <x:c r="C674" t="str">
        <x:f>'Employee Attendance'!C226</x:f>
        <x:v>ZM</x:v>
      </x:c>
      <x:c r="D674" t="str">
        <x:f>'Employee Attendance'!D226</x:f>
        <x:v>john.lukwesa@pwc.com</x:v>
      </x:c>
      <x:c r="E674" t="str">
        <x:f>"Option 1"</x:f>
        <x:v>Option 1</x:v>
      </x:c>
      <x:c r="F674" s="14" t="n">
        <x:f>'Employee Attendance'!E226</x:f>
        <x:v>0.07450231481481481</x:v>
      </x:c>
      <x:c r="G674" t="n">
        <x:f>F674*86400</x:f>
        <x:v>6437</x:v>
      </x:c>
      <x:c r="H674" t="str">
        <x:f>'Employee Attendance'!F226</x:f>
        <x:v>Fully attended</x:v>
      </x:c>
      <x:c r="I674" t="str">
        <x:f>'Employee Attendance'!K226</x:f>
        <x:v>Yes</x:v>
      </x:c>
    </x:row>
    <x:row r="675">
      <x:c r="A675" t="str">
        <x:f>'Employee Attendance'!A226</x:f>
        <x:v>John Lukwesa</x:v>
      </x:c>
      <x:c r="B675" t="str">
        <x:f>'Employee Attendance'!B226</x:f>
        <x:v>Zambia</x:v>
      </x:c>
      <x:c r="C675" t="str">
        <x:f>'Employee Attendance'!C226</x:f>
        <x:v>ZM</x:v>
      </x:c>
      <x:c r="D675" t="str">
        <x:f>'Employee Attendance'!D226</x:f>
        <x:v>john.lukwesa@pwc.com</x:v>
      </x:c>
      <x:c r="E675" t="str">
        <x:f>"Option 2"</x:f>
        <x:v>Option 2</x:v>
      </x:c>
      <x:c r="F675" s="14" t="n">
        <x:f>'Employee Attendance'!G226</x:f>
        <x:v>0</x:v>
      </x:c>
      <x:c r="G675" t="n">
        <x:f>F675*86400</x:f>
        <x:v>0</x:v>
      </x:c>
      <x:c r="H675" t="str">
        <x:f>'Employee Attendance'!H226</x:f>
        <x:v>Did not attend</x:v>
      </x:c>
      <x:c r="I675" t="str">
        <x:f>'Employee Attendance'!L226</x:f>
        <x:v>No</x:v>
      </x:c>
    </x:row>
    <x:row r="676">
      <x:c r="A676" t="str">
        <x:f>'Employee Attendance'!A226</x:f>
        <x:v>John Lukwesa</x:v>
      </x:c>
      <x:c r="B676" t="str">
        <x:f>'Employee Attendance'!B226</x:f>
        <x:v>Zambia</x:v>
      </x:c>
      <x:c r="C676" t="str">
        <x:f>'Employee Attendance'!C226</x:f>
        <x:v>ZM</x:v>
      </x:c>
      <x:c r="D676" t="str">
        <x:f>'Employee Attendance'!D226</x:f>
        <x:v>john.lukwesa@pwc.com</x:v>
      </x:c>
      <x:c r="E676" t="str">
        <x:f>"Combined"</x:f>
        <x:v>Combined</x:v>
      </x:c>
      <x:c r="F676" s="14" t="n">
        <x:f>'Employee Attendance'!I226</x:f>
        <x:v>0.07450231481481481</x:v>
      </x:c>
      <x:c r="G676" t="n">
        <x:f>F676*86400</x:f>
        <x:v>6437</x:v>
      </x:c>
      <x:c r="H676" t="str">
        <x:f>'Employee Attendance'!J226</x:f>
        <x:v>Fully attended</x:v>
      </x:c>
      <x:c r="I676" t="str">
        <x:f>IF(OR('Employee Attendance'!K226="Yes",'Employee Attendance'!L226="Yes"),"Yes","No")</x:f>
        <x:v>Yes</x:v>
      </x:c>
    </x:row>
    <x:row r="677">
      <x:c r="A677" t="str">
        <x:f>'Employee Attendance'!A227</x:f>
        <x:v>Joseph Kagiri</x:v>
      </x:c>
      <x:c r="B677" t="str">
        <x:f>'Employee Attendance'!B227</x:f>
        <x:v>Kenya</x:v>
      </x:c>
      <x:c r="C677" t="str">
        <x:f>'Employee Attendance'!C227</x:f>
        <x:v>KE</x:v>
      </x:c>
      <x:c r="D677" t="str">
        <x:f>'Employee Attendance'!D227</x:f>
        <x:v>joseph.kagiri@pwc.com</x:v>
      </x:c>
      <x:c r="E677" t="str">
        <x:f>"Option 1"</x:f>
        <x:v>Option 1</x:v>
      </x:c>
      <x:c r="F677" s="14" t="n">
        <x:f>'Employee Attendance'!E227</x:f>
        <x:v>0</x:v>
      </x:c>
      <x:c r="G677" t="n">
        <x:f>F677*86400</x:f>
        <x:v>0</x:v>
      </x:c>
      <x:c r="H677" t="str">
        <x:f>'Employee Attendance'!F227</x:f>
        <x:v>Did not attend</x:v>
      </x:c>
      <x:c r="I677" t="str">
        <x:f>'Employee Attendance'!K227</x:f>
        <x:v>No</x:v>
      </x:c>
    </x:row>
    <x:row r="678">
      <x:c r="A678" t="str">
        <x:f>'Employee Attendance'!A227</x:f>
        <x:v>Joseph Kagiri</x:v>
      </x:c>
      <x:c r="B678" t="str">
        <x:f>'Employee Attendance'!B227</x:f>
        <x:v>Kenya</x:v>
      </x:c>
      <x:c r="C678" t="str">
        <x:f>'Employee Attendance'!C227</x:f>
        <x:v>KE</x:v>
      </x:c>
      <x:c r="D678" t="str">
        <x:f>'Employee Attendance'!D227</x:f>
        <x:v>joseph.kagiri@pwc.com</x:v>
      </x:c>
      <x:c r="E678" t="str">
        <x:f>"Option 2"</x:f>
        <x:v>Option 2</x:v>
      </x:c>
      <x:c r="F678" s="14" t="n">
        <x:f>'Employee Attendance'!G227</x:f>
        <x:v>0.0880787037037037</x:v>
      </x:c>
      <x:c r="G678" t="n">
        <x:f>F678*86400</x:f>
        <x:v>7610</x:v>
      </x:c>
      <x:c r="H678" t="str">
        <x:f>'Employee Attendance'!H227</x:f>
        <x:v>Fully attended</x:v>
      </x:c>
      <x:c r="I678" t="str">
        <x:f>'Employee Attendance'!L227</x:f>
        <x:v>Yes</x:v>
      </x:c>
    </x:row>
    <x:row r="679">
      <x:c r="A679" t="str">
        <x:f>'Employee Attendance'!A227</x:f>
        <x:v>Joseph Kagiri</x:v>
      </x:c>
      <x:c r="B679" t="str">
        <x:f>'Employee Attendance'!B227</x:f>
        <x:v>Kenya</x:v>
      </x:c>
      <x:c r="C679" t="str">
        <x:f>'Employee Attendance'!C227</x:f>
        <x:v>KE</x:v>
      </x:c>
      <x:c r="D679" t="str">
        <x:f>'Employee Attendance'!D227</x:f>
        <x:v>joseph.kagiri@pwc.com</x:v>
      </x:c>
      <x:c r="E679" t="str">
        <x:f>"Combined"</x:f>
        <x:v>Combined</x:v>
      </x:c>
      <x:c r="F679" s="14" t="n">
        <x:f>'Employee Attendance'!I227</x:f>
        <x:v>0.0880787037037037</x:v>
      </x:c>
      <x:c r="G679" t="n">
        <x:f>F679*86400</x:f>
        <x:v>7610</x:v>
      </x:c>
      <x:c r="H679" t="str">
        <x:f>'Employee Attendance'!J227</x:f>
        <x:v>Fully attended</x:v>
      </x:c>
      <x:c r="I679" t="str">
        <x:f>IF(OR('Employee Attendance'!K227="Yes",'Employee Attendance'!L227="Yes"),"Yes","No")</x:f>
        <x:v>Yes</x:v>
      </x:c>
    </x:row>
    <x:row r="680">
      <x:c r="A680" t="str">
        <x:f>'Employee Attendance'!A228</x:f>
        <x:v>Joseph Ndegwa</x:v>
      </x:c>
      <x:c r="B680" t="str">
        <x:f>'Employee Attendance'!B228</x:f>
        <x:v>Kenya</x:v>
      </x:c>
      <x:c r="C680" t="str">
        <x:f>'Employee Attendance'!C228</x:f>
        <x:v>KE</x:v>
      </x:c>
      <x:c r="D680" t="str">
        <x:f>'Employee Attendance'!D228</x:f>
        <x:v>joseph.ndegwa@pwc.com</x:v>
      </x:c>
      <x:c r="E680" t="str">
        <x:f>"Option 1"</x:f>
        <x:v>Option 1</x:v>
      </x:c>
      <x:c r="F680" s="14" t="n">
        <x:f>'Employee Attendance'!E228</x:f>
        <x:v>0.08027777777777778</x:v>
      </x:c>
      <x:c r="G680" t="n">
        <x:f>F680*86400</x:f>
        <x:v>6936</x:v>
      </x:c>
      <x:c r="H680" t="str">
        <x:f>'Employee Attendance'!F228</x:f>
        <x:v>Fully attended</x:v>
      </x:c>
      <x:c r="I680" t="str">
        <x:f>'Employee Attendance'!K228</x:f>
        <x:v>Yes</x:v>
      </x:c>
    </x:row>
    <x:row r="681">
      <x:c r="A681" t="str">
        <x:f>'Employee Attendance'!A228</x:f>
        <x:v>Joseph Ndegwa</x:v>
      </x:c>
      <x:c r="B681" t="str">
        <x:f>'Employee Attendance'!B228</x:f>
        <x:v>Kenya</x:v>
      </x:c>
      <x:c r="C681" t="str">
        <x:f>'Employee Attendance'!C228</x:f>
        <x:v>KE</x:v>
      </x:c>
      <x:c r="D681" t="str">
        <x:f>'Employee Attendance'!D228</x:f>
        <x:v>joseph.ndegwa@pwc.com</x:v>
      </x:c>
      <x:c r="E681" t="str">
        <x:f>"Option 2"</x:f>
        <x:v>Option 2</x:v>
      </x:c>
      <x:c r="F681" s="14" t="n">
        <x:f>'Employee Attendance'!G228</x:f>
        <x:v>0</x:v>
      </x:c>
      <x:c r="G681" t="n">
        <x:f>F681*86400</x:f>
        <x:v>0</x:v>
      </x:c>
      <x:c r="H681" t="str">
        <x:f>'Employee Attendance'!H228</x:f>
        <x:v>Did not attend</x:v>
      </x:c>
      <x:c r="I681" t="str">
        <x:f>'Employee Attendance'!L228</x:f>
        <x:v>No</x:v>
      </x:c>
    </x:row>
    <x:row r="682">
      <x:c r="A682" t="str">
        <x:f>'Employee Attendance'!A228</x:f>
        <x:v>Joseph Ndegwa</x:v>
      </x:c>
      <x:c r="B682" t="str">
        <x:f>'Employee Attendance'!B228</x:f>
        <x:v>Kenya</x:v>
      </x:c>
      <x:c r="C682" t="str">
        <x:f>'Employee Attendance'!C228</x:f>
        <x:v>KE</x:v>
      </x:c>
      <x:c r="D682" t="str">
        <x:f>'Employee Attendance'!D228</x:f>
        <x:v>joseph.ndegwa@pwc.com</x:v>
      </x:c>
      <x:c r="E682" t="str">
        <x:f>"Combined"</x:f>
        <x:v>Combined</x:v>
      </x:c>
      <x:c r="F682" s="14" t="n">
        <x:f>'Employee Attendance'!I228</x:f>
        <x:v>0.08027777777777778</x:v>
      </x:c>
      <x:c r="G682" t="n">
        <x:f>F682*86400</x:f>
        <x:v>6936</x:v>
      </x:c>
      <x:c r="H682" t="str">
        <x:f>'Employee Attendance'!J228</x:f>
        <x:v>Fully attended</x:v>
      </x:c>
      <x:c r="I682" t="str">
        <x:f>IF(OR('Employee Attendance'!K228="Yes",'Employee Attendance'!L228="Yes"),"Yes","No")</x:f>
        <x:v>Yes</x:v>
      </x:c>
    </x:row>
    <x:row r="683">
      <x:c r="A683" t="str">
        <x:f>'Employee Attendance'!A229</x:f>
        <x:v>Joshua Maloba</x:v>
      </x:c>
      <x:c r="B683" t="str">
        <x:f>'Employee Attendance'!B229</x:f>
        <x:v>Kenya</x:v>
      </x:c>
      <x:c r="C683" t="str">
        <x:f>'Employee Attendance'!C229</x:f>
        <x:v>KE</x:v>
      </x:c>
      <x:c r="D683" t="str">
        <x:f>'Employee Attendance'!D229</x:f>
        <x:v>joshua.maloba@pwc.com</x:v>
      </x:c>
      <x:c r="E683" t="str">
        <x:f>"Option 1"</x:f>
        <x:v>Option 1</x:v>
      </x:c>
      <x:c r="F683" s="14" t="n">
        <x:f>'Employee Attendance'!E229</x:f>
        <x:v>0.015231481481481481</x:v>
      </x:c>
      <x:c r="G683" t="n">
        <x:f>F683*86400</x:f>
        <x:v>1316</x:v>
      </x:c>
      <x:c r="H683" t="str">
        <x:f>'Employee Attendance'!F229</x:f>
        <x:v>Partially attended</x:v>
      </x:c>
      <x:c r="I683" t="str">
        <x:f>'Employee Attendance'!K229</x:f>
        <x:v>Yes</x:v>
      </x:c>
    </x:row>
    <x:row r="684">
      <x:c r="A684" t="str">
        <x:f>'Employee Attendance'!A229</x:f>
        <x:v>Joshua Maloba</x:v>
      </x:c>
      <x:c r="B684" t="str">
        <x:f>'Employee Attendance'!B229</x:f>
        <x:v>Kenya</x:v>
      </x:c>
      <x:c r="C684" t="str">
        <x:f>'Employee Attendance'!C229</x:f>
        <x:v>KE</x:v>
      </x:c>
      <x:c r="D684" t="str">
        <x:f>'Employee Attendance'!D229</x:f>
        <x:v>joshua.maloba@pwc.com</x:v>
      </x:c>
      <x:c r="E684" t="str">
        <x:f>"Option 2"</x:f>
        <x:v>Option 2</x:v>
      </x:c>
      <x:c r="F684" s="14" t="n">
        <x:f>'Employee Attendance'!G229</x:f>
        <x:v>0</x:v>
      </x:c>
      <x:c r="G684" t="n">
        <x:f>F684*86400</x:f>
        <x:v>0</x:v>
      </x:c>
      <x:c r="H684" t="str">
        <x:f>'Employee Attendance'!H229</x:f>
        <x:v>Did not attend</x:v>
      </x:c>
      <x:c r="I684" t="str">
        <x:f>'Employee Attendance'!L229</x:f>
        <x:v>No</x:v>
      </x:c>
    </x:row>
    <x:row r="685">
      <x:c r="A685" t="str">
        <x:f>'Employee Attendance'!A229</x:f>
        <x:v>Joshua Maloba</x:v>
      </x:c>
      <x:c r="B685" t="str">
        <x:f>'Employee Attendance'!B229</x:f>
        <x:v>Kenya</x:v>
      </x:c>
      <x:c r="C685" t="str">
        <x:f>'Employee Attendance'!C229</x:f>
        <x:v>KE</x:v>
      </x:c>
      <x:c r="D685" t="str">
        <x:f>'Employee Attendance'!D229</x:f>
        <x:v>joshua.maloba@pwc.com</x:v>
      </x:c>
      <x:c r="E685" t="str">
        <x:f>"Combined"</x:f>
        <x:v>Combined</x:v>
      </x:c>
      <x:c r="F685" s="14" t="n">
        <x:f>'Employee Attendance'!I229</x:f>
        <x:v>0.015231481481481481</x:v>
      </x:c>
      <x:c r="G685" t="n">
        <x:f>F685*86400</x:f>
        <x:v>1316</x:v>
      </x:c>
      <x:c r="H685" t="str">
        <x:f>'Employee Attendance'!J229</x:f>
        <x:v>Partially attended</x:v>
      </x:c>
      <x:c r="I685" t="str">
        <x:f>IF(OR('Employee Attendance'!K229="Yes",'Employee Attendance'!L229="Yes"),"Yes","No")</x:f>
        <x:v>Yes</x:v>
      </x:c>
    </x:row>
    <x:row r="686">
      <x:c r="A686" t="str">
        <x:f>'Employee Attendance'!A230</x:f>
        <x:v>Joshua Massawe</x:v>
      </x:c>
      <x:c r="B686" t="str">
        <x:f>'Employee Attendance'!B230</x:f>
        <x:v>Tanzania</x:v>
      </x:c>
      <x:c r="C686" t="str">
        <x:f>'Employee Attendance'!C230</x:f>
        <x:v>TZ</x:v>
      </x:c>
      <x:c r="D686" t="str">
        <x:f>'Employee Attendance'!D230</x:f>
        <x:v>joshua.massawe@pwc.com</x:v>
      </x:c>
      <x:c r="E686" t="str">
        <x:f>"Option 1"</x:f>
        <x:v>Option 1</x:v>
      </x:c>
      <x:c r="F686" s="14" t="n">
        <x:f>'Employee Attendance'!E230</x:f>
        <x:v>0.059363425925925924</x:v>
      </x:c>
      <x:c r="G686" t="n">
        <x:f>F686*86400</x:f>
        <x:v>5129</x:v>
      </x:c>
      <x:c r="H686" t="str">
        <x:f>'Employee Attendance'!F230</x:f>
        <x:v>Partially attended</x:v>
      </x:c>
      <x:c r="I686" t="str">
        <x:f>'Employee Attendance'!K230</x:f>
        <x:v>Yes</x:v>
      </x:c>
    </x:row>
    <x:row r="687">
      <x:c r="A687" t="str">
        <x:f>'Employee Attendance'!A230</x:f>
        <x:v>Joshua Massawe</x:v>
      </x:c>
      <x:c r="B687" t="str">
        <x:f>'Employee Attendance'!B230</x:f>
        <x:v>Tanzania</x:v>
      </x:c>
      <x:c r="C687" t="str">
        <x:f>'Employee Attendance'!C230</x:f>
        <x:v>TZ</x:v>
      </x:c>
      <x:c r="D687" t="str">
        <x:f>'Employee Attendance'!D230</x:f>
        <x:v>joshua.massawe@pwc.com</x:v>
      </x:c>
      <x:c r="E687" t="str">
        <x:f>"Option 2"</x:f>
        <x:v>Option 2</x:v>
      </x:c>
      <x:c r="F687" s="14" t="n">
        <x:f>'Employee Attendance'!G230</x:f>
        <x:v>0</x:v>
      </x:c>
      <x:c r="G687" t="n">
        <x:f>F687*86400</x:f>
        <x:v>0</x:v>
      </x:c>
      <x:c r="H687" t="str">
        <x:f>'Employee Attendance'!H230</x:f>
        <x:v>Did not attend</x:v>
      </x:c>
      <x:c r="I687" t="str">
        <x:f>'Employee Attendance'!L230</x:f>
        <x:v>No</x:v>
      </x:c>
    </x:row>
    <x:row r="688">
      <x:c r="A688" t="str">
        <x:f>'Employee Attendance'!A230</x:f>
        <x:v>Joshua Massawe</x:v>
      </x:c>
      <x:c r="B688" t="str">
        <x:f>'Employee Attendance'!B230</x:f>
        <x:v>Tanzania</x:v>
      </x:c>
      <x:c r="C688" t="str">
        <x:f>'Employee Attendance'!C230</x:f>
        <x:v>TZ</x:v>
      </x:c>
      <x:c r="D688" t="str">
        <x:f>'Employee Attendance'!D230</x:f>
        <x:v>joshua.massawe@pwc.com</x:v>
      </x:c>
      <x:c r="E688" t="str">
        <x:f>"Combined"</x:f>
        <x:v>Combined</x:v>
      </x:c>
      <x:c r="F688" s="14" t="n">
        <x:f>'Employee Attendance'!I230</x:f>
        <x:v>0.059363425925925924</x:v>
      </x:c>
      <x:c r="G688" t="n">
        <x:f>F688*86400</x:f>
        <x:v>5129</x:v>
      </x:c>
      <x:c r="H688" t="str">
        <x:f>'Employee Attendance'!J230</x:f>
        <x:v>Partially attended</x:v>
      </x:c>
      <x:c r="I688" t="str">
        <x:f>IF(OR('Employee Attendance'!K230="Yes",'Employee Attendance'!L230="Yes"),"Yes","No")</x:f>
        <x:v>Yes</x:v>
      </x:c>
    </x:row>
    <x:row r="689">
      <x:c r="A689" t="str">
        <x:f>'Employee Attendance'!A231</x:f>
        <x:v>Julia Odhiambo</x:v>
      </x:c>
      <x:c r="B689" t="str">
        <x:f>'Employee Attendance'!B231</x:f>
        <x:v>Kenya</x:v>
      </x:c>
      <x:c r="C689" t="str">
        <x:f>'Employee Attendance'!C231</x:f>
        <x:v>KE</x:v>
      </x:c>
      <x:c r="D689" t="str">
        <x:f>'Employee Attendance'!D231</x:f>
        <x:v>julia.odhiambo@pwc.com</x:v>
      </x:c>
      <x:c r="E689" t="str">
        <x:f>"Option 1"</x:f>
        <x:v>Option 1</x:v>
      </x:c>
      <x:c r="F689" s="14" t="n">
        <x:f>'Employee Attendance'!E231</x:f>
        <x:v>0</x:v>
      </x:c>
      <x:c r="G689" t="n">
        <x:f>F689*86400</x:f>
        <x:v>0</x:v>
      </x:c>
      <x:c r="H689" t="str">
        <x:f>'Employee Attendance'!F231</x:f>
        <x:v>Did not attend</x:v>
      </x:c>
      <x:c r="I689" t="str">
        <x:f>'Employee Attendance'!K231</x:f>
        <x:v>No</x:v>
      </x:c>
    </x:row>
    <x:row r="690">
      <x:c r="A690" t="str">
        <x:f>'Employee Attendance'!A231</x:f>
        <x:v>Julia Odhiambo</x:v>
      </x:c>
      <x:c r="B690" t="str">
        <x:f>'Employee Attendance'!B231</x:f>
        <x:v>Kenya</x:v>
      </x:c>
      <x:c r="C690" t="str">
        <x:f>'Employee Attendance'!C231</x:f>
        <x:v>KE</x:v>
      </x:c>
      <x:c r="D690" t="str">
        <x:f>'Employee Attendance'!D231</x:f>
        <x:v>julia.odhiambo@pwc.com</x:v>
      </x:c>
      <x:c r="E690" t="str">
        <x:f>"Option 2"</x:f>
        <x:v>Option 2</x:v>
      </x:c>
      <x:c r="F690" s="14" t="n">
        <x:f>'Employee Attendance'!G231</x:f>
        <x:v>0.10699074074074075</x:v>
      </x:c>
      <x:c r="G690" t="n">
        <x:f>F690*86400</x:f>
        <x:v>9244</x:v>
      </x:c>
      <x:c r="H690" t="str">
        <x:f>'Employee Attendance'!H231</x:f>
        <x:v>Fully attended</x:v>
      </x:c>
      <x:c r="I690" t="str">
        <x:f>'Employee Attendance'!L231</x:f>
        <x:v>Yes</x:v>
      </x:c>
    </x:row>
    <x:row r="691">
      <x:c r="A691" t="str">
        <x:f>'Employee Attendance'!A231</x:f>
        <x:v>Julia Odhiambo</x:v>
      </x:c>
      <x:c r="B691" t="str">
        <x:f>'Employee Attendance'!B231</x:f>
        <x:v>Kenya</x:v>
      </x:c>
      <x:c r="C691" t="str">
        <x:f>'Employee Attendance'!C231</x:f>
        <x:v>KE</x:v>
      </x:c>
      <x:c r="D691" t="str">
        <x:f>'Employee Attendance'!D231</x:f>
        <x:v>julia.odhiambo@pwc.com</x:v>
      </x:c>
      <x:c r="E691" t="str">
        <x:f>"Combined"</x:f>
        <x:v>Combined</x:v>
      </x:c>
      <x:c r="F691" s="14" t="n">
        <x:f>'Employee Attendance'!I231</x:f>
        <x:v>0.10699074074074075</x:v>
      </x:c>
      <x:c r="G691" t="n">
        <x:f>F691*86400</x:f>
        <x:v>9244</x:v>
      </x:c>
      <x:c r="H691" t="str">
        <x:f>'Employee Attendance'!J231</x:f>
        <x:v>Fully attended</x:v>
      </x:c>
      <x:c r="I691" t="str">
        <x:f>IF(OR('Employee Attendance'!K231="Yes",'Employee Attendance'!L231="Yes"),"Yes","No")</x:f>
        <x:v>Yes</x:v>
      </x:c>
    </x:row>
    <x:row r="692">
      <x:c r="A692" t="str">
        <x:f>'Employee Attendance'!A232</x:f>
        <x:v>Junaid Alighan</x:v>
      </x:c>
      <x:c r="B692" t="str">
        <x:f>'Employee Attendance'!B232</x:f>
        <x:v>Mauritius</x:v>
      </x:c>
      <x:c r="C692" t="str">
        <x:f>'Employee Attendance'!C232</x:f>
        <x:v>MU</x:v>
      </x:c>
      <x:c r="D692" t="str">
        <x:f>'Employee Attendance'!D232</x:f>
        <x:v>junaid.alighan@pwc.com</x:v>
      </x:c>
      <x:c r="E692" t="str">
        <x:f>"Option 1"</x:f>
        <x:v>Option 1</x:v>
      </x:c>
      <x:c r="F692" s="14" t="n">
        <x:f>'Employee Attendance'!E232</x:f>
        <x:v>0</x:v>
      </x:c>
      <x:c r="G692" t="n">
        <x:f>F692*86400</x:f>
        <x:v>0</x:v>
      </x:c>
      <x:c r="H692" t="str">
        <x:f>'Employee Attendance'!F232</x:f>
        <x:v>Did not attend</x:v>
      </x:c>
      <x:c r="I692" t="str">
        <x:f>'Employee Attendance'!K232</x:f>
        <x:v>No</x:v>
      </x:c>
    </x:row>
    <x:row r="693">
      <x:c r="A693" t="str">
        <x:f>'Employee Attendance'!A232</x:f>
        <x:v>Junaid Alighan</x:v>
      </x:c>
      <x:c r="B693" t="str">
        <x:f>'Employee Attendance'!B232</x:f>
        <x:v>Mauritius</x:v>
      </x:c>
      <x:c r="C693" t="str">
        <x:f>'Employee Attendance'!C232</x:f>
        <x:v>MU</x:v>
      </x:c>
      <x:c r="D693" t="str">
        <x:f>'Employee Attendance'!D232</x:f>
        <x:v>junaid.alighan@pwc.com</x:v>
      </x:c>
      <x:c r="E693" t="str">
        <x:f>"Option 2"</x:f>
        <x:v>Option 2</x:v>
      </x:c>
      <x:c r="F693" s="14" t="n">
        <x:f>'Employee Attendance'!G232</x:f>
        <x:v>0.060752314814814815</x:v>
      </x:c>
      <x:c r="G693" t="n">
        <x:f>F693*86400</x:f>
        <x:v>5249</x:v>
      </x:c>
      <x:c r="H693" t="str">
        <x:f>'Employee Attendance'!H232</x:f>
        <x:v>Partially attended</x:v>
      </x:c>
      <x:c r="I693" t="str">
        <x:f>'Employee Attendance'!L232</x:f>
        <x:v>Yes</x:v>
      </x:c>
    </x:row>
    <x:row r="694">
      <x:c r="A694" t="str">
        <x:f>'Employee Attendance'!A232</x:f>
        <x:v>Junaid Alighan</x:v>
      </x:c>
      <x:c r="B694" t="str">
        <x:f>'Employee Attendance'!B232</x:f>
        <x:v>Mauritius</x:v>
      </x:c>
      <x:c r="C694" t="str">
        <x:f>'Employee Attendance'!C232</x:f>
        <x:v>MU</x:v>
      </x:c>
      <x:c r="D694" t="str">
        <x:f>'Employee Attendance'!D232</x:f>
        <x:v>junaid.alighan@pwc.com</x:v>
      </x:c>
      <x:c r="E694" t="str">
        <x:f>"Combined"</x:f>
        <x:v>Combined</x:v>
      </x:c>
      <x:c r="F694" s="14" t="n">
        <x:f>'Employee Attendance'!I232</x:f>
        <x:v>0.060752314814814815</x:v>
      </x:c>
      <x:c r="G694" t="n">
        <x:f>F694*86400</x:f>
        <x:v>5249</x:v>
      </x:c>
      <x:c r="H694" t="str">
        <x:f>'Employee Attendance'!J232</x:f>
        <x:v>Partially attended</x:v>
      </x:c>
      <x:c r="I694" t="str">
        <x:f>IF(OR('Employee Attendance'!K232="Yes",'Employee Attendance'!L232="Yes"),"Yes","No")</x:f>
        <x:v>Yes</x:v>
      </x:c>
    </x:row>
    <x:row r="695">
      <x:c r="A695" t="str">
        <x:f>'Employee Attendance'!A233</x:f>
        <x:v>Kalkidan Aklilu Admassu</x:v>
      </x:c>
      <x:c r="B695" t="str">
        <x:f>'Employee Attendance'!B233</x:f>
        <x:v>Mauritius</x:v>
      </x:c>
      <x:c r="C695" t="str">
        <x:f>'Employee Attendance'!C233</x:f>
        <x:v>MU</x:v>
      </x:c>
      <x:c r="D695" t="str">
        <x:f>'Employee Attendance'!D233</x:f>
        <x:v>kalkidan.admassu@pwc.com</x:v>
      </x:c>
      <x:c r="E695" t="str">
        <x:f>"Option 1"</x:f>
        <x:v>Option 1</x:v>
      </x:c>
      <x:c r="F695" s="14" t="n">
        <x:f>'Employee Attendance'!E233</x:f>
        <x:v>0</x:v>
      </x:c>
      <x:c r="G695" t="n">
        <x:f>F695*86400</x:f>
        <x:v>0</x:v>
      </x:c>
      <x:c r="H695" t="str">
        <x:f>'Employee Attendance'!F233</x:f>
        <x:v>Did not attend</x:v>
      </x:c>
      <x:c r="I695" t="str">
        <x:f>'Employee Attendance'!K233</x:f>
        <x:v>No</x:v>
      </x:c>
    </x:row>
    <x:row r="696">
      <x:c r="A696" t="str">
        <x:f>'Employee Attendance'!A233</x:f>
        <x:v>Kalkidan Aklilu Admassu</x:v>
      </x:c>
      <x:c r="B696" t="str">
        <x:f>'Employee Attendance'!B233</x:f>
        <x:v>Mauritius</x:v>
      </x:c>
      <x:c r="C696" t="str">
        <x:f>'Employee Attendance'!C233</x:f>
        <x:v>MU</x:v>
      </x:c>
      <x:c r="D696" t="str">
        <x:f>'Employee Attendance'!D233</x:f>
        <x:v>kalkidan.admassu@pwc.com</x:v>
      </x:c>
      <x:c r="E696" t="str">
        <x:f>"Option 2"</x:f>
        <x:v>Option 2</x:v>
      </x:c>
      <x:c r="F696" s="14" t="n">
        <x:f>'Employee Attendance'!G233</x:f>
        <x:v>0.08905092592592592</x:v>
      </x:c>
      <x:c r="G696" t="n">
        <x:f>F696*86400</x:f>
        <x:v>7694</x:v>
      </x:c>
      <x:c r="H696" t="str">
        <x:f>'Employee Attendance'!H233</x:f>
        <x:v>Fully attended</x:v>
      </x:c>
      <x:c r="I696" t="str">
        <x:f>'Employee Attendance'!L233</x:f>
        <x:v>Yes</x:v>
      </x:c>
    </x:row>
    <x:row r="697">
      <x:c r="A697" t="str">
        <x:f>'Employee Attendance'!A233</x:f>
        <x:v>Kalkidan Aklilu Admassu</x:v>
      </x:c>
      <x:c r="B697" t="str">
        <x:f>'Employee Attendance'!B233</x:f>
        <x:v>Mauritius</x:v>
      </x:c>
      <x:c r="C697" t="str">
        <x:f>'Employee Attendance'!C233</x:f>
        <x:v>MU</x:v>
      </x:c>
      <x:c r="D697" t="str">
        <x:f>'Employee Attendance'!D233</x:f>
        <x:v>kalkidan.admassu@pwc.com</x:v>
      </x:c>
      <x:c r="E697" t="str">
        <x:f>"Combined"</x:f>
        <x:v>Combined</x:v>
      </x:c>
      <x:c r="F697" s="14" t="n">
        <x:f>'Employee Attendance'!I233</x:f>
        <x:v>0.08905092592592592</x:v>
      </x:c>
      <x:c r="G697" t="n">
        <x:f>F697*86400</x:f>
        <x:v>7694</x:v>
      </x:c>
      <x:c r="H697" t="str">
        <x:f>'Employee Attendance'!J233</x:f>
        <x:v>Fully attended</x:v>
      </x:c>
      <x:c r="I697" t="str">
        <x:f>IF(OR('Employee Attendance'!K233="Yes",'Employee Attendance'!L233="Yes"),"Yes","No")</x:f>
        <x:v>Yes</x:v>
      </x:c>
    </x:row>
    <x:row r="698">
      <x:c r="A698" t="str">
        <x:f>'Employee Attendance'!A234</x:f>
        <x:v>Kang'e Saiti</x:v>
      </x:c>
      <x:c r="B698" t="str">
        <x:f>'Employee Attendance'!B234</x:f>
        <x:v>Kenya</x:v>
      </x:c>
      <x:c r="C698" t="str">
        <x:f>'Employee Attendance'!C234</x:f>
        <x:v>KE</x:v>
      </x:c>
      <x:c r="D698" t="str">
        <x:f>'Employee Attendance'!D234</x:f>
        <x:v>kange.saiti@pwc.com</x:v>
      </x:c>
      <x:c r="E698" t="str">
        <x:f>"Option 1"</x:f>
        <x:v>Option 1</x:v>
      </x:c>
      <x:c r="F698" s="14" t="n">
        <x:f>'Employee Attendance'!E234</x:f>
        <x:v>0</x:v>
      </x:c>
      <x:c r="G698" t="n">
        <x:f>F698*86400</x:f>
        <x:v>0</x:v>
      </x:c>
      <x:c r="H698" t="str">
        <x:f>'Employee Attendance'!F234</x:f>
        <x:v>Did not attend</x:v>
      </x:c>
      <x:c r="I698" t="str">
        <x:f>'Employee Attendance'!K234</x:f>
        <x:v>No</x:v>
      </x:c>
    </x:row>
    <x:row r="699">
      <x:c r="A699" t="str">
        <x:f>'Employee Attendance'!A234</x:f>
        <x:v>Kang'e Saiti</x:v>
      </x:c>
      <x:c r="B699" t="str">
        <x:f>'Employee Attendance'!B234</x:f>
        <x:v>Kenya</x:v>
      </x:c>
      <x:c r="C699" t="str">
        <x:f>'Employee Attendance'!C234</x:f>
        <x:v>KE</x:v>
      </x:c>
      <x:c r="D699" t="str">
        <x:f>'Employee Attendance'!D234</x:f>
        <x:v>kange.saiti@pwc.com</x:v>
      </x:c>
      <x:c r="E699" t="str">
        <x:f>"Option 2"</x:f>
        <x:v>Option 2</x:v>
      </x:c>
      <x:c r="F699" s="14" t="n">
        <x:f>'Employee Attendance'!G234</x:f>
        <x:v>0</x:v>
      </x:c>
      <x:c r="G699" t="n">
        <x:f>F699*86400</x:f>
        <x:v>0</x:v>
      </x:c>
      <x:c r="H699" t="str">
        <x:f>'Employee Attendance'!H234</x:f>
        <x:v>Did not attend</x:v>
      </x:c>
      <x:c r="I699" t="str">
        <x:f>'Employee Attendance'!L234</x:f>
        <x:v>No</x:v>
      </x:c>
    </x:row>
    <x:row r="700">
      <x:c r="A700" t="str">
        <x:f>'Employee Attendance'!A234</x:f>
        <x:v>Kang'e Saiti</x:v>
      </x:c>
      <x:c r="B700" t="str">
        <x:f>'Employee Attendance'!B234</x:f>
        <x:v>Kenya</x:v>
      </x:c>
      <x:c r="C700" t="str">
        <x:f>'Employee Attendance'!C234</x:f>
        <x:v>KE</x:v>
      </x:c>
      <x:c r="D700" t="str">
        <x:f>'Employee Attendance'!D234</x:f>
        <x:v>kange.saiti@pwc.com</x:v>
      </x:c>
      <x:c r="E700" t="str">
        <x:f>"Combined"</x:f>
        <x:v>Combined</x:v>
      </x:c>
      <x:c r="F700" s="14" t="n">
        <x:f>'Employee Attendance'!I234</x:f>
        <x:v>0</x:v>
      </x:c>
      <x:c r="G700" t="n">
        <x:f>F700*86400</x:f>
        <x:v>0</x:v>
      </x:c>
      <x:c r="H700" t="str">
        <x:f>'Employee Attendance'!J234</x:f>
        <x:v>Did not attend</x:v>
      </x:c>
      <x:c r="I700" t="str">
        <x:f>IF(OR('Employee Attendance'!K234="Yes",'Employee Attendance'!L234="Yes"),"Yes","No")</x:f>
        <x:v>No</x:v>
      </x:c>
    </x:row>
    <x:row r="701">
      <x:c r="A701" t="str">
        <x:f>'Employee Attendance'!A235</x:f>
        <x:v>Karen Gitonga</x:v>
      </x:c>
      <x:c r="B701" t="str">
        <x:f>'Employee Attendance'!B235</x:f>
        <x:v>Kenya</x:v>
      </x:c>
      <x:c r="C701" t="str">
        <x:f>'Employee Attendance'!C235</x:f>
        <x:v>KE</x:v>
      </x:c>
      <x:c r="D701" t="str">
        <x:f>'Employee Attendance'!D235</x:f>
        <x:v>karen.gitonga@pwc.com</x:v>
      </x:c>
      <x:c r="E701" t="str">
        <x:f>"Option 1"</x:f>
        <x:v>Option 1</x:v>
      </x:c>
      <x:c r="F701" s="14" t="n">
        <x:f>'Employee Attendance'!E235</x:f>
        <x:v>0</x:v>
      </x:c>
      <x:c r="G701" t="n">
        <x:f>F701*86400</x:f>
        <x:v>0</x:v>
      </x:c>
      <x:c r="H701" t="str">
        <x:f>'Employee Attendance'!F235</x:f>
        <x:v>Did not attend</x:v>
      </x:c>
      <x:c r="I701" t="str">
        <x:f>'Employee Attendance'!K235</x:f>
        <x:v>No</x:v>
      </x:c>
    </x:row>
    <x:row r="702">
      <x:c r="A702" t="str">
        <x:f>'Employee Attendance'!A235</x:f>
        <x:v>Karen Gitonga</x:v>
      </x:c>
      <x:c r="B702" t="str">
        <x:f>'Employee Attendance'!B235</x:f>
        <x:v>Kenya</x:v>
      </x:c>
      <x:c r="C702" t="str">
        <x:f>'Employee Attendance'!C235</x:f>
        <x:v>KE</x:v>
      </x:c>
      <x:c r="D702" t="str">
        <x:f>'Employee Attendance'!D235</x:f>
        <x:v>karen.gitonga@pwc.com</x:v>
      </x:c>
      <x:c r="E702" t="str">
        <x:f>"Option 2"</x:f>
        <x:v>Option 2</x:v>
      </x:c>
      <x:c r="F702" s="14" t="n">
        <x:f>'Employee Attendance'!G235</x:f>
        <x:v>0</x:v>
      </x:c>
      <x:c r="G702" t="n">
        <x:f>F702*86400</x:f>
        <x:v>0</x:v>
      </x:c>
      <x:c r="H702" t="str">
        <x:f>'Employee Attendance'!H235</x:f>
        <x:v>Did not attend</x:v>
      </x:c>
      <x:c r="I702" t="str">
        <x:f>'Employee Attendance'!L235</x:f>
        <x:v>No</x:v>
      </x:c>
    </x:row>
    <x:row r="703">
      <x:c r="A703" t="str">
        <x:f>'Employee Attendance'!A235</x:f>
        <x:v>Karen Gitonga</x:v>
      </x:c>
      <x:c r="B703" t="str">
        <x:f>'Employee Attendance'!B235</x:f>
        <x:v>Kenya</x:v>
      </x:c>
      <x:c r="C703" t="str">
        <x:f>'Employee Attendance'!C235</x:f>
        <x:v>KE</x:v>
      </x:c>
      <x:c r="D703" t="str">
        <x:f>'Employee Attendance'!D235</x:f>
        <x:v>karen.gitonga@pwc.com</x:v>
      </x:c>
      <x:c r="E703" t="str">
        <x:f>"Combined"</x:f>
        <x:v>Combined</x:v>
      </x:c>
      <x:c r="F703" s="14" t="n">
        <x:f>'Employee Attendance'!I235</x:f>
        <x:v>0</x:v>
      </x:c>
      <x:c r="G703" t="n">
        <x:f>F703*86400</x:f>
        <x:v>0</x:v>
      </x:c>
      <x:c r="H703" t="str">
        <x:f>'Employee Attendance'!J235</x:f>
        <x:v>Did not attend</x:v>
      </x:c>
      <x:c r="I703" t="str">
        <x:f>IF(OR('Employee Attendance'!K235="Yes",'Employee Attendance'!L235="Yes"),"Yes","No")</x:f>
        <x:v>No</x:v>
      </x:c>
    </x:row>
    <x:row r="704">
      <x:c r="A704" t="str">
        <x:f>'Employee Attendance'!A236</x:f>
        <x:v>Kelvin Atieno</x:v>
      </x:c>
      <x:c r="B704" t="str">
        <x:f>'Employee Attendance'!B236</x:f>
        <x:v>Kenya</x:v>
      </x:c>
      <x:c r="C704" t="str">
        <x:f>'Employee Attendance'!C236</x:f>
        <x:v>KE</x:v>
      </x:c>
      <x:c r="D704" t="str">
        <x:f>'Employee Attendance'!D236</x:f>
        <x:v>kelvin.atieno@pwc.com</x:v>
      </x:c>
      <x:c r="E704" t="str">
        <x:f>"Option 1"</x:f>
        <x:v>Option 1</x:v>
      </x:c>
      <x:c r="F704" s="14" t="n">
        <x:f>'Employee Attendance'!E236</x:f>
        <x:v>0</x:v>
      </x:c>
      <x:c r="G704" t="n">
        <x:f>F704*86400</x:f>
        <x:v>0</x:v>
      </x:c>
      <x:c r="H704" t="str">
        <x:f>'Employee Attendance'!F236</x:f>
        <x:v>Did not attend</x:v>
      </x:c>
      <x:c r="I704" t="str">
        <x:f>'Employee Attendance'!K236</x:f>
        <x:v>No</x:v>
      </x:c>
    </x:row>
    <x:row r="705">
      <x:c r="A705" t="str">
        <x:f>'Employee Attendance'!A236</x:f>
        <x:v>Kelvin Atieno</x:v>
      </x:c>
      <x:c r="B705" t="str">
        <x:f>'Employee Attendance'!B236</x:f>
        <x:v>Kenya</x:v>
      </x:c>
      <x:c r="C705" t="str">
        <x:f>'Employee Attendance'!C236</x:f>
        <x:v>KE</x:v>
      </x:c>
      <x:c r="D705" t="str">
        <x:f>'Employee Attendance'!D236</x:f>
        <x:v>kelvin.atieno@pwc.com</x:v>
      </x:c>
      <x:c r="E705" t="str">
        <x:f>"Option 2"</x:f>
        <x:v>Option 2</x:v>
      </x:c>
      <x:c r="F705" s="14" t="n">
        <x:f>'Employee Attendance'!G236</x:f>
        <x:v>0.027210648148148147</x:v>
      </x:c>
      <x:c r="G705" t="n">
        <x:f>F705*86400</x:f>
        <x:v>2351</x:v>
      </x:c>
      <x:c r="H705" t="str">
        <x:f>'Employee Attendance'!H236</x:f>
        <x:v>Partially attended</x:v>
      </x:c>
      <x:c r="I705" t="str">
        <x:f>'Employee Attendance'!L236</x:f>
        <x:v>Yes</x:v>
      </x:c>
    </x:row>
    <x:row r="706">
      <x:c r="A706" t="str">
        <x:f>'Employee Attendance'!A236</x:f>
        <x:v>Kelvin Atieno</x:v>
      </x:c>
      <x:c r="B706" t="str">
        <x:f>'Employee Attendance'!B236</x:f>
        <x:v>Kenya</x:v>
      </x:c>
      <x:c r="C706" t="str">
        <x:f>'Employee Attendance'!C236</x:f>
        <x:v>KE</x:v>
      </x:c>
      <x:c r="D706" t="str">
        <x:f>'Employee Attendance'!D236</x:f>
        <x:v>kelvin.atieno@pwc.com</x:v>
      </x:c>
      <x:c r="E706" t="str">
        <x:f>"Combined"</x:f>
        <x:v>Combined</x:v>
      </x:c>
      <x:c r="F706" s="14" t="n">
        <x:f>'Employee Attendance'!I236</x:f>
        <x:v>0.027210648148148147</x:v>
      </x:c>
      <x:c r="G706" t="n">
        <x:f>F706*86400</x:f>
        <x:v>2351</x:v>
      </x:c>
      <x:c r="H706" t="str">
        <x:f>'Employee Attendance'!J236</x:f>
        <x:v>Partially attended</x:v>
      </x:c>
      <x:c r="I706" t="str">
        <x:f>IF(OR('Employee Attendance'!K236="Yes",'Employee Attendance'!L236="Yes"),"Yes","No")</x:f>
        <x:v>Yes</x:v>
      </x:c>
    </x:row>
    <x:row r="707">
      <x:c r="A707" t="str">
        <x:f>'Employee Attendance'!A237</x:f>
        <x:v>Kelvin Kailikia</x:v>
      </x:c>
      <x:c r="B707" t="str">
        <x:f>'Employee Attendance'!B237</x:f>
        <x:v>Kenya</x:v>
      </x:c>
      <x:c r="C707" t="str">
        <x:f>'Employee Attendance'!C237</x:f>
        <x:v>KE</x:v>
      </x:c>
      <x:c r="D707" t="str">
        <x:f>'Employee Attendance'!D237</x:f>
        <x:v>kelvin.kailikia@pwc.com</x:v>
      </x:c>
      <x:c r="E707" t="str">
        <x:f>"Option 1"</x:f>
        <x:v>Option 1</x:v>
      </x:c>
      <x:c r="F707" s="14" t="n">
        <x:f>'Employee Attendance'!E237</x:f>
        <x:v>0.059444444444444446</x:v>
      </x:c>
      <x:c r="G707" t="n">
        <x:f>F707*86400</x:f>
        <x:v>5136</x:v>
      </x:c>
      <x:c r="H707" t="str">
        <x:f>'Employee Attendance'!F237</x:f>
        <x:v>Partially attended</x:v>
      </x:c>
      <x:c r="I707" t="str">
        <x:f>'Employee Attendance'!K237</x:f>
        <x:v>Yes</x:v>
      </x:c>
    </x:row>
    <x:row r="708">
      <x:c r="A708" t="str">
        <x:f>'Employee Attendance'!A237</x:f>
        <x:v>Kelvin Kailikia</x:v>
      </x:c>
      <x:c r="B708" t="str">
        <x:f>'Employee Attendance'!B237</x:f>
        <x:v>Kenya</x:v>
      </x:c>
      <x:c r="C708" t="str">
        <x:f>'Employee Attendance'!C237</x:f>
        <x:v>KE</x:v>
      </x:c>
      <x:c r="D708" t="str">
        <x:f>'Employee Attendance'!D237</x:f>
        <x:v>kelvin.kailikia@pwc.com</x:v>
      </x:c>
      <x:c r="E708" t="str">
        <x:f>"Option 2"</x:f>
        <x:v>Option 2</x:v>
      </x:c>
      <x:c r="F708" s="14" t="n">
        <x:f>'Employee Attendance'!G237</x:f>
        <x:v>0.027094907407407408</x:v>
      </x:c>
      <x:c r="G708" t="n">
        <x:f>F708*86400</x:f>
        <x:v>2341</x:v>
      </x:c>
      <x:c r="H708" t="str">
        <x:f>'Employee Attendance'!H237</x:f>
        <x:v>Partially attended</x:v>
      </x:c>
      <x:c r="I708" t="str">
        <x:f>'Employee Attendance'!L237</x:f>
        <x:v>Yes</x:v>
      </x:c>
    </x:row>
    <x:row r="709">
      <x:c r="A709" t="str">
        <x:f>'Employee Attendance'!A237</x:f>
        <x:v>Kelvin Kailikia</x:v>
      </x:c>
      <x:c r="B709" t="str">
        <x:f>'Employee Attendance'!B237</x:f>
        <x:v>Kenya</x:v>
      </x:c>
      <x:c r="C709" t="str">
        <x:f>'Employee Attendance'!C237</x:f>
        <x:v>KE</x:v>
      </x:c>
      <x:c r="D709" t="str">
        <x:f>'Employee Attendance'!D237</x:f>
        <x:v>kelvin.kailikia@pwc.com</x:v>
      </x:c>
      <x:c r="E709" t="str">
        <x:f>"Combined"</x:f>
        <x:v>Combined</x:v>
      </x:c>
      <x:c r="F709" s="14" t="n">
        <x:f>'Employee Attendance'!I237</x:f>
        <x:v>0.08653935185185185</x:v>
      </x:c>
      <x:c r="G709" t="n">
        <x:f>F709*86400</x:f>
        <x:v>7477</x:v>
      </x:c>
      <x:c r="H709" t="str">
        <x:f>'Employee Attendance'!J237</x:f>
        <x:v>Fully attended</x:v>
      </x:c>
      <x:c r="I709" t="str">
        <x:f>IF(OR('Employee Attendance'!K237="Yes",'Employee Attendance'!L237="Yes"),"Yes","No")</x:f>
        <x:v>Yes</x:v>
      </x:c>
    </x:row>
    <x:row r="710">
      <x:c r="A710" t="str">
        <x:f>'Employee Attendance'!A238</x:f>
        <x:v>Kelvin Koima</x:v>
      </x:c>
      <x:c r="B710" t="str">
        <x:f>'Employee Attendance'!B238</x:f>
        <x:v>Kenya</x:v>
      </x:c>
      <x:c r="C710" t="str">
        <x:f>'Employee Attendance'!C238</x:f>
        <x:v>KE</x:v>
      </x:c>
      <x:c r="D710" t="str">
        <x:f>'Employee Attendance'!D238</x:f>
        <x:v>kelvin.koima@pwc.com</x:v>
      </x:c>
      <x:c r="E710" t="str">
        <x:f>"Option 1"</x:f>
        <x:v>Option 1</x:v>
      </x:c>
      <x:c r="F710" s="14" t="n">
        <x:f>'Employee Attendance'!E238</x:f>
        <x:v>0</x:v>
      </x:c>
      <x:c r="G710" t="n">
        <x:f>F710*86400</x:f>
        <x:v>0</x:v>
      </x:c>
      <x:c r="H710" t="str">
        <x:f>'Employee Attendance'!F238</x:f>
        <x:v>Did not attend</x:v>
      </x:c>
      <x:c r="I710" t="str">
        <x:f>'Employee Attendance'!K238</x:f>
        <x:v>No</x:v>
      </x:c>
    </x:row>
    <x:row r="711">
      <x:c r="A711" t="str">
        <x:f>'Employee Attendance'!A238</x:f>
        <x:v>Kelvin Koima</x:v>
      </x:c>
      <x:c r="B711" t="str">
        <x:f>'Employee Attendance'!B238</x:f>
        <x:v>Kenya</x:v>
      </x:c>
      <x:c r="C711" t="str">
        <x:f>'Employee Attendance'!C238</x:f>
        <x:v>KE</x:v>
      </x:c>
      <x:c r="D711" t="str">
        <x:f>'Employee Attendance'!D238</x:f>
        <x:v>kelvin.koima@pwc.com</x:v>
      </x:c>
      <x:c r="E711" t="str">
        <x:f>"Option 2"</x:f>
        <x:v>Option 2</x:v>
      </x:c>
      <x:c r="F711" s="14" t="n">
        <x:f>'Employee Attendance'!G238</x:f>
        <x:v>0</x:v>
      </x:c>
      <x:c r="G711" t="n">
        <x:f>F711*86400</x:f>
        <x:v>0</x:v>
      </x:c>
      <x:c r="H711" t="str">
        <x:f>'Employee Attendance'!H238</x:f>
        <x:v>Did not attend</x:v>
      </x:c>
      <x:c r="I711" t="str">
        <x:f>'Employee Attendance'!L238</x:f>
        <x:v>No</x:v>
      </x:c>
    </x:row>
    <x:row r="712">
      <x:c r="A712" t="str">
        <x:f>'Employee Attendance'!A238</x:f>
        <x:v>Kelvin Koima</x:v>
      </x:c>
      <x:c r="B712" t="str">
        <x:f>'Employee Attendance'!B238</x:f>
        <x:v>Kenya</x:v>
      </x:c>
      <x:c r="C712" t="str">
        <x:f>'Employee Attendance'!C238</x:f>
        <x:v>KE</x:v>
      </x:c>
      <x:c r="D712" t="str">
        <x:f>'Employee Attendance'!D238</x:f>
        <x:v>kelvin.koima@pwc.com</x:v>
      </x:c>
      <x:c r="E712" t="str">
        <x:f>"Combined"</x:f>
        <x:v>Combined</x:v>
      </x:c>
      <x:c r="F712" s="14" t="n">
        <x:f>'Employee Attendance'!I238</x:f>
        <x:v>0</x:v>
      </x:c>
      <x:c r="G712" t="n">
        <x:f>F712*86400</x:f>
        <x:v>0</x:v>
      </x:c>
      <x:c r="H712" t="str">
        <x:f>'Employee Attendance'!J238</x:f>
        <x:v>Did not attend</x:v>
      </x:c>
      <x:c r="I712" t="str">
        <x:f>IF(OR('Employee Attendance'!K238="Yes",'Employee Attendance'!L238="Yes"),"Yes","No")</x:f>
        <x:v>No</x:v>
      </x:c>
    </x:row>
    <x:row r="713">
      <x:c r="A713" t="str">
        <x:f>'Employee Attendance'!A239</x:f>
        <x:v>Kelvin Mukaria</x:v>
      </x:c>
      <x:c r="B713" t="str">
        <x:f>'Employee Attendance'!B239</x:f>
        <x:v>Kenya</x:v>
      </x:c>
      <x:c r="C713" t="str">
        <x:f>'Employee Attendance'!C239</x:f>
        <x:v>KE</x:v>
      </x:c>
      <x:c r="D713" t="str">
        <x:f>'Employee Attendance'!D239</x:f>
        <x:v>kelvin.mukaria@pwc.com</x:v>
      </x:c>
      <x:c r="E713" t="str">
        <x:f>"Option 1"</x:f>
        <x:v>Option 1</x:v>
      </x:c>
      <x:c r="F713" s="14" t="n">
        <x:f>'Employee Attendance'!E239</x:f>
        <x:v>0.01287037037037037</x:v>
      </x:c>
      <x:c r="G713" t="n">
        <x:f>F713*86400</x:f>
        <x:v>1112</x:v>
      </x:c>
      <x:c r="H713" t="str">
        <x:f>'Employee Attendance'!F239</x:f>
        <x:v>Partially attended</x:v>
      </x:c>
      <x:c r="I713" t="str">
        <x:f>'Employee Attendance'!K239</x:f>
        <x:v>Yes</x:v>
      </x:c>
    </x:row>
    <x:row r="714">
      <x:c r="A714" t="str">
        <x:f>'Employee Attendance'!A239</x:f>
        <x:v>Kelvin Mukaria</x:v>
      </x:c>
      <x:c r="B714" t="str">
        <x:f>'Employee Attendance'!B239</x:f>
        <x:v>Kenya</x:v>
      </x:c>
      <x:c r="C714" t="str">
        <x:f>'Employee Attendance'!C239</x:f>
        <x:v>KE</x:v>
      </x:c>
      <x:c r="D714" t="str">
        <x:f>'Employee Attendance'!D239</x:f>
        <x:v>kelvin.mukaria@pwc.com</x:v>
      </x:c>
      <x:c r="E714" t="str">
        <x:f>"Option 2"</x:f>
        <x:v>Option 2</x:v>
      </x:c>
      <x:c r="F714" s="14" t="n">
        <x:f>'Employee Attendance'!G239</x:f>
        <x:v>0.05516203703703704</x:v>
      </x:c>
      <x:c r="G714" t="n">
        <x:f>F714*86400</x:f>
        <x:v>4766</x:v>
      </x:c>
      <x:c r="H714" t="str">
        <x:f>'Employee Attendance'!H239</x:f>
        <x:v>Partially attended</x:v>
      </x:c>
      <x:c r="I714" t="str">
        <x:f>'Employee Attendance'!L239</x:f>
        <x:v>Yes</x:v>
      </x:c>
    </x:row>
    <x:row r="715">
      <x:c r="A715" t="str">
        <x:f>'Employee Attendance'!A239</x:f>
        <x:v>Kelvin Mukaria</x:v>
      </x:c>
      <x:c r="B715" t="str">
        <x:f>'Employee Attendance'!B239</x:f>
        <x:v>Kenya</x:v>
      </x:c>
      <x:c r="C715" t="str">
        <x:f>'Employee Attendance'!C239</x:f>
        <x:v>KE</x:v>
      </x:c>
      <x:c r="D715" t="str">
        <x:f>'Employee Attendance'!D239</x:f>
        <x:v>kelvin.mukaria@pwc.com</x:v>
      </x:c>
      <x:c r="E715" t="str">
        <x:f>"Combined"</x:f>
        <x:v>Combined</x:v>
      </x:c>
      <x:c r="F715" s="14" t="n">
        <x:f>'Employee Attendance'!I239</x:f>
        <x:v>0.0680324074074074</x:v>
      </x:c>
      <x:c r="G715" t="n">
        <x:f>F715*86400</x:f>
        <x:v>5878</x:v>
      </x:c>
      <x:c r="H715" t="str">
        <x:f>'Employee Attendance'!J239</x:f>
        <x:v>Fully attended</x:v>
      </x:c>
      <x:c r="I715" t="str">
        <x:f>IF(OR('Employee Attendance'!K239="Yes",'Employee Attendance'!L239="Yes"),"Yes","No")</x:f>
        <x:v>Yes</x:v>
      </x:c>
    </x:row>
    <x:row r="716">
      <x:c r="A716" t="str">
        <x:f>'Employee Attendance'!A240</x:f>
        <x:v>Kelvin Wainaina</x:v>
      </x:c>
      <x:c r="B716" t="str">
        <x:f>'Employee Attendance'!B240</x:f>
        <x:v>Kenya</x:v>
      </x:c>
      <x:c r="C716" t="str">
        <x:f>'Employee Attendance'!C240</x:f>
        <x:v>KE</x:v>
      </x:c>
      <x:c r="D716" t="str">
        <x:f>'Employee Attendance'!D240</x:f>
        <x:v>kelvin.wainaina@pwc.com</x:v>
      </x:c>
      <x:c r="E716" t="str">
        <x:f>"Option 1"</x:f>
        <x:v>Option 1</x:v>
      </x:c>
      <x:c r="F716" s="14" t="n">
        <x:f>'Employee Attendance'!E240</x:f>
        <x:v>0</x:v>
      </x:c>
      <x:c r="G716" t="n">
        <x:f>F716*86400</x:f>
        <x:v>0</x:v>
      </x:c>
      <x:c r="H716" t="str">
        <x:f>'Employee Attendance'!F240</x:f>
        <x:v>Did not attend</x:v>
      </x:c>
      <x:c r="I716" t="str">
        <x:f>'Employee Attendance'!K240</x:f>
        <x:v>No</x:v>
      </x:c>
    </x:row>
    <x:row r="717">
      <x:c r="A717" t="str">
        <x:f>'Employee Attendance'!A240</x:f>
        <x:v>Kelvin Wainaina</x:v>
      </x:c>
      <x:c r="B717" t="str">
        <x:f>'Employee Attendance'!B240</x:f>
        <x:v>Kenya</x:v>
      </x:c>
      <x:c r="C717" t="str">
        <x:f>'Employee Attendance'!C240</x:f>
        <x:v>KE</x:v>
      </x:c>
      <x:c r="D717" t="str">
        <x:f>'Employee Attendance'!D240</x:f>
        <x:v>kelvin.wainaina@pwc.com</x:v>
      </x:c>
      <x:c r="E717" t="str">
        <x:f>"Option 2"</x:f>
        <x:v>Option 2</x:v>
      </x:c>
      <x:c r="F717" s="14" t="n">
        <x:f>'Employee Attendance'!G240</x:f>
        <x:v>0.06655092592592593</x:v>
      </x:c>
      <x:c r="G717" t="n">
        <x:f>F717*86400</x:f>
        <x:v>5750</x:v>
      </x:c>
      <x:c r="H717" t="str">
        <x:f>'Employee Attendance'!H240</x:f>
        <x:v>Fully attended</x:v>
      </x:c>
      <x:c r="I717" t="str">
        <x:f>'Employee Attendance'!L240</x:f>
        <x:v>Yes</x:v>
      </x:c>
    </x:row>
    <x:row r="718">
      <x:c r="A718" t="str">
        <x:f>'Employee Attendance'!A240</x:f>
        <x:v>Kelvin Wainaina</x:v>
      </x:c>
      <x:c r="B718" t="str">
        <x:f>'Employee Attendance'!B240</x:f>
        <x:v>Kenya</x:v>
      </x:c>
      <x:c r="C718" t="str">
        <x:f>'Employee Attendance'!C240</x:f>
        <x:v>KE</x:v>
      </x:c>
      <x:c r="D718" t="str">
        <x:f>'Employee Attendance'!D240</x:f>
        <x:v>kelvin.wainaina@pwc.com</x:v>
      </x:c>
      <x:c r="E718" t="str">
        <x:f>"Combined"</x:f>
        <x:v>Combined</x:v>
      </x:c>
      <x:c r="F718" s="14" t="n">
        <x:f>'Employee Attendance'!I240</x:f>
        <x:v>0.06655092592592593</x:v>
      </x:c>
      <x:c r="G718" t="n">
        <x:f>F718*86400</x:f>
        <x:v>5750</x:v>
      </x:c>
      <x:c r="H718" t="str">
        <x:f>'Employee Attendance'!J240</x:f>
        <x:v>Fully attended</x:v>
      </x:c>
      <x:c r="I718" t="str">
        <x:f>IF(OR('Employee Attendance'!K240="Yes",'Employee Attendance'!L240="Yes"),"Yes","No")</x:f>
        <x:v>Yes</x:v>
      </x:c>
    </x:row>
    <x:row r="719">
      <x:c r="A719" t="str">
        <x:f>'Employee Attendance'!A241</x:f>
        <x:v>Kerry Watiri</x:v>
      </x:c>
      <x:c r="B719" t="str">
        <x:f>'Employee Attendance'!B241</x:f>
        <x:v>Kenya</x:v>
      </x:c>
      <x:c r="C719" t="str">
        <x:f>'Employee Attendance'!C241</x:f>
        <x:v>KE</x:v>
      </x:c>
      <x:c r="D719" t="str">
        <x:f>'Employee Attendance'!D241</x:f>
        <x:v>kerry.watiri@pwc.com</x:v>
      </x:c>
      <x:c r="E719" t="str">
        <x:f>"Option 1"</x:f>
        <x:v>Option 1</x:v>
      </x:c>
      <x:c r="F719" s="14" t="n">
        <x:f>'Employee Attendance'!E241</x:f>
        <x:v>0.06394675925925926</x:v>
      </x:c>
      <x:c r="G719" t="n">
        <x:f>F719*86400</x:f>
        <x:v>5525</x:v>
      </x:c>
      <x:c r="H719" t="str">
        <x:f>'Employee Attendance'!F241</x:f>
        <x:v>Fully attended</x:v>
      </x:c>
      <x:c r="I719" t="str">
        <x:f>'Employee Attendance'!K241</x:f>
        <x:v>Yes</x:v>
      </x:c>
    </x:row>
    <x:row r="720">
      <x:c r="A720" t="str">
        <x:f>'Employee Attendance'!A241</x:f>
        <x:v>Kerry Watiri</x:v>
      </x:c>
      <x:c r="B720" t="str">
        <x:f>'Employee Attendance'!B241</x:f>
        <x:v>Kenya</x:v>
      </x:c>
      <x:c r="C720" t="str">
        <x:f>'Employee Attendance'!C241</x:f>
        <x:v>KE</x:v>
      </x:c>
      <x:c r="D720" t="str">
        <x:f>'Employee Attendance'!D241</x:f>
        <x:v>kerry.watiri@pwc.com</x:v>
      </x:c>
      <x:c r="E720" t="str">
        <x:f>"Option 2"</x:f>
        <x:v>Option 2</x:v>
      </x:c>
      <x:c r="F720" s="14" t="n">
        <x:f>'Employee Attendance'!G241</x:f>
        <x:v>0.09570601851851852</x:v>
      </x:c>
      <x:c r="G720" t="n">
        <x:f>F720*86400</x:f>
        <x:v>8269</x:v>
      </x:c>
      <x:c r="H720" t="str">
        <x:f>'Employee Attendance'!H241</x:f>
        <x:v>Fully attended</x:v>
      </x:c>
      <x:c r="I720" t="str">
        <x:f>'Employee Attendance'!L241</x:f>
        <x:v>Yes</x:v>
      </x:c>
    </x:row>
    <x:row r="721">
      <x:c r="A721" t="str">
        <x:f>'Employee Attendance'!A241</x:f>
        <x:v>Kerry Watiri</x:v>
      </x:c>
      <x:c r="B721" t="str">
        <x:f>'Employee Attendance'!B241</x:f>
        <x:v>Kenya</x:v>
      </x:c>
      <x:c r="C721" t="str">
        <x:f>'Employee Attendance'!C241</x:f>
        <x:v>KE</x:v>
      </x:c>
      <x:c r="D721" t="str">
        <x:f>'Employee Attendance'!D241</x:f>
        <x:v>kerry.watiri@pwc.com</x:v>
      </x:c>
      <x:c r="E721" t="str">
        <x:f>"Combined"</x:f>
        <x:v>Combined</x:v>
      </x:c>
      <x:c r="F721" s="14" t="n">
        <x:f>'Employee Attendance'!I241</x:f>
        <x:v>0.15965277777777778</x:v>
      </x:c>
      <x:c r="G721" t="n">
        <x:f>F721*86400</x:f>
        <x:v>13794</x:v>
      </x:c>
      <x:c r="H721" t="str">
        <x:f>'Employee Attendance'!J241</x:f>
        <x:v>Fully attended</x:v>
      </x:c>
      <x:c r="I721" t="str">
        <x:f>IF(OR('Employee Attendance'!K241="Yes",'Employee Attendance'!L241="Yes"),"Yes","No")</x:f>
        <x:v>Yes</x:v>
      </x:c>
    </x:row>
    <x:row r="722">
      <x:c r="A722" t="str">
        <x:f>'Employee Attendance'!A242</x:f>
        <x:v>Keshika Kasary</x:v>
      </x:c>
      <x:c r="B722" t="str">
        <x:f>'Employee Attendance'!B242</x:f>
        <x:v>Mauritius</x:v>
      </x:c>
      <x:c r="C722" t="str">
        <x:f>'Employee Attendance'!C242</x:f>
        <x:v>MU</x:v>
      </x:c>
      <x:c r="D722" t="str">
        <x:f>'Employee Attendance'!D242</x:f>
        <x:v>keshika.k.kasary@pwc.com</x:v>
      </x:c>
      <x:c r="E722" t="str">
        <x:f>"Option 1"</x:f>
        <x:v>Option 1</x:v>
      </x:c>
      <x:c r="F722" s="14" t="n">
        <x:f>'Employee Attendance'!E242</x:f>
        <x:v>0</x:v>
      </x:c>
      <x:c r="G722" t="n">
        <x:f>F722*86400</x:f>
        <x:v>0</x:v>
      </x:c>
      <x:c r="H722" t="str">
        <x:f>'Employee Attendance'!F242</x:f>
        <x:v>Did not attend</x:v>
      </x:c>
      <x:c r="I722" t="str">
        <x:f>'Employee Attendance'!K242</x:f>
        <x:v>No</x:v>
      </x:c>
    </x:row>
    <x:row r="723">
      <x:c r="A723" t="str">
        <x:f>'Employee Attendance'!A242</x:f>
        <x:v>Keshika Kasary</x:v>
      </x:c>
      <x:c r="B723" t="str">
        <x:f>'Employee Attendance'!B242</x:f>
        <x:v>Mauritius</x:v>
      </x:c>
      <x:c r="C723" t="str">
        <x:f>'Employee Attendance'!C242</x:f>
        <x:v>MU</x:v>
      </x:c>
      <x:c r="D723" t="str">
        <x:f>'Employee Attendance'!D242</x:f>
        <x:v>keshika.k.kasary@pwc.com</x:v>
      </x:c>
      <x:c r="E723" t="str">
        <x:f>"Option 2"</x:f>
        <x:v>Option 2</x:v>
      </x:c>
      <x:c r="F723" s="14" t="n">
        <x:f>'Employee Attendance'!G242</x:f>
        <x:v>0.04296296296296296</x:v>
      </x:c>
      <x:c r="G723" t="n">
        <x:f>F723*86400</x:f>
        <x:v>3711.9999999999995</x:v>
      </x:c>
      <x:c r="H723" t="str">
        <x:f>'Employee Attendance'!H242</x:f>
        <x:v>Partially attended</x:v>
      </x:c>
      <x:c r="I723" t="str">
        <x:f>'Employee Attendance'!L242</x:f>
        <x:v>Yes</x:v>
      </x:c>
    </x:row>
    <x:row r="724">
      <x:c r="A724" t="str">
        <x:f>'Employee Attendance'!A242</x:f>
        <x:v>Keshika Kasary</x:v>
      </x:c>
      <x:c r="B724" t="str">
        <x:f>'Employee Attendance'!B242</x:f>
        <x:v>Mauritius</x:v>
      </x:c>
      <x:c r="C724" t="str">
        <x:f>'Employee Attendance'!C242</x:f>
        <x:v>MU</x:v>
      </x:c>
      <x:c r="D724" t="str">
        <x:f>'Employee Attendance'!D242</x:f>
        <x:v>keshika.k.kasary@pwc.com</x:v>
      </x:c>
      <x:c r="E724" t="str">
        <x:f>"Combined"</x:f>
        <x:v>Combined</x:v>
      </x:c>
      <x:c r="F724" s="14" t="n">
        <x:f>'Employee Attendance'!I242</x:f>
        <x:v>0.04296296296296296</x:v>
      </x:c>
      <x:c r="G724" t="n">
        <x:f>F724*86400</x:f>
        <x:v>3711.9999999999995</x:v>
      </x:c>
      <x:c r="H724" t="str">
        <x:f>'Employee Attendance'!J242</x:f>
        <x:v>Partially attended</x:v>
      </x:c>
      <x:c r="I724" t="str">
        <x:f>IF(OR('Employee Attendance'!K242="Yes",'Employee Attendance'!L242="Yes"),"Yes","No")</x:f>
        <x:v>Yes</x:v>
      </x:c>
    </x:row>
    <x:row r="725">
      <x:c r="A725" t="str">
        <x:f>'Employee Attendance'!A243</x:f>
        <x:v>Keshini Doobah</x:v>
      </x:c>
      <x:c r="B725" t="str">
        <x:f>'Employee Attendance'!B243</x:f>
        <x:v>Mauritius</x:v>
      </x:c>
      <x:c r="C725" t="str">
        <x:f>'Employee Attendance'!C243</x:f>
        <x:v>MU</x:v>
      </x:c>
      <x:c r="D725" t="str">
        <x:f>'Employee Attendance'!D243</x:f>
        <x:v>keshini.doobah@pwc.com</x:v>
      </x:c>
      <x:c r="E725" t="str">
        <x:f>"Option 1"</x:f>
        <x:v>Option 1</x:v>
      </x:c>
      <x:c r="F725" s="14" t="n">
        <x:f>'Employee Attendance'!E243</x:f>
        <x:v>0</x:v>
      </x:c>
      <x:c r="G725" t="n">
        <x:f>F725*86400</x:f>
        <x:v>0</x:v>
      </x:c>
      <x:c r="H725" t="str">
        <x:f>'Employee Attendance'!F243</x:f>
        <x:v>Did not attend</x:v>
      </x:c>
      <x:c r="I725" t="str">
        <x:f>'Employee Attendance'!K243</x:f>
        <x:v>No</x:v>
      </x:c>
    </x:row>
    <x:row r="726">
      <x:c r="A726" t="str">
        <x:f>'Employee Attendance'!A243</x:f>
        <x:v>Keshini Doobah</x:v>
      </x:c>
      <x:c r="B726" t="str">
        <x:f>'Employee Attendance'!B243</x:f>
        <x:v>Mauritius</x:v>
      </x:c>
      <x:c r="C726" t="str">
        <x:f>'Employee Attendance'!C243</x:f>
        <x:v>MU</x:v>
      </x:c>
      <x:c r="D726" t="str">
        <x:f>'Employee Attendance'!D243</x:f>
        <x:v>keshini.doobah@pwc.com</x:v>
      </x:c>
      <x:c r="E726" t="str">
        <x:f>"Option 2"</x:f>
        <x:v>Option 2</x:v>
      </x:c>
      <x:c r="F726" s="14" t="n">
        <x:f>'Employee Attendance'!G243</x:f>
        <x:v>0.07623842592592593</x:v>
      </x:c>
      <x:c r="G726" t="n">
        <x:f>F726*86400</x:f>
        <x:v>6587.000000000001</x:v>
      </x:c>
      <x:c r="H726" t="str">
        <x:f>'Employee Attendance'!H243</x:f>
        <x:v>Fully attended</x:v>
      </x:c>
      <x:c r="I726" t="str">
        <x:f>'Employee Attendance'!L243</x:f>
        <x:v>Yes</x:v>
      </x:c>
    </x:row>
    <x:row r="727">
      <x:c r="A727" t="str">
        <x:f>'Employee Attendance'!A243</x:f>
        <x:v>Keshini Doobah</x:v>
      </x:c>
      <x:c r="B727" t="str">
        <x:f>'Employee Attendance'!B243</x:f>
        <x:v>Mauritius</x:v>
      </x:c>
      <x:c r="C727" t="str">
        <x:f>'Employee Attendance'!C243</x:f>
        <x:v>MU</x:v>
      </x:c>
      <x:c r="D727" t="str">
        <x:f>'Employee Attendance'!D243</x:f>
        <x:v>keshini.doobah@pwc.com</x:v>
      </x:c>
      <x:c r="E727" t="str">
        <x:f>"Combined"</x:f>
        <x:v>Combined</x:v>
      </x:c>
      <x:c r="F727" s="14" t="n">
        <x:f>'Employee Attendance'!I243</x:f>
        <x:v>0.07623842592592593</x:v>
      </x:c>
      <x:c r="G727" t="n">
        <x:f>F727*86400</x:f>
        <x:v>6587.000000000001</x:v>
      </x:c>
      <x:c r="H727" t="str">
        <x:f>'Employee Attendance'!J243</x:f>
        <x:v>Fully attended</x:v>
      </x:c>
      <x:c r="I727" t="str">
        <x:f>IF(OR('Employee Attendance'!K243="Yes",'Employee Attendance'!L243="Yes"),"Yes","No")</x:f>
        <x:v>Yes</x:v>
      </x:c>
    </x:row>
    <x:row r="728">
      <x:c r="A728" t="str">
        <x:f>'Employee Attendance'!A244</x:f>
        <x:v>Keshini Sahadew</x:v>
      </x:c>
      <x:c r="B728" t="str">
        <x:f>'Employee Attendance'!B244</x:f>
        <x:v>Mauritius</x:v>
      </x:c>
      <x:c r="C728" t="str">
        <x:f>'Employee Attendance'!C244</x:f>
        <x:v>MU</x:v>
      </x:c>
      <x:c r="D728" t="str">
        <x:f>'Employee Attendance'!D244</x:f>
        <x:v>keshini.sahadew@pwc.com</x:v>
      </x:c>
      <x:c r="E728" t="str">
        <x:f>"Option 1"</x:f>
        <x:v>Option 1</x:v>
      </x:c>
      <x:c r="F728" s="14" t="n">
        <x:f>'Employee Attendance'!E244</x:f>
        <x:v>0.00032407407407407406</x:v>
      </x:c>
      <x:c r="G728" t="n">
        <x:f>F728*86400</x:f>
        <x:v>28</x:v>
      </x:c>
      <x:c r="H728" t="str">
        <x:f>'Employee Attendance'!F244</x:f>
        <x:v>Partially attended</x:v>
      </x:c>
      <x:c r="I728" t="str">
        <x:f>'Employee Attendance'!K244</x:f>
        <x:v>Yes</x:v>
      </x:c>
    </x:row>
    <x:row r="729">
      <x:c r="A729" t="str">
        <x:f>'Employee Attendance'!A244</x:f>
        <x:v>Keshini Sahadew</x:v>
      </x:c>
      <x:c r="B729" t="str">
        <x:f>'Employee Attendance'!B244</x:f>
        <x:v>Mauritius</x:v>
      </x:c>
      <x:c r="C729" t="str">
        <x:f>'Employee Attendance'!C244</x:f>
        <x:v>MU</x:v>
      </x:c>
      <x:c r="D729" t="str">
        <x:f>'Employee Attendance'!D244</x:f>
        <x:v>keshini.sahadew@pwc.com</x:v>
      </x:c>
      <x:c r="E729" t="str">
        <x:f>"Option 2"</x:f>
        <x:v>Option 2</x:v>
      </x:c>
      <x:c r="F729" s="14" t="n">
        <x:f>'Employee Attendance'!G244</x:f>
        <x:v>0.08998842592592593</x:v>
      </x:c>
      <x:c r="G729" t="n">
        <x:f>F729*86400</x:f>
        <x:v>7775</x:v>
      </x:c>
      <x:c r="H729" t="str">
        <x:f>'Employee Attendance'!H244</x:f>
        <x:v>Fully attended</x:v>
      </x:c>
      <x:c r="I729" t="str">
        <x:f>'Employee Attendance'!L244</x:f>
        <x:v>Yes</x:v>
      </x:c>
    </x:row>
    <x:row r="730">
      <x:c r="A730" t="str">
        <x:f>'Employee Attendance'!A244</x:f>
        <x:v>Keshini Sahadew</x:v>
      </x:c>
      <x:c r="B730" t="str">
        <x:f>'Employee Attendance'!B244</x:f>
        <x:v>Mauritius</x:v>
      </x:c>
      <x:c r="C730" t="str">
        <x:f>'Employee Attendance'!C244</x:f>
        <x:v>MU</x:v>
      </x:c>
      <x:c r="D730" t="str">
        <x:f>'Employee Attendance'!D244</x:f>
        <x:v>keshini.sahadew@pwc.com</x:v>
      </x:c>
      <x:c r="E730" t="str">
        <x:f>"Combined"</x:f>
        <x:v>Combined</x:v>
      </x:c>
      <x:c r="F730" s="14" t="n">
        <x:f>'Employee Attendance'!I244</x:f>
        <x:v>0.0903125</x:v>
      </x:c>
      <x:c r="G730" t="n">
        <x:f>F730*86400</x:f>
        <x:v>7803</x:v>
      </x:c>
      <x:c r="H730" t="str">
        <x:f>'Employee Attendance'!J244</x:f>
        <x:v>Fully attended</x:v>
      </x:c>
      <x:c r="I730" t="str">
        <x:f>IF(OR('Employee Attendance'!K244="Yes",'Employee Attendance'!L244="Yes"),"Yes","No")</x:f>
        <x:v>Yes</x:v>
      </x:c>
    </x:row>
    <x:row r="731">
      <x:c r="A731" t="str">
        <x:f>'Employee Attendance'!A245</x:f>
        <x:v>Kioko Nzuki</x:v>
      </x:c>
      <x:c r="B731" t="str">
        <x:f>'Employee Attendance'!B245</x:f>
        <x:v>Kenya</x:v>
      </x:c>
      <x:c r="C731" t="str">
        <x:f>'Employee Attendance'!C245</x:f>
        <x:v>KE</x:v>
      </x:c>
      <x:c r="D731" t="str">
        <x:f>'Employee Attendance'!D245</x:f>
        <x:v>kioko.nzuki@pwc.com</x:v>
      </x:c>
      <x:c r="E731" t="str">
        <x:f>"Option 1"</x:f>
        <x:v>Option 1</x:v>
      </x:c>
      <x:c r="F731" s="14" t="n">
        <x:f>'Employee Attendance'!E245</x:f>
        <x:v>0</x:v>
      </x:c>
      <x:c r="G731" t="n">
        <x:f>F731*86400</x:f>
        <x:v>0</x:v>
      </x:c>
      <x:c r="H731" t="str">
        <x:f>'Employee Attendance'!F245</x:f>
        <x:v>Did not attend</x:v>
      </x:c>
      <x:c r="I731" t="str">
        <x:f>'Employee Attendance'!K245</x:f>
        <x:v>No</x:v>
      </x:c>
    </x:row>
    <x:row r="732">
      <x:c r="A732" t="str">
        <x:f>'Employee Attendance'!A245</x:f>
        <x:v>Kioko Nzuki</x:v>
      </x:c>
      <x:c r="B732" t="str">
        <x:f>'Employee Attendance'!B245</x:f>
        <x:v>Kenya</x:v>
      </x:c>
      <x:c r="C732" t="str">
        <x:f>'Employee Attendance'!C245</x:f>
        <x:v>KE</x:v>
      </x:c>
      <x:c r="D732" t="str">
        <x:f>'Employee Attendance'!D245</x:f>
        <x:v>kioko.nzuki@pwc.com</x:v>
      </x:c>
      <x:c r="E732" t="str">
        <x:f>"Option 2"</x:f>
        <x:v>Option 2</x:v>
      </x:c>
      <x:c r="F732" s="14" t="n">
        <x:f>'Employee Attendance'!G245</x:f>
        <x:v>0.03690972222222222</x:v>
      </x:c>
      <x:c r="G732" t="n">
        <x:f>F732*86400</x:f>
        <x:v>3188.9999999999995</x:v>
      </x:c>
      <x:c r="H732" t="str">
        <x:f>'Employee Attendance'!H245</x:f>
        <x:v>Partially attended</x:v>
      </x:c>
      <x:c r="I732" t="str">
        <x:f>'Employee Attendance'!L245</x:f>
        <x:v>Yes</x:v>
      </x:c>
    </x:row>
    <x:row r="733">
      <x:c r="A733" t="str">
        <x:f>'Employee Attendance'!A245</x:f>
        <x:v>Kioko Nzuki</x:v>
      </x:c>
      <x:c r="B733" t="str">
        <x:f>'Employee Attendance'!B245</x:f>
        <x:v>Kenya</x:v>
      </x:c>
      <x:c r="C733" t="str">
        <x:f>'Employee Attendance'!C245</x:f>
        <x:v>KE</x:v>
      </x:c>
      <x:c r="D733" t="str">
        <x:f>'Employee Attendance'!D245</x:f>
        <x:v>kioko.nzuki@pwc.com</x:v>
      </x:c>
      <x:c r="E733" t="str">
        <x:f>"Combined"</x:f>
        <x:v>Combined</x:v>
      </x:c>
      <x:c r="F733" s="14" t="n">
        <x:f>'Employee Attendance'!I245</x:f>
        <x:v>0.03690972222222222</x:v>
      </x:c>
      <x:c r="G733" t="n">
        <x:f>F733*86400</x:f>
        <x:v>3188.9999999999995</x:v>
      </x:c>
      <x:c r="H733" t="str">
        <x:f>'Employee Attendance'!J245</x:f>
        <x:v>Partially attended</x:v>
      </x:c>
      <x:c r="I733" t="str">
        <x:f>IF(OR('Employee Attendance'!K245="Yes",'Employee Attendance'!L245="Yes"),"Yes","No")</x:f>
        <x:v>Yes</x:v>
      </x:c>
    </x:row>
    <x:row r="734">
      <x:c r="A734" t="str">
        <x:f>'Employee Attendance'!A246</x:f>
        <x:v>Kirisha Kasseean</x:v>
      </x:c>
      <x:c r="B734" t="str">
        <x:f>'Employee Attendance'!B246</x:f>
        <x:v>Mauritius</x:v>
      </x:c>
      <x:c r="C734" t="str">
        <x:f>'Employee Attendance'!C246</x:f>
        <x:v>MU</x:v>
      </x:c>
      <x:c r="D734" t="str">
        <x:f>'Employee Attendance'!D246</x:f>
        <x:v>kirisha.kasseean@pwc.com</x:v>
      </x:c>
      <x:c r="E734" t="str">
        <x:f>"Option 1"</x:f>
        <x:v>Option 1</x:v>
      </x:c>
      <x:c r="F734" s="14" t="n">
        <x:f>'Employee Attendance'!E246</x:f>
        <x:v>0</x:v>
      </x:c>
      <x:c r="G734" t="n">
        <x:f>F734*86400</x:f>
        <x:v>0</x:v>
      </x:c>
      <x:c r="H734" t="str">
        <x:f>'Employee Attendance'!F246</x:f>
        <x:v>Did not attend</x:v>
      </x:c>
      <x:c r="I734" t="str">
        <x:f>'Employee Attendance'!K246</x:f>
        <x:v>No</x:v>
      </x:c>
    </x:row>
    <x:row r="735">
      <x:c r="A735" t="str">
        <x:f>'Employee Attendance'!A246</x:f>
        <x:v>Kirisha Kasseean</x:v>
      </x:c>
      <x:c r="B735" t="str">
        <x:f>'Employee Attendance'!B246</x:f>
        <x:v>Mauritius</x:v>
      </x:c>
      <x:c r="C735" t="str">
        <x:f>'Employee Attendance'!C246</x:f>
        <x:v>MU</x:v>
      </x:c>
      <x:c r="D735" t="str">
        <x:f>'Employee Attendance'!D246</x:f>
        <x:v>kirisha.kasseean@pwc.com</x:v>
      </x:c>
      <x:c r="E735" t="str">
        <x:f>"Option 2"</x:f>
        <x:v>Option 2</x:v>
      </x:c>
      <x:c r="F735" s="14" t="n">
        <x:f>'Employee Attendance'!G246</x:f>
        <x:v>0.09789351851851852</x:v>
      </x:c>
      <x:c r="G735" t="n">
        <x:f>F735*86400</x:f>
        <x:v>8458</x:v>
      </x:c>
      <x:c r="H735" t="str">
        <x:f>'Employee Attendance'!H246</x:f>
        <x:v>Fully attended</x:v>
      </x:c>
      <x:c r="I735" t="str">
        <x:f>'Employee Attendance'!L246</x:f>
        <x:v>Yes</x:v>
      </x:c>
    </x:row>
    <x:row r="736">
      <x:c r="A736" t="str">
        <x:f>'Employee Attendance'!A246</x:f>
        <x:v>Kirisha Kasseean</x:v>
      </x:c>
      <x:c r="B736" t="str">
        <x:f>'Employee Attendance'!B246</x:f>
        <x:v>Mauritius</x:v>
      </x:c>
      <x:c r="C736" t="str">
        <x:f>'Employee Attendance'!C246</x:f>
        <x:v>MU</x:v>
      </x:c>
      <x:c r="D736" t="str">
        <x:f>'Employee Attendance'!D246</x:f>
        <x:v>kirisha.kasseean@pwc.com</x:v>
      </x:c>
      <x:c r="E736" t="str">
        <x:f>"Combined"</x:f>
        <x:v>Combined</x:v>
      </x:c>
      <x:c r="F736" s="14" t="n">
        <x:f>'Employee Attendance'!I246</x:f>
        <x:v>0.09789351851851852</x:v>
      </x:c>
      <x:c r="G736" t="n">
        <x:f>F736*86400</x:f>
        <x:v>8458</x:v>
      </x:c>
      <x:c r="H736" t="str">
        <x:f>'Employee Attendance'!J246</x:f>
        <x:v>Fully attended</x:v>
      </x:c>
      <x:c r="I736" t="str">
        <x:f>IF(OR('Employee Attendance'!K246="Yes",'Employee Attendance'!L246="Yes"),"Yes","No")</x:f>
        <x:v>Yes</x:v>
      </x:c>
    </x:row>
    <x:row r="737">
      <x:c r="A737" t="str">
        <x:f>'Employee Attendance'!A247</x:f>
        <x:v>Kooshika Sookun</x:v>
      </x:c>
      <x:c r="B737" t="str">
        <x:f>'Employee Attendance'!B247</x:f>
        <x:v>Mauritius</x:v>
      </x:c>
      <x:c r="C737" t="str">
        <x:f>'Employee Attendance'!C247</x:f>
        <x:v>MU</x:v>
      </x:c>
      <x:c r="D737" t="str">
        <x:f>'Employee Attendance'!D247</x:f>
        <x:v>kooshika.sookun@pwc.com</x:v>
      </x:c>
      <x:c r="E737" t="str">
        <x:f>"Option 1"</x:f>
        <x:v>Option 1</x:v>
      </x:c>
      <x:c r="F737" s="14" t="n">
        <x:f>'Employee Attendance'!E247</x:f>
        <x:v>0</x:v>
      </x:c>
      <x:c r="G737" t="n">
        <x:f>F737*86400</x:f>
        <x:v>0</x:v>
      </x:c>
      <x:c r="H737" t="str">
        <x:f>'Employee Attendance'!F247</x:f>
        <x:v>Did not attend</x:v>
      </x:c>
      <x:c r="I737" t="str">
        <x:f>'Employee Attendance'!K247</x:f>
        <x:v>No</x:v>
      </x:c>
    </x:row>
    <x:row r="738">
      <x:c r="A738" t="str">
        <x:f>'Employee Attendance'!A247</x:f>
        <x:v>Kooshika Sookun</x:v>
      </x:c>
      <x:c r="B738" t="str">
        <x:f>'Employee Attendance'!B247</x:f>
        <x:v>Mauritius</x:v>
      </x:c>
      <x:c r="C738" t="str">
        <x:f>'Employee Attendance'!C247</x:f>
        <x:v>MU</x:v>
      </x:c>
      <x:c r="D738" t="str">
        <x:f>'Employee Attendance'!D247</x:f>
        <x:v>kooshika.sookun@pwc.com</x:v>
      </x:c>
      <x:c r="E738" t="str">
        <x:f>"Option 2"</x:f>
        <x:v>Option 2</x:v>
      </x:c>
      <x:c r="F738" s="14" t="n">
        <x:f>'Employee Attendance'!G247</x:f>
        <x:v>0.059722222222222225</x:v>
      </x:c>
      <x:c r="G738" t="n">
        <x:f>F738*86400</x:f>
        <x:v>5160</x:v>
      </x:c>
      <x:c r="H738" t="str">
        <x:f>'Employee Attendance'!H247</x:f>
        <x:v>Partially attended</x:v>
      </x:c>
      <x:c r="I738" t="str">
        <x:f>'Employee Attendance'!L247</x:f>
        <x:v>Yes</x:v>
      </x:c>
    </x:row>
    <x:row r="739">
      <x:c r="A739" t="str">
        <x:f>'Employee Attendance'!A247</x:f>
        <x:v>Kooshika Sookun</x:v>
      </x:c>
      <x:c r="B739" t="str">
        <x:f>'Employee Attendance'!B247</x:f>
        <x:v>Mauritius</x:v>
      </x:c>
      <x:c r="C739" t="str">
        <x:f>'Employee Attendance'!C247</x:f>
        <x:v>MU</x:v>
      </x:c>
      <x:c r="D739" t="str">
        <x:f>'Employee Attendance'!D247</x:f>
        <x:v>kooshika.sookun@pwc.com</x:v>
      </x:c>
      <x:c r="E739" t="str">
        <x:f>"Combined"</x:f>
        <x:v>Combined</x:v>
      </x:c>
      <x:c r="F739" s="14" t="n">
        <x:f>'Employee Attendance'!I247</x:f>
        <x:v>0.059722222222222225</x:v>
      </x:c>
      <x:c r="G739" t="n">
        <x:f>F739*86400</x:f>
        <x:v>5160</x:v>
      </x:c>
      <x:c r="H739" t="str">
        <x:f>'Employee Attendance'!J247</x:f>
        <x:v>Partially attended</x:v>
      </x:c>
      <x:c r="I739" t="str">
        <x:f>IF(OR('Employee Attendance'!K247="Yes",'Employee Attendance'!L247="Yes"),"Yes","No")</x:f>
        <x:v>Yes</x:v>
      </x:c>
    </x:row>
    <x:row r="740">
      <x:c r="A740" t="str">
        <x:f>'Employee Attendance'!A248</x:f>
        <x:v>Kovanam Moodelly</x:v>
      </x:c>
      <x:c r="B740" t="str">
        <x:f>'Employee Attendance'!B248</x:f>
        <x:v>Mauritius</x:v>
      </x:c>
      <x:c r="C740" t="str">
        <x:f>'Employee Attendance'!C248</x:f>
        <x:v>MU</x:v>
      </x:c>
      <x:c r="D740" t="str">
        <x:f>'Employee Attendance'!D248</x:f>
        <x:v>kovanam.moodelly@pwc.com</x:v>
      </x:c>
      <x:c r="E740" t="str">
        <x:f>"Option 1"</x:f>
        <x:v>Option 1</x:v>
      </x:c>
      <x:c r="F740" s="14" t="n">
        <x:f>'Employee Attendance'!E248</x:f>
        <x:v>0.009965277777777778</x:v>
      </x:c>
      <x:c r="G740" t="n">
        <x:f>F740*86400</x:f>
        <x:v>861</x:v>
      </x:c>
      <x:c r="H740" t="str">
        <x:f>'Employee Attendance'!F248</x:f>
        <x:v>Partially attended</x:v>
      </x:c>
      <x:c r="I740" t="str">
        <x:f>'Employee Attendance'!K248</x:f>
        <x:v>Yes</x:v>
      </x:c>
    </x:row>
    <x:row r="741">
      <x:c r="A741" t="str">
        <x:f>'Employee Attendance'!A248</x:f>
        <x:v>Kovanam Moodelly</x:v>
      </x:c>
      <x:c r="B741" t="str">
        <x:f>'Employee Attendance'!B248</x:f>
        <x:v>Mauritius</x:v>
      </x:c>
      <x:c r="C741" t="str">
        <x:f>'Employee Attendance'!C248</x:f>
        <x:v>MU</x:v>
      </x:c>
      <x:c r="D741" t="str">
        <x:f>'Employee Attendance'!D248</x:f>
        <x:v>kovanam.moodelly@pwc.com</x:v>
      </x:c>
      <x:c r="E741" t="str">
        <x:f>"Option 2"</x:f>
        <x:v>Option 2</x:v>
      </x:c>
      <x:c r="F741" s="14" t="n">
        <x:f>'Employee Attendance'!G248</x:f>
        <x:v>0.08443287037037037</x:v>
      </x:c>
      <x:c r="G741" t="n">
        <x:f>F741*86400</x:f>
        <x:v>7295</x:v>
      </x:c>
      <x:c r="H741" t="str">
        <x:f>'Employee Attendance'!H248</x:f>
        <x:v>Fully attended</x:v>
      </x:c>
      <x:c r="I741" t="str">
        <x:f>'Employee Attendance'!L248</x:f>
        <x:v>Yes</x:v>
      </x:c>
    </x:row>
    <x:row r="742">
      <x:c r="A742" t="str">
        <x:f>'Employee Attendance'!A248</x:f>
        <x:v>Kovanam Moodelly</x:v>
      </x:c>
      <x:c r="B742" t="str">
        <x:f>'Employee Attendance'!B248</x:f>
        <x:v>Mauritius</x:v>
      </x:c>
      <x:c r="C742" t="str">
        <x:f>'Employee Attendance'!C248</x:f>
        <x:v>MU</x:v>
      </x:c>
      <x:c r="D742" t="str">
        <x:f>'Employee Attendance'!D248</x:f>
        <x:v>kovanam.moodelly@pwc.com</x:v>
      </x:c>
      <x:c r="E742" t="str">
        <x:f>"Combined"</x:f>
        <x:v>Combined</x:v>
      </x:c>
      <x:c r="F742" s="14" t="n">
        <x:f>'Employee Attendance'!I248</x:f>
        <x:v>0.09439814814814815</x:v>
      </x:c>
      <x:c r="G742" t="n">
        <x:f>F742*86400</x:f>
        <x:v>8156</x:v>
      </x:c>
      <x:c r="H742" t="str">
        <x:f>'Employee Attendance'!J248</x:f>
        <x:v>Fully attended</x:v>
      </x:c>
      <x:c r="I742" t="str">
        <x:f>IF(OR('Employee Attendance'!K248="Yes",'Employee Attendance'!L248="Yes"),"Yes","No")</x:f>
        <x:v>Yes</x:v>
      </x:c>
    </x:row>
    <x:row r="743">
      <x:c r="A743" t="str">
        <x:f>'Employee Attendance'!A249</x:f>
        <x:v>Lawrence Macharia</x:v>
      </x:c>
      <x:c r="B743" t="str">
        <x:f>'Employee Attendance'!B249</x:f>
        <x:v>Kenya</x:v>
      </x:c>
      <x:c r="C743" t="str">
        <x:f>'Employee Attendance'!C249</x:f>
        <x:v>KE</x:v>
      </x:c>
      <x:c r="D743" t="str">
        <x:f>'Employee Attendance'!D249</x:f>
        <x:v>lawrence.macharia@pwc.com</x:v>
      </x:c>
      <x:c r="E743" t="str">
        <x:f>"Option 1"</x:f>
        <x:v>Option 1</x:v>
      </x:c>
      <x:c r="F743" s="14" t="n">
        <x:f>'Employee Attendance'!E249</x:f>
        <x:v>0</x:v>
      </x:c>
      <x:c r="G743" t="n">
        <x:f>F743*86400</x:f>
        <x:v>0</x:v>
      </x:c>
      <x:c r="H743" t="str">
        <x:f>'Employee Attendance'!F249</x:f>
        <x:v>Did not attend</x:v>
      </x:c>
      <x:c r="I743" t="str">
        <x:f>'Employee Attendance'!K249</x:f>
        <x:v>No</x:v>
      </x:c>
    </x:row>
    <x:row r="744">
      <x:c r="A744" t="str">
        <x:f>'Employee Attendance'!A249</x:f>
        <x:v>Lawrence Macharia</x:v>
      </x:c>
      <x:c r="B744" t="str">
        <x:f>'Employee Attendance'!B249</x:f>
        <x:v>Kenya</x:v>
      </x:c>
      <x:c r="C744" t="str">
        <x:f>'Employee Attendance'!C249</x:f>
        <x:v>KE</x:v>
      </x:c>
      <x:c r="D744" t="str">
        <x:f>'Employee Attendance'!D249</x:f>
        <x:v>lawrence.macharia@pwc.com</x:v>
      </x:c>
      <x:c r="E744" t="str">
        <x:f>"Option 2"</x:f>
        <x:v>Option 2</x:v>
      </x:c>
      <x:c r="F744" s="14" t="n">
        <x:f>'Employee Attendance'!G249</x:f>
        <x:v>0.07944444444444444</x:v>
      </x:c>
      <x:c r="G744" t="n">
        <x:f>F744*86400</x:f>
        <x:v>6864</x:v>
      </x:c>
      <x:c r="H744" t="str">
        <x:f>'Employee Attendance'!H249</x:f>
        <x:v>Fully attended</x:v>
      </x:c>
      <x:c r="I744" t="str">
        <x:f>'Employee Attendance'!L249</x:f>
        <x:v>Yes</x:v>
      </x:c>
    </x:row>
    <x:row r="745">
      <x:c r="A745" t="str">
        <x:f>'Employee Attendance'!A249</x:f>
        <x:v>Lawrence Macharia</x:v>
      </x:c>
      <x:c r="B745" t="str">
        <x:f>'Employee Attendance'!B249</x:f>
        <x:v>Kenya</x:v>
      </x:c>
      <x:c r="C745" t="str">
        <x:f>'Employee Attendance'!C249</x:f>
        <x:v>KE</x:v>
      </x:c>
      <x:c r="D745" t="str">
        <x:f>'Employee Attendance'!D249</x:f>
        <x:v>lawrence.macharia@pwc.com</x:v>
      </x:c>
      <x:c r="E745" t="str">
        <x:f>"Combined"</x:f>
        <x:v>Combined</x:v>
      </x:c>
      <x:c r="F745" s="14" t="n">
        <x:f>'Employee Attendance'!I249</x:f>
        <x:v>0.07944444444444444</x:v>
      </x:c>
      <x:c r="G745" t="n">
        <x:f>F745*86400</x:f>
        <x:v>6864</x:v>
      </x:c>
      <x:c r="H745" t="str">
        <x:f>'Employee Attendance'!J249</x:f>
        <x:v>Fully attended</x:v>
      </x:c>
      <x:c r="I745" t="str">
        <x:f>IF(OR('Employee Attendance'!K249="Yes",'Employee Attendance'!L249="Yes"),"Yes","No")</x:f>
        <x:v>Yes</x:v>
      </x:c>
    </x:row>
    <x:row r="746">
      <x:c r="A746" t="str">
        <x:f>'Employee Attendance'!A250</x:f>
        <x:v>Leeshikha Boodhoo</x:v>
      </x:c>
      <x:c r="B746" t="str">
        <x:f>'Employee Attendance'!B250</x:f>
        <x:v>Mauritius</x:v>
      </x:c>
      <x:c r="C746" t="str">
        <x:f>'Employee Attendance'!C250</x:f>
        <x:v>MU</x:v>
      </x:c>
      <x:c r="D746" t="str">
        <x:f>'Employee Attendance'!D250</x:f>
        <x:v>leeshikha.boodhoo@pwc.com</x:v>
      </x:c>
      <x:c r="E746" t="str">
        <x:f>"Option 1"</x:f>
        <x:v>Option 1</x:v>
      </x:c>
      <x:c r="F746" s="14" t="n">
        <x:f>'Employee Attendance'!E250</x:f>
        <x:v>0.020949074074074075</x:v>
      </x:c>
      <x:c r="G746" t="n">
        <x:f>F746*86400</x:f>
        <x:v>1810</x:v>
      </x:c>
      <x:c r="H746" t="str">
        <x:f>'Employee Attendance'!F250</x:f>
        <x:v>Partially attended</x:v>
      </x:c>
      <x:c r="I746" t="str">
        <x:f>'Employee Attendance'!K250</x:f>
        <x:v>Yes</x:v>
      </x:c>
    </x:row>
    <x:row r="747">
      <x:c r="A747" t="str">
        <x:f>'Employee Attendance'!A250</x:f>
        <x:v>Leeshikha Boodhoo</x:v>
      </x:c>
      <x:c r="B747" t="str">
        <x:f>'Employee Attendance'!B250</x:f>
        <x:v>Mauritius</x:v>
      </x:c>
      <x:c r="C747" t="str">
        <x:f>'Employee Attendance'!C250</x:f>
        <x:v>MU</x:v>
      </x:c>
      <x:c r="D747" t="str">
        <x:f>'Employee Attendance'!D250</x:f>
        <x:v>leeshikha.boodhoo@pwc.com</x:v>
      </x:c>
      <x:c r="E747" t="str">
        <x:f>"Option 2"</x:f>
        <x:v>Option 2</x:v>
      </x:c>
      <x:c r="F747" s="14" t="n">
        <x:f>'Employee Attendance'!G250</x:f>
        <x:v>0.08552083333333334</x:v>
      </x:c>
      <x:c r="G747" t="n">
        <x:f>F747*86400</x:f>
        <x:v>7389</x:v>
      </x:c>
      <x:c r="H747" t="str">
        <x:f>'Employee Attendance'!H250</x:f>
        <x:v>Fully attended</x:v>
      </x:c>
      <x:c r="I747" t="str">
        <x:f>'Employee Attendance'!L250</x:f>
        <x:v>Yes</x:v>
      </x:c>
    </x:row>
    <x:row r="748">
      <x:c r="A748" t="str">
        <x:f>'Employee Attendance'!A250</x:f>
        <x:v>Leeshikha Boodhoo</x:v>
      </x:c>
      <x:c r="B748" t="str">
        <x:f>'Employee Attendance'!B250</x:f>
        <x:v>Mauritius</x:v>
      </x:c>
      <x:c r="C748" t="str">
        <x:f>'Employee Attendance'!C250</x:f>
        <x:v>MU</x:v>
      </x:c>
      <x:c r="D748" t="str">
        <x:f>'Employee Attendance'!D250</x:f>
        <x:v>leeshikha.boodhoo@pwc.com</x:v>
      </x:c>
      <x:c r="E748" t="str">
        <x:f>"Combined"</x:f>
        <x:v>Combined</x:v>
      </x:c>
      <x:c r="F748" s="14" t="n">
        <x:f>'Employee Attendance'!I250</x:f>
        <x:v>0.10646990740740742</x:v>
      </x:c>
      <x:c r="G748" t="n">
        <x:f>F748*86400</x:f>
        <x:v>9199</x:v>
      </x:c>
      <x:c r="H748" t="str">
        <x:f>'Employee Attendance'!J250</x:f>
        <x:v>Fully attended</x:v>
      </x:c>
      <x:c r="I748" t="str">
        <x:f>IF(OR('Employee Attendance'!K250="Yes",'Employee Attendance'!L250="Yes"),"Yes","No")</x:f>
        <x:v>Yes</x:v>
      </x:c>
    </x:row>
    <x:row r="749">
      <x:c r="A749" t="str">
        <x:f>'Employee Attendance'!A251</x:f>
        <x:v>Lena Odara</x:v>
      </x:c>
      <x:c r="B749" t="str">
        <x:f>'Employee Attendance'!B251</x:f>
        <x:v>Tanzania</x:v>
      </x:c>
      <x:c r="C749" t="str">
        <x:f>'Employee Attendance'!C251</x:f>
        <x:v>TZ</x:v>
      </x:c>
      <x:c r="D749" t="str">
        <x:f>'Employee Attendance'!D251</x:f>
        <x:v>lena.o.odara@pwc.com</x:v>
      </x:c>
      <x:c r="E749" t="str">
        <x:f>"Option 1"</x:f>
        <x:v>Option 1</x:v>
      </x:c>
      <x:c r="F749" s="14" t="n">
        <x:f>'Employee Attendance'!E251</x:f>
        <x:v>0</x:v>
      </x:c>
      <x:c r="G749" t="n">
        <x:f>F749*86400</x:f>
        <x:v>0</x:v>
      </x:c>
      <x:c r="H749" t="str">
        <x:f>'Employee Attendance'!F251</x:f>
        <x:v>Did not attend</x:v>
      </x:c>
      <x:c r="I749" t="str">
        <x:f>'Employee Attendance'!K251</x:f>
        <x:v>No</x:v>
      </x:c>
    </x:row>
    <x:row r="750">
      <x:c r="A750" t="str">
        <x:f>'Employee Attendance'!A251</x:f>
        <x:v>Lena Odara</x:v>
      </x:c>
      <x:c r="B750" t="str">
        <x:f>'Employee Attendance'!B251</x:f>
        <x:v>Tanzania</x:v>
      </x:c>
      <x:c r="C750" t="str">
        <x:f>'Employee Attendance'!C251</x:f>
        <x:v>TZ</x:v>
      </x:c>
      <x:c r="D750" t="str">
        <x:f>'Employee Attendance'!D251</x:f>
        <x:v>lena.o.odara@pwc.com</x:v>
      </x:c>
      <x:c r="E750" t="str">
        <x:f>"Option 2"</x:f>
        <x:v>Option 2</x:v>
      </x:c>
      <x:c r="F750" s="14" t="n">
        <x:f>'Employee Attendance'!G251</x:f>
        <x:v>0.0819212962962963</x:v>
      </x:c>
      <x:c r="G750" t="n">
        <x:f>F750*86400</x:f>
        <x:v>7078</x:v>
      </x:c>
      <x:c r="H750" t="str">
        <x:f>'Employee Attendance'!H251</x:f>
        <x:v>Fully attended</x:v>
      </x:c>
      <x:c r="I750" t="str">
        <x:f>'Employee Attendance'!L251</x:f>
        <x:v>Yes</x:v>
      </x:c>
    </x:row>
    <x:row r="751">
      <x:c r="A751" t="str">
        <x:f>'Employee Attendance'!A251</x:f>
        <x:v>Lena Odara</x:v>
      </x:c>
      <x:c r="B751" t="str">
        <x:f>'Employee Attendance'!B251</x:f>
        <x:v>Tanzania</x:v>
      </x:c>
      <x:c r="C751" t="str">
        <x:f>'Employee Attendance'!C251</x:f>
        <x:v>TZ</x:v>
      </x:c>
      <x:c r="D751" t="str">
        <x:f>'Employee Attendance'!D251</x:f>
        <x:v>lena.o.odara@pwc.com</x:v>
      </x:c>
      <x:c r="E751" t="str">
        <x:f>"Combined"</x:f>
        <x:v>Combined</x:v>
      </x:c>
      <x:c r="F751" s="14" t="n">
        <x:f>'Employee Attendance'!I251</x:f>
        <x:v>0.0819212962962963</x:v>
      </x:c>
      <x:c r="G751" t="n">
        <x:f>F751*86400</x:f>
        <x:v>7078</x:v>
      </x:c>
      <x:c r="H751" t="str">
        <x:f>'Employee Attendance'!J251</x:f>
        <x:v>Fully attended</x:v>
      </x:c>
      <x:c r="I751" t="str">
        <x:f>IF(OR('Employee Attendance'!K251="Yes",'Employee Attendance'!L251="Yes"),"Yes","No")</x:f>
        <x:v>Yes</x:v>
      </x:c>
    </x:row>
    <x:row r="752">
      <x:c r="A752" t="str">
        <x:f>'Employee Attendance'!A252</x:f>
        <x:v>Lightness Katunzi</x:v>
      </x:c>
      <x:c r="B752" t="str">
        <x:f>'Employee Attendance'!B252</x:f>
        <x:v>Tanzania</x:v>
      </x:c>
      <x:c r="C752" t="str">
        <x:f>'Employee Attendance'!C252</x:f>
        <x:v>TZ</x:v>
      </x:c>
      <x:c r="D752" t="str">
        <x:f>'Employee Attendance'!D252</x:f>
        <x:v>lightness.katunzi@pwc.com</x:v>
      </x:c>
      <x:c r="E752" t="str">
        <x:f>"Option 1"</x:f>
        <x:v>Option 1</x:v>
      </x:c>
      <x:c r="F752" s="14" t="n">
        <x:f>'Employee Attendance'!E252</x:f>
        <x:v>0.08506944444444445</x:v>
      </x:c>
      <x:c r="G752" t="n">
        <x:f>F752*86400</x:f>
        <x:v>7350</x:v>
      </x:c>
      <x:c r="H752" t="str">
        <x:f>'Employee Attendance'!F252</x:f>
        <x:v>Fully attended</x:v>
      </x:c>
      <x:c r="I752" t="str">
        <x:f>'Employee Attendance'!K252</x:f>
        <x:v>Yes</x:v>
      </x:c>
    </x:row>
    <x:row r="753">
      <x:c r="A753" t="str">
        <x:f>'Employee Attendance'!A252</x:f>
        <x:v>Lightness Katunzi</x:v>
      </x:c>
      <x:c r="B753" t="str">
        <x:f>'Employee Attendance'!B252</x:f>
        <x:v>Tanzania</x:v>
      </x:c>
      <x:c r="C753" t="str">
        <x:f>'Employee Attendance'!C252</x:f>
        <x:v>TZ</x:v>
      </x:c>
      <x:c r="D753" t="str">
        <x:f>'Employee Attendance'!D252</x:f>
        <x:v>lightness.katunzi@pwc.com</x:v>
      </x:c>
      <x:c r="E753" t="str">
        <x:f>"Option 2"</x:f>
        <x:v>Option 2</x:v>
      </x:c>
      <x:c r="F753" s="14" t="n">
        <x:f>'Employee Attendance'!G252</x:f>
        <x:v>0</x:v>
      </x:c>
      <x:c r="G753" t="n">
        <x:f>F753*86400</x:f>
        <x:v>0</x:v>
      </x:c>
      <x:c r="H753" t="str">
        <x:f>'Employee Attendance'!H252</x:f>
        <x:v>Did not attend</x:v>
      </x:c>
      <x:c r="I753" t="str">
        <x:f>'Employee Attendance'!L252</x:f>
        <x:v>No</x:v>
      </x:c>
    </x:row>
    <x:row r="754">
      <x:c r="A754" t="str">
        <x:f>'Employee Attendance'!A252</x:f>
        <x:v>Lightness Katunzi</x:v>
      </x:c>
      <x:c r="B754" t="str">
        <x:f>'Employee Attendance'!B252</x:f>
        <x:v>Tanzania</x:v>
      </x:c>
      <x:c r="C754" t="str">
        <x:f>'Employee Attendance'!C252</x:f>
        <x:v>TZ</x:v>
      </x:c>
      <x:c r="D754" t="str">
        <x:f>'Employee Attendance'!D252</x:f>
        <x:v>lightness.katunzi@pwc.com</x:v>
      </x:c>
      <x:c r="E754" t="str">
        <x:f>"Combined"</x:f>
        <x:v>Combined</x:v>
      </x:c>
      <x:c r="F754" s="14" t="n">
        <x:f>'Employee Attendance'!I252</x:f>
        <x:v>0.08506944444444445</x:v>
      </x:c>
      <x:c r="G754" t="n">
        <x:f>F754*86400</x:f>
        <x:v>7350</x:v>
      </x:c>
      <x:c r="H754" t="str">
        <x:f>'Employee Attendance'!J252</x:f>
        <x:v>Fully attended</x:v>
      </x:c>
      <x:c r="I754" t="str">
        <x:f>IF(OR('Employee Attendance'!K252="Yes",'Employee Attendance'!L252="Yes"),"Yes","No")</x:f>
        <x:v>Yes</x:v>
      </x:c>
    </x:row>
    <x:row r="755">
      <x:c r="A755" t="str">
        <x:f>'Employee Attendance'!A253</x:f>
        <x:v>Linda Batuka</x:v>
      </x:c>
      <x:c r="B755" t="str">
        <x:f>'Employee Attendance'!B253</x:f>
        <x:v>Uganda</x:v>
      </x:c>
      <x:c r="C755" t="str">
        <x:f>'Employee Attendance'!C253</x:f>
        <x:v>UG</x:v>
      </x:c>
      <x:c r="D755" t="str">
        <x:f>'Employee Attendance'!D253</x:f>
        <x:v>linda.batuka@pwc.com</x:v>
      </x:c>
      <x:c r="E755" t="str">
        <x:f>"Option 1"</x:f>
        <x:v>Option 1</x:v>
      </x:c>
      <x:c r="F755" s="14" t="n">
        <x:f>'Employee Attendance'!E253</x:f>
        <x:v>0.08335648148148148</x:v>
      </x:c>
      <x:c r="G755" t="n">
        <x:f>F755*86400</x:f>
        <x:v>7201.999999999999</x:v>
      </x:c>
      <x:c r="H755" t="str">
        <x:f>'Employee Attendance'!F253</x:f>
        <x:v>Fully attended</x:v>
      </x:c>
      <x:c r="I755" t="str">
        <x:f>'Employee Attendance'!K253</x:f>
        <x:v>Yes</x:v>
      </x:c>
    </x:row>
    <x:row r="756">
      <x:c r="A756" t="str">
        <x:f>'Employee Attendance'!A253</x:f>
        <x:v>Linda Batuka</x:v>
      </x:c>
      <x:c r="B756" t="str">
        <x:f>'Employee Attendance'!B253</x:f>
        <x:v>Uganda</x:v>
      </x:c>
      <x:c r="C756" t="str">
        <x:f>'Employee Attendance'!C253</x:f>
        <x:v>UG</x:v>
      </x:c>
      <x:c r="D756" t="str">
        <x:f>'Employee Attendance'!D253</x:f>
        <x:v>linda.batuka@pwc.com</x:v>
      </x:c>
      <x:c r="E756" t="str">
        <x:f>"Option 2"</x:f>
        <x:v>Option 2</x:v>
      </x:c>
      <x:c r="F756" s="14" t="n">
        <x:f>'Employee Attendance'!G253</x:f>
        <x:v>0</x:v>
      </x:c>
      <x:c r="G756" t="n">
        <x:f>F756*86400</x:f>
        <x:v>0</x:v>
      </x:c>
      <x:c r="H756" t="str">
        <x:f>'Employee Attendance'!H253</x:f>
        <x:v>Did not attend</x:v>
      </x:c>
      <x:c r="I756" t="str">
        <x:f>'Employee Attendance'!L253</x:f>
        <x:v>No</x:v>
      </x:c>
    </x:row>
    <x:row r="757">
      <x:c r="A757" t="str">
        <x:f>'Employee Attendance'!A253</x:f>
        <x:v>Linda Batuka</x:v>
      </x:c>
      <x:c r="B757" t="str">
        <x:f>'Employee Attendance'!B253</x:f>
        <x:v>Uganda</x:v>
      </x:c>
      <x:c r="C757" t="str">
        <x:f>'Employee Attendance'!C253</x:f>
        <x:v>UG</x:v>
      </x:c>
      <x:c r="D757" t="str">
        <x:f>'Employee Attendance'!D253</x:f>
        <x:v>linda.batuka@pwc.com</x:v>
      </x:c>
      <x:c r="E757" t="str">
        <x:f>"Combined"</x:f>
        <x:v>Combined</x:v>
      </x:c>
      <x:c r="F757" s="14" t="n">
        <x:f>'Employee Attendance'!I253</x:f>
        <x:v>0.08335648148148148</x:v>
      </x:c>
      <x:c r="G757" t="n">
        <x:f>F757*86400</x:f>
        <x:v>7201.999999999999</x:v>
      </x:c>
      <x:c r="H757" t="str">
        <x:f>'Employee Attendance'!J253</x:f>
        <x:v>Fully attended</x:v>
      </x:c>
      <x:c r="I757" t="str">
        <x:f>IF(OR('Employee Attendance'!K253="Yes",'Employee Attendance'!L253="Yes"),"Yes","No")</x:f>
        <x:v>Yes</x:v>
      </x:c>
    </x:row>
    <x:row r="758">
      <x:c r="A758" t="str">
        <x:f>'Employee Attendance'!A254</x:f>
        <x:v>Linda Musau</x:v>
      </x:c>
      <x:c r="B758" t="str">
        <x:f>'Employee Attendance'!B254</x:f>
        <x:v>Kenya</x:v>
      </x:c>
      <x:c r="C758" t="str">
        <x:f>'Employee Attendance'!C254</x:f>
        <x:v>KE</x:v>
      </x:c>
      <x:c r="D758" t="str">
        <x:f>'Employee Attendance'!D254</x:f>
        <x:v>linda.musau@pwc.com</x:v>
      </x:c>
      <x:c r="E758" t="str">
        <x:f>"Option 1"</x:f>
        <x:v>Option 1</x:v>
      </x:c>
      <x:c r="F758" s="14" t="n">
        <x:f>'Employee Attendance'!E254</x:f>
        <x:v>0.07946759259259259</x:v>
      </x:c>
      <x:c r="G758" t="n">
        <x:f>F758*86400</x:f>
        <x:v>6866</x:v>
      </x:c>
      <x:c r="H758" t="str">
        <x:f>'Employee Attendance'!F254</x:f>
        <x:v>Fully attended</x:v>
      </x:c>
      <x:c r="I758" t="str">
        <x:f>'Employee Attendance'!K254</x:f>
        <x:v>Yes</x:v>
      </x:c>
    </x:row>
    <x:row r="759">
      <x:c r="A759" t="str">
        <x:f>'Employee Attendance'!A254</x:f>
        <x:v>Linda Musau</x:v>
      </x:c>
      <x:c r="B759" t="str">
        <x:f>'Employee Attendance'!B254</x:f>
        <x:v>Kenya</x:v>
      </x:c>
      <x:c r="C759" t="str">
        <x:f>'Employee Attendance'!C254</x:f>
        <x:v>KE</x:v>
      </x:c>
      <x:c r="D759" t="str">
        <x:f>'Employee Attendance'!D254</x:f>
        <x:v>linda.musau@pwc.com</x:v>
      </x:c>
      <x:c r="E759" t="str">
        <x:f>"Option 2"</x:f>
        <x:v>Option 2</x:v>
      </x:c>
      <x:c r="F759" s="14" t="n">
        <x:f>'Employee Attendance'!G254</x:f>
        <x:v>0</x:v>
      </x:c>
      <x:c r="G759" t="n">
        <x:f>F759*86400</x:f>
        <x:v>0</x:v>
      </x:c>
      <x:c r="H759" t="str">
        <x:f>'Employee Attendance'!H254</x:f>
        <x:v>Did not attend</x:v>
      </x:c>
      <x:c r="I759" t="str">
        <x:f>'Employee Attendance'!L254</x:f>
        <x:v>No</x:v>
      </x:c>
    </x:row>
    <x:row r="760">
      <x:c r="A760" t="str">
        <x:f>'Employee Attendance'!A254</x:f>
        <x:v>Linda Musau</x:v>
      </x:c>
      <x:c r="B760" t="str">
        <x:f>'Employee Attendance'!B254</x:f>
        <x:v>Kenya</x:v>
      </x:c>
      <x:c r="C760" t="str">
        <x:f>'Employee Attendance'!C254</x:f>
        <x:v>KE</x:v>
      </x:c>
      <x:c r="D760" t="str">
        <x:f>'Employee Attendance'!D254</x:f>
        <x:v>linda.musau@pwc.com</x:v>
      </x:c>
      <x:c r="E760" t="str">
        <x:f>"Combined"</x:f>
        <x:v>Combined</x:v>
      </x:c>
      <x:c r="F760" s="14" t="n">
        <x:f>'Employee Attendance'!I254</x:f>
        <x:v>0.07946759259259259</x:v>
      </x:c>
      <x:c r="G760" t="n">
        <x:f>F760*86400</x:f>
        <x:v>6866</x:v>
      </x:c>
      <x:c r="H760" t="str">
        <x:f>'Employee Attendance'!J254</x:f>
        <x:v>Fully attended</x:v>
      </x:c>
      <x:c r="I760" t="str">
        <x:f>IF(OR('Employee Attendance'!K254="Yes",'Employee Attendance'!L254="Yes"),"Yes","No")</x:f>
        <x:v>Yes</x:v>
      </x:c>
    </x:row>
    <x:row r="761">
      <x:c r="A761" t="str">
        <x:f>'Employee Attendance'!A255</x:f>
        <x:v>Linet Muthii</x:v>
      </x:c>
      <x:c r="B761" t="str">
        <x:f>'Employee Attendance'!B255</x:f>
        <x:v>Kenya</x:v>
      </x:c>
      <x:c r="C761" t="str">
        <x:f>'Employee Attendance'!C255</x:f>
        <x:v>KE</x:v>
      </x:c>
      <x:c r="D761" t="str">
        <x:f>'Employee Attendance'!D255</x:f>
        <x:v>linet.muthii@pwc.com</x:v>
      </x:c>
      <x:c r="E761" t="str">
        <x:f>"Option 1"</x:f>
        <x:v>Option 1</x:v>
      </x:c>
      <x:c r="F761" s="14" t="n">
        <x:f>'Employee Attendance'!E255</x:f>
        <x:v>0.03844907407407407</x:v>
      </x:c>
      <x:c r="G761" t="n">
        <x:f>F761*86400</x:f>
        <x:v>3322</x:v>
      </x:c>
      <x:c r="H761" t="str">
        <x:f>'Employee Attendance'!F255</x:f>
        <x:v>Partially attended</x:v>
      </x:c>
      <x:c r="I761" t="str">
        <x:f>'Employee Attendance'!K255</x:f>
        <x:v>Yes</x:v>
      </x:c>
    </x:row>
    <x:row r="762">
      <x:c r="A762" t="str">
        <x:f>'Employee Attendance'!A255</x:f>
        <x:v>Linet Muthii</x:v>
      </x:c>
      <x:c r="B762" t="str">
        <x:f>'Employee Attendance'!B255</x:f>
        <x:v>Kenya</x:v>
      </x:c>
      <x:c r="C762" t="str">
        <x:f>'Employee Attendance'!C255</x:f>
        <x:v>KE</x:v>
      </x:c>
      <x:c r="D762" t="str">
        <x:f>'Employee Attendance'!D255</x:f>
        <x:v>linet.muthii@pwc.com</x:v>
      </x:c>
      <x:c r="E762" t="str">
        <x:f>"Option 2"</x:f>
        <x:v>Option 2</x:v>
      </x:c>
      <x:c r="F762" s="14" t="n">
        <x:f>'Employee Attendance'!G255</x:f>
        <x:v>0.03474537037037037</x:v>
      </x:c>
      <x:c r="G762" t="n">
        <x:f>F762*86400</x:f>
        <x:v>3002</x:v>
      </x:c>
      <x:c r="H762" t="str">
        <x:f>'Employee Attendance'!H255</x:f>
        <x:v>Partially attended</x:v>
      </x:c>
      <x:c r="I762" t="str">
        <x:f>'Employee Attendance'!L255</x:f>
        <x:v>Yes</x:v>
      </x:c>
    </x:row>
    <x:row r="763">
      <x:c r="A763" t="str">
        <x:f>'Employee Attendance'!A255</x:f>
        <x:v>Linet Muthii</x:v>
      </x:c>
      <x:c r="B763" t="str">
        <x:f>'Employee Attendance'!B255</x:f>
        <x:v>Kenya</x:v>
      </x:c>
      <x:c r="C763" t="str">
        <x:f>'Employee Attendance'!C255</x:f>
        <x:v>KE</x:v>
      </x:c>
      <x:c r="D763" t="str">
        <x:f>'Employee Attendance'!D255</x:f>
        <x:v>linet.muthii@pwc.com</x:v>
      </x:c>
      <x:c r="E763" t="str">
        <x:f>"Combined"</x:f>
        <x:v>Combined</x:v>
      </x:c>
      <x:c r="F763" s="14" t="n">
        <x:f>'Employee Attendance'!I255</x:f>
        <x:v>0.07319444444444445</x:v>
      </x:c>
      <x:c r="G763" t="n">
        <x:f>F763*86400</x:f>
        <x:v>6324.000000000001</x:v>
      </x:c>
      <x:c r="H763" t="str">
        <x:f>'Employee Attendance'!J255</x:f>
        <x:v>Fully attended</x:v>
      </x:c>
      <x:c r="I763" t="str">
        <x:f>IF(OR('Employee Attendance'!K255="Yes",'Employee Attendance'!L255="Yes"),"Yes","No")</x:f>
        <x:v>Yes</x:v>
      </x:c>
    </x:row>
    <x:row r="764">
      <x:c r="A764" t="str">
        <x:f>'Employee Attendance'!A256</x:f>
        <x:v>Lorna Ramsamy</x:v>
      </x:c>
      <x:c r="B764" t="str">
        <x:f>'Employee Attendance'!B256</x:f>
        <x:v>Mauritius</x:v>
      </x:c>
      <x:c r="C764" t="str">
        <x:f>'Employee Attendance'!C256</x:f>
        <x:v>MU</x:v>
      </x:c>
      <x:c r="D764" t="str">
        <x:f>'Employee Attendance'!D256</x:f>
        <x:v>lorna.ramsamy@pwc.com</x:v>
      </x:c>
      <x:c r="E764" t="str">
        <x:f>"Option 1"</x:f>
        <x:v>Option 1</x:v>
      </x:c>
      <x:c r="F764" s="14" t="n">
        <x:f>'Employee Attendance'!E256</x:f>
        <x:v>0</x:v>
      </x:c>
      <x:c r="G764" t="n">
        <x:f>F764*86400</x:f>
        <x:v>0</x:v>
      </x:c>
      <x:c r="H764" t="str">
        <x:f>'Employee Attendance'!F256</x:f>
        <x:v>Did not attend</x:v>
      </x:c>
      <x:c r="I764" t="str">
        <x:f>'Employee Attendance'!K256</x:f>
        <x:v>No</x:v>
      </x:c>
    </x:row>
    <x:row r="765">
      <x:c r="A765" t="str">
        <x:f>'Employee Attendance'!A256</x:f>
        <x:v>Lorna Ramsamy</x:v>
      </x:c>
      <x:c r="B765" t="str">
        <x:f>'Employee Attendance'!B256</x:f>
        <x:v>Mauritius</x:v>
      </x:c>
      <x:c r="C765" t="str">
        <x:f>'Employee Attendance'!C256</x:f>
        <x:v>MU</x:v>
      </x:c>
      <x:c r="D765" t="str">
        <x:f>'Employee Attendance'!D256</x:f>
        <x:v>lorna.ramsamy@pwc.com</x:v>
      </x:c>
      <x:c r="E765" t="str">
        <x:f>"Option 2"</x:f>
        <x:v>Option 2</x:v>
      </x:c>
      <x:c r="F765" s="14" t="n">
        <x:f>'Employee Attendance'!G256</x:f>
        <x:v>0.07315972222222222</x:v>
      </x:c>
      <x:c r="G765" t="n">
        <x:f>F765*86400</x:f>
        <x:v>6321</x:v>
      </x:c>
      <x:c r="H765" t="str">
        <x:f>'Employee Attendance'!H256</x:f>
        <x:v>Fully attended</x:v>
      </x:c>
      <x:c r="I765" t="str">
        <x:f>'Employee Attendance'!L256</x:f>
        <x:v>Yes</x:v>
      </x:c>
    </x:row>
    <x:row r="766">
      <x:c r="A766" t="str">
        <x:f>'Employee Attendance'!A256</x:f>
        <x:v>Lorna Ramsamy</x:v>
      </x:c>
      <x:c r="B766" t="str">
        <x:f>'Employee Attendance'!B256</x:f>
        <x:v>Mauritius</x:v>
      </x:c>
      <x:c r="C766" t="str">
        <x:f>'Employee Attendance'!C256</x:f>
        <x:v>MU</x:v>
      </x:c>
      <x:c r="D766" t="str">
        <x:f>'Employee Attendance'!D256</x:f>
        <x:v>lorna.ramsamy@pwc.com</x:v>
      </x:c>
      <x:c r="E766" t="str">
        <x:f>"Combined"</x:f>
        <x:v>Combined</x:v>
      </x:c>
      <x:c r="F766" s="14" t="n">
        <x:f>'Employee Attendance'!I256</x:f>
        <x:v>0.07315972222222222</x:v>
      </x:c>
      <x:c r="G766" t="n">
        <x:f>F766*86400</x:f>
        <x:v>6321</x:v>
      </x:c>
      <x:c r="H766" t="str">
        <x:f>'Employee Attendance'!J256</x:f>
        <x:v>Fully attended</x:v>
      </x:c>
      <x:c r="I766" t="str">
        <x:f>IF(OR('Employee Attendance'!K256="Yes",'Employee Attendance'!L256="Yes"),"Yes","No")</x:f>
        <x:v>Yes</x:v>
      </x:c>
    </x:row>
    <x:row r="767">
      <x:c r="A767" t="str">
        <x:f>'Employee Attendance'!A257</x:f>
        <x:v>Louise Umutesi</x:v>
      </x:c>
      <x:c r="B767" t="str">
        <x:f>'Employee Attendance'!B257</x:f>
        <x:v>Rwanda</x:v>
      </x:c>
      <x:c r="C767" t="str">
        <x:f>'Employee Attendance'!C257</x:f>
        <x:v>RW</x:v>
      </x:c>
      <x:c r="D767" t="str">
        <x:f>'Employee Attendance'!D257</x:f>
        <x:v>louise.umutesi@pwc.com</x:v>
      </x:c>
      <x:c r="E767" t="str">
        <x:f>"Option 1"</x:f>
        <x:v>Option 1</x:v>
      </x:c>
      <x:c r="F767" s="14" t="n">
        <x:f>'Employee Attendance'!E257</x:f>
        <x:v>0.08182870370370371</x:v>
      </x:c>
      <x:c r="G767" t="n">
        <x:f>F767*86400</x:f>
        <x:v>7070.000000000001</x:v>
      </x:c>
      <x:c r="H767" t="str">
        <x:f>'Employee Attendance'!F257</x:f>
        <x:v>Fully attended</x:v>
      </x:c>
      <x:c r="I767" t="str">
        <x:f>'Employee Attendance'!K257</x:f>
        <x:v>Yes</x:v>
      </x:c>
    </x:row>
    <x:row r="768">
      <x:c r="A768" t="str">
        <x:f>'Employee Attendance'!A257</x:f>
        <x:v>Louise Umutesi</x:v>
      </x:c>
      <x:c r="B768" t="str">
        <x:f>'Employee Attendance'!B257</x:f>
        <x:v>Rwanda</x:v>
      </x:c>
      <x:c r="C768" t="str">
        <x:f>'Employee Attendance'!C257</x:f>
        <x:v>RW</x:v>
      </x:c>
      <x:c r="D768" t="str">
        <x:f>'Employee Attendance'!D257</x:f>
        <x:v>louise.umutesi@pwc.com</x:v>
      </x:c>
      <x:c r="E768" t="str">
        <x:f>"Option 2"</x:f>
        <x:v>Option 2</x:v>
      </x:c>
      <x:c r="F768" s="14" t="n">
        <x:f>'Employee Attendance'!G257</x:f>
        <x:v>0</x:v>
      </x:c>
      <x:c r="G768" t="n">
        <x:f>F768*86400</x:f>
        <x:v>0</x:v>
      </x:c>
      <x:c r="H768" t="str">
        <x:f>'Employee Attendance'!H257</x:f>
        <x:v>Did not attend</x:v>
      </x:c>
      <x:c r="I768" t="str">
        <x:f>'Employee Attendance'!L257</x:f>
        <x:v>No</x:v>
      </x:c>
    </x:row>
    <x:row r="769">
      <x:c r="A769" t="str">
        <x:f>'Employee Attendance'!A257</x:f>
        <x:v>Louise Umutesi</x:v>
      </x:c>
      <x:c r="B769" t="str">
        <x:f>'Employee Attendance'!B257</x:f>
        <x:v>Rwanda</x:v>
      </x:c>
      <x:c r="C769" t="str">
        <x:f>'Employee Attendance'!C257</x:f>
        <x:v>RW</x:v>
      </x:c>
      <x:c r="D769" t="str">
        <x:f>'Employee Attendance'!D257</x:f>
        <x:v>louise.umutesi@pwc.com</x:v>
      </x:c>
      <x:c r="E769" t="str">
        <x:f>"Combined"</x:f>
        <x:v>Combined</x:v>
      </x:c>
      <x:c r="F769" s="14" t="n">
        <x:f>'Employee Attendance'!I257</x:f>
        <x:v>0.08182870370370371</x:v>
      </x:c>
      <x:c r="G769" t="n">
        <x:f>F769*86400</x:f>
        <x:v>7070.000000000001</x:v>
      </x:c>
      <x:c r="H769" t="str">
        <x:f>'Employee Attendance'!J257</x:f>
        <x:v>Fully attended</x:v>
      </x:c>
      <x:c r="I769" t="str">
        <x:f>IF(OR('Employee Attendance'!K257="Yes",'Employee Attendance'!L257="Yes"),"Yes","No")</x:f>
        <x:v>Yes</x:v>
      </x:c>
    </x:row>
    <x:row r="770">
      <x:c r="A770" t="str">
        <x:f>'Employee Attendance'!A258</x:f>
        <x:v>Lubinda Mukelabai</x:v>
      </x:c>
      <x:c r="B770" t="str">
        <x:f>'Employee Attendance'!B258</x:f>
        <x:v>Zambia</x:v>
      </x:c>
      <x:c r="C770" t="str">
        <x:f>'Employee Attendance'!C258</x:f>
        <x:v>ZM</x:v>
      </x:c>
      <x:c r="D770" t="str">
        <x:f>'Employee Attendance'!D258</x:f>
        <x:v>lubinda.mukelabai@pwc.com</x:v>
      </x:c>
      <x:c r="E770" t="str">
        <x:f>"Option 1"</x:f>
        <x:v>Option 1</x:v>
      </x:c>
      <x:c r="F770" s="14" t="n">
        <x:f>'Employee Attendance'!E258</x:f>
        <x:v>0</x:v>
      </x:c>
      <x:c r="G770" t="n">
        <x:f>F770*86400</x:f>
        <x:v>0</x:v>
      </x:c>
      <x:c r="H770" t="str">
        <x:f>'Employee Attendance'!F258</x:f>
        <x:v>Did not attend</x:v>
      </x:c>
      <x:c r="I770" t="str">
        <x:f>'Employee Attendance'!K258</x:f>
        <x:v>No</x:v>
      </x:c>
    </x:row>
    <x:row r="771">
      <x:c r="A771" t="str">
        <x:f>'Employee Attendance'!A258</x:f>
        <x:v>Lubinda Mukelabai</x:v>
      </x:c>
      <x:c r="B771" t="str">
        <x:f>'Employee Attendance'!B258</x:f>
        <x:v>Zambia</x:v>
      </x:c>
      <x:c r="C771" t="str">
        <x:f>'Employee Attendance'!C258</x:f>
        <x:v>ZM</x:v>
      </x:c>
      <x:c r="D771" t="str">
        <x:f>'Employee Attendance'!D258</x:f>
        <x:v>lubinda.mukelabai@pwc.com</x:v>
      </x:c>
      <x:c r="E771" t="str">
        <x:f>"Option 2"</x:f>
        <x:v>Option 2</x:v>
      </x:c>
      <x:c r="F771" s="14" t="n">
        <x:f>'Employee Attendance'!G258</x:f>
        <x:v>0</x:v>
      </x:c>
      <x:c r="G771" t="n">
        <x:f>F771*86400</x:f>
        <x:v>0</x:v>
      </x:c>
      <x:c r="H771" t="str">
        <x:f>'Employee Attendance'!H258</x:f>
        <x:v>Did not attend</x:v>
      </x:c>
      <x:c r="I771" t="str">
        <x:f>'Employee Attendance'!L258</x:f>
        <x:v>No</x:v>
      </x:c>
    </x:row>
    <x:row r="772">
      <x:c r="A772" t="str">
        <x:f>'Employee Attendance'!A258</x:f>
        <x:v>Lubinda Mukelabai</x:v>
      </x:c>
      <x:c r="B772" t="str">
        <x:f>'Employee Attendance'!B258</x:f>
        <x:v>Zambia</x:v>
      </x:c>
      <x:c r="C772" t="str">
        <x:f>'Employee Attendance'!C258</x:f>
        <x:v>ZM</x:v>
      </x:c>
      <x:c r="D772" t="str">
        <x:f>'Employee Attendance'!D258</x:f>
        <x:v>lubinda.mukelabai@pwc.com</x:v>
      </x:c>
      <x:c r="E772" t="str">
        <x:f>"Combined"</x:f>
        <x:v>Combined</x:v>
      </x:c>
      <x:c r="F772" s="14" t="n">
        <x:f>'Employee Attendance'!I258</x:f>
        <x:v>0</x:v>
      </x:c>
      <x:c r="G772" t="n">
        <x:f>F772*86400</x:f>
        <x:v>0</x:v>
      </x:c>
      <x:c r="H772" t="str">
        <x:f>'Employee Attendance'!J258</x:f>
        <x:v>Did not attend</x:v>
      </x:c>
      <x:c r="I772" t="str">
        <x:f>IF(OR('Employee Attendance'!K258="Yes",'Employee Attendance'!L258="Yes"),"Yes","No")</x:f>
        <x:v>No</x:v>
      </x:c>
    </x:row>
    <x:row r="773">
      <x:c r="A773" t="str">
        <x:f>'Employee Attendance'!A259</x:f>
        <x:v>Lubona Mpikwa</x:v>
      </x:c>
      <x:c r="B773" t="str">
        <x:f>'Employee Attendance'!B259</x:f>
        <x:v>Zambia</x:v>
      </x:c>
      <x:c r="C773" t="str">
        <x:f>'Employee Attendance'!C259</x:f>
        <x:v>ZM</x:v>
      </x:c>
      <x:c r="D773" t="str">
        <x:f>'Employee Attendance'!D259</x:f>
        <x:v>lubona.mpikwa@pwc.com</x:v>
      </x:c>
      <x:c r="E773" t="str">
        <x:f>"Option 1"</x:f>
        <x:v>Option 1</x:v>
      </x:c>
      <x:c r="F773" s="14" t="n">
        <x:f>'Employee Attendance'!E259</x:f>
        <x:v>0</x:v>
      </x:c>
      <x:c r="G773" t="n">
        <x:f>F773*86400</x:f>
        <x:v>0</x:v>
      </x:c>
      <x:c r="H773" t="str">
        <x:f>'Employee Attendance'!F259</x:f>
        <x:v>Did not attend</x:v>
      </x:c>
      <x:c r="I773" t="str">
        <x:f>'Employee Attendance'!K259</x:f>
        <x:v>No</x:v>
      </x:c>
    </x:row>
    <x:row r="774">
      <x:c r="A774" t="str">
        <x:f>'Employee Attendance'!A259</x:f>
        <x:v>Lubona Mpikwa</x:v>
      </x:c>
      <x:c r="B774" t="str">
        <x:f>'Employee Attendance'!B259</x:f>
        <x:v>Zambia</x:v>
      </x:c>
      <x:c r="C774" t="str">
        <x:f>'Employee Attendance'!C259</x:f>
        <x:v>ZM</x:v>
      </x:c>
      <x:c r="D774" t="str">
        <x:f>'Employee Attendance'!D259</x:f>
        <x:v>lubona.mpikwa@pwc.com</x:v>
      </x:c>
      <x:c r="E774" t="str">
        <x:f>"Option 2"</x:f>
        <x:v>Option 2</x:v>
      </x:c>
      <x:c r="F774" s="14" t="n">
        <x:f>'Employee Attendance'!G259</x:f>
        <x:v>0.08775462962962963</x:v>
      </x:c>
      <x:c r="G774" t="n">
        <x:f>F774*86400</x:f>
        <x:v>7582</x:v>
      </x:c>
      <x:c r="H774" t="str">
        <x:f>'Employee Attendance'!H259</x:f>
        <x:v>Fully attended</x:v>
      </x:c>
      <x:c r="I774" t="str">
        <x:f>'Employee Attendance'!L259</x:f>
        <x:v>Yes</x:v>
      </x:c>
    </x:row>
    <x:row r="775">
      <x:c r="A775" t="str">
        <x:f>'Employee Attendance'!A259</x:f>
        <x:v>Lubona Mpikwa</x:v>
      </x:c>
      <x:c r="B775" t="str">
        <x:f>'Employee Attendance'!B259</x:f>
        <x:v>Zambia</x:v>
      </x:c>
      <x:c r="C775" t="str">
        <x:f>'Employee Attendance'!C259</x:f>
        <x:v>ZM</x:v>
      </x:c>
      <x:c r="D775" t="str">
        <x:f>'Employee Attendance'!D259</x:f>
        <x:v>lubona.mpikwa@pwc.com</x:v>
      </x:c>
      <x:c r="E775" t="str">
        <x:f>"Combined"</x:f>
        <x:v>Combined</x:v>
      </x:c>
      <x:c r="F775" s="14" t="n">
        <x:f>'Employee Attendance'!I259</x:f>
        <x:v>0.08775462962962963</x:v>
      </x:c>
      <x:c r="G775" t="n">
        <x:f>F775*86400</x:f>
        <x:v>7582</x:v>
      </x:c>
      <x:c r="H775" t="str">
        <x:f>'Employee Attendance'!J259</x:f>
        <x:v>Fully attended</x:v>
      </x:c>
      <x:c r="I775" t="str">
        <x:f>IF(OR('Employee Attendance'!K259="Yes",'Employee Attendance'!L259="Yes"),"Yes","No")</x:f>
        <x:v>Yes</x:v>
      </x:c>
    </x:row>
    <x:row r="776">
      <x:c r="A776" t="str">
        <x:f>'Employee Attendance'!A260</x:f>
        <x:v>Luc Meunier</x:v>
      </x:c>
      <x:c r="B776" t="str">
        <x:f>'Employee Attendance'!B260</x:f>
        <x:v>Mauritius</x:v>
      </x:c>
      <x:c r="C776" t="str">
        <x:f>'Employee Attendance'!C260</x:f>
        <x:v>MU</x:v>
      </x:c>
      <x:c r="D776" t="str">
        <x:f>'Employee Attendance'!D260</x:f>
        <x:v>luc.meunier@pwc.com</x:v>
      </x:c>
      <x:c r="E776" t="str">
        <x:f>"Option 1"</x:f>
        <x:v>Option 1</x:v>
      </x:c>
      <x:c r="F776" s="14" t="n">
        <x:f>'Employee Attendance'!E260</x:f>
        <x:v>0.018217592592592594</x:v>
      </x:c>
      <x:c r="G776" t="n">
        <x:f>F776*86400</x:f>
        <x:v>1574.0000000000002</x:v>
      </x:c>
      <x:c r="H776" t="str">
        <x:f>'Employee Attendance'!F260</x:f>
        <x:v>Partially attended</x:v>
      </x:c>
      <x:c r="I776" t="str">
        <x:f>'Employee Attendance'!K260</x:f>
        <x:v>Yes</x:v>
      </x:c>
    </x:row>
    <x:row r="777">
      <x:c r="A777" t="str">
        <x:f>'Employee Attendance'!A260</x:f>
        <x:v>Luc Meunier</x:v>
      </x:c>
      <x:c r="B777" t="str">
        <x:f>'Employee Attendance'!B260</x:f>
        <x:v>Mauritius</x:v>
      </x:c>
      <x:c r="C777" t="str">
        <x:f>'Employee Attendance'!C260</x:f>
        <x:v>MU</x:v>
      </x:c>
      <x:c r="D777" t="str">
        <x:f>'Employee Attendance'!D260</x:f>
        <x:v>luc.meunier@pwc.com</x:v>
      </x:c>
      <x:c r="E777" t="str">
        <x:f>"Option 2"</x:f>
        <x:v>Option 2</x:v>
      </x:c>
      <x:c r="F777" s="14" t="n">
        <x:f>'Employee Attendance'!G260</x:f>
        <x:v>0.06408564814814814</x:v>
      </x:c>
      <x:c r="G777" t="n">
        <x:f>F777*86400</x:f>
        <x:v>5536.999999999999</x:v>
      </x:c>
      <x:c r="H777" t="str">
        <x:f>'Employee Attendance'!H260</x:f>
        <x:v>Fully attended</x:v>
      </x:c>
      <x:c r="I777" t="str">
        <x:f>'Employee Attendance'!L260</x:f>
        <x:v>Yes</x:v>
      </x:c>
    </x:row>
    <x:row r="778">
      <x:c r="A778" t="str">
        <x:f>'Employee Attendance'!A260</x:f>
        <x:v>Luc Meunier</x:v>
      </x:c>
      <x:c r="B778" t="str">
        <x:f>'Employee Attendance'!B260</x:f>
        <x:v>Mauritius</x:v>
      </x:c>
      <x:c r="C778" t="str">
        <x:f>'Employee Attendance'!C260</x:f>
        <x:v>MU</x:v>
      </x:c>
      <x:c r="D778" t="str">
        <x:f>'Employee Attendance'!D260</x:f>
        <x:v>luc.meunier@pwc.com</x:v>
      </x:c>
      <x:c r="E778" t="str">
        <x:f>"Combined"</x:f>
        <x:v>Combined</x:v>
      </x:c>
      <x:c r="F778" s="14" t="n">
        <x:f>'Employee Attendance'!I260</x:f>
        <x:v>0.08230324074074073</x:v>
      </x:c>
      <x:c r="G778" t="n">
        <x:f>F778*86400</x:f>
        <x:v>7110.999999999999</x:v>
      </x:c>
      <x:c r="H778" t="str">
        <x:f>'Employee Attendance'!J260</x:f>
        <x:v>Fully attended</x:v>
      </x:c>
      <x:c r="I778" t="str">
        <x:f>IF(OR('Employee Attendance'!K260="Yes",'Employee Attendance'!L260="Yes"),"Yes","No")</x:f>
        <x:v>Yes</x:v>
      </x:c>
    </x:row>
    <x:row r="779">
      <x:c r="A779" t="str">
        <x:f>'Employee Attendance'!A261</x:f>
        <x:v>Lucy Ngugi</x:v>
      </x:c>
      <x:c r="B779" t="str">
        <x:f>'Employee Attendance'!B261</x:f>
        <x:v>Kenya</x:v>
      </x:c>
      <x:c r="C779" t="str">
        <x:f>'Employee Attendance'!C261</x:f>
        <x:v>KE</x:v>
      </x:c>
      <x:c r="D779" t="str">
        <x:f>'Employee Attendance'!D261</x:f>
        <x:v>lucy.ngugi@pwc.com</x:v>
      </x:c>
      <x:c r="E779" t="str">
        <x:f>"Option 1"</x:f>
        <x:v>Option 1</x:v>
      </x:c>
      <x:c r="F779" s="14" t="n">
        <x:f>'Employee Attendance'!E261</x:f>
        <x:v>0</x:v>
      </x:c>
      <x:c r="G779" t="n">
        <x:f>F779*86400</x:f>
        <x:v>0</x:v>
      </x:c>
      <x:c r="H779" t="str">
        <x:f>'Employee Attendance'!F261</x:f>
        <x:v>Did not attend</x:v>
      </x:c>
      <x:c r="I779" t="str">
        <x:f>'Employee Attendance'!K261</x:f>
        <x:v>No</x:v>
      </x:c>
    </x:row>
    <x:row r="780">
      <x:c r="A780" t="str">
        <x:f>'Employee Attendance'!A261</x:f>
        <x:v>Lucy Ngugi</x:v>
      </x:c>
      <x:c r="B780" t="str">
        <x:f>'Employee Attendance'!B261</x:f>
        <x:v>Kenya</x:v>
      </x:c>
      <x:c r="C780" t="str">
        <x:f>'Employee Attendance'!C261</x:f>
        <x:v>KE</x:v>
      </x:c>
      <x:c r="D780" t="str">
        <x:f>'Employee Attendance'!D261</x:f>
        <x:v>lucy.ngugi@pwc.com</x:v>
      </x:c>
      <x:c r="E780" t="str">
        <x:f>"Option 2"</x:f>
        <x:v>Option 2</x:v>
      </x:c>
      <x:c r="F780" s="14" t="n">
        <x:f>'Employee Attendance'!G261</x:f>
        <x:v>0.07315972222222222</x:v>
      </x:c>
      <x:c r="G780" t="n">
        <x:f>F780*86400</x:f>
        <x:v>6321</x:v>
      </x:c>
      <x:c r="H780" t="str">
        <x:f>'Employee Attendance'!H261</x:f>
        <x:v>Fully attended</x:v>
      </x:c>
      <x:c r="I780" t="str">
        <x:f>'Employee Attendance'!L261</x:f>
        <x:v>Yes</x:v>
      </x:c>
    </x:row>
    <x:row r="781">
      <x:c r="A781" t="str">
        <x:f>'Employee Attendance'!A261</x:f>
        <x:v>Lucy Ngugi</x:v>
      </x:c>
      <x:c r="B781" t="str">
        <x:f>'Employee Attendance'!B261</x:f>
        <x:v>Kenya</x:v>
      </x:c>
      <x:c r="C781" t="str">
        <x:f>'Employee Attendance'!C261</x:f>
        <x:v>KE</x:v>
      </x:c>
      <x:c r="D781" t="str">
        <x:f>'Employee Attendance'!D261</x:f>
        <x:v>lucy.ngugi@pwc.com</x:v>
      </x:c>
      <x:c r="E781" t="str">
        <x:f>"Combined"</x:f>
        <x:v>Combined</x:v>
      </x:c>
      <x:c r="F781" s="14" t="n">
        <x:f>'Employee Attendance'!I261</x:f>
        <x:v>0.07315972222222222</x:v>
      </x:c>
      <x:c r="G781" t="n">
        <x:f>F781*86400</x:f>
        <x:v>6321</x:v>
      </x:c>
      <x:c r="H781" t="str">
        <x:f>'Employee Attendance'!J261</x:f>
        <x:v>Fully attended</x:v>
      </x:c>
      <x:c r="I781" t="str">
        <x:f>IF(OR('Employee Attendance'!K261="Yes",'Employee Attendance'!L261="Yes"),"Yes","No")</x:f>
        <x:v>Yes</x:v>
      </x:c>
    </x:row>
    <x:row r="782">
      <x:c r="A782" t="str">
        <x:f>'Employee Attendance'!A262</x:f>
        <x:v>Lucy Thuo</x:v>
      </x:c>
      <x:c r="B782" t="str">
        <x:f>'Employee Attendance'!B262</x:f>
        <x:v>Kenya</x:v>
      </x:c>
      <x:c r="C782" t="str">
        <x:f>'Employee Attendance'!C262</x:f>
        <x:v>KE</x:v>
      </x:c>
      <x:c r="D782" t="str">
        <x:f>'Employee Attendance'!D262</x:f>
        <x:v>lucy.thuo@pwc.com</x:v>
      </x:c>
      <x:c r="E782" t="str">
        <x:f>"Option 1"</x:f>
        <x:v>Option 1</x:v>
      </x:c>
      <x:c r="F782" s="14" t="n">
        <x:f>'Employee Attendance'!E262</x:f>
        <x:v>0.017881944444444443</x:v>
      </x:c>
      <x:c r="G782" t="n">
        <x:f>F782*86400</x:f>
        <x:v>1545</x:v>
      </x:c>
      <x:c r="H782" t="str">
        <x:f>'Employee Attendance'!F262</x:f>
        <x:v>Partially attended</x:v>
      </x:c>
      <x:c r="I782" t="str">
        <x:f>'Employee Attendance'!K262</x:f>
        <x:v>Yes</x:v>
      </x:c>
    </x:row>
    <x:row r="783">
      <x:c r="A783" t="str">
        <x:f>'Employee Attendance'!A262</x:f>
        <x:v>Lucy Thuo</x:v>
      </x:c>
      <x:c r="B783" t="str">
        <x:f>'Employee Attendance'!B262</x:f>
        <x:v>Kenya</x:v>
      </x:c>
      <x:c r="C783" t="str">
        <x:f>'Employee Attendance'!C262</x:f>
        <x:v>KE</x:v>
      </x:c>
      <x:c r="D783" t="str">
        <x:f>'Employee Attendance'!D262</x:f>
        <x:v>lucy.thuo@pwc.com</x:v>
      </x:c>
      <x:c r="E783" t="str">
        <x:f>"Option 2"</x:f>
        <x:v>Option 2</x:v>
      </x:c>
      <x:c r="F783" s="14" t="n">
        <x:f>'Employee Attendance'!G262</x:f>
        <x:v>0.021354166666666667</x:v>
      </x:c>
      <x:c r="G783" t="n">
        <x:f>F783*86400</x:f>
        <x:v>1845</x:v>
      </x:c>
      <x:c r="H783" t="str">
        <x:f>'Employee Attendance'!H262</x:f>
        <x:v>Partially attended</x:v>
      </x:c>
      <x:c r="I783" t="str">
        <x:f>'Employee Attendance'!L262</x:f>
        <x:v>Yes</x:v>
      </x:c>
    </x:row>
    <x:row r="784">
      <x:c r="A784" t="str">
        <x:f>'Employee Attendance'!A262</x:f>
        <x:v>Lucy Thuo</x:v>
      </x:c>
      <x:c r="B784" t="str">
        <x:f>'Employee Attendance'!B262</x:f>
        <x:v>Kenya</x:v>
      </x:c>
      <x:c r="C784" t="str">
        <x:f>'Employee Attendance'!C262</x:f>
        <x:v>KE</x:v>
      </x:c>
      <x:c r="D784" t="str">
        <x:f>'Employee Attendance'!D262</x:f>
        <x:v>lucy.thuo@pwc.com</x:v>
      </x:c>
      <x:c r="E784" t="str">
        <x:f>"Combined"</x:f>
        <x:v>Combined</x:v>
      </x:c>
      <x:c r="F784" s="14" t="n">
        <x:f>'Employee Attendance'!I262</x:f>
        <x:v>0.03923611111111111</x:v>
      </x:c>
      <x:c r="G784" t="n">
        <x:f>F784*86400</x:f>
        <x:v>3390</x:v>
      </x:c>
      <x:c r="H784" t="str">
        <x:f>'Employee Attendance'!J262</x:f>
        <x:v>Partially attended</x:v>
      </x:c>
      <x:c r="I784" t="str">
        <x:f>IF(OR('Employee Attendance'!K262="Yes",'Employee Attendance'!L262="Yes"),"Yes","No")</x:f>
        <x:v>Yes</x:v>
      </x:c>
    </x:row>
    <x:row r="785">
      <x:c r="A785" t="str">
        <x:f>'Employee Attendance'!A263</x:f>
        <x:v>Mahima Nowrung</x:v>
      </x:c>
      <x:c r="B785" t="str">
        <x:f>'Employee Attendance'!B263</x:f>
        <x:v>Mauritius</x:v>
      </x:c>
      <x:c r="C785" t="str">
        <x:f>'Employee Attendance'!C263</x:f>
        <x:v>MU</x:v>
      </x:c>
      <x:c r="D785" t="str">
        <x:f>'Employee Attendance'!D263</x:f>
        <x:v>mahima.nowrung@pwc.com</x:v>
      </x:c>
      <x:c r="E785" t="str">
        <x:f>"Option 1"</x:f>
        <x:v>Option 1</x:v>
      </x:c>
      <x:c r="F785" s="14" t="n">
        <x:f>'Employee Attendance'!E263</x:f>
        <x:v>0</x:v>
      </x:c>
      <x:c r="G785" t="n">
        <x:f>F785*86400</x:f>
        <x:v>0</x:v>
      </x:c>
      <x:c r="H785" t="str">
        <x:f>'Employee Attendance'!F263</x:f>
        <x:v>Did not attend</x:v>
      </x:c>
      <x:c r="I785" t="str">
        <x:f>'Employee Attendance'!K263</x:f>
        <x:v>No</x:v>
      </x:c>
    </x:row>
    <x:row r="786">
      <x:c r="A786" t="str">
        <x:f>'Employee Attendance'!A263</x:f>
        <x:v>Mahima Nowrung</x:v>
      </x:c>
      <x:c r="B786" t="str">
        <x:f>'Employee Attendance'!B263</x:f>
        <x:v>Mauritius</x:v>
      </x:c>
      <x:c r="C786" t="str">
        <x:f>'Employee Attendance'!C263</x:f>
        <x:v>MU</x:v>
      </x:c>
      <x:c r="D786" t="str">
        <x:f>'Employee Attendance'!D263</x:f>
        <x:v>mahima.nowrung@pwc.com</x:v>
      </x:c>
      <x:c r="E786" t="str">
        <x:f>"Option 2"</x:f>
        <x:v>Option 2</x:v>
      </x:c>
      <x:c r="F786" s="14" t="n">
        <x:f>'Employee Attendance'!G263</x:f>
        <x:v>0.07019675925925926</x:v>
      </x:c>
      <x:c r="G786" t="n">
        <x:f>F786*86400</x:f>
        <x:v>6065</x:v>
      </x:c>
      <x:c r="H786" t="str">
        <x:f>'Employee Attendance'!H263</x:f>
        <x:v>Fully attended</x:v>
      </x:c>
      <x:c r="I786" t="str">
        <x:f>'Employee Attendance'!L263</x:f>
        <x:v>Yes</x:v>
      </x:c>
    </x:row>
    <x:row r="787">
      <x:c r="A787" t="str">
        <x:f>'Employee Attendance'!A263</x:f>
        <x:v>Mahima Nowrung</x:v>
      </x:c>
      <x:c r="B787" t="str">
        <x:f>'Employee Attendance'!B263</x:f>
        <x:v>Mauritius</x:v>
      </x:c>
      <x:c r="C787" t="str">
        <x:f>'Employee Attendance'!C263</x:f>
        <x:v>MU</x:v>
      </x:c>
      <x:c r="D787" t="str">
        <x:f>'Employee Attendance'!D263</x:f>
        <x:v>mahima.nowrung@pwc.com</x:v>
      </x:c>
      <x:c r="E787" t="str">
        <x:f>"Combined"</x:f>
        <x:v>Combined</x:v>
      </x:c>
      <x:c r="F787" s="14" t="n">
        <x:f>'Employee Attendance'!I263</x:f>
        <x:v>0.07019675925925926</x:v>
      </x:c>
      <x:c r="G787" t="n">
        <x:f>F787*86400</x:f>
        <x:v>6065</x:v>
      </x:c>
      <x:c r="H787" t="str">
        <x:f>'Employee Attendance'!J263</x:f>
        <x:v>Fully attended</x:v>
      </x:c>
      <x:c r="I787" t="str">
        <x:f>IF(OR('Employee Attendance'!K263="Yes",'Employee Attendance'!L263="Yes"),"Yes","No")</x:f>
        <x:v>Yes</x:v>
      </x:c>
    </x:row>
    <x:row r="788">
      <x:c r="A788" t="str">
        <x:f>'Employee Attendance'!A264</x:f>
        <x:v>Mahir Perbhoo</x:v>
      </x:c>
      <x:c r="B788" t="str">
        <x:f>'Employee Attendance'!B264</x:f>
        <x:v>Mauritius</x:v>
      </x:c>
      <x:c r="C788" t="str">
        <x:f>'Employee Attendance'!C264</x:f>
        <x:v>MU</x:v>
      </x:c>
      <x:c r="D788" t="str">
        <x:f>'Employee Attendance'!D264</x:f>
        <x:v>mahir.perbhoo@pwc.com</x:v>
      </x:c>
      <x:c r="E788" t="str">
        <x:f>"Option 1"</x:f>
        <x:v>Option 1</x:v>
      </x:c>
      <x:c r="F788" s="14" t="n">
        <x:f>'Employee Attendance'!E264</x:f>
        <x:v>0</x:v>
      </x:c>
      <x:c r="G788" t="n">
        <x:f>F788*86400</x:f>
        <x:v>0</x:v>
      </x:c>
      <x:c r="H788" t="str">
        <x:f>'Employee Attendance'!F264</x:f>
        <x:v>Did not attend</x:v>
      </x:c>
      <x:c r="I788" t="str">
        <x:f>'Employee Attendance'!K264</x:f>
        <x:v>No</x:v>
      </x:c>
    </x:row>
    <x:row r="789">
      <x:c r="A789" t="str">
        <x:f>'Employee Attendance'!A264</x:f>
        <x:v>Mahir Perbhoo</x:v>
      </x:c>
      <x:c r="B789" t="str">
        <x:f>'Employee Attendance'!B264</x:f>
        <x:v>Mauritius</x:v>
      </x:c>
      <x:c r="C789" t="str">
        <x:f>'Employee Attendance'!C264</x:f>
        <x:v>MU</x:v>
      </x:c>
      <x:c r="D789" t="str">
        <x:f>'Employee Attendance'!D264</x:f>
        <x:v>mahir.perbhoo@pwc.com</x:v>
      </x:c>
      <x:c r="E789" t="str">
        <x:f>"Option 2"</x:f>
        <x:v>Option 2</x:v>
      </x:c>
      <x:c r="F789" s="14" t="n">
        <x:f>'Employee Attendance'!G264</x:f>
        <x:v>0.0630787037037037</x:v>
      </x:c>
      <x:c r="G789" t="n">
        <x:f>F789*86400</x:f>
        <x:v>5450</x:v>
      </x:c>
      <x:c r="H789" t="str">
        <x:f>'Employee Attendance'!H264</x:f>
        <x:v>Fully attended</x:v>
      </x:c>
      <x:c r="I789" t="str">
        <x:f>'Employee Attendance'!L264</x:f>
        <x:v>Yes</x:v>
      </x:c>
    </x:row>
    <x:row r="790">
      <x:c r="A790" t="str">
        <x:f>'Employee Attendance'!A264</x:f>
        <x:v>Mahir Perbhoo</x:v>
      </x:c>
      <x:c r="B790" t="str">
        <x:f>'Employee Attendance'!B264</x:f>
        <x:v>Mauritius</x:v>
      </x:c>
      <x:c r="C790" t="str">
        <x:f>'Employee Attendance'!C264</x:f>
        <x:v>MU</x:v>
      </x:c>
      <x:c r="D790" t="str">
        <x:f>'Employee Attendance'!D264</x:f>
        <x:v>mahir.perbhoo@pwc.com</x:v>
      </x:c>
      <x:c r="E790" t="str">
        <x:f>"Combined"</x:f>
        <x:v>Combined</x:v>
      </x:c>
      <x:c r="F790" s="14" t="n">
        <x:f>'Employee Attendance'!I264</x:f>
        <x:v>0.0630787037037037</x:v>
      </x:c>
      <x:c r="G790" t="n">
        <x:f>F790*86400</x:f>
        <x:v>5450</x:v>
      </x:c>
      <x:c r="H790" t="str">
        <x:f>'Employee Attendance'!J264</x:f>
        <x:v>Fully attended</x:v>
      </x:c>
      <x:c r="I790" t="str">
        <x:f>IF(OR('Employee Attendance'!K264="Yes",'Employee Attendance'!L264="Yes"),"Yes","No")</x:f>
        <x:v>Yes</x:v>
      </x:c>
    </x:row>
    <x:row r="791">
      <x:c r="A791" t="str">
        <x:f>'Employee Attendance'!A265</x:f>
        <x:v>Manish Joorawon</x:v>
      </x:c>
      <x:c r="B791" t="str">
        <x:f>'Employee Attendance'!B265</x:f>
        <x:v>Mauritius</x:v>
      </x:c>
      <x:c r="C791" t="str">
        <x:f>'Employee Attendance'!C265</x:f>
        <x:v>MU</x:v>
      </x:c>
      <x:c r="D791" t="str">
        <x:f>'Employee Attendance'!D265</x:f>
        <x:v>manish.joorawon@pwc.com</x:v>
      </x:c>
      <x:c r="E791" t="str">
        <x:f>"Option 1"</x:f>
        <x:v>Option 1</x:v>
      </x:c>
      <x:c r="F791" s="14" t="n">
        <x:f>'Employee Attendance'!E265</x:f>
        <x:v>0.07976851851851852</x:v>
      </x:c>
      <x:c r="G791" t="n">
        <x:f>F791*86400</x:f>
        <x:v>6892</x:v>
      </x:c>
      <x:c r="H791" t="str">
        <x:f>'Employee Attendance'!F265</x:f>
        <x:v>Fully attended</x:v>
      </x:c>
      <x:c r="I791" t="str">
        <x:f>'Employee Attendance'!K265</x:f>
        <x:v>Yes</x:v>
      </x:c>
    </x:row>
    <x:row r="792">
      <x:c r="A792" t="str">
        <x:f>'Employee Attendance'!A265</x:f>
        <x:v>Manish Joorawon</x:v>
      </x:c>
      <x:c r="B792" t="str">
        <x:f>'Employee Attendance'!B265</x:f>
        <x:v>Mauritius</x:v>
      </x:c>
      <x:c r="C792" t="str">
        <x:f>'Employee Attendance'!C265</x:f>
        <x:v>MU</x:v>
      </x:c>
      <x:c r="D792" t="str">
        <x:f>'Employee Attendance'!D265</x:f>
        <x:v>manish.joorawon@pwc.com</x:v>
      </x:c>
      <x:c r="E792" t="str">
        <x:f>"Option 2"</x:f>
        <x:v>Option 2</x:v>
      </x:c>
      <x:c r="F792" s="14" t="n">
        <x:f>'Employee Attendance'!G265</x:f>
        <x:v>0</x:v>
      </x:c>
      <x:c r="G792" t="n">
        <x:f>F792*86400</x:f>
        <x:v>0</x:v>
      </x:c>
      <x:c r="H792" t="str">
        <x:f>'Employee Attendance'!H265</x:f>
        <x:v>Did not attend</x:v>
      </x:c>
      <x:c r="I792" t="str">
        <x:f>'Employee Attendance'!L265</x:f>
        <x:v>No</x:v>
      </x:c>
    </x:row>
    <x:row r="793">
      <x:c r="A793" t="str">
        <x:f>'Employee Attendance'!A265</x:f>
        <x:v>Manish Joorawon</x:v>
      </x:c>
      <x:c r="B793" t="str">
        <x:f>'Employee Attendance'!B265</x:f>
        <x:v>Mauritius</x:v>
      </x:c>
      <x:c r="C793" t="str">
        <x:f>'Employee Attendance'!C265</x:f>
        <x:v>MU</x:v>
      </x:c>
      <x:c r="D793" t="str">
        <x:f>'Employee Attendance'!D265</x:f>
        <x:v>manish.joorawon@pwc.com</x:v>
      </x:c>
      <x:c r="E793" t="str">
        <x:f>"Combined"</x:f>
        <x:v>Combined</x:v>
      </x:c>
      <x:c r="F793" s="14" t="n">
        <x:f>'Employee Attendance'!I265</x:f>
        <x:v>0.07976851851851852</x:v>
      </x:c>
      <x:c r="G793" t="n">
        <x:f>F793*86400</x:f>
        <x:v>6892</x:v>
      </x:c>
      <x:c r="H793" t="str">
        <x:f>'Employee Attendance'!J265</x:f>
        <x:v>Fully attended</x:v>
      </x:c>
      <x:c r="I793" t="str">
        <x:f>IF(OR('Employee Attendance'!K265="Yes",'Employee Attendance'!L265="Yes"),"Yes","No")</x:f>
        <x:v>Yes</x:v>
      </x:c>
    </x:row>
    <x:row r="794">
      <x:c r="A794" t="str">
        <x:f>'Employee Attendance'!A266</x:f>
        <x:v>Manisha Dookhy</x:v>
      </x:c>
      <x:c r="B794" t="str">
        <x:f>'Employee Attendance'!B266</x:f>
        <x:v>Mauritius</x:v>
      </x:c>
      <x:c r="C794" t="str">
        <x:f>'Employee Attendance'!C266</x:f>
        <x:v>MU</x:v>
      </x:c>
      <x:c r="D794" t="str">
        <x:f>'Employee Attendance'!D266</x:f>
        <x:v>manisha.dookhy@pwc.com</x:v>
      </x:c>
      <x:c r="E794" t="str">
        <x:f>"Option 1"</x:f>
        <x:v>Option 1</x:v>
      </x:c>
      <x:c r="F794" s="14" t="n">
        <x:f>'Employee Attendance'!E266</x:f>
        <x:v>0.08171296296296296</x:v>
      </x:c>
      <x:c r="G794" t="n">
        <x:f>F794*86400</x:f>
        <x:v>7060</x:v>
      </x:c>
      <x:c r="H794" t="str">
        <x:f>'Employee Attendance'!F266</x:f>
        <x:v>Fully attended</x:v>
      </x:c>
      <x:c r="I794" t="str">
        <x:f>'Employee Attendance'!K266</x:f>
        <x:v>Yes</x:v>
      </x:c>
    </x:row>
    <x:row r="795">
      <x:c r="A795" t="str">
        <x:f>'Employee Attendance'!A266</x:f>
        <x:v>Manisha Dookhy</x:v>
      </x:c>
      <x:c r="B795" t="str">
        <x:f>'Employee Attendance'!B266</x:f>
        <x:v>Mauritius</x:v>
      </x:c>
      <x:c r="C795" t="str">
        <x:f>'Employee Attendance'!C266</x:f>
        <x:v>MU</x:v>
      </x:c>
      <x:c r="D795" t="str">
        <x:f>'Employee Attendance'!D266</x:f>
        <x:v>manisha.dookhy@pwc.com</x:v>
      </x:c>
      <x:c r="E795" t="str">
        <x:f>"Option 2"</x:f>
        <x:v>Option 2</x:v>
      </x:c>
      <x:c r="F795" s="14" t="n">
        <x:f>'Employee Attendance'!G266</x:f>
        <x:v>0</x:v>
      </x:c>
      <x:c r="G795" t="n">
        <x:f>F795*86400</x:f>
        <x:v>0</x:v>
      </x:c>
      <x:c r="H795" t="str">
        <x:f>'Employee Attendance'!H266</x:f>
        <x:v>Did not attend</x:v>
      </x:c>
      <x:c r="I795" t="str">
        <x:f>'Employee Attendance'!L266</x:f>
        <x:v>No</x:v>
      </x:c>
    </x:row>
    <x:row r="796">
      <x:c r="A796" t="str">
        <x:f>'Employee Attendance'!A266</x:f>
        <x:v>Manisha Dookhy</x:v>
      </x:c>
      <x:c r="B796" t="str">
        <x:f>'Employee Attendance'!B266</x:f>
        <x:v>Mauritius</x:v>
      </x:c>
      <x:c r="C796" t="str">
        <x:f>'Employee Attendance'!C266</x:f>
        <x:v>MU</x:v>
      </x:c>
      <x:c r="D796" t="str">
        <x:f>'Employee Attendance'!D266</x:f>
        <x:v>manisha.dookhy@pwc.com</x:v>
      </x:c>
      <x:c r="E796" t="str">
        <x:f>"Combined"</x:f>
        <x:v>Combined</x:v>
      </x:c>
      <x:c r="F796" s="14" t="n">
        <x:f>'Employee Attendance'!I266</x:f>
        <x:v>0.08171296296296296</x:v>
      </x:c>
      <x:c r="G796" t="n">
        <x:f>F796*86400</x:f>
        <x:v>7060</x:v>
      </x:c>
      <x:c r="H796" t="str">
        <x:f>'Employee Attendance'!J266</x:f>
        <x:v>Fully attended</x:v>
      </x:c>
      <x:c r="I796" t="str">
        <x:f>IF(OR('Employee Attendance'!K266="Yes",'Employee Attendance'!L266="Yes"),"Yes","No")</x:f>
        <x:v>Yes</x:v>
      </x:c>
    </x:row>
    <x:row r="797">
      <x:c r="A797" t="str">
        <x:f>'Employee Attendance'!A267</x:f>
        <x:v>Mansi Jeewooth</x:v>
      </x:c>
      <x:c r="B797" t="str">
        <x:f>'Employee Attendance'!B267</x:f>
        <x:v>Mauritius</x:v>
      </x:c>
      <x:c r="C797" t="str">
        <x:f>'Employee Attendance'!C267</x:f>
        <x:v>MU</x:v>
      </x:c>
      <x:c r="D797" t="str">
        <x:f>'Employee Attendance'!D267</x:f>
        <x:v>mansi.jeewooth@pwc.com</x:v>
      </x:c>
      <x:c r="E797" t="str">
        <x:f>"Option 1"</x:f>
        <x:v>Option 1</x:v>
      </x:c>
      <x:c r="F797" s="14" t="n">
        <x:f>'Employee Attendance'!E267</x:f>
        <x:v>0</x:v>
      </x:c>
      <x:c r="G797" t="n">
        <x:f>F797*86400</x:f>
        <x:v>0</x:v>
      </x:c>
      <x:c r="H797" t="str">
        <x:f>'Employee Attendance'!F267</x:f>
        <x:v>Did not attend</x:v>
      </x:c>
      <x:c r="I797" t="str">
        <x:f>'Employee Attendance'!K267</x:f>
        <x:v>No</x:v>
      </x:c>
    </x:row>
    <x:row r="798">
      <x:c r="A798" t="str">
        <x:f>'Employee Attendance'!A267</x:f>
        <x:v>Mansi Jeewooth</x:v>
      </x:c>
      <x:c r="B798" t="str">
        <x:f>'Employee Attendance'!B267</x:f>
        <x:v>Mauritius</x:v>
      </x:c>
      <x:c r="C798" t="str">
        <x:f>'Employee Attendance'!C267</x:f>
        <x:v>MU</x:v>
      </x:c>
      <x:c r="D798" t="str">
        <x:f>'Employee Attendance'!D267</x:f>
        <x:v>mansi.jeewooth@pwc.com</x:v>
      </x:c>
      <x:c r="E798" t="str">
        <x:f>"Option 2"</x:f>
        <x:v>Option 2</x:v>
      </x:c>
      <x:c r="F798" s="14" t="n">
        <x:f>'Employee Attendance'!G267</x:f>
        <x:v>0.08107638888888889</x:v>
      </x:c>
      <x:c r="G798" t="n">
        <x:f>F798*86400</x:f>
        <x:v>7005</x:v>
      </x:c>
      <x:c r="H798" t="str">
        <x:f>'Employee Attendance'!H267</x:f>
        <x:v>Fully attended</x:v>
      </x:c>
      <x:c r="I798" t="str">
        <x:f>'Employee Attendance'!L267</x:f>
        <x:v>Yes</x:v>
      </x:c>
    </x:row>
    <x:row r="799">
      <x:c r="A799" t="str">
        <x:f>'Employee Attendance'!A267</x:f>
        <x:v>Mansi Jeewooth</x:v>
      </x:c>
      <x:c r="B799" t="str">
        <x:f>'Employee Attendance'!B267</x:f>
        <x:v>Mauritius</x:v>
      </x:c>
      <x:c r="C799" t="str">
        <x:f>'Employee Attendance'!C267</x:f>
        <x:v>MU</x:v>
      </x:c>
      <x:c r="D799" t="str">
        <x:f>'Employee Attendance'!D267</x:f>
        <x:v>mansi.jeewooth@pwc.com</x:v>
      </x:c>
      <x:c r="E799" t="str">
        <x:f>"Combined"</x:f>
        <x:v>Combined</x:v>
      </x:c>
      <x:c r="F799" s="14" t="n">
        <x:f>'Employee Attendance'!I267</x:f>
        <x:v>0.08107638888888889</x:v>
      </x:c>
      <x:c r="G799" t="n">
        <x:f>F799*86400</x:f>
        <x:v>7005</x:v>
      </x:c>
      <x:c r="H799" t="str">
        <x:f>'Employee Attendance'!J267</x:f>
        <x:v>Fully attended</x:v>
      </x:c>
      <x:c r="I799" t="str">
        <x:f>IF(OR('Employee Attendance'!K267="Yes",'Employee Attendance'!L267="Yes"),"Yes","No")</x:f>
        <x:v>Yes</x:v>
      </x:c>
    </x:row>
    <x:row r="800">
      <x:c r="A800" t="str">
        <x:f>'Employee Attendance'!A268</x:f>
        <x:v>Mario Li</x:v>
      </x:c>
      <x:c r="B800" t="str">
        <x:f>'Employee Attendance'!B268</x:f>
        <x:v>Mauritius</x:v>
      </x:c>
      <x:c r="C800" t="str">
        <x:f>'Employee Attendance'!C268</x:f>
        <x:v>MU</x:v>
      </x:c>
      <x:c r="D800" t="str">
        <x:f>'Employee Attendance'!D268</x:f>
        <x:v>mario.li@pwc.com</x:v>
      </x:c>
      <x:c r="E800" t="str">
        <x:f>"Option 1"</x:f>
        <x:v>Option 1</x:v>
      </x:c>
      <x:c r="F800" s="14" t="n">
        <x:f>'Employee Attendance'!E268</x:f>
        <x:v>0</x:v>
      </x:c>
      <x:c r="G800" t="n">
        <x:f>F800*86400</x:f>
        <x:v>0</x:v>
      </x:c>
      <x:c r="H800" t="str">
        <x:f>'Employee Attendance'!F268</x:f>
        <x:v>Did not attend</x:v>
      </x:c>
      <x:c r="I800" t="str">
        <x:f>'Employee Attendance'!K268</x:f>
        <x:v>No</x:v>
      </x:c>
    </x:row>
    <x:row r="801">
      <x:c r="A801" t="str">
        <x:f>'Employee Attendance'!A268</x:f>
        <x:v>Mario Li</x:v>
      </x:c>
      <x:c r="B801" t="str">
        <x:f>'Employee Attendance'!B268</x:f>
        <x:v>Mauritius</x:v>
      </x:c>
      <x:c r="C801" t="str">
        <x:f>'Employee Attendance'!C268</x:f>
        <x:v>MU</x:v>
      </x:c>
      <x:c r="D801" t="str">
        <x:f>'Employee Attendance'!D268</x:f>
        <x:v>mario.li@pwc.com</x:v>
      </x:c>
      <x:c r="E801" t="str">
        <x:f>"Option 2"</x:f>
        <x:v>Option 2</x:v>
      </x:c>
      <x:c r="F801" s="14" t="n">
        <x:f>'Employee Attendance'!G268</x:f>
        <x:v>0.08586805555555556</x:v>
      </x:c>
      <x:c r="G801" t="n">
        <x:f>F801*86400</x:f>
        <x:v>7419</x:v>
      </x:c>
      <x:c r="H801" t="str">
        <x:f>'Employee Attendance'!H268</x:f>
        <x:v>Fully attended</x:v>
      </x:c>
      <x:c r="I801" t="str">
        <x:f>'Employee Attendance'!L268</x:f>
        <x:v>Yes</x:v>
      </x:c>
    </x:row>
    <x:row r="802">
      <x:c r="A802" t="str">
        <x:f>'Employee Attendance'!A268</x:f>
        <x:v>Mario Li</x:v>
      </x:c>
      <x:c r="B802" t="str">
        <x:f>'Employee Attendance'!B268</x:f>
        <x:v>Mauritius</x:v>
      </x:c>
      <x:c r="C802" t="str">
        <x:f>'Employee Attendance'!C268</x:f>
        <x:v>MU</x:v>
      </x:c>
      <x:c r="D802" t="str">
        <x:f>'Employee Attendance'!D268</x:f>
        <x:v>mario.li@pwc.com</x:v>
      </x:c>
      <x:c r="E802" t="str">
        <x:f>"Combined"</x:f>
        <x:v>Combined</x:v>
      </x:c>
      <x:c r="F802" s="14" t="n">
        <x:f>'Employee Attendance'!I268</x:f>
        <x:v>0.08586805555555556</x:v>
      </x:c>
      <x:c r="G802" t="n">
        <x:f>F802*86400</x:f>
        <x:v>7419</x:v>
      </x:c>
      <x:c r="H802" t="str">
        <x:f>'Employee Attendance'!J268</x:f>
        <x:v>Fully attended</x:v>
      </x:c>
      <x:c r="I802" t="str">
        <x:f>IF(OR('Employee Attendance'!K268="Yes",'Employee Attendance'!L268="Yes"),"Yes","No")</x:f>
        <x:v>Yes</x:v>
      </x:c>
    </x:row>
    <x:row r="803">
      <x:c r="A803" t="str">
        <x:f>'Employee Attendance'!A269</x:f>
        <x:v>Martin Bamukunde</x:v>
      </x:c>
      <x:c r="B803" t="str">
        <x:f>'Employee Attendance'!B269</x:f>
        <x:v>Zambia</x:v>
      </x:c>
      <x:c r="C803" t="str">
        <x:f>'Employee Attendance'!C269</x:f>
        <x:v>ZM</x:v>
      </x:c>
      <x:c r="D803" t="str">
        <x:f>'Employee Attendance'!D269</x:f>
        <x:v>martin.x.bamukunde@pwc.com</x:v>
      </x:c>
      <x:c r="E803" t="str">
        <x:f>"Option 1"</x:f>
        <x:v>Option 1</x:v>
      </x:c>
      <x:c r="F803" s="14" t="n">
        <x:f>'Employee Attendance'!E269</x:f>
        <x:v>0.09759259259259259</x:v>
      </x:c>
      <x:c r="G803" t="n">
        <x:f>F803*86400</x:f>
        <x:v>8432</x:v>
      </x:c>
      <x:c r="H803" t="str">
        <x:f>'Employee Attendance'!F269</x:f>
        <x:v>Fully attended</x:v>
      </x:c>
      <x:c r="I803" t="str">
        <x:f>'Employee Attendance'!K269</x:f>
        <x:v>Yes</x:v>
      </x:c>
    </x:row>
    <x:row r="804">
      <x:c r="A804" t="str">
        <x:f>'Employee Attendance'!A269</x:f>
        <x:v>Martin Bamukunde</x:v>
      </x:c>
      <x:c r="B804" t="str">
        <x:f>'Employee Attendance'!B269</x:f>
        <x:v>Zambia</x:v>
      </x:c>
      <x:c r="C804" t="str">
        <x:f>'Employee Attendance'!C269</x:f>
        <x:v>ZM</x:v>
      </x:c>
      <x:c r="D804" t="str">
        <x:f>'Employee Attendance'!D269</x:f>
        <x:v>martin.x.bamukunde@pwc.com</x:v>
      </x:c>
      <x:c r="E804" t="str">
        <x:f>"Option 2"</x:f>
        <x:v>Option 2</x:v>
      </x:c>
      <x:c r="F804" s="14" t="n">
        <x:f>'Employee Attendance'!G269</x:f>
        <x:v>0.09025462962962963</x:v>
      </x:c>
      <x:c r="G804" t="n">
        <x:f>F804*86400</x:f>
        <x:v>7798</x:v>
      </x:c>
      <x:c r="H804" t="str">
        <x:f>'Employee Attendance'!H269</x:f>
        <x:v>Fully attended</x:v>
      </x:c>
      <x:c r="I804" t="str">
        <x:f>'Employee Attendance'!L269</x:f>
        <x:v>Yes</x:v>
      </x:c>
    </x:row>
    <x:row r="805">
      <x:c r="A805" t="str">
        <x:f>'Employee Attendance'!A269</x:f>
        <x:v>Martin Bamukunde</x:v>
      </x:c>
      <x:c r="B805" t="str">
        <x:f>'Employee Attendance'!B269</x:f>
        <x:v>Zambia</x:v>
      </x:c>
      <x:c r="C805" t="str">
        <x:f>'Employee Attendance'!C269</x:f>
        <x:v>ZM</x:v>
      </x:c>
      <x:c r="D805" t="str">
        <x:f>'Employee Attendance'!D269</x:f>
        <x:v>martin.x.bamukunde@pwc.com</x:v>
      </x:c>
      <x:c r="E805" t="str">
        <x:f>"Combined"</x:f>
        <x:v>Combined</x:v>
      </x:c>
      <x:c r="F805" s="14" t="n">
        <x:f>'Employee Attendance'!I269</x:f>
        <x:v>0.18784722222222222</x:v>
      </x:c>
      <x:c r="G805" t="n">
        <x:f>F805*86400</x:f>
        <x:v>16230</x:v>
      </x:c>
      <x:c r="H805" t="str">
        <x:f>'Employee Attendance'!J269</x:f>
        <x:v>Fully attended</x:v>
      </x:c>
      <x:c r="I805" t="str">
        <x:f>IF(OR('Employee Attendance'!K269="Yes",'Employee Attendance'!L269="Yes"),"Yes","No")</x:f>
        <x:v>Yes</x:v>
      </x:c>
    </x:row>
    <x:row r="806">
      <x:c r="A806" t="str">
        <x:f>'Employee Attendance'!A270</x:f>
        <x:v>Martin Karumba</x:v>
      </x:c>
      <x:c r="B806" t="str">
        <x:f>'Employee Attendance'!B270</x:f>
        <x:v>Kenya</x:v>
      </x:c>
      <x:c r="C806" t="str">
        <x:f>'Employee Attendance'!C270</x:f>
        <x:v>KE</x:v>
      </x:c>
      <x:c r="D806" t="str">
        <x:f>'Employee Attendance'!D270</x:f>
        <x:v>martin.karumba@pwc.com</x:v>
      </x:c>
      <x:c r="E806" t="str">
        <x:f>"Option 1"</x:f>
        <x:v>Option 1</x:v>
      </x:c>
      <x:c r="F806" s="14" t="n">
        <x:f>'Employee Attendance'!E270</x:f>
        <x:v>0.08613425925925926</x:v>
      </x:c>
      <x:c r="G806" t="n">
        <x:f>F806*86400</x:f>
        <x:v>7442</x:v>
      </x:c>
      <x:c r="H806" t="str">
        <x:f>'Employee Attendance'!F270</x:f>
        <x:v>Fully attended</x:v>
      </x:c>
      <x:c r="I806" t="str">
        <x:f>'Employee Attendance'!K270</x:f>
        <x:v>Yes</x:v>
      </x:c>
    </x:row>
    <x:row r="807">
      <x:c r="A807" t="str">
        <x:f>'Employee Attendance'!A270</x:f>
        <x:v>Martin Karumba</x:v>
      </x:c>
      <x:c r="B807" t="str">
        <x:f>'Employee Attendance'!B270</x:f>
        <x:v>Kenya</x:v>
      </x:c>
      <x:c r="C807" t="str">
        <x:f>'Employee Attendance'!C270</x:f>
        <x:v>KE</x:v>
      </x:c>
      <x:c r="D807" t="str">
        <x:f>'Employee Attendance'!D270</x:f>
        <x:v>martin.karumba@pwc.com</x:v>
      </x:c>
      <x:c r="E807" t="str">
        <x:f>"Option 2"</x:f>
        <x:v>Option 2</x:v>
      </x:c>
      <x:c r="F807" s="14" t="n">
        <x:f>'Employee Attendance'!G270</x:f>
        <x:v>0</x:v>
      </x:c>
      <x:c r="G807" t="n">
        <x:f>F807*86400</x:f>
        <x:v>0</x:v>
      </x:c>
      <x:c r="H807" t="str">
        <x:f>'Employee Attendance'!H270</x:f>
        <x:v>Did not attend</x:v>
      </x:c>
      <x:c r="I807" t="str">
        <x:f>'Employee Attendance'!L270</x:f>
        <x:v>No</x:v>
      </x:c>
    </x:row>
    <x:row r="808">
      <x:c r="A808" t="str">
        <x:f>'Employee Attendance'!A270</x:f>
        <x:v>Martin Karumba</x:v>
      </x:c>
      <x:c r="B808" t="str">
        <x:f>'Employee Attendance'!B270</x:f>
        <x:v>Kenya</x:v>
      </x:c>
      <x:c r="C808" t="str">
        <x:f>'Employee Attendance'!C270</x:f>
        <x:v>KE</x:v>
      </x:c>
      <x:c r="D808" t="str">
        <x:f>'Employee Attendance'!D270</x:f>
        <x:v>martin.karumba@pwc.com</x:v>
      </x:c>
      <x:c r="E808" t="str">
        <x:f>"Combined"</x:f>
        <x:v>Combined</x:v>
      </x:c>
      <x:c r="F808" s="14" t="n">
        <x:f>'Employee Attendance'!I270</x:f>
        <x:v>0.08613425925925926</x:v>
      </x:c>
      <x:c r="G808" t="n">
        <x:f>F808*86400</x:f>
        <x:v>7442</x:v>
      </x:c>
      <x:c r="H808" t="str">
        <x:f>'Employee Attendance'!J270</x:f>
        <x:v>Fully attended</x:v>
      </x:c>
      <x:c r="I808" t="str">
        <x:f>IF(OR('Employee Attendance'!K270="Yes",'Employee Attendance'!L270="Yes"),"Yes","No")</x:f>
        <x:v>Yes</x:v>
      </x:c>
    </x:row>
    <x:row r="809">
      <x:c r="A809" t="str">
        <x:f>'Employee Attendance'!A271</x:f>
        <x:v>Mary Juma</x:v>
      </x:c>
      <x:c r="B809" t="str">
        <x:f>'Employee Attendance'!B271</x:f>
        <x:v>Kenya</x:v>
      </x:c>
      <x:c r="C809" t="str">
        <x:f>'Employee Attendance'!C271</x:f>
        <x:v>KE</x:v>
      </x:c>
      <x:c r="D809" t="str">
        <x:f>'Employee Attendance'!D271</x:f>
        <x:v>mary.juma@pwc.com</x:v>
      </x:c>
      <x:c r="E809" t="str">
        <x:f>"Option 1"</x:f>
        <x:v>Option 1</x:v>
      </x:c>
      <x:c r="F809" s="14" t="n">
        <x:f>'Employee Attendance'!E271</x:f>
        <x:v>0.05631944444444444</x:v>
      </x:c>
      <x:c r="G809" t="n">
        <x:f>F809*86400</x:f>
        <x:v>4866</x:v>
      </x:c>
      <x:c r="H809" t="str">
        <x:f>'Employee Attendance'!F271</x:f>
        <x:v>Partially attended</x:v>
      </x:c>
      <x:c r="I809" t="str">
        <x:f>'Employee Attendance'!K271</x:f>
        <x:v>Yes</x:v>
      </x:c>
    </x:row>
    <x:row r="810">
      <x:c r="A810" t="str">
        <x:f>'Employee Attendance'!A271</x:f>
        <x:v>Mary Juma</x:v>
      </x:c>
      <x:c r="B810" t="str">
        <x:f>'Employee Attendance'!B271</x:f>
        <x:v>Kenya</x:v>
      </x:c>
      <x:c r="C810" t="str">
        <x:f>'Employee Attendance'!C271</x:f>
        <x:v>KE</x:v>
      </x:c>
      <x:c r="D810" t="str">
        <x:f>'Employee Attendance'!D271</x:f>
        <x:v>mary.juma@pwc.com</x:v>
      </x:c>
      <x:c r="E810" t="str">
        <x:f>"Option 2"</x:f>
        <x:v>Option 2</x:v>
      </x:c>
      <x:c r="F810" s="14" t="n">
        <x:f>'Employee Attendance'!G271</x:f>
        <x:v>0.0330787037037037</x:v>
      </x:c>
      <x:c r="G810" t="n">
        <x:f>F810*86400</x:f>
        <x:v>2857.9999999999995</x:v>
      </x:c>
      <x:c r="H810" t="str">
        <x:f>'Employee Attendance'!H271</x:f>
        <x:v>Partially attended</x:v>
      </x:c>
      <x:c r="I810" t="str">
        <x:f>'Employee Attendance'!L271</x:f>
        <x:v>Yes</x:v>
      </x:c>
    </x:row>
    <x:row r="811">
      <x:c r="A811" t="str">
        <x:f>'Employee Attendance'!A271</x:f>
        <x:v>Mary Juma</x:v>
      </x:c>
      <x:c r="B811" t="str">
        <x:f>'Employee Attendance'!B271</x:f>
        <x:v>Kenya</x:v>
      </x:c>
      <x:c r="C811" t="str">
        <x:f>'Employee Attendance'!C271</x:f>
        <x:v>KE</x:v>
      </x:c>
      <x:c r="D811" t="str">
        <x:f>'Employee Attendance'!D271</x:f>
        <x:v>mary.juma@pwc.com</x:v>
      </x:c>
      <x:c r="E811" t="str">
        <x:f>"Combined"</x:f>
        <x:v>Combined</x:v>
      </x:c>
      <x:c r="F811" s="14" t="n">
        <x:f>'Employee Attendance'!I271</x:f>
        <x:v>0.08939814814814814</x:v>
      </x:c>
      <x:c r="G811" t="n">
        <x:f>F811*86400</x:f>
        <x:v>7724</x:v>
      </x:c>
      <x:c r="H811" t="str">
        <x:f>'Employee Attendance'!J271</x:f>
        <x:v>Fully attended</x:v>
      </x:c>
      <x:c r="I811" t="str">
        <x:f>IF(OR('Employee Attendance'!K271="Yes",'Employee Attendance'!L271="Yes"),"Yes","No")</x:f>
        <x:v>Yes</x:v>
      </x:c>
    </x:row>
    <x:row r="812">
      <x:c r="A812" t="str">
        <x:f>'Employee Attendance'!A272</x:f>
        <x:v>Mary Kariithi</x:v>
      </x:c>
      <x:c r="B812" t="str">
        <x:f>'Employee Attendance'!B272</x:f>
        <x:v>Kenya</x:v>
      </x:c>
      <x:c r="C812" t="str">
        <x:f>'Employee Attendance'!C272</x:f>
        <x:v>KE</x:v>
      </x:c>
      <x:c r="D812" t="str">
        <x:f>'Employee Attendance'!D272</x:f>
        <x:v>mary.kariithi@pwc.com</x:v>
      </x:c>
      <x:c r="E812" t="str">
        <x:f>"Option 1"</x:f>
        <x:v>Option 1</x:v>
      </x:c>
      <x:c r="F812" s="14" t="n">
        <x:f>'Employee Attendance'!E272</x:f>
        <x:v>0.07783564814814815</x:v>
      </x:c>
      <x:c r="G812" t="n">
        <x:f>F812*86400</x:f>
        <x:v>6725.000000000001</x:v>
      </x:c>
      <x:c r="H812" t="str">
        <x:f>'Employee Attendance'!F272</x:f>
        <x:v>Fully attended</x:v>
      </x:c>
      <x:c r="I812" t="str">
        <x:f>'Employee Attendance'!K272</x:f>
        <x:v>Yes</x:v>
      </x:c>
    </x:row>
    <x:row r="813">
      <x:c r="A813" t="str">
        <x:f>'Employee Attendance'!A272</x:f>
        <x:v>Mary Kariithi</x:v>
      </x:c>
      <x:c r="B813" t="str">
        <x:f>'Employee Attendance'!B272</x:f>
        <x:v>Kenya</x:v>
      </x:c>
      <x:c r="C813" t="str">
        <x:f>'Employee Attendance'!C272</x:f>
        <x:v>KE</x:v>
      </x:c>
      <x:c r="D813" t="str">
        <x:f>'Employee Attendance'!D272</x:f>
        <x:v>mary.kariithi@pwc.com</x:v>
      </x:c>
      <x:c r="E813" t="str">
        <x:f>"Option 2"</x:f>
        <x:v>Option 2</x:v>
      </x:c>
      <x:c r="F813" s="14" t="n">
        <x:f>'Employee Attendance'!G272</x:f>
        <x:v>0</x:v>
      </x:c>
      <x:c r="G813" t="n">
        <x:f>F813*86400</x:f>
        <x:v>0</x:v>
      </x:c>
      <x:c r="H813" t="str">
        <x:f>'Employee Attendance'!H272</x:f>
        <x:v>Did not attend</x:v>
      </x:c>
      <x:c r="I813" t="str">
        <x:f>'Employee Attendance'!L272</x:f>
        <x:v>No</x:v>
      </x:c>
    </x:row>
    <x:row r="814">
      <x:c r="A814" t="str">
        <x:f>'Employee Attendance'!A272</x:f>
        <x:v>Mary Kariithi</x:v>
      </x:c>
      <x:c r="B814" t="str">
        <x:f>'Employee Attendance'!B272</x:f>
        <x:v>Kenya</x:v>
      </x:c>
      <x:c r="C814" t="str">
        <x:f>'Employee Attendance'!C272</x:f>
        <x:v>KE</x:v>
      </x:c>
      <x:c r="D814" t="str">
        <x:f>'Employee Attendance'!D272</x:f>
        <x:v>mary.kariithi@pwc.com</x:v>
      </x:c>
      <x:c r="E814" t="str">
        <x:f>"Combined"</x:f>
        <x:v>Combined</x:v>
      </x:c>
      <x:c r="F814" s="14" t="n">
        <x:f>'Employee Attendance'!I272</x:f>
        <x:v>0.07783564814814815</x:v>
      </x:c>
      <x:c r="G814" t="n">
        <x:f>F814*86400</x:f>
        <x:v>6725.000000000001</x:v>
      </x:c>
      <x:c r="H814" t="str">
        <x:f>'Employee Attendance'!J272</x:f>
        <x:v>Fully attended</x:v>
      </x:c>
      <x:c r="I814" t="str">
        <x:f>IF(OR('Employee Attendance'!K272="Yes",'Employee Attendance'!L272="Yes"),"Yes","No")</x:f>
        <x:v>Yes</x:v>
      </x:c>
    </x:row>
    <x:row r="815">
      <x:c r="A815" t="str">
        <x:f>'Employee Attendance'!A273</x:f>
        <x:v>Mary Mutuku</x:v>
      </x:c>
      <x:c r="B815" t="str">
        <x:f>'Employee Attendance'!B273</x:f>
        <x:v>Kenya</x:v>
      </x:c>
      <x:c r="C815" t="str">
        <x:f>'Employee Attendance'!C273</x:f>
        <x:v>KE</x:v>
      </x:c>
      <x:c r="D815" t="str">
        <x:f>'Employee Attendance'!D273</x:f>
        <x:v>mary.mutuku@pwc.com</x:v>
      </x:c>
      <x:c r="E815" t="str">
        <x:f>"Option 1"</x:f>
        <x:v>Option 1</x:v>
      </x:c>
      <x:c r="F815" s="14" t="n">
        <x:f>'Employee Attendance'!E273</x:f>
        <x:v>0.08833333333333333</x:v>
      </x:c>
      <x:c r="G815" t="n">
        <x:f>F815*86400</x:f>
        <x:v>7632</x:v>
      </x:c>
      <x:c r="H815" t="str">
        <x:f>'Employee Attendance'!F273</x:f>
        <x:v>Fully attended</x:v>
      </x:c>
      <x:c r="I815" t="str">
        <x:f>'Employee Attendance'!K273</x:f>
        <x:v>Yes</x:v>
      </x:c>
    </x:row>
    <x:row r="816">
      <x:c r="A816" t="str">
        <x:f>'Employee Attendance'!A273</x:f>
        <x:v>Mary Mutuku</x:v>
      </x:c>
      <x:c r="B816" t="str">
        <x:f>'Employee Attendance'!B273</x:f>
        <x:v>Kenya</x:v>
      </x:c>
      <x:c r="C816" t="str">
        <x:f>'Employee Attendance'!C273</x:f>
        <x:v>KE</x:v>
      </x:c>
      <x:c r="D816" t="str">
        <x:f>'Employee Attendance'!D273</x:f>
        <x:v>mary.mutuku@pwc.com</x:v>
      </x:c>
      <x:c r="E816" t="str">
        <x:f>"Option 2"</x:f>
        <x:v>Option 2</x:v>
      </x:c>
      <x:c r="F816" s="14" t="n">
        <x:f>'Employee Attendance'!G273</x:f>
        <x:v>0</x:v>
      </x:c>
      <x:c r="G816" t="n">
        <x:f>F816*86400</x:f>
        <x:v>0</x:v>
      </x:c>
      <x:c r="H816" t="str">
        <x:f>'Employee Attendance'!H273</x:f>
        <x:v>Did not attend</x:v>
      </x:c>
      <x:c r="I816" t="str">
        <x:f>'Employee Attendance'!L273</x:f>
        <x:v>No</x:v>
      </x:c>
    </x:row>
    <x:row r="817">
      <x:c r="A817" t="str">
        <x:f>'Employee Attendance'!A273</x:f>
        <x:v>Mary Mutuku</x:v>
      </x:c>
      <x:c r="B817" t="str">
        <x:f>'Employee Attendance'!B273</x:f>
        <x:v>Kenya</x:v>
      </x:c>
      <x:c r="C817" t="str">
        <x:f>'Employee Attendance'!C273</x:f>
        <x:v>KE</x:v>
      </x:c>
      <x:c r="D817" t="str">
        <x:f>'Employee Attendance'!D273</x:f>
        <x:v>mary.mutuku@pwc.com</x:v>
      </x:c>
      <x:c r="E817" t="str">
        <x:f>"Combined"</x:f>
        <x:v>Combined</x:v>
      </x:c>
      <x:c r="F817" s="14" t="n">
        <x:f>'Employee Attendance'!I273</x:f>
        <x:v>0.08833333333333333</x:v>
      </x:c>
      <x:c r="G817" t="n">
        <x:f>F817*86400</x:f>
        <x:v>7632</x:v>
      </x:c>
      <x:c r="H817" t="str">
        <x:f>'Employee Attendance'!J273</x:f>
        <x:v>Fully attended</x:v>
      </x:c>
      <x:c r="I817" t="str">
        <x:f>IF(OR('Employee Attendance'!K273="Yes",'Employee Attendance'!L273="Yes"),"Yes","No")</x:f>
        <x:v>Yes</x:v>
      </x:c>
    </x:row>
    <x:row r="818">
      <x:c r="A818" t="str">
        <x:f>'Employee Attendance'!A274</x:f>
        <x:v>Masela Chishinga</x:v>
      </x:c>
      <x:c r="B818" t="str">
        <x:f>'Employee Attendance'!B274</x:f>
        <x:v>Zambia</x:v>
      </x:c>
      <x:c r="C818" t="str">
        <x:f>'Employee Attendance'!C274</x:f>
        <x:v>ZM</x:v>
      </x:c>
      <x:c r="D818" t="str">
        <x:f>'Employee Attendance'!D274</x:f>
        <x:v>masela.chishinga@pwc.com</x:v>
      </x:c>
      <x:c r="E818" t="str">
        <x:f>"Option 1"</x:f>
        <x:v>Option 1</x:v>
      </x:c>
      <x:c r="F818" s="14" t="n">
        <x:f>'Employee Attendance'!E274</x:f>
        <x:v>0</x:v>
      </x:c>
      <x:c r="G818" t="n">
        <x:f>F818*86400</x:f>
        <x:v>0</x:v>
      </x:c>
      <x:c r="H818" t="str">
        <x:f>'Employee Attendance'!F274</x:f>
        <x:v>Did not attend</x:v>
      </x:c>
      <x:c r="I818" t="str">
        <x:f>'Employee Attendance'!K274</x:f>
        <x:v>No</x:v>
      </x:c>
    </x:row>
    <x:row r="819">
      <x:c r="A819" t="str">
        <x:f>'Employee Attendance'!A274</x:f>
        <x:v>Masela Chishinga</x:v>
      </x:c>
      <x:c r="B819" t="str">
        <x:f>'Employee Attendance'!B274</x:f>
        <x:v>Zambia</x:v>
      </x:c>
      <x:c r="C819" t="str">
        <x:f>'Employee Attendance'!C274</x:f>
        <x:v>ZM</x:v>
      </x:c>
      <x:c r="D819" t="str">
        <x:f>'Employee Attendance'!D274</x:f>
        <x:v>masela.chishinga@pwc.com</x:v>
      </x:c>
      <x:c r="E819" t="str">
        <x:f>"Option 2"</x:f>
        <x:v>Option 2</x:v>
      </x:c>
      <x:c r="F819" s="14" t="n">
        <x:f>'Employee Attendance'!G274</x:f>
        <x:v>0.05920138888888889</x:v>
      </x:c>
      <x:c r="G819" t="n">
        <x:f>F819*86400</x:f>
        <x:v>5115</x:v>
      </x:c>
      <x:c r="H819" t="str">
        <x:f>'Employee Attendance'!H274</x:f>
        <x:v>Partially attended</x:v>
      </x:c>
      <x:c r="I819" t="str">
        <x:f>'Employee Attendance'!L274</x:f>
        <x:v>Yes</x:v>
      </x:c>
    </x:row>
    <x:row r="820">
      <x:c r="A820" t="str">
        <x:f>'Employee Attendance'!A274</x:f>
        <x:v>Masela Chishinga</x:v>
      </x:c>
      <x:c r="B820" t="str">
        <x:f>'Employee Attendance'!B274</x:f>
        <x:v>Zambia</x:v>
      </x:c>
      <x:c r="C820" t="str">
        <x:f>'Employee Attendance'!C274</x:f>
        <x:v>ZM</x:v>
      </x:c>
      <x:c r="D820" t="str">
        <x:f>'Employee Attendance'!D274</x:f>
        <x:v>masela.chishinga@pwc.com</x:v>
      </x:c>
      <x:c r="E820" t="str">
        <x:f>"Combined"</x:f>
        <x:v>Combined</x:v>
      </x:c>
      <x:c r="F820" s="14" t="n">
        <x:f>'Employee Attendance'!I274</x:f>
        <x:v>0.05920138888888889</x:v>
      </x:c>
      <x:c r="G820" t="n">
        <x:f>F820*86400</x:f>
        <x:v>5115</x:v>
      </x:c>
      <x:c r="H820" t="str">
        <x:f>'Employee Attendance'!J274</x:f>
        <x:v>Partially attended</x:v>
      </x:c>
      <x:c r="I820" t="str">
        <x:f>IF(OR('Employee Attendance'!K274="Yes",'Employee Attendance'!L274="Yes"),"Yes","No")</x:f>
        <x:v>Yes</x:v>
      </x:c>
    </x:row>
    <x:row r="821">
      <x:c r="A821" t="str">
        <x:f>'Employee Attendance'!A275</x:f>
        <x:v>Masha Alobo</x:v>
      </x:c>
      <x:c r="B821" t="str">
        <x:f>'Employee Attendance'!B275</x:f>
        <x:v>Kenya</x:v>
      </x:c>
      <x:c r="C821" t="str">
        <x:f>'Employee Attendance'!C275</x:f>
        <x:v>KE</x:v>
      </x:c>
      <x:c r="D821" t="str">
        <x:f>'Employee Attendance'!D275</x:f>
        <x:v>masha.alobo@pwc.com</x:v>
      </x:c>
      <x:c r="E821" t="str">
        <x:f>"Option 1"</x:f>
        <x:v>Option 1</x:v>
      </x:c>
      <x:c r="F821" s="14" t="n">
        <x:f>'Employee Attendance'!E275</x:f>
        <x:v>0.07730324074074074</x:v>
      </x:c>
      <x:c r="G821" t="n">
        <x:f>F821*86400</x:f>
        <x:v>6679</x:v>
      </x:c>
      <x:c r="H821" t="str">
        <x:f>'Employee Attendance'!F275</x:f>
        <x:v>Fully attended</x:v>
      </x:c>
      <x:c r="I821" t="str">
        <x:f>'Employee Attendance'!K275</x:f>
        <x:v>Yes</x:v>
      </x:c>
    </x:row>
    <x:row r="822">
      <x:c r="A822" t="str">
        <x:f>'Employee Attendance'!A275</x:f>
        <x:v>Masha Alobo</x:v>
      </x:c>
      <x:c r="B822" t="str">
        <x:f>'Employee Attendance'!B275</x:f>
        <x:v>Kenya</x:v>
      </x:c>
      <x:c r="C822" t="str">
        <x:f>'Employee Attendance'!C275</x:f>
        <x:v>KE</x:v>
      </x:c>
      <x:c r="D822" t="str">
        <x:f>'Employee Attendance'!D275</x:f>
        <x:v>masha.alobo@pwc.com</x:v>
      </x:c>
      <x:c r="E822" t="str">
        <x:f>"Option 2"</x:f>
        <x:v>Option 2</x:v>
      </x:c>
      <x:c r="F822" s="14" t="n">
        <x:f>'Employee Attendance'!G275</x:f>
        <x:v>0</x:v>
      </x:c>
      <x:c r="G822" t="n">
        <x:f>F822*86400</x:f>
        <x:v>0</x:v>
      </x:c>
      <x:c r="H822" t="str">
        <x:f>'Employee Attendance'!H275</x:f>
        <x:v>Did not attend</x:v>
      </x:c>
      <x:c r="I822" t="str">
        <x:f>'Employee Attendance'!L275</x:f>
        <x:v>No</x:v>
      </x:c>
    </x:row>
    <x:row r="823">
      <x:c r="A823" t="str">
        <x:f>'Employee Attendance'!A275</x:f>
        <x:v>Masha Alobo</x:v>
      </x:c>
      <x:c r="B823" t="str">
        <x:f>'Employee Attendance'!B275</x:f>
        <x:v>Kenya</x:v>
      </x:c>
      <x:c r="C823" t="str">
        <x:f>'Employee Attendance'!C275</x:f>
        <x:v>KE</x:v>
      </x:c>
      <x:c r="D823" t="str">
        <x:f>'Employee Attendance'!D275</x:f>
        <x:v>masha.alobo@pwc.com</x:v>
      </x:c>
      <x:c r="E823" t="str">
        <x:f>"Combined"</x:f>
        <x:v>Combined</x:v>
      </x:c>
      <x:c r="F823" s="14" t="n">
        <x:f>'Employee Attendance'!I275</x:f>
        <x:v>0.07730324074074074</x:v>
      </x:c>
      <x:c r="G823" t="n">
        <x:f>F823*86400</x:f>
        <x:v>6679</x:v>
      </x:c>
      <x:c r="H823" t="str">
        <x:f>'Employee Attendance'!J275</x:f>
        <x:v>Fully attended</x:v>
      </x:c>
      <x:c r="I823" t="str">
        <x:f>IF(OR('Employee Attendance'!K275="Yes",'Employee Attendance'!L275="Yes"),"Yes","No")</x:f>
        <x:v>Yes</x:v>
      </x:c>
    </x:row>
    <x:row r="824">
      <x:c r="A824" t="str">
        <x:f>'Employee Attendance'!A276</x:f>
        <x:v>Matthew Ddimirire</x:v>
      </x:c>
      <x:c r="B824" t="str">
        <x:f>'Employee Attendance'!B276</x:f>
        <x:v>Uganda</x:v>
      </x:c>
      <x:c r="C824" t="str">
        <x:f>'Employee Attendance'!C276</x:f>
        <x:v>UG</x:v>
      </x:c>
      <x:c r="D824" t="str">
        <x:f>'Employee Attendance'!D276</x:f>
        <x:v>matthew.ddimirire@pwc.com</x:v>
      </x:c>
      <x:c r="E824" t="str">
        <x:f>"Option 1"</x:f>
        <x:v>Option 1</x:v>
      </x:c>
      <x:c r="F824" s="14" t="n">
        <x:f>'Employee Attendance'!E276</x:f>
        <x:v>0</x:v>
      </x:c>
      <x:c r="G824" t="n">
        <x:f>F824*86400</x:f>
        <x:v>0</x:v>
      </x:c>
      <x:c r="H824" t="str">
        <x:f>'Employee Attendance'!F276</x:f>
        <x:v>Did not attend</x:v>
      </x:c>
      <x:c r="I824" t="str">
        <x:f>'Employee Attendance'!K276</x:f>
        <x:v>No</x:v>
      </x:c>
    </x:row>
    <x:row r="825">
      <x:c r="A825" t="str">
        <x:f>'Employee Attendance'!A276</x:f>
        <x:v>Matthew Ddimirire</x:v>
      </x:c>
      <x:c r="B825" t="str">
        <x:f>'Employee Attendance'!B276</x:f>
        <x:v>Uganda</x:v>
      </x:c>
      <x:c r="C825" t="str">
        <x:f>'Employee Attendance'!C276</x:f>
        <x:v>UG</x:v>
      </x:c>
      <x:c r="D825" t="str">
        <x:f>'Employee Attendance'!D276</x:f>
        <x:v>matthew.ddimirire@pwc.com</x:v>
      </x:c>
      <x:c r="E825" t="str">
        <x:f>"Option 2"</x:f>
        <x:v>Option 2</x:v>
      </x:c>
      <x:c r="F825" s="14" t="n">
        <x:f>'Employee Attendance'!G276</x:f>
        <x:v>0.09362268518518518</x:v>
      </x:c>
      <x:c r="G825" t="n">
        <x:f>F825*86400</x:f>
        <x:v>8089</x:v>
      </x:c>
      <x:c r="H825" t="str">
        <x:f>'Employee Attendance'!H276</x:f>
        <x:v>Fully attended</x:v>
      </x:c>
      <x:c r="I825" t="str">
        <x:f>'Employee Attendance'!L276</x:f>
        <x:v>Yes</x:v>
      </x:c>
    </x:row>
    <x:row r="826">
      <x:c r="A826" t="str">
        <x:f>'Employee Attendance'!A276</x:f>
        <x:v>Matthew Ddimirire</x:v>
      </x:c>
      <x:c r="B826" t="str">
        <x:f>'Employee Attendance'!B276</x:f>
        <x:v>Uganda</x:v>
      </x:c>
      <x:c r="C826" t="str">
        <x:f>'Employee Attendance'!C276</x:f>
        <x:v>UG</x:v>
      </x:c>
      <x:c r="D826" t="str">
        <x:f>'Employee Attendance'!D276</x:f>
        <x:v>matthew.ddimirire@pwc.com</x:v>
      </x:c>
      <x:c r="E826" t="str">
        <x:f>"Combined"</x:f>
        <x:v>Combined</x:v>
      </x:c>
      <x:c r="F826" s="14" t="n">
        <x:f>'Employee Attendance'!I276</x:f>
        <x:v>0.09362268518518518</x:v>
      </x:c>
      <x:c r="G826" t="n">
        <x:f>F826*86400</x:f>
        <x:v>8089</x:v>
      </x:c>
      <x:c r="H826" t="str">
        <x:f>'Employee Attendance'!J276</x:f>
        <x:v>Fully attended</x:v>
      </x:c>
      <x:c r="I826" t="str">
        <x:f>IF(OR('Employee Attendance'!K276="Yes",'Employee Attendance'!L276="Yes"),"Yes","No")</x:f>
        <x:v>Yes</x:v>
      </x:c>
    </x:row>
    <x:row r="827">
      <x:c r="A827" t="str">
        <x:f>'Employee Attendance'!A277</x:f>
        <x:v>Maureen Benedict</x:v>
      </x:c>
      <x:c r="B827" t="str">
        <x:f>'Employee Attendance'!B277</x:f>
        <x:v>Tanzania</x:v>
      </x:c>
      <x:c r="C827" t="str">
        <x:f>'Employee Attendance'!C277</x:f>
        <x:v>TZ</x:v>
      </x:c>
      <x:c r="D827" t="str">
        <x:f>'Employee Attendance'!D277</x:f>
        <x:v>maureen.benedict@pwc.com</x:v>
      </x:c>
      <x:c r="E827" t="str">
        <x:f>"Option 1"</x:f>
        <x:v>Option 1</x:v>
      </x:c>
      <x:c r="F827" s="14" t="n">
        <x:f>'Employee Attendance'!E277</x:f>
        <x:v>0.08381944444444445</x:v>
      </x:c>
      <x:c r="G827" t="n">
        <x:f>F827*86400</x:f>
        <x:v>7242</x:v>
      </x:c>
      <x:c r="H827" t="str">
        <x:f>'Employee Attendance'!F277</x:f>
        <x:v>Fully attended</x:v>
      </x:c>
      <x:c r="I827" t="str">
        <x:f>'Employee Attendance'!K277</x:f>
        <x:v>Yes</x:v>
      </x:c>
    </x:row>
    <x:row r="828">
      <x:c r="A828" t="str">
        <x:f>'Employee Attendance'!A277</x:f>
        <x:v>Maureen Benedict</x:v>
      </x:c>
      <x:c r="B828" t="str">
        <x:f>'Employee Attendance'!B277</x:f>
        <x:v>Tanzania</x:v>
      </x:c>
      <x:c r="C828" t="str">
        <x:f>'Employee Attendance'!C277</x:f>
        <x:v>TZ</x:v>
      </x:c>
      <x:c r="D828" t="str">
        <x:f>'Employee Attendance'!D277</x:f>
        <x:v>maureen.benedict@pwc.com</x:v>
      </x:c>
      <x:c r="E828" t="str">
        <x:f>"Option 2"</x:f>
        <x:v>Option 2</x:v>
      </x:c>
      <x:c r="F828" s="14" t="n">
        <x:f>'Employee Attendance'!G277</x:f>
        <x:v>0.050104166666666665</x:v>
      </x:c>
      <x:c r="G828" t="n">
        <x:f>F828*86400</x:f>
        <x:v>4329</x:v>
      </x:c>
      <x:c r="H828" t="str">
        <x:f>'Employee Attendance'!H277</x:f>
        <x:v>Partially attended</x:v>
      </x:c>
      <x:c r="I828" t="str">
        <x:f>'Employee Attendance'!L277</x:f>
        <x:v>Yes</x:v>
      </x:c>
    </x:row>
    <x:row r="829">
      <x:c r="A829" t="str">
        <x:f>'Employee Attendance'!A277</x:f>
        <x:v>Maureen Benedict</x:v>
      </x:c>
      <x:c r="B829" t="str">
        <x:f>'Employee Attendance'!B277</x:f>
        <x:v>Tanzania</x:v>
      </x:c>
      <x:c r="C829" t="str">
        <x:f>'Employee Attendance'!C277</x:f>
        <x:v>TZ</x:v>
      </x:c>
      <x:c r="D829" t="str">
        <x:f>'Employee Attendance'!D277</x:f>
        <x:v>maureen.benedict@pwc.com</x:v>
      </x:c>
      <x:c r="E829" t="str">
        <x:f>"Combined"</x:f>
        <x:v>Combined</x:v>
      </x:c>
      <x:c r="F829" s="14" t="n">
        <x:f>'Employee Attendance'!I277</x:f>
        <x:v>0.13392361111111112</x:v>
      </x:c>
      <x:c r="G829" t="n">
        <x:f>F829*86400</x:f>
        <x:v>11571</x:v>
      </x:c>
      <x:c r="H829" t="str">
        <x:f>'Employee Attendance'!J277</x:f>
        <x:v>Fully attended</x:v>
      </x:c>
      <x:c r="I829" t="str">
        <x:f>IF(OR('Employee Attendance'!K277="Yes",'Employee Attendance'!L277="Yes"),"Yes","No")</x:f>
        <x:v>Yes</x:v>
      </x:c>
    </x:row>
    <x:row r="830">
      <x:c r="A830" t="str">
        <x:f>'Employee Attendance'!A278</x:f>
        <x:v>Maureen Carmagnole</x:v>
      </x:c>
      <x:c r="B830" t="str">
        <x:f>'Employee Attendance'!B278</x:f>
        <x:v>Mauritius</x:v>
      </x:c>
      <x:c r="C830" t="str">
        <x:f>'Employee Attendance'!C278</x:f>
        <x:v>MU</x:v>
      </x:c>
      <x:c r="D830" t="str">
        <x:f>'Employee Attendance'!D278</x:f>
        <x:v>maureen.carmagnole@pwc.com</x:v>
      </x:c>
      <x:c r="E830" t="str">
        <x:f>"Option 1"</x:f>
        <x:v>Option 1</x:v>
      </x:c>
      <x:c r="F830" s="14" t="n">
        <x:f>'Employee Attendance'!E278</x:f>
        <x:v>0</x:v>
      </x:c>
      <x:c r="G830" t="n">
        <x:f>F830*86400</x:f>
        <x:v>0</x:v>
      </x:c>
      <x:c r="H830" t="str">
        <x:f>'Employee Attendance'!F278</x:f>
        <x:v>Did not attend</x:v>
      </x:c>
      <x:c r="I830" t="str">
        <x:f>'Employee Attendance'!K278</x:f>
        <x:v>No</x:v>
      </x:c>
    </x:row>
    <x:row r="831">
      <x:c r="A831" t="str">
        <x:f>'Employee Attendance'!A278</x:f>
        <x:v>Maureen Carmagnole</x:v>
      </x:c>
      <x:c r="B831" t="str">
        <x:f>'Employee Attendance'!B278</x:f>
        <x:v>Mauritius</x:v>
      </x:c>
      <x:c r="C831" t="str">
        <x:f>'Employee Attendance'!C278</x:f>
        <x:v>MU</x:v>
      </x:c>
      <x:c r="D831" t="str">
        <x:f>'Employee Attendance'!D278</x:f>
        <x:v>maureen.carmagnole@pwc.com</x:v>
      </x:c>
      <x:c r="E831" t="str">
        <x:f>"Option 2"</x:f>
        <x:v>Option 2</x:v>
      </x:c>
      <x:c r="F831" s="14" t="n">
        <x:f>'Employee Attendance'!G278</x:f>
        <x:v>0.04677083333333333</x:v>
      </x:c>
      <x:c r="G831" t="n">
        <x:f>F831*86400</x:f>
        <x:v>4041</x:v>
      </x:c>
      <x:c r="H831" t="str">
        <x:f>'Employee Attendance'!H278</x:f>
        <x:v>Partially attended</x:v>
      </x:c>
      <x:c r="I831" t="str">
        <x:f>'Employee Attendance'!L278</x:f>
        <x:v>Yes</x:v>
      </x:c>
    </x:row>
    <x:row r="832">
      <x:c r="A832" t="str">
        <x:f>'Employee Attendance'!A278</x:f>
        <x:v>Maureen Carmagnole</x:v>
      </x:c>
      <x:c r="B832" t="str">
        <x:f>'Employee Attendance'!B278</x:f>
        <x:v>Mauritius</x:v>
      </x:c>
      <x:c r="C832" t="str">
        <x:f>'Employee Attendance'!C278</x:f>
        <x:v>MU</x:v>
      </x:c>
      <x:c r="D832" t="str">
        <x:f>'Employee Attendance'!D278</x:f>
        <x:v>maureen.carmagnole@pwc.com</x:v>
      </x:c>
      <x:c r="E832" t="str">
        <x:f>"Combined"</x:f>
        <x:v>Combined</x:v>
      </x:c>
      <x:c r="F832" s="14" t="n">
        <x:f>'Employee Attendance'!I278</x:f>
        <x:v>0.04677083333333333</x:v>
      </x:c>
      <x:c r="G832" t="n">
        <x:f>F832*86400</x:f>
        <x:v>4041</x:v>
      </x:c>
      <x:c r="H832" t="str">
        <x:f>'Employee Attendance'!J278</x:f>
        <x:v>Partially attended</x:v>
      </x:c>
      <x:c r="I832" t="str">
        <x:f>IF(OR('Employee Attendance'!K278="Yes",'Employee Attendance'!L278="Yes"),"Yes","No")</x:f>
        <x:v>Yes</x:v>
      </x:c>
    </x:row>
    <x:row r="833">
      <x:c r="A833" t="str">
        <x:f>'Employee Attendance'!A279</x:f>
        <x:v>Melanie Li Wan Cheun</x:v>
      </x:c>
      <x:c r="B833" t="str">
        <x:f>'Employee Attendance'!B279</x:f>
        <x:v>Mauritius</x:v>
      </x:c>
      <x:c r="C833" t="str">
        <x:f>'Employee Attendance'!C279</x:f>
        <x:v>MU</x:v>
      </x:c>
      <x:c r="D833" t="str">
        <x:f>'Employee Attendance'!D279</x:f>
        <x:v>melanie.li.wan.cheun@pwc.com</x:v>
      </x:c>
      <x:c r="E833" t="str">
        <x:f>"Option 1"</x:f>
        <x:v>Option 1</x:v>
      </x:c>
      <x:c r="F833" s="14" t="n">
        <x:f>'Employee Attendance'!E279</x:f>
        <x:v>0</x:v>
      </x:c>
      <x:c r="G833" t="n">
        <x:f>F833*86400</x:f>
        <x:v>0</x:v>
      </x:c>
      <x:c r="H833" t="str">
        <x:f>'Employee Attendance'!F279</x:f>
        <x:v>Did not attend</x:v>
      </x:c>
      <x:c r="I833" t="str">
        <x:f>'Employee Attendance'!K279</x:f>
        <x:v>No</x:v>
      </x:c>
    </x:row>
    <x:row r="834">
      <x:c r="A834" t="str">
        <x:f>'Employee Attendance'!A279</x:f>
        <x:v>Melanie Li Wan Cheun</x:v>
      </x:c>
      <x:c r="B834" t="str">
        <x:f>'Employee Attendance'!B279</x:f>
        <x:v>Mauritius</x:v>
      </x:c>
      <x:c r="C834" t="str">
        <x:f>'Employee Attendance'!C279</x:f>
        <x:v>MU</x:v>
      </x:c>
      <x:c r="D834" t="str">
        <x:f>'Employee Attendance'!D279</x:f>
        <x:v>melanie.li.wan.cheun@pwc.com</x:v>
      </x:c>
      <x:c r="E834" t="str">
        <x:f>"Option 2"</x:f>
        <x:v>Option 2</x:v>
      </x:c>
      <x:c r="F834" s="14" t="n">
        <x:f>'Employee Attendance'!G279</x:f>
        <x:v>0.08758101851851852</x:v>
      </x:c>
      <x:c r="G834" t="n">
        <x:f>F834*86400</x:f>
        <x:v>7567</x:v>
      </x:c>
      <x:c r="H834" t="str">
        <x:f>'Employee Attendance'!H279</x:f>
        <x:v>Fully attended</x:v>
      </x:c>
      <x:c r="I834" t="str">
        <x:f>'Employee Attendance'!L279</x:f>
        <x:v>Yes</x:v>
      </x:c>
    </x:row>
    <x:row r="835">
      <x:c r="A835" t="str">
        <x:f>'Employee Attendance'!A279</x:f>
        <x:v>Melanie Li Wan Cheun</x:v>
      </x:c>
      <x:c r="B835" t="str">
        <x:f>'Employee Attendance'!B279</x:f>
        <x:v>Mauritius</x:v>
      </x:c>
      <x:c r="C835" t="str">
        <x:f>'Employee Attendance'!C279</x:f>
        <x:v>MU</x:v>
      </x:c>
      <x:c r="D835" t="str">
        <x:f>'Employee Attendance'!D279</x:f>
        <x:v>melanie.li.wan.cheun@pwc.com</x:v>
      </x:c>
      <x:c r="E835" t="str">
        <x:f>"Combined"</x:f>
        <x:v>Combined</x:v>
      </x:c>
      <x:c r="F835" s="14" t="n">
        <x:f>'Employee Attendance'!I279</x:f>
        <x:v>0.08758101851851852</x:v>
      </x:c>
      <x:c r="G835" t="n">
        <x:f>F835*86400</x:f>
        <x:v>7567</x:v>
      </x:c>
      <x:c r="H835" t="str">
        <x:f>'Employee Attendance'!J279</x:f>
        <x:v>Fully attended</x:v>
      </x:c>
      <x:c r="I835" t="str">
        <x:f>IF(OR('Employee Attendance'!K279="Yes",'Employee Attendance'!L279="Yes"),"Yes","No")</x:f>
        <x:v>Yes</x:v>
      </x:c>
    </x:row>
    <x:row r="836">
      <x:c r="A836" t="str">
        <x:f>'Employee Attendance'!A280</x:f>
        <x:v>Mercy John</x:v>
      </x:c>
      <x:c r="B836" t="str">
        <x:f>'Employee Attendance'!B280</x:f>
        <x:v>Kenya</x:v>
      </x:c>
      <x:c r="C836" t="str">
        <x:f>'Employee Attendance'!C280</x:f>
        <x:v>KE</x:v>
      </x:c>
      <x:c r="D836" t="str">
        <x:f>'Employee Attendance'!D280</x:f>
        <x:v>mercy.john@pwc.com</x:v>
      </x:c>
      <x:c r="E836" t="str">
        <x:f>"Option 1"</x:f>
        <x:v>Option 1</x:v>
      </x:c>
      <x:c r="F836" s="14" t="n">
        <x:f>'Employee Attendance'!E280</x:f>
        <x:v>0.07203703703703704</x:v>
      </x:c>
      <x:c r="G836" t="n">
        <x:f>F836*86400</x:f>
        <x:v>6224</x:v>
      </x:c>
      <x:c r="H836" t="str">
        <x:f>'Employee Attendance'!F280</x:f>
        <x:v>Fully attended</x:v>
      </x:c>
      <x:c r="I836" t="str">
        <x:f>'Employee Attendance'!K280</x:f>
        <x:v>Yes</x:v>
      </x:c>
    </x:row>
    <x:row r="837">
      <x:c r="A837" t="str">
        <x:f>'Employee Attendance'!A280</x:f>
        <x:v>Mercy John</x:v>
      </x:c>
      <x:c r="B837" t="str">
        <x:f>'Employee Attendance'!B280</x:f>
        <x:v>Kenya</x:v>
      </x:c>
      <x:c r="C837" t="str">
        <x:f>'Employee Attendance'!C280</x:f>
        <x:v>KE</x:v>
      </x:c>
      <x:c r="D837" t="str">
        <x:f>'Employee Attendance'!D280</x:f>
        <x:v>mercy.john@pwc.com</x:v>
      </x:c>
      <x:c r="E837" t="str">
        <x:f>"Option 2"</x:f>
        <x:v>Option 2</x:v>
      </x:c>
      <x:c r="F837" s="14" t="n">
        <x:f>'Employee Attendance'!G280</x:f>
        <x:v>0</x:v>
      </x:c>
      <x:c r="G837" t="n">
        <x:f>F837*86400</x:f>
        <x:v>0</x:v>
      </x:c>
      <x:c r="H837" t="str">
        <x:f>'Employee Attendance'!H280</x:f>
        <x:v>Did not attend</x:v>
      </x:c>
      <x:c r="I837" t="str">
        <x:f>'Employee Attendance'!L280</x:f>
        <x:v>No</x:v>
      </x:c>
    </x:row>
    <x:row r="838">
      <x:c r="A838" t="str">
        <x:f>'Employee Attendance'!A280</x:f>
        <x:v>Mercy John</x:v>
      </x:c>
      <x:c r="B838" t="str">
        <x:f>'Employee Attendance'!B280</x:f>
        <x:v>Kenya</x:v>
      </x:c>
      <x:c r="C838" t="str">
        <x:f>'Employee Attendance'!C280</x:f>
        <x:v>KE</x:v>
      </x:c>
      <x:c r="D838" t="str">
        <x:f>'Employee Attendance'!D280</x:f>
        <x:v>mercy.john@pwc.com</x:v>
      </x:c>
      <x:c r="E838" t="str">
        <x:f>"Combined"</x:f>
        <x:v>Combined</x:v>
      </x:c>
      <x:c r="F838" s="14" t="n">
        <x:f>'Employee Attendance'!I280</x:f>
        <x:v>0.07203703703703704</x:v>
      </x:c>
      <x:c r="G838" t="n">
        <x:f>F838*86400</x:f>
        <x:v>6224</x:v>
      </x:c>
      <x:c r="H838" t="str">
        <x:f>'Employee Attendance'!J280</x:f>
        <x:v>Fully attended</x:v>
      </x:c>
      <x:c r="I838" t="str">
        <x:f>IF(OR('Employee Attendance'!K280="Yes",'Employee Attendance'!L280="Yes"),"Yes","No")</x:f>
        <x:v>Yes</x:v>
      </x:c>
    </x:row>
    <x:row r="839">
      <x:c r="A839" t="str">
        <x:f>'Employee Attendance'!A281</x:f>
        <x:v>Mercy Kiprono</x:v>
      </x:c>
      <x:c r="B839" t="str">
        <x:f>'Employee Attendance'!B281</x:f>
        <x:v>Kenya</x:v>
      </x:c>
      <x:c r="C839" t="str">
        <x:f>'Employee Attendance'!C281</x:f>
        <x:v>KE</x:v>
      </x:c>
      <x:c r="D839" t="str">
        <x:f>'Employee Attendance'!D281</x:f>
        <x:v>mercy.kiprono@pwc.com</x:v>
      </x:c>
      <x:c r="E839" t="str">
        <x:f>"Option 1"</x:f>
        <x:v>Option 1</x:v>
      </x:c>
      <x:c r="F839" s="14" t="n">
        <x:f>'Employee Attendance'!E281</x:f>
        <x:v>0</x:v>
      </x:c>
      <x:c r="G839" t="n">
        <x:f>F839*86400</x:f>
        <x:v>0</x:v>
      </x:c>
      <x:c r="H839" t="str">
        <x:f>'Employee Attendance'!F281</x:f>
        <x:v>Did not attend</x:v>
      </x:c>
      <x:c r="I839" t="str">
        <x:f>'Employee Attendance'!K281</x:f>
        <x:v>No</x:v>
      </x:c>
    </x:row>
    <x:row r="840">
      <x:c r="A840" t="str">
        <x:f>'Employee Attendance'!A281</x:f>
        <x:v>Mercy Kiprono</x:v>
      </x:c>
      <x:c r="B840" t="str">
        <x:f>'Employee Attendance'!B281</x:f>
        <x:v>Kenya</x:v>
      </x:c>
      <x:c r="C840" t="str">
        <x:f>'Employee Attendance'!C281</x:f>
        <x:v>KE</x:v>
      </x:c>
      <x:c r="D840" t="str">
        <x:f>'Employee Attendance'!D281</x:f>
        <x:v>mercy.kiprono@pwc.com</x:v>
      </x:c>
      <x:c r="E840" t="str">
        <x:f>"Option 2"</x:f>
        <x:v>Option 2</x:v>
      </x:c>
      <x:c r="F840" s="14" t="n">
        <x:f>'Employee Attendance'!G281</x:f>
        <x:v>0</x:v>
      </x:c>
      <x:c r="G840" t="n">
        <x:f>F840*86400</x:f>
        <x:v>0</x:v>
      </x:c>
      <x:c r="H840" t="str">
        <x:f>'Employee Attendance'!H281</x:f>
        <x:v>Did not attend</x:v>
      </x:c>
      <x:c r="I840" t="str">
        <x:f>'Employee Attendance'!L281</x:f>
        <x:v>No</x:v>
      </x:c>
    </x:row>
    <x:row r="841">
      <x:c r="A841" t="str">
        <x:f>'Employee Attendance'!A281</x:f>
        <x:v>Mercy Kiprono</x:v>
      </x:c>
      <x:c r="B841" t="str">
        <x:f>'Employee Attendance'!B281</x:f>
        <x:v>Kenya</x:v>
      </x:c>
      <x:c r="C841" t="str">
        <x:f>'Employee Attendance'!C281</x:f>
        <x:v>KE</x:v>
      </x:c>
      <x:c r="D841" t="str">
        <x:f>'Employee Attendance'!D281</x:f>
        <x:v>mercy.kiprono@pwc.com</x:v>
      </x:c>
      <x:c r="E841" t="str">
        <x:f>"Combined"</x:f>
        <x:v>Combined</x:v>
      </x:c>
      <x:c r="F841" s="14" t="n">
        <x:f>'Employee Attendance'!I281</x:f>
        <x:v>0</x:v>
      </x:c>
      <x:c r="G841" t="n">
        <x:f>F841*86400</x:f>
        <x:v>0</x:v>
      </x:c>
      <x:c r="H841" t="str">
        <x:f>'Employee Attendance'!J281</x:f>
        <x:v>Did not attend</x:v>
      </x:c>
      <x:c r="I841" t="str">
        <x:f>IF(OR('Employee Attendance'!K281="Yes",'Employee Attendance'!L281="Yes"),"Yes","No")</x:f>
        <x:v>No</x:v>
      </x:c>
    </x:row>
    <x:row r="842">
      <x:c r="A842" t="str">
        <x:f>'Employee Attendance'!A282</x:f>
        <x:v>Mercy Koskei</x:v>
      </x:c>
      <x:c r="B842" t="str">
        <x:f>'Employee Attendance'!B282</x:f>
        <x:v>Kenya</x:v>
      </x:c>
      <x:c r="C842" t="str">
        <x:f>'Employee Attendance'!C282</x:f>
        <x:v>KE</x:v>
      </x:c>
      <x:c r="D842" t="str">
        <x:f>'Employee Attendance'!D282</x:f>
        <x:v>mercy.koskei@pwc.com</x:v>
      </x:c>
      <x:c r="E842" t="str">
        <x:f>"Option 1"</x:f>
        <x:v>Option 1</x:v>
      </x:c>
      <x:c r="F842" s="14" t="n">
        <x:f>'Employee Attendance'!E282</x:f>
        <x:v>0.08621527777777778</x:v>
      </x:c>
      <x:c r="G842" t="n">
        <x:f>F842*86400</x:f>
        <x:v>7449</x:v>
      </x:c>
      <x:c r="H842" t="str">
        <x:f>'Employee Attendance'!F282</x:f>
        <x:v>Fully attended</x:v>
      </x:c>
      <x:c r="I842" t="str">
        <x:f>'Employee Attendance'!K282</x:f>
        <x:v>Yes</x:v>
      </x:c>
    </x:row>
    <x:row r="843">
      <x:c r="A843" t="str">
        <x:f>'Employee Attendance'!A282</x:f>
        <x:v>Mercy Koskei</x:v>
      </x:c>
      <x:c r="B843" t="str">
        <x:f>'Employee Attendance'!B282</x:f>
        <x:v>Kenya</x:v>
      </x:c>
      <x:c r="C843" t="str">
        <x:f>'Employee Attendance'!C282</x:f>
        <x:v>KE</x:v>
      </x:c>
      <x:c r="D843" t="str">
        <x:f>'Employee Attendance'!D282</x:f>
        <x:v>mercy.koskei@pwc.com</x:v>
      </x:c>
      <x:c r="E843" t="str">
        <x:f>"Option 2"</x:f>
        <x:v>Option 2</x:v>
      </x:c>
      <x:c r="F843" s="14" t="n">
        <x:f>'Employee Attendance'!G282</x:f>
        <x:v>0</x:v>
      </x:c>
      <x:c r="G843" t="n">
        <x:f>F843*86400</x:f>
        <x:v>0</x:v>
      </x:c>
      <x:c r="H843" t="str">
        <x:f>'Employee Attendance'!H282</x:f>
        <x:v>Did not attend</x:v>
      </x:c>
      <x:c r="I843" t="str">
        <x:f>'Employee Attendance'!L282</x:f>
        <x:v>No</x:v>
      </x:c>
    </x:row>
    <x:row r="844">
      <x:c r="A844" t="str">
        <x:f>'Employee Attendance'!A282</x:f>
        <x:v>Mercy Koskei</x:v>
      </x:c>
      <x:c r="B844" t="str">
        <x:f>'Employee Attendance'!B282</x:f>
        <x:v>Kenya</x:v>
      </x:c>
      <x:c r="C844" t="str">
        <x:f>'Employee Attendance'!C282</x:f>
        <x:v>KE</x:v>
      </x:c>
      <x:c r="D844" t="str">
        <x:f>'Employee Attendance'!D282</x:f>
        <x:v>mercy.koskei@pwc.com</x:v>
      </x:c>
      <x:c r="E844" t="str">
        <x:f>"Combined"</x:f>
        <x:v>Combined</x:v>
      </x:c>
      <x:c r="F844" s="14" t="n">
        <x:f>'Employee Attendance'!I282</x:f>
        <x:v>0.08621527777777778</x:v>
      </x:c>
      <x:c r="G844" t="n">
        <x:f>F844*86400</x:f>
        <x:v>7449</x:v>
      </x:c>
      <x:c r="H844" t="str">
        <x:f>'Employee Attendance'!J282</x:f>
        <x:v>Fully attended</x:v>
      </x:c>
      <x:c r="I844" t="str">
        <x:f>IF(OR('Employee Attendance'!K282="Yes",'Employee Attendance'!L282="Yes"),"Yes","No")</x:f>
        <x:v>Yes</x:v>
      </x:c>
    </x:row>
    <x:row r="845">
      <x:c r="A845" t="str">
        <x:f>'Employee Attendance'!A283</x:f>
        <x:v>Mercy Kuria</x:v>
      </x:c>
      <x:c r="B845" t="str">
        <x:f>'Employee Attendance'!B283</x:f>
        <x:v>Kenya</x:v>
      </x:c>
      <x:c r="C845" t="str">
        <x:f>'Employee Attendance'!C283</x:f>
        <x:v>KE</x:v>
      </x:c>
      <x:c r="D845" t="str">
        <x:f>'Employee Attendance'!D283</x:f>
        <x:v>mercy.kuria@pwc.com</x:v>
      </x:c>
      <x:c r="E845" t="str">
        <x:f>"Option 1"</x:f>
        <x:v>Option 1</x:v>
      </x:c>
      <x:c r="F845" s="14" t="n">
        <x:f>'Employee Attendance'!E283</x:f>
        <x:v>0.0772337962962963</x:v>
      </x:c>
      <x:c r="G845" t="n">
        <x:f>F845*86400</x:f>
        <x:v>6673</x:v>
      </x:c>
      <x:c r="H845" t="str">
        <x:f>'Employee Attendance'!F283</x:f>
        <x:v>Fully attended</x:v>
      </x:c>
      <x:c r="I845" t="str">
        <x:f>'Employee Attendance'!K283</x:f>
        <x:v>Yes</x:v>
      </x:c>
    </x:row>
    <x:row r="846">
      <x:c r="A846" t="str">
        <x:f>'Employee Attendance'!A283</x:f>
        <x:v>Mercy Kuria</x:v>
      </x:c>
      <x:c r="B846" t="str">
        <x:f>'Employee Attendance'!B283</x:f>
        <x:v>Kenya</x:v>
      </x:c>
      <x:c r="C846" t="str">
        <x:f>'Employee Attendance'!C283</x:f>
        <x:v>KE</x:v>
      </x:c>
      <x:c r="D846" t="str">
        <x:f>'Employee Attendance'!D283</x:f>
        <x:v>mercy.kuria@pwc.com</x:v>
      </x:c>
      <x:c r="E846" t="str">
        <x:f>"Option 2"</x:f>
        <x:v>Option 2</x:v>
      </x:c>
      <x:c r="F846" s="14" t="n">
        <x:f>'Employee Attendance'!G283</x:f>
        <x:v>0</x:v>
      </x:c>
      <x:c r="G846" t="n">
        <x:f>F846*86400</x:f>
        <x:v>0</x:v>
      </x:c>
      <x:c r="H846" t="str">
        <x:f>'Employee Attendance'!H283</x:f>
        <x:v>Did not attend</x:v>
      </x:c>
      <x:c r="I846" t="str">
        <x:f>'Employee Attendance'!L283</x:f>
        <x:v>No</x:v>
      </x:c>
    </x:row>
    <x:row r="847">
      <x:c r="A847" t="str">
        <x:f>'Employee Attendance'!A283</x:f>
        <x:v>Mercy Kuria</x:v>
      </x:c>
      <x:c r="B847" t="str">
        <x:f>'Employee Attendance'!B283</x:f>
        <x:v>Kenya</x:v>
      </x:c>
      <x:c r="C847" t="str">
        <x:f>'Employee Attendance'!C283</x:f>
        <x:v>KE</x:v>
      </x:c>
      <x:c r="D847" t="str">
        <x:f>'Employee Attendance'!D283</x:f>
        <x:v>mercy.kuria@pwc.com</x:v>
      </x:c>
      <x:c r="E847" t="str">
        <x:f>"Combined"</x:f>
        <x:v>Combined</x:v>
      </x:c>
      <x:c r="F847" s="14" t="n">
        <x:f>'Employee Attendance'!I283</x:f>
        <x:v>0.0772337962962963</x:v>
      </x:c>
      <x:c r="G847" t="n">
        <x:f>F847*86400</x:f>
        <x:v>6673</x:v>
      </x:c>
      <x:c r="H847" t="str">
        <x:f>'Employee Attendance'!J283</x:f>
        <x:v>Fully attended</x:v>
      </x:c>
      <x:c r="I847" t="str">
        <x:f>IF(OR('Employee Attendance'!K283="Yes",'Employee Attendance'!L283="Yes"),"Yes","No")</x:f>
        <x:v>Yes</x:v>
      </x:c>
    </x:row>
    <x:row r="848">
      <x:c r="A848" t="str">
        <x:f>'Employee Attendance'!A284</x:f>
        <x:v>Michael Male</x:v>
      </x:c>
      <x:c r="B848" t="str">
        <x:f>'Employee Attendance'!B284</x:f>
        <x:v>Uganda</x:v>
      </x:c>
      <x:c r="C848" t="str">
        <x:f>'Employee Attendance'!C284</x:f>
        <x:v>UG</x:v>
      </x:c>
      <x:c r="D848" t="str">
        <x:f>'Employee Attendance'!D284</x:f>
        <x:v>michael.male@pwc.com</x:v>
      </x:c>
      <x:c r="E848" t="str">
        <x:f>"Option 1"</x:f>
        <x:v>Option 1</x:v>
      </x:c>
      <x:c r="F848" s="14" t="n">
        <x:f>'Employee Attendance'!E284</x:f>
        <x:v>0.04614583333333333</x:v>
      </x:c>
      <x:c r="G848" t="n">
        <x:f>F848*86400</x:f>
        <x:v>3986.9999999999995</x:v>
      </x:c>
      <x:c r="H848" t="str">
        <x:f>'Employee Attendance'!F284</x:f>
        <x:v>Partially attended</x:v>
      </x:c>
      <x:c r="I848" t="str">
        <x:f>'Employee Attendance'!K284</x:f>
        <x:v>Yes</x:v>
      </x:c>
    </x:row>
    <x:row r="849">
      <x:c r="A849" t="str">
        <x:f>'Employee Attendance'!A284</x:f>
        <x:v>Michael Male</x:v>
      </x:c>
      <x:c r="B849" t="str">
        <x:f>'Employee Attendance'!B284</x:f>
        <x:v>Uganda</x:v>
      </x:c>
      <x:c r="C849" t="str">
        <x:f>'Employee Attendance'!C284</x:f>
        <x:v>UG</x:v>
      </x:c>
      <x:c r="D849" t="str">
        <x:f>'Employee Attendance'!D284</x:f>
        <x:v>michael.male@pwc.com</x:v>
      </x:c>
      <x:c r="E849" t="str">
        <x:f>"Option 2"</x:f>
        <x:v>Option 2</x:v>
      </x:c>
      <x:c r="F849" s="14" t="n">
        <x:f>'Employee Attendance'!G284</x:f>
        <x:v>0.10450231481481481</x:v>
      </x:c>
      <x:c r="G849" t="n">
        <x:f>F849*86400</x:f>
        <x:v>9029</x:v>
      </x:c>
      <x:c r="H849" t="str">
        <x:f>'Employee Attendance'!H284</x:f>
        <x:v>Fully attended</x:v>
      </x:c>
      <x:c r="I849" t="str">
        <x:f>'Employee Attendance'!L284</x:f>
        <x:v>Yes</x:v>
      </x:c>
    </x:row>
    <x:row r="850">
      <x:c r="A850" t="str">
        <x:f>'Employee Attendance'!A284</x:f>
        <x:v>Michael Male</x:v>
      </x:c>
      <x:c r="B850" t="str">
        <x:f>'Employee Attendance'!B284</x:f>
        <x:v>Uganda</x:v>
      </x:c>
      <x:c r="C850" t="str">
        <x:f>'Employee Attendance'!C284</x:f>
        <x:v>UG</x:v>
      </x:c>
      <x:c r="D850" t="str">
        <x:f>'Employee Attendance'!D284</x:f>
        <x:v>michael.male@pwc.com</x:v>
      </x:c>
      <x:c r="E850" t="str">
        <x:f>"Combined"</x:f>
        <x:v>Combined</x:v>
      </x:c>
      <x:c r="F850" s="14" t="n">
        <x:f>'Employee Attendance'!I284</x:f>
        <x:v>0.15064814814814814</x:v>
      </x:c>
      <x:c r="G850" t="n">
        <x:f>F850*86400</x:f>
        <x:v>13016</x:v>
      </x:c>
      <x:c r="H850" t="str">
        <x:f>'Employee Attendance'!J284</x:f>
        <x:v>Fully attended</x:v>
      </x:c>
      <x:c r="I850" t="str">
        <x:f>IF(OR('Employee Attendance'!K284="Yes",'Employee Attendance'!L284="Yes"),"Yes","No")</x:f>
        <x:v>Yes</x:v>
      </x:c>
    </x:row>
    <x:row r="851">
      <x:c r="A851" t="str">
        <x:f>'Employee Attendance'!A285</x:f>
        <x:v>Michael Mwendwa</x:v>
      </x:c>
      <x:c r="B851" t="str">
        <x:f>'Employee Attendance'!B285</x:f>
        <x:v>Kenya</x:v>
      </x:c>
      <x:c r="C851" t="str">
        <x:f>'Employee Attendance'!C285</x:f>
        <x:v>KE</x:v>
      </x:c>
      <x:c r="D851" t="str">
        <x:f>'Employee Attendance'!D285</x:f>
        <x:v>michael.mwendwa@pwc.com</x:v>
      </x:c>
      <x:c r="E851" t="str">
        <x:f>"Option 1"</x:f>
        <x:v>Option 1</x:v>
      </x:c>
      <x:c r="F851" s="14" t="n">
        <x:f>'Employee Attendance'!E285</x:f>
        <x:v>0</x:v>
      </x:c>
      <x:c r="G851" t="n">
        <x:f>F851*86400</x:f>
        <x:v>0</x:v>
      </x:c>
      <x:c r="H851" t="str">
        <x:f>'Employee Attendance'!F285</x:f>
        <x:v>Did not attend</x:v>
      </x:c>
      <x:c r="I851" t="str">
        <x:f>'Employee Attendance'!K285</x:f>
        <x:v>No</x:v>
      </x:c>
    </x:row>
    <x:row r="852">
      <x:c r="A852" t="str">
        <x:f>'Employee Attendance'!A285</x:f>
        <x:v>Michael Mwendwa</x:v>
      </x:c>
      <x:c r="B852" t="str">
        <x:f>'Employee Attendance'!B285</x:f>
        <x:v>Kenya</x:v>
      </x:c>
      <x:c r="C852" t="str">
        <x:f>'Employee Attendance'!C285</x:f>
        <x:v>KE</x:v>
      </x:c>
      <x:c r="D852" t="str">
        <x:f>'Employee Attendance'!D285</x:f>
        <x:v>michael.mwendwa@pwc.com</x:v>
      </x:c>
      <x:c r="E852" t="str">
        <x:f>"Option 2"</x:f>
        <x:v>Option 2</x:v>
      </x:c>
      <x:c r="F852" s="14" t="n">
        <x:f>'Employee Attendance'!G285</x:f>
        <x:v>0.029247685185185186</x:v>
      </x:c>
      <x:c r="G852" t="n">
        <x:f>F852*86400</x:f>
        <x:v>2527</x:v>
      </x:c>
      <x:c r="H852" t="str">
        <x:f>'Employee Attendance'!H285</x:f>
        <x:v>Partially attended</x:v>
      </x:c>
      <x:c r="I852" t="str">
        <x:f>'Employee Attendance'!L285</x:f>
        <x:v>Yes</x:v>
      </x:c>
    </x:row>
    <x:row r="853">
      <x:c r="A853" t="str">
        <x:f>'Employee Attendance'!A285</x:f>
        <x:v>Michael Mwendwa</x:v>
      </x:c>
      <x:c r="B853" t="str">
        <x:f>'Employee Attendance'!B285</x:f>
        <x:v>Kenya</x:v>
      </x:c>
      <x:c r="C853" t="str">
        <x:f>'Employee Attendance'!C285</x:f>
        <x:v>KE</x:v>
      </x:c>
      <x:c r="D853" t="str">
        <x:f>'Employee Attendance'!D285</x:f>
        <x:v>michael.mwendwa@pwc.com</x:v>
      </x:c>
      <x:c r="E853" t="str">
        <x:f>"Combined"</x:f>
        <x:v>Combined</x:v>
      </x:c>
      <x:c r="F853" s="14" t="n">
        <x:f>'Employee Attendance'!I285</x:f>
        <x:v>0.029247685185185186</x:v>
      </x:c>
      <x:c r="G853" t="n">
        <x:f>F853*86400</x:f>
        <x:v>2527</x:v>
      </x:c>
      <x:c r="H853" t="str">
        <x:f>'Employee Attendance'!J285</x:f>
        <x:v>Partially attended</x:v>
      </x:c>
      <x:c r="I853" t="str">
        <x:f>IF(OR('Employee Attendance'!K285="Yes",'Employee Attendance'!L285="Yes"),"Yes","No")</x:f>
        <x:v>Yes</x:v>
      </x:c>
    </x:row>
    <x:row r="854">
      <x:c r="A854" t="str">
        <x:f>'Employee Attendance'!A286</x:f>
        <x:v>Michael Ngugi</x:v>
      </x:c>
      <x:c r="B854" t="str">
        <x:f>'Employee Attendance'!B286</x:f>
        <x:v>Kenya</x:v>
      </x:c>
      <x:c r="C854" t="str">
        <x:f>'Employee Attendance'!C286</x:f>
        <x:v>KE</x:v>
      </x:c>
      <x:c r="D854" t="str">
        <x:f>'Employee Attendance'!D286</x:f>
        <x:v>michael.ngugi@pwc.com</x:v>
      </x:c>
      <x:c r="E854" t="str">
        <x:f>"Option 1"</x:f>
        <x:v>Option 1</x:v>
      </x:c>
      <x:c r="F854" s="14" t="n">
        <x:f>'Employee Attendance'!E286</x:f>
        <x:v>0</x:v>
      </x:c>
      <x:c r="G854" t="n">
        <x:f>F854*86400</x:f>
        <x:v>0</x:v>
      </x:c>
      <x:c r="H854" t="str">
        <x:f>'Employee Attendance'!F286</x:f>
        <x:v>Did not attend</x:v>
      </x:c>
      <x:c r="I854" t="str">
        <x:f>'Employee Attendance'!K286</x:f>
        <x:v>No</x:v>
      </x:c>
    </x:row>
    <x:row r="855">
      <x:c r="A855" t="str">
        <x:f>'Employee Attendance'!A286</x:f>
        <x:v>Michael Ngugi</x:v>
      </x:c>
      <x:c r="B855" t="str">
        <x:f>'Employee Attendance'!B286</x:f>
        <x:v>Kenya</x:v>
      </x:c>
      <x:c r="C855" t="str">
        <x:f>'Employee Attendance'!C286</x:f>
        <x:v>KE</x:v>
      </x:c>
      <x:c r="D855" t="str">
        <x:f>'Employee Attendance'!D286</x:f>
        <x:v>michael.ngugi@pwc.com</x:v>
      </x:c>
      <x:c r="E855" t="str">
        <x:f>"Option 2"</x:f>
        <x:v>Option 2</x:v>
      </x:c>
      <x:c r="F855" s="14" t="n">
        <x:f>'Employee Attendance'!G286</x:f>
        <x:v>0.06627314814814815</x:v>
      </x:c>
      <x:c r="G855" t="n">
        <x:f>F855*86400</x:f>
        <x:v>5726</x:v>
      </x:c>
      <x:c r="H855" t="str">
        <x:f>'Employee Attendance'!H286</x:f>
        <x:v>Fully attended</x:v>
      </x:c>
      <x:c r="I855" t="str">
        <x:f>'Employee Attendance'!L286</x:f>
        <x:v>Yes</x:v>
      </x:c>
    </x:row>
    <x:row r="856">
      <x:c r="A856" t="str">
        <x:f>'Employee Attendance'!A286</x:f>
        <x:v>Michael Ngugi</x:v>
      </x:c>
      <x:c r="B856" t="str">
        <x:f>'Employee Attendance'!B286</x:f>
        <x:v>Kenya</x:v>
      </x:c>
      <x:c r="C856" t="str">
        <x:f>'Employee Attendance'!C286</x:f>
        <x:v>KE</x:v>
      </x:c>
      <x:c r="D856" t="str">
        <x:f>'Employee Attendance'!D286</x:f>
        <x:v>michael.ngugi@pwc.com</x:v>
      </x:c>
      <x:c r="E856" t="str">
        <x:f>"Combined"</x:f>
        <x:v>Combined</x:v>
      </x:c>
      <x:c r="F856" s="14" t="n">
        <x:f>'Employee Attendance'!I286</x:f>
        <x:v>0.06627314814814815</x:v>
      </x:c>
      <x:c r="G856" t="n">
        <x:f>F856*86400</x:f>
        <x:v>5726</x:v>
      </x:c>
      <x:c r="H856" t="str">
        <x:f>'Employee Attendance'!J286</x:f>
        <x:v>Fully attended</x:v>
      </x:c>
      <x:c r="I856" t="str">
        <x:f>IF(OR('Employee Attendance'!K286="Yes",'Employee Attendance'!L286="Yes"),"Yes","No")</x:f>
        <x:v>Yes</x:v>
      </x:c>
    </x:row>
    <x:row r="857">
      <x:c r="A857" t="str">
        <x:f>'Employee Attendance'!A287</x:f>
        <x:v>Michael Mugasa</x:v>
      </x:c>
      <x:c r="B857" t="str">
        <x:f>'Employee Attendance'!B287</x:f>
        <x:v>Kenya</x:v>
      </x:c>
      <x:c r="C857" t="str">
        <x:f>'Employee Attendance'!C287</x:f>
        <x:v>KE</x:v>
      </x:c>
      <x:c r="D857" t="str">
        <x:f>'Employee Attendance'!D287</x:f>
        <x:v>michael.mugasa@pwc.com</x:v>
      </x:c>
      <x:c r="E857" t="str">
        <x:f>"Option 1"</x:f>
        <x:v>Option 1</x:v>
      </x:c>
      <x:c r="F857" s="14" t="n">
        <x:f>'Employee Attendance'!E287</x:f>
        <x:v>0.08489583333333334</x:v>
      </x:c>
      <x:c r="G857" t="n">
        <x:f>F857*86400</x:f>
        <x:v>7335</x:v>
      </x:c>
      <x:c r="H857" t="str">
        <x:f>'Employee Attendance'!F287</x:f>
        <x:v>Fully attended</x:v>
      </x:c>
      <x:c r="I857" t="str">
        <x:f>'Employee Attendance'!K287</x:f>
        <x:v>Yes</x:v>
      </x:c>
    </x:row>
    <x:row r="858">
      <x:c r="A858" t="str">
        <x:f>'Employee Attendance'!A287</x:f>
        <x:v>Michael Mugasa</x:v>
      </x:c>
      <x:c r="B858" t="str">
        <x:f>'Employee Attendance'!B287</x:f>
        <x:v>Kenya</x:v>
      </x:c>
      <x:c r="C858" t="str">
        <x:f>'Employee Attendance'!C287</x:f>
        <x:v>KE</x:v>
      </x:c>
      <x:c r="D858" t="str">
        <x:f>'Employee Attendance'!D287</x:f>
        <x:v>michael.mugasa@pwc.com</x:v>
      </x:c>
      <x:c r="E858" t="str">
        <x:f>"Option 2"</x:f>
        <x:v>Option 2</x:v>
      </x:c>
      <x:c r="F858" s="14" t="n">
        <x:f>'Employee Attendance'!G287</x:f>
        <x:v>0.09909722222222223</x:v>
      </x:c>
      <x:c r="G858" t="n">
        <x:f>F858*86400</x:f>
        <x:v>8562</x:v>
      </x:c>
      <x:c r="H858" t="str">
        <x:f>'Employee Attendance'!H287</x:f>
        <x:v>Fully attended</x:v>
      </x:c>
      <x:c r="I858" t="str">
        <x:f>'Employee Attendance'!L287</x:f>
        <x:v>Yes</x:v>
      </x:c>
    </x:row>
    <x:row r="859">
      <x:c r="A859" t="str">
        <x:f>'Employee Attendance'!A287</x:f>
        <x:v>Michael Mugasa</x:v>
      </x:c>
      <x:c r="B859" t="str">
        <x:f>'Employee Attendance'!B287</x:f>
        <x:v>Kenya</x:v>
      </x:c>
      <x:c r="C859" t="str">
        <x:f>'Employee Attendance'!C287</x:f>
        <x:v>KE</x:v>
      </x:c>
      <x:c r="D859" t="str">
        <x:f>'Employee Attendance'!D287</x:f>
        <x:v>michael.mugasa@pwc.com</x:v>
      </x:c>
      <x:c r="E859" t="str">
        <x:f>"Combined"</x:f>
        <x:v>Combined</x:v>
      </x:c>
      <x:c r="F859" s="14" t="n">
        <x:f>'Employee Attendance'!I287</x:f>
        <x:v>0.18399305555555556</x:v>
      </x:c>
      <x:c r="G859" t="n">
        <x:f>F859*86400</x:f>
        <x:v>15897</x:v>
      </x:c>
      <x:c r="H859" t="str">
        <x:f>'Employee Attendance'!J287</x:f>
        <x:v>Fully attended</x:v>
      </x:c>
      <x:c r="I859" t="str">
        <x:f>IF(OR('Employee Attendance'!K287="Yes",'Employee Attendance'!L287="Yes"),"Yes","No")</x:f>
        <x:v>Yes</x:v>
      </x:c>
    </x:row>
    <x:row r="860">
      <x:c r="A860" t="str">
        <x:f>'Employee Attendance'!A288</x:f>
        <x:v>Micheal Murungi</x:v>
      </x:c>
      <x:c r="B860" t="str">
        <x:f>'Employee Attendance'!B288</x:f>
        <x:v>Uganda</x:v>
      </x:c>
      <x:c r="C860" t="str">
        <x:f>'Employee Attendance'!C288</x:f>
        <x:v>UG</x:v>
      </x:c>
      <x:c r="D860" t="str">
        <x:f>'Employee Attendance'!D288</x:f>
        <x:v>micheal.murungi@pwc.com</x:v>
      </x:c>
      <x:c r="E860" t="str">
        <x:f>"Option 1"</x:f>
        <x:v>Option 1</x:v>
      </x:c>
      <x:c r="F860" s="14" t="n">
        <x:f>'Employee Attendance'!E288</x:f>
        <x:v>0</x:v>
      </x:c>
      <x:c r="G860" t="n">
        <x:f>F860*86400</x:f>
        <x:v>0</x:v>
      </x:c>
      <x:c r="H860" t="str">
        <x:f>'Employee Attendance'!F288</x:f>
        <x:v>Did not attend</x:v>
      </x:c>
      <x:c r="I860" t="str">
        <x:f>'Employee Attendance'!K288</x:f>
        <x:v>No</x:v>
      </x:c>
    </x:row>
    <x:row r="861">
      <x:c r="A861" t="str">
        <x:f>'Employee Attendance'!A288</x:f>
        <x:v>Micheal Murungi</x:v>
      </x:c>
      <x:c r="B861" t="str">
        <x:f>'Employee Attendance'!B288</x:f>
        <x:v>Uganda</x:v>
      </x:c>
      <x:c r="C861" t="str">
        <x:f>'Employee Attendance'!C288</x:f>
        <x:v>UG</x:v>
      </x:c>
      <x:c r="D861" t="str">
        <x:f>'Employee Attendance'!D288</x:f>
        <x:v>micheal.murungi@pwc.com</x:v>
      </x:c>
      <x:c r="E861" t="str">
        <x:f>"Option 2"</x:f>
        <x:v>Option 2</x:v>
      </x:c>
      <x:c r="F861" s="14" t="n">
        <x:f>'Employee Attendance'!G288</x:f>
        <x:v>0.0039004629629629628</x:v>
      </x:c>
      <x:c r="G861" t="n">
        <x:f>F861*86400</x:f>
        <x:v>337</x:v>
      </x:c>
      <x:c r="H861" t="str">
        <x:f>'Employee Attendance'!H288</x:f>
        <x:v>Partially attended</x:v>
      </x:c>
      <x:c r="I861" t="str">
        <x:f>'Employee Attendance'!L288</x:f>
        <x:v>Yes</x:v>
      </x:c>
    </x:row>
    <x:row r="862">
      <x:c r="A862" t="str">
        <x:f>'Employee Attendance'!A288</x:f>
        <x:v>Micheal Murungi</x:v>
      </x:c>
      <x:c r="B862" t="str">
        <x:f>'Employee Attendance'!B288</x:f>
        <x:v>Uganda</x:v>
      </x:c>
      <x:c r="C862" t="str">
        <x:f>'Employee Attendance'!C288</x:f>
        <x:v>UG</x:v>
      </x:c>
      <x:c r="D862" t="str">
        <x:f>'Employee Attendance'!D288</x:f>
        <x:v>micheal.murungi@pwc.com</x:v>
      </x:c>
      <x:c r="E862" t="str">
        <x:f>"Combined"</x:f>
        <x:v>Combined</x:v>
      </x:c>
      <x:c r="F862" s="14" t="n">
        <x:f>'Employee Attendance'!I288</x:f>
        <x:v>0.0039004629629629628</x:v>
      </x:c>
      <x:c r="G862" t="n">
        <x:f>F862*86400</x:f>
        <x:v>337</x:v>
      </x:c>
      <x:c r="H862" t="str">
        <x:f>'Employee Attendance'!J288</x:f>
        <x:v>Partially attended</x:v>
      </x:c>
      <x:c r="I862" t="str">
        <x:f>IF(OR('Employee Attendance'!K288="Yes",'Employee Attendance'!L288="Yes"),"Yes","No")</x:f>
        <x:v>Yes</x:v>
      </x:c>
    </x:row>
    <x:row r="863">
      <x:c r="A863" t="str">
        <x:f>'Employee Attendance'!A289</x:f>
        <x:v>Milbert Kakyama</x:v>
      </x:c>
      <x:c r="B863" t="str">
        <x:f>'Employee Attendance'!B289</x:f>
        <x:v>Uganda</x:v>
      </x:c>
      <x:c r="C863" t="str">
        <x:f>'Employee Attendance'!C289</x:f>
        <x:v>UG</x:v>
      </x:c>
      <x:c r="D863" t="str">
        <x:f>'Employee Attendance'!D289</x:f>
        <x:v>milbert.kakyama@pwc.com</x:v>
      </x:c>
      <x:c r="E863" t="str">
        <x:f>"Option 1"</x:f>
        <x:v>Option 1</x:v>
      </x:c>
      <x:c r="F863" s="14" t="n">
        <x:f>'Employee Attendance'!E289</x:f>
        <x:v>0.08467592592592593</x:v>
      </x:c>
      <x:c r="G863" t="n">
        <x:f>F863*86400</x:f>
        <x:v>7316.000000000001</x:v>
      </x:c>
      <x:c r="H863" t="str">
        <x:f>'Employee Attendance'!F289</x:f>
        <x:v>Fully attended</x:v>
      </x:c>
      <x:c r="I863" t="str">
        <x:f>'Employee Attendance'!K289</x:f>
        <x:v>Yes</x:v>
      </x:c>
    </x:row>
    <x:row r="864">
      <x:c r="A864" t="str">
        <x:f>'Employee Attendance'!A289</x:f>
        <x:v>Milbert Kakyama</x:v>
      </x:c>
      <x:c r="B864" t="str">
        <x:f>'Employee Attendance'!B289</x:f>
        <x:v>Uganda</x:v>
      </x:c>
      <x:c r="C864" t="str">
        <x:f>'Employee Attendance'!C289</x:f>
        <x:v>UG</x:v>
      </x:c>
      <x:c r="D864" t="str">
        <x:f>'Employee Attendance'!D289</x:f>
        <x:v>milbert.kakyama@pwc.com</x:v>
      </x:c>
      <x:c r="E864" t="str">
        <x:f>"Option 2"</x:f>
        <x:v>Option 2</x:v>
      </x:c>
      <x:c r="F864" s="14" t="n">
        <x:f>'Employee Attendance'!G289</x:f>
        <x:v>0</x:v>
      </x:c>
      <x:c r="G864" t="n">
        <x:f>F864*86400</x:f>
        <x:v>0</x:v>
      </x:c>
      <x:c r="H864" t="str">
        <x:f>'Employee Attendance'!H289</x:f>
        <x:v>Did not attend</x:v>
      </x:c>
      <x:c r="I864" t="str">
        <x:f>'Employee Attendance'!L289</x:f>
        <x:v>No</x:v>
      </x:c>
    </x:row>
    <x:row r="865">
      <x:c r="A865" t="str">
        <x:f>'Employee Attendance'!A289</x:f>
        <x:v>Milbert Kakyama</x:v>
      </x:c>
      <x:c r="B865" t="str">
        <x:f>'Employee Attendance'!B289</x:f>
        <x:v>Uganda</x:v>
      </x:c>
      <x:c r="C865" t="str">
        <x:f>'Employee Attendance'!C289</x:f>
        <x:v>UG</x:v>
      </x:c>
      <x:c r="D865" t="str">
        <x:f>'Employee Attendance'!D289</x:f>
        <x:v>milbert.kakyama@pwc.com</x:v>
      </x:c>
      <x:c r="E865" t="str">
        <x:f>"Combined"</x:f>
        <x:v>Combined</x:v>
      </x:c>
      <x:c r="F865" s="14" t="n">
        <x:f>'Employee Attendance'!I289</x:f>
        <x:v>0.08467592592592593</x:v>
      </x:c>
      <x:c r="G865" t="n">
        <x:f>F865*86400</x:f>
        <x:v>7316.000000000001</x:v>
      </x:c>
      <x:c r="H865" t="str">
        <x:f>'Employee Attendance'!J289</x:f>
        <x:v>Fully attended</x:v>
      </x:c>
      <x:c r="I865" t="str">
        <x:f>IF(OR('Employee Attendance'!K289="Yes",'Employee Attendance'!L289="Yes"),"Yes","No")</x:f>
        <x:v>Yes</x:v>
      </x:c>
    </x:row>
    <x:row r="866">
      <x:c r="A866" t="str">
        <x:f>'Employee Attendance'!A290</x:f>
        <x:v>Mirriam Muatha</x:v>
      </x:c>
      <x:c r="B866" t="str">
        <x:f>'Employee Attendance'!B290</x:f>
        <x:v>Kenya</x:v>
      </x:c>
      <x:c r="C866" t="str">
        <x:f>'Employee Attendance'!C290</x:f>
        <x:v>KE</x:v>
      </x:c>
      <x:c r="D866" t="str">
        <x:f>'Employee Attendance'!D290</x:f>
        <x:v>mirriam.muatha@pwc.com</x:v>
      </x:c>
      <x:c r="E866" t="str">
        <x:f>"Option 1"</x:f>
        <x:v>Option 1</x:v>
      </x:c>
      <x:c r="F866" s="14" t="n">
        <x:f>'Employee Attendance'!E290</x:f>
        <x:v>0</x:v>
      </x:c>
      <x:c r="G866" t="n">
        <x:f>F866*86400</x:f>
        <x:v>0</x:v>
      </x:c>
      <x:c r="H866" t="str">
        <x:f>'Employee Attendance'!F290</x:f>
        <x:v>Did not attend</x:v>
      </x:c>
      <x:c r="I866" t="str">
        <x:f>'Employee Attendance'!K290</x:f>
        <x:v>No</x:v>
      </x:c>
    </x:row>
    <x:row r="867">
      <x:c r="A867" t="str">
        <x:f>'Employee Attendance'!A290</x:f>
        <x:v>Mirriam Muatha</x:v>
      </x:c>
      <x:c r="B867" t="str">
        <x:f>'Employee Attendance'!B290</x:f>
        <x:v>Kenya</x:v>
      </x:c>
      <x:c r="C867" t="str">
        <x:f>'Employee Attendance'!C290</x:f>
        <x:v>KE</x:v>
      </x:c>
      <x:c r="D867" t="str">
        <x:f>'Employee Attendance'!D290</x:f>
        <x:v>mirriam.muatha@pwc.com</x:v>
      </x:c>
      <x:c r="E867" t="str">
        <x:f>"Option 2"</x:f>
        <x:v>Option 2</x:v>
      </x:c>
      <x:c r="F867" s="14" t="n">
        <x:f>'Employee Attendance'!G290</x:f>
        <x:v>0.08917824074074074</x:v>
      </x:c>
      <x:c r="G867" t="n">
        <x:f>F867*86400</x:f>
        <x:v>7705</x:v>
      </x:c>
      <x:c r="H867" t="str">
        <x:f>'Employee Attendance'!H290</x:f>
        <x:v>Fully attended</x:v>
      </x:c>
      <x:c r="I867" t="str">
        <x:f>'Employee Attendance'!L290</x:f>
        <x:v>Yes</x:v>
      </x:c>
    </x:row>
    <x:row r="868">
      <x:c r="A868" t="str">
        <x:f>'Employee Attendance'!A290</x:f>
        <x:v>Mirriam Muatha</x:v>
      </x:c>
      <x:c r="B868" t="str">
        <x:f>'Employee Attendance'!B290</x:f>
        <x:v>Kenya</x:v>
      </x:c>
      <x:c r="C868" t="str">
        <x:f>'Employee Attendance'!C290</x:f>
        <x:v>KE</x:v>
      </x:c>
      <x:c r="D868" t="str">
        <x:f>'Employee Attendance'!D290</x:f>
        <x:v>mirriam.muatha@pwc.com</x:v>
      </x:c>
      <x:c r="E868" t="str">
        <x:f>"Combined"</x:f>
        <x:v>Combined</x:v>
      </x:c>
      <x:c r="F868" s="14" t="n">
        <x:f>'Employee Attendance'!I290</x:f>
        <x:v>0.08917824074074074</x:v>
      </x:c>
      <x:c r="G868" t="n">
        <x:f>F868*86400</x:f>
        <x:v>7705</x:v>
      </x:c>
      <x:c r="H868" t="str">
        <x:f>'Employee Attendance'!J290</x:f>
        <x:v>Fully attended</x:v>
      </x:c>
      <x:c r="I868" t="str">
        <x:f>IF(OR('Employee Attendance'!K290="Yes",'Employee Attendance'!L290="Yes"),"Yes","No")</x:f>
        <x:v>Yes</x:v>
      </x:c>
    </x:row>
    <x:row r="869">
      <x:c r="A869" t="str">
        <x:f>'Employee Attendance'!A291</x:f>
        <x:v>Moddie Mwewa</x:v>
      </x:c>
      <x:c r="B869" t="str">
        <x:f>'Employee Attendance'!B291</x:f>
        <x:v>Zambia</x:v>
      </x:c>
      <x:c r="C869" t="str">
        <x:f>'Employee Attendance'!C291</x:f>
        <x:v>ZM</x:v>
      </x:c>
      <x:c r="D869" t="str">
        <x:f>'Employee Attendance'!D291</x:f>
        <x:v>moddie.mwewa@pwc.com</x:v>
      </x:c>
      <x:c r="E869" t="str">
        <x:f>"Option 1"</x:f>
        <x:v>Option 1</x:v>
      </x:c>
      <x:c r="F869" s="14" t="n">
        <x:f>'Employee Attendance'!E291</x:f>
        <x:v>0.07517361111111111</x:v>
      </x:c>
      <x:c r="G869" t="n">
        <x:f>F869*86400</x:f>
        <x:v>6495</x:v>
      </x:c>
      <x:c r="H869" t="str">
        <x:f>'Employee Attendance'!F291</x:f>
        <x:v>Fully attended</x:v>
      </x:c>
      <x:c r="I869" t="str">
        <x:f>'Employee Attendance'!K291</x:f>
        <x:v>Yes</x:v>
      </x:c>
    </x:row>
    <x:row r="870">
      <x:c r="A870" t="str">
        <x:f>'Employee Attendance'!A291</x:f>
        <x:v>Moddie Mwewa</x:v>
      </x:c>
      <x:c r="B870" t="str">
        <x:f>'Employee Attendance'!B291</x:f>
        <x:v>Zambia</x:v>
      </x:c>
      <x:c r="C870" t="str">
        <x:f>'Employee Attendance'!C291</x:f>
        <x:v>ZM</x:v>
      </x:c>
      <x:c r="D870" t="str">
        <x:f>'Employee Attendance'!D291</x:f>
        <x:v>moddie.mwewa@pwc.com</x:v>
      </x:c>
      <x:c r="E870" t="str">
        <x:f>"Option 2"</x:f>
        <x:v>Option 2</x:v>
      </x:c>
      <x:c r="F870" s="14" t="n">
        <x:f>'Employee Attendance'!G291</x:f>
        <x:v>0</x:v>
      </x:c>
      <x:c r="G870" t="n">
        <x:f>F870*86400</x:f>
        <x:v>0</x:v>
      </x:c>
      <x:c r="H870" t="str">
        <x:f>'Employee Attendance'!H291</x:f>
        <x:v>Did not attend</x:v>
      </x:c>
      <x:c r="I870" t="str">
        <x:f>'Employee Attendance'!L291</x:f>
        <x:v>No</x:v>
      </x:c>
    </x:row>
    <x:row r="871">
      <x:c r="A871" t="str">
        <x:f>'Employee Attendance'!A291</x:f>
        <x:v>Moddie Mwewa</x:v>
      </x:c>
      <x:c r="B871" t="str">
        <x:f>'Employee Attendance'!B291</x:f>
        <x:v>Zambia</x:v>
      </x:c>
      <x:c r="C871" t="str">
        <x:f>'Employee Attendance'!C291</x:f>
        <x:v>ZM</x:v>
      </x:c>
      <x:c r="D871" t="str">
        <x:f>'Employee Attendance'!D291</x:f>
        <x:v>moddie.mwewa@pwc.com</x:v>
      </x:c>
      <x:c r="E871" t="str">
        <x:f>"Combined"</x:f>
        <x:v>Combined</x:v>
      </x:c>
      <x:c r="F871" s="14" t="n">
        <x:f>'Employee Attendance'!I291</x:f>
        <x:v>0.07517361111111111</x:v>
      </x:c>
      <x:c r="G871" t="n">
        <x:f>F871*86400</x:f>
        <x:v>6495</x:v>
      </x:c>
      <x:c r="H871" t="str">
        <x:f>'Employee Attendance'!J291</x:f>
        <x:v>Fully attended</x:v>
      </x:c>
      <x:c r="I871" t="str">
        <x:f>IF(OR('Employee Attendance'!K291="Yes",'Employee Attendance'!L291="Yes"),"Yes","No")</x:f>
        <x:v>Yes</x:v>
      </x:c>
    </x:row>
    <x:row r="872">
      <x:c r="A872" t="str">
        <x:f>'Employee Attendance'!A292</x:f>
        <x:v>Mohamed Zuberi</x:v>
      </x:c>
      <x:c r="B872" t="str">
        <x:f>'Employee Attendance'!B292</x:f>
        <x:v>Tanzania</x:v>
      </x:c>
      <x:c r="C872" t="str">
        <x:f>'Employee Attendance'!C292</x:f>
        <x:v>TZ</x:v>
      </x:c>
      <x:c r="D872" t="str">
        <x:f>'Employee Attendance'!D292</x:f>
        <x:v>mohamed.zuberi@pwc.com</x:v>
      </x:c>
      <x:c r="E872" t="str">
        <x:f>"Option 1"</x:f>
        <x:v>Option 1</x:v>
      </x:c>
      <x:c r="F872" s="14" t="n">
        <x:f>'Employee Attendance'!E292</x:f>
        <x:v>0.07947916666666667</x:v>
      </x:c>
      <x:c r="G872" t="n">
        <x:f>F872*86400</x:f>
        <x:v>6867</x:v>
      </x:c>
      <x:c r="H872" t="str">
        <x:f>'Employee Attendance'!F292</x:f>
        <x:v>Fully attended</x:v>
      </x:c>
      <x:c r="I872" t="str">
        <x:f>'Employee Attendance'!K292</x:f>
        <x:v>Yes</x:v>
      </x:c>
    </x:row>
    <x:row r="873">
      <x:c r="A873" t="str">
        <x:f>'Employee Attendance'!A292</x:f>
        <x:v>Mohamed Zuberi</x:v>
      </x:c>
      <x:c r="B873" t="str">
        <x:f>'Employee Attendance'!B292</x:f>
        <x:v>Tanzania</x:v>
      </x:c>
      <x:c r="C873" t="str">
        <x:f>'Employee Attendance'!C292</x:f>
        <x:v>TZ</x:v>
      </x:c>
      <x:c r="D873" t="str">
        <x:f>'Employee Attendance'!D292</x:f>
        <x:v>mohamed.zuberi@pwc.com</x:v>
      </x:c>
      <x:c r="E873" t="str">
        <x:f>"Option 2"</x:f>
        <x:v>Option 2</x:v>
      </x:c>
      <x:c r="F873" s="14" t="n">
        <x:f>'Employee Attendance'!G292</x:f>
        <x:v>0</x:v>
      </x:c>
      <x:c r="G873" t="n">
        <x:f>F873*86400</x:f>
        <x:v>0</x:v>
      </x:c>
      <x:c r="H873" t="str">
        <x:f>'Employee Attendance'!H292</x:f>
        <x:v>Did not attend</x:v>
      </x:c>
      <x:c r="I873" t="str">
        <x:f>'Employee Attendance'!L292</x:f>
        <x:v>No</x:v>
      </x:c>
    </x:row>
    <x:row r="874">
      <x:c r="A874" t="str">
        <x:f>'Employee Attendance'!A292</x:f>
        <x:v>Mohamed Zuberi</x:v>
      </x:c>
      <x:c r="B874" t="str">
        <x:f>'Employee Attendance'!B292</x:f>
        <x:v>Tanzania</x:v>
      </x:c>
      <x:c r="C874" t="str">
        <x:f>'Employee Attendance'!C292</x:f>
        <x:v>TZ</x:v>
      </x:c>
      <x:c r="D874" t="str">
        <x:f>'Employee Attendance'!D292</x:f>
        <x:v>mohamed.zuberi@pwc.com</x:v>
      </x:c>
      <x:c r="E874" t="str">
        <x:f>"Combined"</x:f>
        <x:v>Combined</x:v>
      </x:c>
      <x:c r="F874" s="14" t="n">
        <x:f>'Employee Attendance'!I292</x:f>
        <x:v>0.07947916666666667</x:v>
      </x:c>
      <x:c r="G874" t="n">
        <x:f>F874*86400</x:f>
        <x:v>6867</x:v>
      </x:c>
      <x:c r="H874" t="str">
        <x:f>'Employee Attendance'!J292</x:f>
        <x:v>Fully attended</x:v>
      </x:c>
      <x:c r="I874" t="str">
        <x:f>IF(OR('Employee Attendance'!K292="Yes",'Employee Attendance'!L292="Yes"),"Yes","No")</x:f>
        <x:v>Yes</x:v>
      </x:c>
    </x:row>
    <x:row r="875">
      <x:c r="A875" t="str">
        <x:f>'Employee Attendance'!A293</x:f>
        <x:v>Moheenee Harah</x:v>
      </x:c>
      <x:c r="B875" t="str">
        <x:f>'Employee Attendance'!B293</x:f>
        <x:v>Mauritius</x:v>
      </x:c>
      <x:c r="C875" t="str">
        <x:f>'Employee Attendance'!C293</x:f>
        <x:v>MU</x:v>
      </x:c>
      <x:c r="D875" t="str">
        <x:f>'Employee Attendance'!D293</x:f>
        <x:v>moheenee.harah@pwc.com</x:v>
      </x:c>
      <x:c r="E875" t="str">
        <x:f>"Option 1"</x:f>
        <x:v>Option 1</x:v>
      </x:c>
      <x:c r="F875" s="14" t="n">
        <x:f>'Employee Attendance'!E293</x:f>
        <x:v>0</x:v>
      </x:c>
      <x:c r="G875" t="n">
        <x:f>F875*86400</x:f>
        <x:v>0</x:v>
      </x:c>
      <x:c r="H875" t="str">
        <x:f>'Employee Attendance'!F293</x:f>
        <x:v>Did not attend</x:v>
      </x:c>
      <x:c r="I875" t="str">
        <x:f>'Employee Attendance'!K293</x:f>
        <x:v>No</x:v>
      </x:c>
    </x:row>
    <x:row r="876">
      <x:c r="A876" t="str">
        <x:f>'Employee Attendance'!A293</x:f>
        <x:v>Moheenee Harah</x:v>
      </x:c>
      <x:c r="B876" t="str">
        <x:f>'Employee Attendance'!B293</x:f>
        <x:v>Mauritius</x:v>
      </x:c>
      <x:c r="C876" t="str">
        <x:f>'Employee Attendance'!C293</x:f>
        <x:v>MU</x:v>
      </x:c>
      <x:c r="D876" t="str">
        <x:f>'Employee Attendance'!D293</x:f>
        <x:v>moheenee.harah@pwc.com</x:v>
      </x:c>
      <x:c r="E876" t="str">
        <x:f>"Option 2"</x:f>
        <x:v>Option 2</x:v>
      </x:c>
      <x:c r="F876" s="14" t="n">
        <x:f>'Employee Attendance'!G293</x:f>
        <x:v>0.08859953703703703</x:v>
      </x:c>
      <x:c r="G876" t="n">
        <x:f>F876*86400</x:f>
        <x:v>7655</x:v>
      </x:c>
      <x:c r="H876" t="str">
        <x:f>'Employee Attendance'!H293</x:f>
        <x:v>Fully attended</x:v>
      </x:c>
      <x:c r="I876" t="str">
        <x:f>'Employee Attendance'!L293</x:f>
        <x:v>Yes</x:v>
      </x:c>
    </x:row>
    <x:row r="877">
      <x:c r="A877" t="str">
        <x:f>'Employee Attendance'!A293</x:f>
        <x:v>Moheenee Harah</x:v>
      </x:c>
      <x:c r="B877" t="str">
        <x:f>'Employee Attendance'!B293</x:f>
        <x:v>Mauritius</x:v>
      </x:c>
      <x:c r="C877" t="str">
        <x:f>'Employee Attendance'!C293</x:f>
        <x:v>MU</x:v>
      </x:c>
      <x:c r="D877" t="str">
        <x:f>'Employee Attendance'!D293</x:f>
        <x:v>moheenee.harah@pwc.com</x:v>
      </x:c>
      <x:c r="E877" t="str">
        <x:f>"Combined"</x:f>
        <x:v>Combined</x:v>
      </x:c>
      <x:c r="F877" s="14" t="n">
        <x:f>'Employee Attendance'!I293</x:f>
        <x:v>0.08859953703703703</x:v>
      </x:c>
      <x:c r="G877" t="n">
        <x:f>F877*86400</x:f>
        <x:v>7655</x:v>
      </x:c>
      <x:c r="H877" t="str">
        <x:f>'Employee Attendance'!J293</x:f>
        <x:v>Fully attended</x:v>
      </x:c>
      <x:c r="I877" t="str">
        <x:f>IF(OR('Employee Attendance'!K293="Yes",'Employee Attendance'!L293="Yes"),"Yes","No")</x:f>
        <x:v>Yes</x:v>
      </x:c>
    </x:row>
    <x:row r="878">
      <x:c r="A878" t="str">
        <x:f>'Employee Attendance'!A294</x:f>
        <x:v>Moses Njoroge</x:v>
      </x:c>
      <x:c r="B878" t="str">
        <x:f>'Employee Attendance'!B294</x:f>
        <x:v>Kenya</x:v>
      </x:c>
      <x:c r="C878" t="str">
        <x:f>'Employee Attendance'!C294</x:f>
        <x:v>KE</x:v>
      </x:c>
      <x:c r="D878" t="str">
        <x:f>'Employee Attendance'!D294</x:f>
        <x:v>moses.njoroge@pwc.com</x:v>
      </x:c>
      <x:c r="E878" t="str">
        <x:f>"Option 1"</x:f>
        <x:v>Option 1</x:v>
      </x:c>
      <x:c r="F878" s="14" t="n">
        <x:f>'Employee Attendance'!E294</x:f>
        <x:v>0.07856481481481481</x:v>
      </x:c>
      <x:c r="G878" t="n">
        <x:f>F878*86400</x:f>
        <x:v>6788</x:v>
      </x:c>
      <x:c r="H878" t="str">
        <x:f>'Employee Attendance'!F294</x:f>
        <x:v>Fully attended</x:v>
      </x:c>
      <x:c r="I878" t="str">
        <x:f>'Employee Attendance'!K294</x:f>
        <x:v>Yes</x:v>
      </x:c>
    </x:row>
    <x:row r="879">
      <x:c r="A879" t="str">
        <x:f>'Employee Attendance'!A294</x:f>
        <x:v>Moses Njoroge</x:v>
      </x:c>
      <x:c r="B879" t="str">
        <x:f>'Employee Attendance'!B294</x:f>
        <x:v>Kenya</x:v>
      </x:c>
      <x:c r="C879" t="str">
        <x:f>'Employee Attendance'!C294</x:f>
        <x:v>KE</x:v>
      </x:c>
      <x:c r="D879" t="str">
        <x:f>'Employee Attendance'!D294</x:f>
        <x:v>moses.njoroge@pwc.com</x:v>
      </x:c>
      <x:c r="E879" t="str">
        <x:f>"Option 2"</x:f>
        <x:v>Option 2</x:v>
      </x:c>
      <x:c r="F879" s="14" t="n">
        <x:f>'Employee Attendance'!G294</x:f>
        <x:v>0</x:v>
      </x:c>
      <x:c r="G879" t="n">
        <x:f>F879*86400</x:f>
        <x:v>0</x:v>
      </x:c>
      <x:c r="H879" t="str">
        <x:f>'Employee Attendance'!H294</x:f>
        <x:v>Did not attend</x:v>
      </x:c>
      <x:c r="I879" t="str">
        <x:f>'Employee Attendance'!L294</x:f>
        <x:v>No</x:v>
      </x:c>
    </x:row>
    <x:row r="880">
      <x:c r="A880" t="str">
        <x:f>'Employee Attendance'!A294</x:f>
        <x:v>Moses Njoroge</x:v>
      </x:c>
      <x:c r="B880" t="str">
        <x:f>'Employee Attendance'!B294</x:f>
        <x:v>Kenya</x:v>
      </x:c>
      <x:c r="C880" t="str">
        <x:f>'Employee Attendance'!C294</x:f>
        <x:v>KE</x:v>
      </x:c>
      <x:c r="D880" t="str">
        <x:f>'Employee Attendance'!D294</x:f>
        <x:v>moses.njoroge@pwc.com</x:v>
      </x:c>
      <x:c r="E880" t="str">
        <x:f>"Combined"</x:f>
        <x:v>Combined</x:v>
      </x:c>
      <x:c r="F880" s="14" t="n">
        <x:f>'Employee Attendance'!I294</x:f>
        <x:v>0.07856481481481481</x:v>
      </x:c>
      <x:c r="G880" t="n">
        <x:f>F880*86400</x:f>
        <x:v>6788</x:v>
      </x:c>
      <x:c r="H880" t="str">
        <x:f>'Employee Attendance'!J294</x:f>
        <x:v>Fully attended</x:v>
      </x:c>
      <x:c r="I880" t="str">
        <x:f>IF(OR('Employee Attendance'!K294="Yes",'Employee Attendance'!L294="Yes"),"Yes","No")</x:f>
        <x:v>Yes</x:v>
      </x:c>
    </x:row>
    <x:row r="881">
      <x:c r="A881" t="str">
        <x:f>'Employee Attendance'!A295</x:f>
        <x:v>Mulenga Chileshe</x:v>
      </x:c>
      <x:c r="B881" t="str">
        <x:f>'Employee Attendance'!B295</x:f>
        <x:v>Zambia</x:v>
      </x:c>
      <x:c r="C881" t="str">
        <x:f>'Employee Attendance'!C295</x:f>
        <x:v>ZM</x:v>
      </x:c>
      <x:c r="D881" t="str">
        <x:f>'Employee Attendance'!D295</x:f>
        <x:v>mulenga.chileshe@pwc.com</x:v>
      </x:c>
      <x:c r="E881" t="str">
        <x:f>"Option 1"</x:f>
        <x:v>Option 1</x:v>
      </x:c>
      <x:c r="F881" s="14" t="n">
        <x:f>'Employee Attendance'!E295</x:f>
        <x:v>0</x:v>
      </x:c>
      <x:c r="G881" t="n">
        <x:f>F881*86400</x:f>
        <x:v>0</x:v>
      </x:c>
      <x:c r="H881" t="str">
        <x:f>'Employee Attendance'!F295</x:f>
        <x:v>Did not attend</x:v>
      </x:c>
      <x:c r="I881" t="str">
        <x:f>'Employee Attendance'!K295</x:f>
        <x:v>No</x:v>
      </x:c>
    </x:row>
    <x:row r="882">
      <x:c r="A882" t="str">
        <x:f>'Employee Attendance'!A295</x:f>
        <x:v>Mulenga Chileshe</x:v>
      </x:c>
      <x:c r="B882" t="str">
        <x:f>'Employee Attendance'!B295</x:f>
        <x:v>Zambia</x:v>
      </x:c>
      <x:c r="C882" t="str">
        <x:f>'Employee Attendance'!C295</x:f>
        <x:v>ZM</x:v>
      </x:c>
      <x:c r="D882" t="str">
        <x:f>'Employee Attendance'!D295</x:f>
        <x:v>mulenga.chileshe@pwc.com</x:v>
      </x:c>
      <x:c r="E882" t="str">
        <x:f>"Option 2"</x:f>
        <x:v>Option 2</x:v>
      </x:c>
      <x:c r="F882" s="14" t="n">
        <x:f>'Employee Attendance'!G295</x:f>
        <x:v>0.020763888888888887</x:v>
      </x:c>
      <x:c r="G882" t="n">
        <x:f>F882*86400</x:f>
        <x:v>1793.9999999999998</x:v>
      </x:c>
      <x:c r="H882" t="str">
        <x:f>'Employee Attendance'!H295</x:f>
        <x:v>Partially attended</x:v>
      </x:c>
      <x:c r="I882" t="str">
        <x:f>'Employee Attendance'!L295</x:f>
        <x:v>Yes</x:v>
      </x:c>
    </x:row>
    <x:row r="883">
      <x:c r="A883" t="str">
        <x:f>'Employee Attendance'!A295</x:f>
        <x:v>Mulenga Chileshe</x:v>
      </x:c>
      <x:c r="B883" t="str">
        <x:f>'Employee Attendance'!B295</x:f>
        <x:v>Zambia</x:v>
      </x:c>
      <x:c r="C883" t="str">
        <x:f>'Employee Attendance'!C295</x:f>
        <x:v>ZM</x:v>
      </x:c>
      <x:c r="D883" t="str">
        <x:f>'Employee Attendance'!D295</x:f>
        <x:v>mulenga.chileshe@pwc.com</x:v>
      </x:c>
      <x:c r="E883" t="str">
        <x:f>"Combined"</x:f>
        <x:v>Combined</x:v>
      </x:c>
      <x:c r="F883" s="14" t="n">
        <x:f>'Employee Attendance'!I295</x:f>
        <x:v>0.020763888888888887</x:v>
      </x:c>
      <x:c r="G883" t="n">
        <x:f>F883*86400</x:f>
        <x:v>1793.9999999999998</x:v>
      </x:c>
      <x:c r="H883" t="str">
        <x:f>'Employee Attendance'!J295</x:f>
        <x:v>Partially attended</x:v>
      </x:c>
      <x:c r="I883" t="str">
        <x:f>IF(OR('Employee Attendance'!K295="Yes",'Employee Attendance'!L295="Yes"),"Yes","No")</x:f>
        <x:v>Yes</x:v>
      </x:c>
    </x:row>
    <x:row r="884">
      <x:c r="A884" t="str">
        <x:f>'Employee Attendance'!A296</x:f>
        <x:v>Mulenga Chiti</x:v>
      </x:c>
      <x:c r="B884" t="str">
        <x:f>'Employee Attendance'!B296</x:f>
        <x:v>Zambia</x:v>
      </x:c>
      <x:c r="C884" t="str">
        <x:f>'Employee Attendance'!C296</x:f>
        <x:v>ZM</x:v>
      </x:c>
      <x:c r="D884" t="str">
        <x:f>'Employee Attendance'!D296</x:f>
        <x:v>mulenga.chiti@pwc.com</x:v>
      </x:c>
      <x:c r="E884" t="str">
        <x:f>"Option 1"</x:f>
        <x:v>Option 1</x:v>
      </x:c>
      <x:c r="F884" s="14" t="n">
        <x:f>'Employee Attendance'!E296</x:f>
        <x:v>0</x:v>
      </x:c>
      <x:c r="G884" t="n">
        <x:f>F884*86400</x:f>
        <x:v>0</x:v>
      </x:c>
      <x:c r="H884" t="str">
        <x:f>'Employee Attendance'!F296</x:f>
        <x:v>Did not attend</x:v>
      </x:c>
      <x:c r="I884" t="str">
        <x:f>'Employee Attendance'!K296</x:f>
        <x:v>No</x:v>
      </x:c>
    </x:row>
    <x:row r="885">
      <x:c r="A885" t="str">
        <x:f>'Employee Attendance'!A296</x:f>
        <x:v>Mulenga Chiti</x:v>
      </x:c>
      <x:c r="B885" t="str">
        <x:f>'Employee Attendance'!B296</x:f>
        <x:v>Zambia</x:v>
      </x:c>
      <x:c r="C885" t="str">
        <x:f>'Employee Attendance'!C296</x:f>
        <x:v>ZM</x:v>
      </x:c>
      <x:c r="D885" t="str">
        <x:f>'Employee Attendance'!D296</x:f>
        <x:v>mulenga.chiti@pwc.com</x:v>
      </x:c>
      <x:c r="E885" t="str">
        <x:f>"Option 2"</x:f>
        <x:v>Option 2</x:v>
      </x:c>
      <x:c r="F885" s="14" t="n">
        <x:f>'Employee Attendance'!G296</x:f>
        <x:v>0.07884259259259259</x:v>
      </x:c>
      <x:c r="G885" t="n">
        <x:f>F885*86400</x:f>
        <x:v>6812</x:v>
      </x:c>
      <x:c r="H885" t="str">
        <x:f>'Employee Attendance'!H296</x:f>
        <x:v>Fully attended</x:v>
      </x:c>
      <x:c r="I885" t="str">
        <x:f>'Employee Attendance'!L296</x:f>
        <x:v>Yes</x:v>
      </x:c>
    </x:row>
    <x:row r="886">
      <x:c r="A886" t="str">
        <x:f>'Employee Attendance'!A296</x:f>
        <x:v>Mulenga Chiti</x:v>
      </x:c>
      <x:c r="B886" t="str">
        <x:f>'Employee Attendance'!B296</x:f>
        <x:v>Zambia</x:v>
      </x:c>
      <x:c r="C886" t="str">
        <x:f>'Employee Attendance'!C296</x:f>
        <x:v>ZM</x:v>
      </x:c>
      <x:c r="D886" t="str">
        <x:f>'Employee Attendance'!D296</x:f>
        <x:v>mulenga.chiti@pwc.com</x:v>
      </x:c>
      <x:c r="E886" t="str">
        <x:f>"Combined"</x:f>
        <x:v>Combined</x:v>
      </x:c>
      <x:c r="F886" s="14" t="n">
        <x:f>'Employee Attendance'!I296</x:f>
        <x:v>0.07884259259259259</x:v>
      </x:c>
      <x:c r="G886" t="n">
        <x:f>F886*86400</x:f>
        <x:v>6812</x:v>
      </x:c>
      <x:c r="H886" t="str">
        <x:f>'Employee Attendance'!J296</x:f>
        <x:v>Fully attended</x:v>
      </x:c>
      <x:c r="I886" t="str">
        <x:f>IF(OR('Employee Attendance'!K296="Yes",'Employee Attendance'!L296="Yes"),"Yes","No")</x:f>
        <x:v>Yes</x:v>
      </x:c>
    </x:row>
    <x:row r="887">
      <x:c r="A887" t="str">
        <x:f>'Employee Attendance'!A297</x:f>
        <x:v>Muzzammil Panchoo</x:v>
      </x:c>
      <x:c r="B887" t="str">
        <x:f>'Employee Attendance'!B297</x:f>
        <x:v>Mauritius</x:v>
      </x:c>
      <x:c r="C887" t="str">
        <x:f>'Employee Attendance'!C297</x:f>
        <x:v>MU</x:v>
      </x:c>
      <x:c r="D887" t="str">
        <x:f>'Employee Attendance'!D297</x:f>
        <x:v>muzzammil.panchoo@pwc.com</x:v>
      </x:c>
      <x:c r="E887" t="str">
        <x:f>"Option 1"</x:f>
        <x:v>Option 1</x:v>
      </x:c>
      <x:c r="F887" s="14" t="n">
        <x:f>'Employee Attendance'!E297</x:f>
        <x:v>0</x:v>
      </x:c>
      <x:c r="G887" t="n">
        <x:f>F887*86400</x:f>
        <x:v>0</x:v>
      </x:c>
      <x:c r="H887" t="str">
        <x:f>'Employee Attendance'!F297</x:f>
        <x:v>Did not attend</x:v>
      </x:c>
      <x:c r="I887" t="str">
        <x:f>'Employee Attendance'!K297</x:f>
        <x:v>No</x:v>
      </x:c>
    </x:row>
    <x:row r="888">
      <x:c r="A888" t="str">
        <x:f>'Employee Attendance'!A297</x:f>
        <x:v>Muzzammil Panchoo</x:v>
      </x:c>
      <x:c r="B888" t="str">
        <x:f>'Employee Attendance'!B297</x:f>
        <x:v>Mauritius</x:v>
      </x:c>
      <x:c r="C888" t="str">
        <x:f>'Employee Attendance'!C297</x:f>
        <x:v>MU</x:v>
      </x:c>
      <x:c r="D888" t="str">
        <x:f>'Employee Attendance'!D297</x:f>
        <x:v>muzzammil.panchoo@pwc.com</x:v>
      </x:c>
      <x:c r="E888" t="str">
        <x:f>"Option 2"</x:f>
        <x:v>Option 2</x:v>
      </x:c>
      <x:c r="F888" s="14" t="n">
        <x:f>'Employee Attendance'!G297</x:f>
        <x:v>0</x:v>
      </x:c>
      <x:c r="G888" t="n">
        <x:f>F888*86400</x:f>
        <x:v>0</x:v>
      </x:c>
      <x:c r="H888" t="str">
        <x:f>'Employee Attendance'!H297</x:f>
        <x:v>Did not attend</x:v>
      </x:c>
      <x:c r="I888" t="str">
        <x:f>'Employee Attendance'!L297</x:f>
        <x:v>No</x:v>
      </x:c>
    </x:row>
    <x:row r="889">
      <x:c r="A889" t="str">
        <x:f>'Employee Attendance'!A297</x:f>
        <x:v>Muzzammil Panchoo</x:v>
      </x:c>
      <x:c r="B889" t="str">
        <x:f>'Employee Attendance'!B297</x:f>
        <x:v>Mauritius</x:v>
      </x:c>
      <x:c r="C889" t="str">
        <x:f>'Employee Attendance'!C297</x:f>
        <x:v>MU</x:v>
      </x:c>
      <x:c r="D889" t="str">
        <x:f>'Employee Attendance'!D297</x:f>
        <x:v>muzzammil.panchoo@pwc.com</x:v>
      </x:c>
      <x:c r="E889" t="str">
        <x:f>"Combined"</x:f>
        <x:v>Combined</x:v>
      </x:c>
      <x:c r="F889" s="14" t="n">
        <x:f>'Employee Attendance'!I297</x:f>
        <x:v>0</x:v>
      </x:c>
      <x:c r="G889" t="n">
        <x:f>F889*86400</x:f>
        <x:v>0</x:v>
      </x:c>
      <x:c r="H889" t="str">
        <x:f>'Employee Attendance'!J297</x:f>
        <x:v>Did not attend</x:v>
      </x:c>
      <x:c r="I889" t="str">
        <x:f>IF(OR('Employee Attendance'!K297="Yes",'Employee Attendance'!L297="Yes"),"Yes","No")</x:f>
        <x:v>No</x:v>
      </x:c>
    </x:row>
    <x:row r="890">
      <x:c r="A890" t="str">
        <x:f>'Employee Attendance'!A298</x:f>
        <x:v>Mwaka Njobvu</x:v>
      </x:c>
      <x:c r="B890" t="str">
        <x:f>'Employee Attendance'!B298</x:f>
        <x:v>Zambia</x:v>
      </x:c>
      <x:c r="C890" t="str">
        <x:f>'Employee Attendance'!C298</x:f>
        <x:v>ZM</x:v>
      </x:c>
      <x:c r="D890" t="str">
        <x:f>'Employee Attendance'!D298</x:f>
        <x:v>mwaka.njobvu@pwc.com</x:v>
      </x:c>
      <x:c r="E890" t="str">
        <x:f>"Option 1"</x:f>
        <x:v>Option 1</x:v>
      </x:c>
      <x:c r="F890" s="14" t="n">
        <x:f>'Employee Attendance'!E298</x:f>
        <x:v>0</x:v>
      </x:c>
      <x:c r="G890" t="n">
        <x:f>F890*86400</x:f>
        <x:v>0</x:v>
      </x:c>
      <x:c r="H890" t="str">
        <x:f>'Employee Attendance'!F298</x:f>
        <x:v>Did not attend</x:v>
      </x:c>
      <x:c r="I890" t="str">
        <x:f>'Employee Attendance'!K298</x:f>
        <x:v>No</x:v>
      </x:c>
    </x:row>
    <x:row r="891">
      <x:c r="A891" t="str">
        <x:f>'Employee Attendance'!A298</x:f>
        <x:v>Mwaka Njobvu</x:v>
      </x:c>
      <x:c r="B891" t="str">
        <x:f>'Employee Attendance'!B298</x:f>
        <x:v>Zambia</x:v>
      </x:c>
      <x:c r="C891" t="str">
        <x:f>'Employee Attendance'!C298</x:f>
        <x:v>ZM</x:v>
      </x:c>
      <x:c r="D891" t="str">
        <x:f>'Employee Attendance'!D298</x:f>
        <x:v>mwaka.njobvu@pwc.com</x:v>
      </x:c>
      <x:c r="E891" t="str">
        <x:f>"Option 2"</x:f>
        <x:v>Option 2</x:v>
      </x:c>
      <x:c r="F891" s="14" t="n">
        <x:f>'Employee Attendance'!G298</x:f>
        <x:v>0.03650462962962963</x:v>
      </x:c>
      <x:c r="G891" t="n">
        <x:f>F891*86400</x:f>
        <x:v>3154</x:v>
      </x:c>
      <x:c r="H891" t="str">
        <x:f>'Employee Attendance'!H298</x:f>
        <x:v>Partially attended</x:v>
      </x:c>
      <x:c r="I891" t="str">
        <x:f>'Employee Attendance'!L298</x:f>
        <x:v>Yes</x:v>
      </x:c>
    </x:row>
    <x:row r="892">
      <x:c r="A892" t="str">
        <x:f>'Employee Attendance'!A298</x:f>
        <x:v>Mwaka Njobvu</x:v>
      </x:c>
      <x:c r="B892" t="str">
        <x:f>'Employee Attendance'!B298</x:f>
        <x:v>Zambia</x:v>
      </x:c>
      <x:c r="C892" t="str">
        <x:f>'Employee Attendance'!C298</x:f>
        <x:v>ZM</x:v>
      </x:c>
      <x:c r="D892" t="str">
        <x:f>'Employee Attendance'!D298</x:f>
        <x:v>mwaka.njobvu@pwc.com</x:v>
      </x:c>
      <x:c r="E892" t="str">
        <x:f>"Combined"</x:f>
        <x:v>Combined</x:v>
      </x:c>
      <x:c r="F892" s="14" t="n">
        <x:f>'Employee Attendance'!I298</x:f>
        <x:v>0.03650462962962963</x:v>
      </x:c>
      <x:c r="G892" t="n">
        <x:f>F892*86400</x:f>
        <x:v>3154</x:v>
      </x:c>
      <x:c r="H892" t="str">
        <x:f>'Employee Attendance'!J298</x:f>
        <x:v>Partially attended</x:v>
      </x:c>
      <x:c r="I892" t="str">
        <x:f>IF(OR('Employee Attendance'!K298="Yes",'Employee Attendance'!L298="Yes"),"Yes","No")</x:f>
        <x:v>Yes</x:v>
      </x:c>
    </x:row>
    <x:row r="893">
      <x:c r="A893" t="str">
        <x:f>'Employee Attendance'!A299</x:f>
        <x:v>Mwangi Karanja</x:v>
      </x:c>
      <x:c r="B893" t="str">
        <x:f>'Employee Attendance'!B299</x:f>
        <x:v>Rwanda</x:v>
      </x:c>
      <x:c r="C893" t="str">
        <x:f>'Employee Attendance'!C299</x:f>
        <x:v>RW</x:v>
      </x:c>
      <x:c r="D893" t="str">
        <x:f>'Employee Attendance'!D299</x:f>
        <x:v>mwangi.j.karanja@pwc.com</x:v>
      </x:c>
      <x:c r="E893" t="str">
        <x:f>"Option 1"</x:f>
        <x:v>Option 1</x:v>
      </x:c>
      <x:c r="F893" s="14" t="n">
        <x:f>'Employee Attendance'!E299</x:f>
        <x:v>0</x:v>
      </x:c>
      <x:c r="G893" t="n">
        <x:f>F893*86400</x:f>
        <x:v>0</x:v>
      </x:c>
      <x:c r="H893" t="str">
        <x:f>'Employee Attendance'!F299</x:f>
        <x:v>Did not attend</x:v>
      </x:c>
      <x:c r="I893" t="str">
        <x:f>'Employee Attendance'!K299</x:f>
        <x:v>No</x:v>
      </x:c>
    </x:row>
    <x:row r="894">
      <x:c r="A894" t="str">
        <x:f>'Employee Attendance'!A299</x:f>
        <x:v>Mwangi Karanja</x:v>
      </x:c>
      <x:c r="B894" t="str">
        <x:f>'Employee Attendance'!B299</x:f>
        <x:v>Rwanda</x:v>
      </x:c>
      <x:c r="C894" t="str">
        <x:f>'Employee Attendance'!C299</x:f>
        <x:v>RW</x:v>
      </x:c>
      <x:c r="D894" t="str">
        <x:f>'Employee Attendance'!D299</x:f>
        <x:v>mwangi.j.karanja@pwc.com</x:v>
      </x:c>
      <x:c r="E894" t="str">
        <x:f>"Option 2"</x:f>
        <x:v>Option 2</x:v>
      </x:c>
      <x:c r="F894" s="14" t="n">
        <x:f>'Employee Attendance'!G299</x:f>
        <x:v>0.08815972222222222</x:v>
      </x:c>
      <x:c r="G894" t="n">
        <x:f>F894*86400</x:f>
        <x:v>7617</x:v>
      </x:c>
      <x:c r="H894" t="str">
        <x:f>'Employee Attendance'!H299</x:f>
        <x:v>Fully attended</x:v>
      </x:c>
      <x:c r="I894" t="str">
        <x:f>'Employee Attendance'!L299</x:f>
        <x:v>Yes</x:v>
      </x:c>
    </x:row>
    <x:row r="895">
      <x:c r="A895" t="str">
        <x:f>'Employee Attendance'!A299</x:f>
        <x:v>Mwangi Karanja</x:v>
      </x:c>
      <x:c r="B895" t="str">
        <x:f>'Employee Attendance'!B299</x:f>
        <x:v>Rwanda</x:v>
      </x:c>
      <x:c r="C895" t="str">
        <x:f>'Employee Attendance'!C299</x:f>
        <x:v>RW</x:v>
      </x:c>
      <x:c r="D895" t="str">
        <x:f>'Employee Attendance'!D299</x:f>
        <x:v>mwangi.j.karanja@pwc.com</x:v>
      </x:c>
      <x:c r="E895" t="str">
        <x:f>"Combined"</x:f>
        <x:v>Combined</x:v>
      </x:c>
      <x:c r="F895" s="14" t="n">
        <x:f>'Employee Attendance'!I299</x:f>
        <x:v>0.08815972222222222</x:v>
      </x:c>
      <x:c r="G895" t="n">
        <x:f>F895*86400</x:f>
        <x:v>7617</x:v>
      </x:c>
      <x:c r="H895" t="str">
        <x:f>'Employee Attendance'!J299</x:f>
        <x:v>Fully attended</x:v>
      </x:c>
      <x:c r="I895" t="str">
        <x:f>IF(OR('Employee Attendance'!K299="Yes",'Employee Attendance'!L299="Yes"),"Yes","No")</x:f>
        <x:v>Yes</x:v>
      </x:c>
    </x:row>
    <x:row r="896">
      <x:c r="A896" t="str">
        <x:f>'Employee Attendance'!A300</x:f>
        <x:v>Mwiya Mwiya</x:v>
      </x:c>
      <x:c r="B896" t="str">
        <x:f>'Employee Attendance'!B300</x:f>
        <x:v>Zambia</x:v>
      </x:c>
      <x:c r="C896" t="str">
        <x:f>'Employee Attendance'!C300</x:f>
        <x:v>ZM</x:v>
      </x:c>
      <x:c r="D896" t="str">
        <x:f>'Employee Attendance'!D300</x:f>
        <x:v>mwiya.mwiya@pwc.com</x:v>
      </x:c>
      <x:c r="E896" t="str">
        <x:f>"Option 1"</x:f>
        <x:v>Option 1</x:v>
      </x:c>
      <x:c r="F896" s="14" t="n">
        <x:f>'Employee Attendance'!E300</x:f>
        <x:v>0</x:v>
      </x:c>
      <x:c r="G896" t="n">
        <x:f>F896*86400</x:f>
        <x:v>0</x:v>
      </x:c>
      <x:c r="H896" t="str">
        <x:f>'Employee Attendance'!F300</x:f>
        <x:v>Did not attend</x:v>
      </x:c>
      <x:c r="I896" t="str">
        <x:f>'Employee Attendance'!K300</x:f>
        <x:v>No</x:v>
      </x:c>
    </x:row>
    <x:row r="897">
      <x:c r="A897" t="str">
        <x:f>'Employee Attendance'!A300</x:f>
        <x:v>Mwiya Mwiya</x:v>
      </x:c>
      <x:c r="B897" t="str">
        <x:f>'Employee Attendance'!B300</x:f>
        <x:v>Zambia</x:v>
      </x:c>
      <x:c r="C897" t="str">
        <x:f>'Employee Attendance'!C300</x:f>
        <x:v>ZM</x:v>
      </x:c>
      <x:c r="D897" t="str">
        <x:f>'Employee Attendance'!D300</x:f>
        <x:v>mwiya.mwiya@pwc.com</x:v>
      </x:c>
      <x:c r="E897" t="str">
        <x:f>"Option 2"</x:f>
        <x:v>Option 2</x:v>
      </x:c>
      <x:c r="F897" s="14" t="n">
        <x:f>'Employee Attendance'!G300</x:f>
        <x:v>0.0804861111111111</x:v>
      </x:c>
      <x:c r="G897" t="n">
        <x:f>F897*86400</x:f>
        <x:v>6953.999999999999</x:v>
      </x:c>
      <x:c r="H897" t="str">
        <x:f>'Employee Attendance'!H300</x:f>
        <x:v>Fully attended</x:v>
      </x:c>
      <x:c r="I897" t="str">
        <x:f>'Employee Attendance'!L300</x:f>
        <x:v>Yes</x:v>
      </x:c>
    </x:row>
    <x:row r="898">
      <x:c r="A898" t="str">
        <x:f>'Employee Attendance'!A300</x:f>
        <x:v>Mwiya Mwiya</x:v>
      </x:c>
      <x:c r="B898" t="str">
        <x:f>'Employee Attendance'!B300</x:f>
        <x:v>Zambia</x:v>
      </x:c>
      <x:c r="C898" t="str">
        <x:f>'Employee Attendance'!C300</x:f>
        <x:v>ZM</x:v>
      </x:c>
      <x:c r="D898" t="str">
        <x:f>'Employee Attendance'!D300</x:f>
        <x:v>mwiya.mwiya@pwc.com</x:v>
      </x:c>
      <x:c r="E898" t="str">
        <x:f>"Combined"</x:f>
        <x:v>Combined</x:v>
      </x:c>
      <x:c r="F898" s="14" t="n">
        <x:f>'Employee Attendance'!I300</x:f>
        <x:v>0.0804861111111111</x:v>
      </x:c>
      <x:c r="G898" t="n">
        <x:f>F898*86400</x:f>
        <x:v>6953.999999999999</x:v>
      </x:c>
      <x:c r="H898" t="str">
        <x:f>'Employee Attendance'!J300</x:f>
        <x:v>Fully attended</x:v>
      </x:c>
      <x:c r="I898" t="str">
        <x:f>IF(OR('Employee Attendance'!K300="Yes",'Employee Attendance'!L300="Yes"),"Yes","No")</x:f>
        <x:v>Yes</x:v>
      </x:c>
    </x:row>
    <x:row r="899">
      <x:c r="A899" t="str">
        <x:f>'Employee Attendance'!A301</x:f>
        <x:v>Naeku Edith</x:v>
      </x:c>
      <x:c r="B899" t="str">
        <x:f>'Employee Attendance'!B301</x:f>
        <x:v>Kenya</x:v>
      </x:c>
      <x:c r="C899" t="str">
        <x:f>'Employee Attendance'!C301</x:f>
        <x:v>KE</x:v>
      </x:c>
      <x:c r="D899" t="str">
        <x:f>'Employee Attendance'!D301</x:f>
        <x:v>naeku.edith@pwc.com</x:v>
      </x:c>
      <x:c r="E899" t="str">
        <x:f>"Option 1"</x:f>
        <x:v>Option 1</x:v>
      </x:c>
      <x:c r="F899" s="14" t="n">
        <x:f>'Employee Attendance'!E301</x:f>
        <x:v>0.08321759259259259</x:v>
      </x:c>
      <x:c r="G899" t="n">
        <x:f>F899*86400</x:f>
        <x:v>7190</x:v>
      </x:c>
      <x:c r="H899" t="str">
        <x:f>'Employee Attendance'!F301</x:f>
        <x:v>Fully attended</x:v>
      </x:c>
      <x:c r="I899" t="str">
        <x:f>'Employee Attendance'!K301</x:f>
        <x:v>Yes</x:v>
      </x:c>
    </x:row>
    <x:row r="900">
      <x:c r="A900" t="str">
        <x:f>'Employee Attendance'!A301</x:f>
        <x:v>Naeku Edith</x:v>
      </x:c>
      <x:c r="B900" t="str">
        <x:f>'Employee Attendance'!B301</x:f>
        <x:v>Kenya</x:v>
      </x:c>
      <x:c r="C900" t="str">
        <x:f>'Employee Attendance'!C301</x:f>
        <x:v>KE</x:v>
      </x:c>
      <x:c r="D900" t="str">
        <x:f>'Employee Attendance'!D301</x:f>
        <x:v>naeku.edith@pwc.com</x:v>
      </x:c>
      <x:c r="E900" t="str">
        <x:f>"Option 2"</x:f>
        <x:v>Option 2</x:v>
      </x:c>
      <x:c r="F900" s="14" t="n">
        <x:f>'Employee Attendance'!G301</x:f>
        <x:v>0</x:v>
      </x:c>
      <x:c r="G900" t="n">
        <x:f>F900*86400</x:f>
        <x:v>0</x:v>
      </x:c>
      <x:c r="H900" t="str">
        <x:f>'Employee Attendance'!H301</x:f>
        <x:v>Did not attend</x:v>
      </x:c>
      <x:c r="I900" t="str">
        <x:f>'Employee Attendance'!L301</x:f>
        <x:v>No</x:v>
      </x:c>
    </x:row>
    <x:row r="901">
      <x:c r="A901" t="str">
        <x:f>'Employee Attendance'!A301</x:f>
        <x:v>Naeku Edith</x:v>
      </x:c>
      <x:c r="B901" t="str">
        <x:f>'Employee Attendance'!B301</x:f>
        <x:v>Kenya</x:v>
      </x:c>
      <x:c r="C901" t="str">
        <x:f>'Employee Attendance'!C301</x:f>
        <x:v>KE</x:v>
      </x:c>
      <x:c r="D901" t="str">
        <x:f>'Employee Attendance'!D301</x:f>
        <x:v>naeku.edith@pwc.com</x:v>
      </x:c>
      <x:c r="E901" t="str">
        <x:f>"Combined"</x:f>
        <x:v>Combined</x:v>
      </x:c>
      <x:c r="F901" s="14" t="n">
        <x:f>'Employee Attendance'!I301</x:f>
        <x:v>0.08321759259259259</x:v>
      </x:c>
      <x:c r="G901" t="n">
        <x:f>F901*86400</x:f>
        <x:v>7190</x:v>
      </x:c>
      <x:c r="H901" t="str">
        <x:f>'Employee Attendance'!J301</x:f>
        <x:v>Fully attended</x:v>
      </x:c>
      <x:c r="I901" t="str">
        <x:f>IF(OR('Employee Attendance'!K301="Yes",'Employee Attendance'!L301="Yes"),"Yes","No")</x:f>
        <x:v>Yes</x:v>
      </x:c>
    </x:row>
    <x:row r="902">
      <x:c r="A902" t="str">
        <x:f>'Employee Attendance'!A302</x:f>
        <x:v>Nahashon Kimani</x:v>
      </x:c>
      <x:c r="B902" t="str">
        <x:f>'Employee Attendance'!B302</x:f>
        <x:v>Kenya</x:v>
      </x:c>
      <x:c r="C902" t="str">
        <x:f>'Employee Attendance'!C302</x:f>
        <x:v>KE</x:v>
      </x:c>
      <x:c r="D902" t="str">
        <x:f>'Employee Attendance'!D302</x:f>
        <x:v>nahashon.kimani@pwc.com</x:v>
      </x:c>
      <x:c r="E902" t="str">
        <x:f>"Option 1"</x:f>
        <x:v>Option 1</x:v>
      </x:c>
      <x:c r="F902" s="14" t="n">
        <x:f>'Employee Attendance'!E302</x:f>
        <x:v>0.07916666666666666</x:v>
      </x:c>
      <x:c r="G902" t="n">
        <x:f>F902*86400</x:f>
        <x:v>6840</x:v>
      </x:c>
      <x:c r="H902" t="str">
        <x:f>'Employee Attendance'!F302</x:f>
        <x:v>Fully attended</x:v>
      </x:c>
      <x:c r="I902" t="str">
        <x:f>'Employee Attendance'!K302</x:f>
        <x:v>Yes</x:v>
      </x:c>
    </x:row>
    <x:row r="903">
      <x:c r="A903" t="str">
        <x:f>'Employee Attendance'!A302</x:f>
        <x:v>Nahashon Kimani</x:v>
      </x:c>
      <x:c r="B903" t="str">
        <x:f>'Employee Attendance'!B302</x:f>
        <x:v>Kenya</x:v>
      </x:c>
      <x:c r="C903" t="str">
        <x:f>'Employee Attendance'!C302</x:f>
        <x:v>KE</x:v>
      </x:c>
      <x:c r="D903" t="str">
        <x:f>'Employee Attendance'!D302</x:f>
        <x:v>nahashon.kimani@pwc.com</x:v>
      </x:c>
      <x:c r="E903" t="str">
        <x:f>"Option 2"</x:f>
        <x:v>Option 2</x:v>
      </x:c>
      <x:c r="F903" s="14" t="n">
        <x:f>'Employee Attendance'!G302</x:f>
        <x:v>0</x:v>
      </x:c>
      <x:c r="G903" t="n">
        <x:f>F903*86400</x:f>
        <x:v>0</x:v>
      </x:c>
      <x:c r="H903" t="str">
        <x:f>'Employee Attendance'!H302</x:f>
        <x:v>Did not attend</x:v>
      </x:c>
      <x:c r="I903" t="str">
        <x:f>'Employee Attendance'!L302</x:f>
        <x:v>No</x:v>
      </x:c>
    </x:row>
    <x:row r="904">
      <x:c r="A904" t="str">
        <x:f>'Employee Attendance'!A302</x:f>
        <x:v>Nahashon Kimani</x:v>
      </x:c>
      <x:c r="B904" t="str">
        <x:f>'Employee Attendance'!B302</x:f>
        <x:v>Kenya</x:v>
      </x:c>
      <x:c r="C904" t="str">
        <x:f>'Employee Attendance'!C302</x:f>
        <x:v>KE</x:v>
      </x:c>
      <x:c r="D904" t="str">
        <x:f>'Employee Attendance'!D302</x:f>
        <x:v>nahashon.kimani@pwc.com</x:v>
      </x:c>
      <x:c r="E904" t="str">
        <x:f>"Combined"</x:f>
        <x:v>Combined</x:v>
      </x:c>
      <x:c r="F904" s="14" t="n">
        <x:f>'Employee Attendance'!I302</x:f>
        <x:v>0.07916666666666666</x:v>
      </x:c>
      <x:c r="G904" t="n">
        <x:f>F904*86400</x:f>
        <x:v>6840</x:v>
      </x:c>
      <x:c r="H904" t="str">
        <x:f>'Employee Attendance'!J302</x:f>
        <x:v>Fully attended</x:v>
      </x:c>
      <x:c r="I904" t="str">
        <x:f>IF(OR('Employee Attendance'!K302="Yes",'Employee Attendance'!L302="Yes"),"Yes","No")</x:f>
        <x:v>Yes</x:v>
      </x:c>
    </x:row>
    <x:row r="905">
      <x:c r="A905" t="str">
        <x:f>'Employee Attendance'!A303</x:f>
        <x:v>Nahashon Thuo</x:v>
      </x:c>
      <x:c r="B905" t="str">
        <x:f>'Employee Attendance'!B303</x:f>
        <x:v>Kenya</x:v>
      </x:c>
      <x:c r="C905" t="str">
        <x:f>'Employee Attendance'!C303</x:f>
        <x:v>KE</x:v>
      </x:c>
      <x:c r="D905" t="str">
        <x:f>'Employee Attendance'!D303</x:f>
        <x:v>nahashon.thuo@pwc.com</x:v>
      </x:c>
      <x:c r="E905" t="str">
        <x:f>"Option 1"</x:f>
        <x:v>Option 1</x:v>
      </x:c>
      <x:c r="F905" s="14" t="n">
        <x:f>'Employee Attendance'!E303</x:f>
        <x:v>0.07818287037037037</x:v>
      </x:c>
      <x:c r="G905" t="n">
        <x:f>F905*86400</x:f>
        <x:v>6755</x:v>
      </x:c>
      <x:c r="H905" t="str">
        <x:f>'Employee Attendance'!F303</x:f>
        <x:v>Fully attended</x:v>
      </x:c>
      <x:c r="I905" t="str">
        <x:f>'Employee Attendance'!K303</x:f>
        <x:v>Yes</x:v>
      </x:c>
    </x:row>
    <x:row r="906">
      <x:c r="A906" t="str">
        <x:f>'Employee Attendance'!A303</x:f>
        <x:v>Nahashon Thuo</x:v>
      </x:c>
      <x:c r="B906" t="str">
        <x:f>'Employee Attendance'!B303</x:f>
        <x:v>Kenya</x:v>
      </x:c>
      <x:c r="C906" t="str">
        <x:f>'Employee Attendance'!C303</x:f>
        <x:v>KE</x:v>
      </x:c>
      <x:c r="D906" t="str">
        <x:f>'Employee Attendance'!D303</x:f>
        <x:v>nahashon.thuo@pwc.com</x:v>
      </x:c>
      <x:c r="E906" t="str">
        <x:f>"Option 2"</x:f>
        <x:v>Option 2</x:v>
      </x:c>
      <x:c r="F906" s="14" t="n">
        <x:f>'Employee Attendance'!G303</x:f>
        <x:v>0</x:v>
      </x:c>
      <x:c r="G906" t="n">
        <x:f>F906*86400</x:f>
        <x:v>0</x:v>
      </x:c>
      <x:c r="H906" t="str">
        <x:f>'Employee Attendance'!H303</x:f>
        <x:v>Did not attend</x:v>
      </x:c>
      <x:c r="I906" t="str">
        <x:f>'Employee Attendance'!L303</x:f>
        <x:v>No</x:v>
      </x:c>
    </x:row>
    <x:row r="907">
      <x:c r="A907" t="str">
        <x:f>'Employee Attendance'!A303</x:f>
        <x:v>Nahashon Thuo</x:v>
      </x:c>
      <x:c r="B907" t="str">
        <x:f>'Employee Attendance'!B303</x:f>
        <x:v>Kenya</x:v>
      </x:c>
      <x:c r="C907" t="str">
        <x:f>'Employee Attendance'!C303</x:f>
        <x:v>KE</x:v>
      </x:c>
      <x:c r="D907" t="str">
        <x:f>'Employee Attendance'!D303</x:f>
        <x:v>nahashon.thuo@pwc.com</x:v>
      </x:c>
      <x:c r="E907" t="str">
        <x:f>"Combined"</x:f>
        <x:v>Combined</x:v>
      </x:c>
      <x:c r="F907" s="14" t="n">
        <x:f>'Employee Attendance'!I303</x:f>
        <x:v>0.07818287037037037</x:v>
      </x:c>
      <x:c r="G907" t="n">
        <x:f>F907*86400</x:f>
        <x:v>6755</x:v>
      </x:c>
      <x:c r="H907" t="str">
        <x:f>'Employee Attendance'!J303</x:f>
        <x:v>Fully attended</x:v>
      </x:c>
      <x:c r="I907" t="str">
        <x:f>IF(OR('Employee Attendance'!K303="Yes",'Employee Attendance'!L303="Yes"),"Yes","No")</x:f>
        <x:v>Yes</x:v>
      </x:c>
    </x:row>
    <x:row r="908">
      <x:c r="A908" t="str">
        <x:f>'Employee Attendance'!A304</x:f>
        <x:v>Nancy Woisso</x:v>
      </x:c>
      <x:c r="B908" t="str">
        <x:f>'Employee Attendance'!B304</x:f>
        <x:v>Tanzania</x:v>
      </x:c>
      <x:c r="C908" t="str">
        <x:f>'Employee Attendance'!C304</x:f>
        <x:v>TZ</x:v>
      </x:c>
      <x:c r="D908" t="str">
        <x:f>'Employee Attendance'!D304</x:f>
        <x:v>nancy.woisso@pwc.com</x:v>
      </x:c>
      <x:c r="E908" t="str">
        <x:f>"Option 1"</x:f>
        <x:v>Option 1</x:v>
      </x:c>
      <x:c r="F908" s="14" t="n">
        <x:f>'Employee Attendance'!E304</x:f>
        <x:v>0.07996527777777777</x:v>
      </x:c>
      <x:c r="G908" t="n">
        <x:f>F908*86400</x:f>
        <x:v>6909</x:v>
      </x:c>
      <x:c r="H908" t="str">
        <x:f>'Employee Attendance'!F304</x:f>
        <x:v>Fully attended</x:v>
      </x:c>
      <x:c r="I908" t="str">
        <x:f>'Employee Attendance'!K304</x:f>
        <x:v>Yes</x:v>
      </x:c>
    </x:row>
    <x:row r="909">
      <x:c r="A909" t="str">
        <x:f>'Employee Attendance'!A304</x:f>
        <x:v>Nancy Woisso</x:v>
      </x:c>
      <x:c r="B909" t="str">
        <x:f>'Employee Attendance'!B304</x:f>
        <x:v>Tanzania</x:v>
      </x:c>
      <x:c r="C909" t="str">
        <x:f>'Employee Attendance'!C304</x:f>
        <x:v>TZ</x:v>
      </x:c>
      <x:c r="D909" t="str">
        <x:f>'Employee Attendance'!D304</x:f>
        <x:v>nancy.woisso@pwc.com</x:v>
      </x:c>
      <x:c r="E909" t="str">
        <x:f>"Option 2"</x:f>
        <x:v>Option 2</x:v>
      </x:c>
      <x:c r="F909" s="14" t="n">
        <x:f>'Employee Attendance'!G304</x:f>
        <x:v>0</x:v>
      </x:c>
      <x:c r="G909" t="n">
        <x:f>F909*86400</x:f>
        <x:v>0</x:v>
      </x:c>
      <x:c r="H909" t="str">
        <x:f>'Employee Attendance'!H304</x:f>
        <x:v>Did not attend</x:v>
      </x:c>
      <x:c r="I909" t="str">
        <x:f>'Employee Attendance'!L304</x:f>
        <x:v>No</x:v>
      </x:c>
    </x:row>
    <x:row r="910">
      <x:c r="A910" t="str">
        <x:f>'Employee Attendance'!A304</x:f>
        <x:v>Nancy Woisso</x:v>
      </x:c>
      <x:c r="B910" t="str">
        <x:f>'Employee Attendance'!B304</x:f>
        <x:v>Tanzania</x:v>
      </x:c>
      <x:c r="C910" t="str">
        <x:f>'Employee Attendance'!C304</x:f>
        <x:v>TZ</x:v>
      </x:c>
      <x:c r="D910" t="str">
        <x:f>'Employee Attendance'!D304</x:f>
        <x:v>nancy.woisso@pwc.com</x:v>
      </x:c>
      <x:c r="E910" t="str">
        <x:f>"Combined"</x:f>
        <x:v>Combined</x:v>
      </x:c>
      <x:c r="F910" s="14" t="n">
        <x:f>'Employee Attendance'!I304</x:f>
        <x:v>0.07996527777777777</x:v>
      </x:c>
      <x:c r="G910" t="n">
        <x:f>F910*86400</x:f>
        <x:v>6909</x:v>
      </x:c>
      <x:c r="H910" t="str">
        <x:f>'Employee Attendance'!J304</x:f>
        <x:v>Fully attended</x:v>
      </x:c>
      <x:c r="I910" t="str">
        <x:f>IF(OR('Employee Attendance'!K304="Yes",'Employee Attendance'!L304="Yes"),"Yes","No")</x:f>
        <x:v>Yes</x:v>
      </x:c>
    </x:row>
    <x:row r="911">
      <x:c r="A911" t="str">
        <x:f>'Employee Attendance'!A305</x:f>
        <x:v>Naomi Mwamba</x:v>
      </x:c>
      <x:c r="B911" t="str">
        <x:f>'Employee Attendance'!B305</x:f>
        <x:v>Zambia</x:v>
      </x:c>
      <x:c r="C911" t="str">
        <x:f>'Employee Attendance'!C305</x:f>
        <x:v>ZM</x:v>
      </x:c>
      <x:c r="D911" t="str">
        <x:f>'Employee Attendance'!D305</x:f>
        <x:v>naomi.mwamba@pwc.com</x:v>
      </x:c>
      <x:c r="E911" t="str">
        <x:f>"Option 1"</x:f>
        <x:v>Option 1</x:v>
      </x:c>
      <x:c r="F911" s="14" t="n">
        <x:f>'Employee Attendance'!E305</x:f>
        <x:v>0.052175925925925924</x:v>
      </x:c>
      <x:c r="G911" t="n">
        <x:f>F911*86400</x:f>
        <x:v>4508</x:v>
      </x:c>
      <x:c r="H911" t="str">
        <x:f>'Employee Attendance'!F305</x:f>
        <x:v>Partially attended</x:v>
      </x:c>
      <x:c r="I911" t="str">
        <x:f>'Employee Attendance'!K305</x:f>
        <x:v>Yes</x:v>
      </x:c>
    </x:row>
    <x:row r="912">
      <x:c r="A912" t="str">
        <x:f>'Employee Attendance'!A305</x:f>
        <x:v>Naomi Mwamba</x:v>
      </x:c>
      <x:c r="B912" t="str">
        <x:f>'Employee Attendance'!B305</x:f>
        <x:v>Zambia</x:v>
      </x:c>
      <x:c r="C912" t="str">
        <x:f>'Employee Attendance'!C305</x:f>
        <x:v>ZM</x:v>
      </x:c>
      <x:c r="D912" t="str">
        <x:f>'Employee Attendance'!D305</x:f>
        <x:v>naomi.mwamba@pwc.com</x:v>
      </x:c>
      <x:c r="E912" t="str">
        <x:f>"Option 2"</x:f>
        <x:v>Option 2</x:v>
      </x:c>
      <x:c r="F912" s="14" t="n">
        <x:f>'Employee Attendance'!G305</x:f>
        <x:v>0</x:v>
      </x:c>
      <x:c r="G912" t="n">
        <x:f>F912*86400</x:f>
        <x:v>0</x:v>
      </x:c>
      <x:c r="H912" t="str">
        <x:f>'Employee Attendance'!H305</x:f>
        <x:v>Did not attend</x:v>
      </x:c>
      <x:c r="I912" t="str">
        <x:f>'Employee Attendance'!L305</x:f>
        <x:v>No</x:v>
      </x:c>
    </x:row>
    <x:row r="913">
      <x:c r="A913" t="str">
        <x:f>'Employee Attendance'!A305</x:f>
        <x:v>Naomi Mwamba</x:v>
      </x:c>
      <x:c r="B913" t="str">
        <x:f>'Employee Attendance'!B305</x:f>
        <x:v>Zambia</x:v>
      </x:c>
      <x:c r="C913" t="str">
        <x:f>'Employee Attendance'!C305</x:f>
        <x:v>ZM</x:v>
      </x:c>
      <x:c r="D913" t="str">
        <x:f>'Employee Attendance'!D305</x:f>
        <x:v>naomi.mwamba@pwc.com</x:v>
      </x:c>
      <x:c r="E913" t="str">
        <x:f>"Combined"</x:f>
        <x:v>Combined</x:v>
      </x:c>
      <x:c r="F913" s="14" t="n">
        <x:f>'Employee Attendance'!I305</x:f>
        <x:v>0.052175925925925924</x:v>
      </x:c>
      <x:c r="G913" t="n">
        <x:f>F913*86400</x:f>
        <x:v>4508</x:v>
      </x:c>
      <x:c r="H913" t="str">
        <x:f>'Employee Attendance'!J305</x:f>
        <x:v>Partially attended</x:v>
      </x:c>
      <x:c r="I913" t="str">
        <x:f>IF(OR('Employee Attendance'!K305="Yes",'Employee Attendance'!L305="Yes"),"Yes","No")</x:f>
        <x:v>Yes</x:v>
      </x:c>
    </x:row>
    <x:row r="914">
      <x:c r="A914" t="str">
        <x:f>'Employee Attendance'!A306</x:f>
        <x:v>Napelwa Kambafwile</x:v>
      </x:c>
      <x:c r="B914" t="str">
        <x:f>'Employee Attendance'!B306</x:f>
        <x:v>Zambia</x:v>
      </x:c>
      <x:c r="C914" t="str">
        <x:f>'Employee Attendance'!C306</x:f>
        <x:v>ZM</x:v>
      </x:c>
      <x:c r="D914" t="str">
        <x:f>'Employee Attendance'!D306</x:f>
        <x:v>napelwa.kambafwile@pwc.com</x:v>
      </x:c>
      <x:c r="E914" t="str">
        <x:f>"Option 1"</x:f>
        <x:v>Option 1</x:v>
      </x:c>
      <x:c r="F914" s="14" t="n">
        <x:f>'Employee Attendance'!E306</x:f>
        <x:v>0</x:v>
      </x:c>
      <x:c r="G914" t="n">
        <x:f>F914*86400</x:f>
        <x:v>0</x:v>
      </x:c>
      <x:c r="H914" t="str">
        <x:f>'Employee Attendance'!F306</x:f>
        <x:v>Did not attend</x:v>
      </x:c>
      <x:c r="I914" t="str">
        <x:f>'Employee Attendance'!K306</x:f>
        <x:v>No</x:v>
      </x:c>
    </x:row>
    <x:row r="915">
      <x:c r="A915" t="str">
        <x:f>'Employee Attendance'!A306</x:f>
        <x:v>Napelwa Kambafwile</x:v>
      </x:c>
      <x:c r="B915" t="str">
        <x:f>'Employee Attendance'!B306</x:f>
        <x:v>Zambia</x:v>
      </x:c>
      <x:c r="C915" t="str">
        <x:f>'Employee Attendance'!C306</x:f>
        <x:v>ZM</x:v>
      </x:c>
      <x:c r="D915" t="str">
        <x:f>'Employee Attendance'!D306</x:f>
        <x:v>napelwa.kambafwile@pwc.com</x:v>
      </x:c>
      <x:c r="E915" t="str">
        <x:f>"Option 2"</x:f>
        <x:v>Option 2</x:v>
      </x:c>
      <x:c r="F915" s="14" t="n">
        <x:f>'Employee Attendance'!G306</x:f>
        <x:v>0.07760416666666667</x:v>
      </x:c>
      <x:c r="G915" t="n">
        <x:f>F915*86400</x:f>
        <x:v>6705</x:v>
      </x:c>
      <x:c r="H915" t="str">
        <x:f>'Employee Attendance'!H306</x:f>
        <x:v>Fully attended</x:v>
      </x:c>
      <x:c r="I915" t="str">
        <x:f>'Employee Attendance'!L306</x:f>
        <x:v>Yes</x:v>
      </x:c>
    </x:row>
    <x:row r="916">
      <x:c r="A916" t="str">
        <x:f>'Employee Attendance'!A306</x:f>
        <x:v>Napelwa Kambafwile</x:v>
      </x:c>
      <x:c r="B916" t="str">
        <x:f>'Employee Attendance'!B306</x:f>
        <x:v>Zambia</x:v>
      </x:c>
      <x:c r="C916" t="str">
        <x:f>'Employee Attendance'!C306</x:f>
        <x:v>ZM</x:v>
      </x:c>
      <x:c r="D916" t="str">
        <x:f>'Employee Attendance'!D306</x:f>
        <x:v>napelwa.kambafwile@pwc.com</x:v>
      </x:c>
      <x:c r="E916" t="str">
        <x:f>"Combined"</x:f>
        <x:v>Combined</x:v>
      </x:c>
      <x:c r="F916" s="14" t="n">
        <x:f>'Employee Attendance'!I306</x:f>
        <x:v>0.07760416666666667</x:v>
      </x:c>
      <x:c r="G916" t="n">
        <x:f>F916*86400</x:f>
        <x:v>6705</x:v>
      </x:c>
      <x:c r="H916" t="str">
        <x:f>'Employee Attendance'!J306</x:f>
        <x:v>Fully attended</x:v>
      </x:c>
      <x:c r="I916" t="str">
        <x:f>IF(OR('Employee Attendance'!K306="Yes",'Employee Attendance'!L306="Yes"),"Yes","No")</x:f>
        <x:v>Yes</x:v>
      </x:c>
    </x:row>
    <x:row r="917">
      <x:c r="A917" t="str">
        <x:f>'Employee Attendance'!A307</x:f>
        <x:v>Navishta Jugasing</x:v>
      </x:c>
      <x:c r="B917" t="str">
        <x:f>'Employee Attendance'!B307</x:f>
        <x:v>Mauritius</x:v>
      </x:c>
      <x:c r="C917" t="str">
        <x:f>'Employee Attendance'!C307</x:f>
        <x:v>MU</x:v>
      </x:c>
      <x:c r="D917" t="str">
        <x:f>'Employee Attendance'!D307</x:f>
        <x:v>navishta.jugasing@pwc.com</x:v>
      </x:c>
      <x:c r="E917" t="str">
        <x:f>"Option 1"</x:f>
        <x:v>Option 1</x:v>
      </x:c>
      <x:c r="F917" s="14" t="n">
        <x:f>'Employee Attendance'!E307</x:f>
        <x:v>0</x:v>
      </x:c>
      <x:c r="G917" t="n">
        <x:f>F917*86400</x:f>
        <x:v>0</x:v>
      </x:c>
      <x:c r="H917" t="str">
        <x:f>'Employee Attendance'!F307</x:f>
        <x:v>Did not attend</x:v>
      </x:c>
      <x:c r="I917" t="str">
        <x:f>'Employee Attendance'!K307</x:f>
        <x:v>No</x:v>
      </x:c>
    </x:row>
    <x:row r="918">
      <x:c r="A918" t="str">
        <x:f>'Employee Attendance'!A307</x:f>
        <x:v>Navishta Jugasing</x:v>
      </x:c>
      <x:c r="B918" t="str">
        <x:f>'Employee Attendance'!B307</x:f>
        <x:v>Mauritius</x:v>
      </x:c>
      <x:c r="C918" t="str">
        <x:f>'Employee Attendance'!C307</x:f>
        <x:v>MU</x:v>
      </x:c>
      <x:c r="D918" t="str">
        <x:f>'Employee Attendance'!D307</x:f>
        <x:v>navishta.jugasing@pwc.com</x:v>
      </x:c>
      <x:c r="E918" t="str">
        <x:f>"Option 2"</x:f>
        <x:v>Option 2</x:v>
      </x:c>
      <x:c r="F918" s="14" t="n">
        <x:f>'Employee Attendance'!G307</x:f>
        <x:v>0.08805555555555555</x:v>
      </x:c>
      <x:c r="G918" t="n">
        <x:f>F918*86400</x:f>
        <x:v>7608</x:v>
      </x:c>
      <x:c r="H918" t="str">
        <x:f>'Employee Attendance'!H307</x:f>
        <x:v>Fully attended</x:v>
      </x:c>
      <x:c r="I918" t="str">
        <x:f>'Employee Attendance'!L307</x:f>
        <x:v>Yes</x:v>
      </x:c>
    </x:row>
    <x:row r="919">
      <x:c r="A919" t="str">
        <x:f>'Employee Attendance'!A307</x:f>
        <x:v>Navishta Jugasing</x:v>
      </x:c>
      <x:c r="B919" t="str">
        <x:f>'Employee Attendance'!B307</x:f>
        <x:v>Mauritius</x:v>
      </x:c>
      <x:c r="C919" t="str">
        <x:f>'Employee Attendance'!C307</x:f>
        <x:v>MU</x:v>
      </x:c>
      <x:c r="D919" t="str">
        <x:f>'Employee Attendance'!D307</x:f>
        <x:v>navishta.jugasing@pwc.com</x:v>
      </x:c>
      <x:c r="E919" t="str">
        <x:f>"Combined"</x:f>
        <x:v>Combined</x:v>
      </x:c>
      <x:c r="F919" s="14" t="n">
        <x:f>'Employee Attendance'!I307</x:f>
        <x:v>0.08805555555555555</x:v>
      </x:c>
      <x:c r="G919" t="n">
        <x:f>F919*86400</x:f>
        <x:v>7608</x:v>
      </x:c>
      <x:c r="H919" t="str">
        <x:f>'Employee Attendance'!J307</x:f>
        <x:v>Fully attended</x:v>
      </x:c>
      <x:c r="I919" t="str">
        <x:f>IF(OR('Employee Attendance'!K307="Yes",'Employee Attendance'!L307="Yes"),"Yes","No")</x:f>
        <x:v>Yes</x:v>
      </x:c>
    </x:row>
    <x:row r="920">
      <x:c r="A920" t="str">
        <x:f>'Employee Attendance'!A308</x:f>
        <x:v>Ndana Simataa</x:v>
      </x:c>
      <x:c r="B920" t="str">
        <x:f>'Employee Attendance'!B308</x:f>
        <x:v>Zambia</x:v>
      </x:c>
      <x:c r="C920" t="str">
        <x:f>'Employee Attendance'!C308</x:f>
        <x:v>ZM</x:v>
      </x:c>
      <x:c r="D920" t="str">
        <x:f>'Employee Attendance'!D308</x:f>
        <x:v>ndana.simataa@pwc.com</x:v>
      </x:c>
      <x:c r="E920" t="str">
        <x:f>"Option 1"</x:f>
        <x:v>Option 1</x:v>
      </x:c>
      <x:c r="F920" s="14" t="n">
        <x:f>'Employee Attendance'!E308</x:f>
        <x:v>0.01744212962962963</x:v>
      </x:c>
      <x:c r="G920" t="n">
        <x:f>F920*86400</x:f>
        <x:v>1507</x:v>
      </x:c>
      <x:c r="H920" t="str">
        <x:f>'Employee Attendance'!F308</x:f>
        <x:v>Partially attended</x:v>
      </x:c>
      <x:c r="I920" t="str">
        <x:f>'Employee Attendance'!K308</x:f>
        <x:v>Yes</x:v>
      </x:c>
    </x:row>
    <x:row r="921">
      <x:c r="A921" t="str">
        <x:f>'Employee Attendance'!A308</x:f>
        <x:v>Ndana Simataa</x:v>
      </x:c>
      <x:c r="B921" t="str">
        <x:f>'Employee Attendance'!B308</x:f>
        <x:v>Zambia</x:v>
      </x:c>
      <x:c r="C921" t="str">
        <x:f>'Employee Attendance'!C308</x:f>
        <x:v>ZM</x:v>
      </x:c>
      <x:c r="D921" t="str">
        <x:f>'Employee Attendance'!D308</x:f>
        <x:v>ndana.simataa@pwc.com</x:v>
      </x:c>
      <x:c r="E921" t="str">
        <x:f>"Option 2"</x:f>
        <x:v>Option 2</x:v>
      </x:c>
      <x:c r="F921" s="14" t="n">
        <x:f>'Employee Attendance'!G308</x:f>
        <x:v>0.03311342592592593</x:v>
      </x:c>
      <x:c r="G921" t="n">
        <x:f>F921*86400</x:f>
        <x:v>2861</x:v>
      </x:c>
      <x:c r="H921" t="str">
        <x:f>'Employee Attendance'!H308</x:f>
        <x:v>Partially attended</x:v>
      </x:c>
      <x:c r="I921" t="str">
        <x:f>'Employee Attendance'!L308</x:f>
        <x:v>Yes</x:v>
      </x:c>
    </x:row>
    <x:row r="922">
      <x:c r="A922" t="str">
        <x:f>'Employee Attendance'!A308</x:f>
        <x:v>Ndana Simataa</x:v>
      </x:c>
      <x:c r="B922" t="str">
        <x:f>'Employee Attendance'!B308</x:f>
        <x:v>Zambia</x:v>
      </x:c>
      <x:c r="C922" t="str">
        <x:f>'Employee Attendance'!C308</x:f>
        <x:v>ZM</x:v>
      </x:c>
      <x:c r="D922" t="str">
        <x:f>'Employee Attendance'!D308</x:f>
        <x:v>ndana.simataa@pwc.com</x:v>
      </x:c>
      <x:c r="E922" t="str">
        <x:f>"Combined"</x:f>
        <x:v>Combined</x:v>
      </x:c>
      <x:c r="F922" s="14" t="n">
        <x:f>'Employee Attendance'!I308</x:f>
        <x:v>0.05055555555555556</x:v>
      </x:c>
      <x:c r="G922" t="n">
        <x:f>F922*86400</x:f>
        <x:v>4368.000000000001</x:v>
      </x:c>
      <x:c r="H922" t="str">
        <x:f>'Employee Attendance'!J308</x:f>
        <x:v>Partially attended</x:v>
      </x:c>
      <x:c r="I922" t="str">
        <x:f>IF(OR('Employee Attendance'!K308="Yes",'Employee Attendance'!L308="Yes"),"Yes","No")</x:f>
        <x:v>Yes</x:v>
      </x:c>
    </x:row>
    <x:row r="923">
      <x:c r="A923" t="str">
        <x:f>'Employee Attendance'!A309</x:f>
        <x:v>Ndanji Simukoko</x:v>
      </x:c>
      <x:c r="B923" t="str">
        <x:f>'Employee Attendance'!B309</x:f>
        <x:v>Zambia</x:v>
      </x:c>
      <x:c r="C923" t="str">
        <x:f>'Employee Attendance'!C309</x:f>
        <x:v>ZM</x:v>
      </x:c>
      <x:c r="D923" t="str">
        <x:f>'Employee Attendance'!D309</x:f>
        <x:v>ndanji.simukoko@pwc.com</x:v>
      </x:c>
      <x:c r="E923" t="str">
        <x:f>"Option 1"</x:f>
        <x:v>Option 1</x:v>
      </x:c>
      <x:c r="F923" s="14" t="n">
        <x:f>'Employee Attendance'!E309</x:f>
        <x:v>0.045208333333333336</x:v>
      </x:c>
      <x:c r="G923" t="n">
        <x:f>F923*86400</x:f>
        <x:v>3906.0000000000005</x:v>
      </x:c>
      <x:c r="H923" t="str">
        <x:f>'Employee Attendance'!F309</x:f>
        <x:v>Partially attended</x:v>
      </x:c>
      <x:c r="I923" t="str">
        <x:f>'Employee Attendance'!K309</x:f>
        <x:v>Yes</x:v>
      </x:c>
    </x:row>
    <x:row r="924">
      <x:c r="A924" t="str">
        <x:f>'Employee Attendance'!A309</x:f>
        <x:v>Ndanji Simukoko</x:v>
      </x:c>
      <x:c r="B924" t="str">
        <x:f>'Employee Attendance'!B309</x:f>
        <x:v>Zambia</x:v>
      </x:c>
      <x:c r="C924" t="str">
        <x:f>'Employee Attendance'!C309</x:f>
        <x:v>ZM</x:v>
      </x:c>
      <x:c r="D924" t="str">
        <x:f>'Employee Attendance'!D309</x:f>
        <x:v>ndanji.simukoko@pwc.com</x:v>
      </x:c>
      <x:c r="E924" t="str">
        <x:f>"Option 2"</x:f>
        <x:v>Option 2</x:v>
      </x:c>
      <x:c r="F924" s="14" t="n">
        <x:f>'Employee Attendance'!G309</x:f>
        <x:v>0.06637731481481482</x:v>
      </x:c>
      <x:c r="G924" t="n">
        <x:f>F924*86400</x:f>
        <x:v>5735</x:v>
      </x:c>
      <x:c r="H924" t="str">
        <x:f>'Employee Attendance'!H309</x:f>
        <x:v>Fully attended</x:v>
      </x:c>
      <x:c r="I924" t="str">
        <x:f>'Employee Attendance'!L309</x:f>
        <x:v>Yes</x:v>
      </x:c>
    </x:row>
    <x:row r="925">
      <x:c r="A925" t="str">
        <x:f>'Employee Attendance'!A309</x:f>
        <x:v>Ndanji Simukoko</x:v>
      </x:c>
      <x:c r="B925" t="str">
        <x:f>'Employee Attendance'!B309</x:f>
        <x:v>Zambia</x:v>
      </x:c>
      <x:c r="C925" t="str">
        <x:f>'Employee Attendance'!C309</x:f>
        <x:v>ZM</x:v>
      </x:c>
      <x:c r="D925" t="str">
        <x:f>'Employee Attendance'!D309</x:f>
        <x:v>ndanji.simukoko@pwc.com</x:v>
      </x:c>
      <x:c r="E925" t="str">
        <x:f>"Combined"</x:f>
        <x:v>Combined</x:v>
      </x:c>
      <x:c r="F925" s="14" t="n">
        <x:f>'Employee Attendance'!I309</x:f>
        <x:v>0.11158564814814816</x:v>
      </x:c>
      <x:c r="G925" t="n">
        <x:f>F925*86400</x:f>
        <x:v>9641</x:v>
      </x:c>
      <x:c r="H925" t="str">
        <x:f>'Employee Attendance'!J309</x:f>
        <x:v>Fully attended</x:v>
      </x:c>
      <x:c r="I925" t="str">
        <x:f>IF(OR('Employee Attendance'!K309="Yes",'Employee Attendance'!L309="Yes"),"Yes","No")</x:f>
        <x:v>Yes</x:v>
      </x:c>
    </x:row>
    <x:row r="926">
      <x:c r="A926" t="str">
        <x:f>'Employee Attendance'!A310</x:f>
        <x:v>Neelen Veerapen</x:v>
      </x:c>
      <x:c r="B926" t="str">
        <x:f>'Employee Attendance'!B310</x:f>
        <x:v>Mauritius</x:v>
      </x:c>
      <x:c r="C926" t="str">
        <x:f>'Employee Attendance'!C310</x:f>
        <x:v>MU</x:v>
      </x:c>
      <x:c r="D926" t="str">
        <x:f>'Employee Attendance'!D310</x:f>
        <x:v>neelen.veerapen@pwc.com</x:v>
      </x:c>
      <x:c r="E926" t="str">
        <x:f>"Option 1"</x:f>
        <x:v>Option 1</x:v>
      </x:c>
      <x:c r="F926" s="14" t="n">
        <x:f>'Employee Attendance'!E310</x:f>
        <x:v>0.08210648148148147</x:v>
      </x:c>
      <x:c r="G926" t="n">
        <x:f>F926*86400</x:f>
        <x:v>7093.999999999999</x:v>
      </x:c>
      <x:c r="H926" t="str">
        <x:f>'Employee Attendance'!F310</x:f>
        <x:v>Fully attended</x:v>
      </x:c>
      <x:c r="I926" t="str">
        <x:f>'Employee Attendance'!K310</x:f>
        <x:v>Yes</x:v>
      </x:c>
    </x:row>
    <x:row r="927">
      <x:c r="A927" t="str">
        <x:f>'Employee Attendance'!A310</x:f>
        <x:v>Neelen Veerapen</x:v>
      </x:c>
      <x:c r="B927" t="str">
        <x:f>'Employee Attendance'!B310</x:f>
        <x:v>Mauritius</x:v>
      </x:c>
      <x:c r="C927" t="str">
        <x:f>'Employee Attendance'!C310</x:f>
        <x:v>MU</x:v>
      </x:c>
      <x:c r="D927" t="str">
        <x:f>'Employee Attendance'!D310</x:f>
        <x:v>neelen.veerapen@pwc.com</x:v>
      </x:c>
      <x:c r="E927" t="str">
        <x:f>"Option 2"</x:f>
        <x:v>Option 2</x:v>
      </x:c>
      <x:c r="F927" s="14" t="n">
        <x:f>'Employee Attendance'!G310</x:f>
        <x:v>0</x:v>
      </x:c>
      <x:c r="G927" t="n">
        <x:f>F927*86400</x:f>
        <x:v>0</x:v>
      </x:c>
      <x:c r="H927" t="str">
        <x:f>'Employee Attendance'!H310</x:f>
        <x:v>Did not attend</x:v>
      </x:c>
      <x:c r="I927" t="str">
        <x:f>'Employee Attendance'!L310</x:f>
        <x:v>No</x:v>
      </x:c>
    </x:row>
    <x:row r="928">
      <x:c r="A928" t="str">
        <x:f>'Employee Attendance'!A310</x:f>
        <x:v>Neelen Veerapen</x:v>
      </x:c>
      <x:c r="B928" t="str">
        <x:f>'Employee Attendance'!B310</x:f>
        <x:v>Mauritius</x:v>
      </x:c>
      <x:c r="C928" t="str">
        <x:f>'Employee Attendance'!C310</x:f>
        <x:v>MU</x:v>
      </x:c>
      <x:c r="D928" t="str">
        <x:f>'Employee Attendance'!D310</x:f>
        <x:v>neelen.veerapen@pwc.com</x:v>
      </x:c>
      <x:c r="E928" t="str">
        <x:f>"Combined"</x:f>
        <x:v>Combined</x:v>
      </x:c>
      <x:c r="F928" s="14" t="n">
        <x:f>'Employee Attendance'!I310</x:f>
        <x:v>0.08210648148148147</x:v>
      </x:c>
      <x:c r="G928" t="n">
        <x:f>F928*86400</x:f>
        <x:v>7093.999999999999</x:v>
      </x:c>
      <x:c r="H928" t="str">
        <x:f>'Employee Attendance'!J310</x:f>
        <x:v>Fully attended</x:v>
      </x:c>
      <x:c r="I928" t="str">
        <x:f>IF(OR('Employee Attendance'!K310="Yes",'Employee Attendance'!L310="Yes"),"Yes","No")</x:f>
        <x:v>Yes</x:v>
      </x:c>
    </x:row>
    <x:row r="929">
      <x:c r="A929" t="str">
        <x:f>'Employee Attendance'!A311</x:f>
        <x:v>Neema Shayo</x:v>
      </x:c>
      <x:c r="B929" t="str">
        <x:f>'Employee Attendance'!B311</x:f>
        <x:v>Kenya</x:v>
      </x:c>
      <x:c r="C929" t="str">
        <x:f>'Employee Attendance'!C311</x:f>
        <x:v>KE</x:v>
      </x:c>
      <x:c r="D929" t="str">
        <x:f>'Employee Attendance'!D311</x:f>
        <x:v>neema.shayo@pwc.com</x:v>
      </x:c>
      <x:c r="E929" t="str">
        <x:f>"Option 1"</x:f>
        <x:v>Option 1</x:v>
      </x:c>
      <x:c r="F929" s="14" t="n">
        <x:f>'Employee Attendance'!E311</x:f>
        <x:v>0</x:v>
      </x:c>
      <x:c r="G929" t="n">
        <x:f>F929*86400</x:f>
        <x:v>0</x:v>
      </x:c>
      <x:c r="H929" t="str">
        <x:f>'Employee Attendance'!F311</x:f>
        <x:v>Did not attend</x:v>
      </x:c>
      <x:c r="I929" t="str">
        <x:f>'Employee Attendance'!K311</x:f>
        <x:v>No</x:v>
      </x:c>
    </x:row>
    <x:row r="930">
      <x:c r="A930" t="str">
        <x:f>'Employee Attendance'!A311</x:f>
        <x:v>Neema Shayo</x:v>
      </x:c>
      <x:c r="B930" t="str">
        <x:f>'Employee Attendance'!B311</x:f>
        <x:v>Kenya</x:v>
      </x:c>
      <x:c r="C930" t="str">
        <x:f>'Employee Attendance'!C311</x:f>
        <x:v>KE</x:v>
      </x:c>
      <x:c r="D930" t="str">
        <x:f>'Employee Attendance'!D311</x:f>
        <x:v>neema.shayo@pwc.com</x:v>
      </x:c>
      <x:c r="E930" t="str">
        <x:f>"Option 2"</x:f>
        <x:v>Option 2</x:v>
      </x:c>
      <x:c r="F930" s="14" t="n">
        <x:f>'Employee Attendance'!G311</x:f>
        <x:v>0.07797453703703704</x:v>
      </x:c>
      <x:c r="G930" t="n">
        <x:f>F930*86400</x:f>
        <x:v>6737</x:v>
      </x:c>
      <x:c r="H930" t="str">
        <x:f>'Employee Attendance'!H311</x:f>
        <x:v>Fully attended</x:v>
      </x:c>
      <x:c r="I930" t="str">
        <x:f>'Employee Attendance'!L311</x:f>
        <x:v>Yes</x:v>
      </x:c>
    </x:row>
    <x:row r="931">
      <x:c r="A931" t="str">
        <x:f>'Employee Attendance'!A311</x:f>
        <x:v>Neema Shayo</x:v>
      </x:c>
      <x:c r="B931" t="str">
        <x:f>'Employee Attendance'!B311</x:f>
        <x:v>Kenya</x:v>
      </x:c>
      <x:c r="C931" t="str">
        <x:f>'Employee Attendance'!C311</x:f>
        <x:v>KE</x:v>
      </x:c>
      <x:c r="D931" t="str">
        <x:f>'Employee Attendance'!D311</x:f>
        <x:v>neema.shayo@pwc.com</x:v>
      </x:c>
      <x:c r="E931" t="str">
        <x:f>"Combined"</x:f>
        <x:v>Combined</x:v>
      </x:c>
      <x:c r="F931" s="14" t="n">
        <x:f>'Employee Attendance'!I311</x:f>
        <x:v>0.07797453703703704</x:v>
      </x:c>
      <x:c r="G931" t="n">
        <x:f>F931*86400</x:f>
        <x:v>6737</x:v>
      </x:c>
      <x:c r="H931" t="str">
        <x:f>'Employee Attendance'!J311</x:f>
        <x:v>Fully attended</x:v>
      </x:c>
      <x:c r="I931" t="str">
        <x:f>IF(OR('Employee Attendance'!K311="Yes",'Employee Attendance'!L311="Yes"),"Yes","No")</x:f>
        <x:v>Yes</x:v>
      </x:c>
    </x:row>
    <x:row r="932">
      <x:c r="A932" t="str">
        <x:f>'Employee Attendance'!A312</x:f>
        <x:v>Neeve-Ann Godda</x:v>
      </x:c>
      <x:c r="B932" t="str">
        <x:f>'Employee Attendance'!B312</x:f>
        <x:v>Tanzania</x:v>
      </x:c>
      <x:c r="C932" t="str">
        <x:f>'Employee Attendance'!C312</x:f>
        <x:v>TZ</x:v>
      </x:c>
      <x:c r="D932" t="str">
        <x:f>'Employee Attendance'!D312</x:f>
        <x:v>neeve-ann.godda@pwc.com</x:v>
      </x:c>
      <x:c r="E932" t="str">
        <x:f>"Option 1"</x:f>
        <x:v>Option 1</x:v>
      </x:c>
      <x:c r="F932" s="14" t="n">
        <x:f>'Employee Attendance'!E312</x:f>
        <x:v>0</x:v>
      </x:c>
      <x:c r="G932" t="n">
        <x:f>F932*86400</x:f>
        <x:v>0</x:v>
      </x:c>
      <x:c r="H932" t="str">
        <x:f>'Employee Attendance'!F312</x:f>
        <x:v>Did not attend</x:v>
      </x:c>
      <x:c r="I932" t="str">
        <x:f>'Employee Attendance'!K312</x:f>
        <x:v>No</x:v>
      </x:c>
    </x:row>
    <x:row r="933">
      <x:c r="A933" t="str">
        <x:f>'Employee Attendance'!A312</x:f>
        <x:v>Neeve-Ann Godda</x:v>
      </x:c>
      <x:c r="B933" t="str">
        <x:f>'Employee Attendance'!B312</x:f>
        <x:v>Tanzania</x:v>
      </x:c>
      <x:c r="C933" t="str">
        <x:f>'Employee Attendance'!C312</x:f>
        <x:v>TZ</x:v>
      </x:c>
      <x:c r="D933" t="str">
        <x:f>'Employee Attendance'!D312</x:f>
        <x:v>neeve-ann.godda@pwc.com</x:v>
      </x:c>
      <x:c r="E933" t="str">
        <x:f>"Option 2"</x:f>
        <x:v>Option 2</x:v>
      </x:c>
      <x:c r="F933" s="14" t="n">
        <x:f>'Employee Attendance'!G312</x:f>
        <x:v>0.06768518518518518</x:v>
      </x:c>
      <x:c r="G933" t="n">
        <x:f>F933*86400</x:f>
        <x:v>5848</x:v>
      </x:c>
      <x:c r="H933" t="str">
        <x:f>'Employee Attendance'!H312</x:f>
        <x:v>Fully attended</x:v>
      </x:c>
      <x:c r="I933" t="str">
        <x:f>'Employee Attendance'!L312</x:f>
        <x:v>Yes</x:v>
      </x:c>
    </x:row>
    <x:row r="934">
      <x:c r="A934" t="str">
        <x:f>'Employee Attendance'!A312</x:f>
        <x:v>Neeve-Ann Godda</x:v>
      </x:c>
      <x:c r="B934" t="str">
        <x:f>'Employee Attendance'!B312</x:f>
        <x:v>Tanzania</x:v>
      </x:c>
      <x:c r="C934" t="str">
        <x:f>'Employee Attendance'!C312</x:f>
        <x:v>TZ</x:v>
      </x:c>
      <x:c r="D934" t="str">
        <x:f>'Employee Attendance'!D312</x:f>
        <x:v>neeve-ann.godda@pwc.com</x:v>
      </x:c>
      <x:c r="E934" t="str">
        <x:f>"Combined"</x:f>
        <x:v>Combined</x:v>
      </x:c>
      <x:c r="F934" s="14" t="n">
        <x:f>'Employee Attendance'!I312</x:f>
        <x:v>0.06768518518518518</x:v>
      </x:c>
      <x:c r="G934" t="n">
        <x:f>F934*86400</x:f>
        <x:v>5848</x:v>
      </x:c>
      <x:c r="H934" t="str">
        <x:f>'Employee Attendance'!J312</x:f>
        <x:v>Fully attended</x:v>
      </x:c>
      <x:c r="I934" t="str">
        <x:f>IF(OR('Employee Attendance'!K312="Yes",'Employee Attendance'!L312="Yes"),"Yes","No")</x:f>
        <x:v>Yes</x:v>
      </x:c>
    </x:row>
    <x:row r="935">
      <x:c r="A935" t="str">
        <x:f>'Employee Attendance'!A313</x:f>
        <x:v>Nelly Muriungi</x:v>
      </x:c>
      <x:c r="B935" t="str">
        <x:f>'Employee Attendance'!B313</x:f>
        <x:v>Kenya</x:v>
      </x:c>
      <x:c r="C935" t="str">
        <x:f>'Employee Attendance'!C313</x:f>
        <x:v>KE</x:v>
      </x:c>
      <x:c r="D935" t="str">
        <x:f>'Employee Attendance'!D313</x:f>
        <x:v>nelly.muriungi@pwc.com</x:v>
      </x:c>
      <x:c r="E935" t="str">
        <x:f>"Option 1"</x:f>
        <x:v>Option 1</x:v>
      </x:c>
      <x:c r="F935" s="14" t="n">
        <x:f>'Employee Attendance'!E313</x:f>
        <x:v>0</x:v>
      </x:c>
      <x:c r="G935" t="n">
        <x:f>F935*86400</x:f>
        <x:v>0</x:v>
      </x:c>
      <x:c r="H935" t="str">
        <x:f>'Employee Attendance'!F313</x:f>
        <x:v>Did not attend</x:v>
      </x:c>
      <x:c r="I935" t="str">
        <x:f>'Employee Attendance'!K313</x:f>
        <x:v>No</x:v>
      </x:c>
    </x:row>
    <x:row r="936">
      <x:c r="A936" t="str">
        <x:f>'Employee Attendance'!A313</x:f>
        <x:v>Nelly Muriungi</x:v>
      </x:c>
      <x:c r="B936" t="str">
        <x:f>'Employee Attendance'!B313</x:f>
        <x:v>Kenya</x:v>
      </x:c>
      <x:c r="C936" t="str">
        <x:f>'Employee Attendance'!C313</x:f>
        <x:v>KE</x:v>
      </x:c>
      <x:c r="D936" t="str">
        <x:f>'Employee Attendance'!D313</x:f>
        <x:v>nelly.muriungi@pwc.com</x:v>
      </x:c>
      <x:c r="E936" t="str">
        <x:f>"Option 2"</x:f>
        <x:v>Option 2</x:v>
      </x:c>
      <x:c r="F936" s="14" t="n">
        <x:f>'Employee Attendance'!G313</x:f>
        <x:v>0.02417824074074074</x:v>
      </x:c>
      <x:c r="G936" t="n">
        <x:f>F936*86400</x:f>
        <x:v>2089</x:v>
      </x:c>
      <x:c r="H936" t="str">
        <x:f>'Employee Attendance'!H313</x:f>
        <x:v>Partially attended</x:v>
      </x:c>
      <x:c r="I936" t="str">
        <x:f>'Employee Attendance'!L313</x:f>
        <x:v>Yes</x:v>
      </x:c>
    </x:row>
    <x:row r="937">
      <x:c r="A937" t="str">
        <x:f>'Employee Attendance'!A313</x:f>
        <x:v>Nelly Muriungi</x:v>
      </x:c>
      <x:c r="B937" t="str">
        <x:f>'Employee Attendance'!B313</x:f>
        <x:v>Kenya</x:v>
      </x:c>
      <x:c r="C937" t="str">
        <x:f>'Employee Attendance'!C313</x:f>
        <x:v>KE</x:v>
      </x:c>
      <x:c r="D937" t="str">
        <x:f>'Employee Attendance'!D313</x:f>
        <x:v>nelly.muriungi@pwc.com</x:v>
      </x:c>
      <x:c r="E937" t="str">
        <x:f>"Combined"</x:f>
        <x:v>Combined</x:v>
      </x:c>
      <x:c r="F937" s="14" t="n">
        <x:f>'Employee Attendance'!I313</x:f>
        <x:v>0.02417824074074074</x:v>
      </x:c>
      <x:c r="G937" t="n">
        <x:f>F937*86400</x:f>
        <x:v>2089</x:v>
      </x:c>
      <x:c r="H937" t="str">
        <x:f>'Employee Attendance'!J313</x:f>
        <x:v>Partially attended</x:v>
      </x:c>
      <x:c r="I937" t="str">
        <x:f>IF(OR('Employee Attendance'!K313="Yes",'Employee Attendance'!L313="Yes"),"Yes","No")</x:f>
        <x:v>Yes</x:v>
      </x:c>
    </x:row>
    <x:row r="938">
      <x:c r="A938" t="str">
        <x:f>'Employee Attendance'!A314</x:f>
        <x:v>Nelson Msuya</x:v>
      </x:c>
      <x:c r="B938" t="str">
        <x:f>'Employee Attendance'!B314</x:f>
        <x:v>Tanzania</x:v>
      </x:c>
      <x:c r="C938" t="str">
        <x:f>'Employee Attendance'!C314</x:f>
        <x:v>TZ</x:v>
      </x:c>
      <x:c r="D938" t="str">
        <x:f>'Employee Attendance'!D314</x:f>
        <x:v>nelson.msuya@pwc.com</x:v>
      </x:c>
      <x:c r="E938" t="str">
        <x:f>"Option 1"</x:f>
        <x:v>Option 1</x:v>
      </x:c>
      <x:c r="F938" s="14" t="n">
        <x:f>'Employee Attendance'!E314</x:f>
        <x:v>0</x:v>
      </x:c>
      <x:c r="G938" t="n">
        <x:f>F938*86400</x:f>
        <x:v>0</x:v>
      </x:c>
      <x:c r="H938" t="str">
        <x:f>'Employee Attendance'!F314</x:f>
        <x:v>Did not attend</x:v>
      </x:c>
      <x:c r="I938" t="str">
        <x:f>'Employee Attendance'!K314</x:f>
        <x:v>No</x:v>
      </x:c>
    </x:row>
    <x:row r="939">
      <x:c r="A939" t="str">
        <x:f>'Employee Attendance'!A314</x:f>
        <x:v>Nelson Msuya</x:v>
      </x:c>
      <x:c r="B939" t="str">
        <x:f>'Employee Attendance'!B314</x:f>
        <x:v>Tanzania</x:v>
      </x:c>
      <x:c r="C939" t="str">
        <x:f>'Employee Attendance'!C314</x:f>
        <x:v>TZ</x:v>
      </x:c>
      <x:c r="D939" t="str">
        <x:f>'Employee Attendance'!D314</x:f>
        <x:v>nelson.msuya@pwc.com</x:v>
      </x:c>
      <x:c r="E939" t="str">
        <x:f>"Option 2"</x:f>
        <x:v>Option 2</x:v>
      </x:c>
      <x:c r="F939" s="14" t="n">
        <x:f>'Employee Attendance'!G314</x:f>
        <x:v>0.07616898148148148</x:v>
      </x:c>
      <x:c r="G939" t="n">
        <x:f>F939*86400</x:f>
        <x:v>6581</x:v>
      </x:c>
      <x:c r="H939" t="str">
        <x:f>'Employee Attendance'!H314</x:f>
        <x:v>Fully attended</x:v>
      </x:c>
      <x:c r="I939" t="str">
        <x:f>'Employee Attendance'!L314</x:f>
        <x:v>Yes</x:v>
      </x:c>
    </x:row>
    <x:row r="940">
      <x:c r="A940" t="str">
        <x:f>'Employee Attendance'!A314</x:f>
        <x:v>Nelson Msuya</x:v>
      </x:c>
      <x:c r="B940" t="str">
        <x:f>'Employee Attendance'!B314</x:f>
        <x:v>Tanzania</x:v>
      </x:c>
      <x:c r="C940" t="str">
        <x:f>'Employee Attendance'!C314</x:f>
        <x:v>TZ</x:v>
      </x:c>
      <x:c r="D940" t="str">
        <x:f>'Employee Attendance'!D314</x:f>
        <x:v>nelson.msuya@pwc.com</x:v>
      </x:c>
      <x:c r="E940" t="str">
        <x:f>"Combined"</x:f>
        <x:v>Combined</x:v>
      </x:c>
      <x:c r="F940" s="14" t="n">
        <x:f>'Employee Attendance'!I314</x:f>
        <x:v>0.07616898148148148</x:v>
      </x:c>
      <x:c r="G940" t="n">
        <x:f>F940*86400</x:f>
        <x:v>6581</x:v>
      </x:c>
      <x:c r="H940" t="str">
        <x:f>'Employee Attendance'!J314</x:f>
        <x:v>Fully attended</x:v>
      </x:c>
      <x:c r="I940" t="str">
        <x:f>IF(OR('Employee Attendance'!K314="Yes",'Employee Attendance'!L314="Yes"),"Yes","No")</x:f>
        <x:v>Yes</x:v>
      </x:c>
    </x:row>
    <x:row r="941">
      <x:c r="A941" t="str">
        <x:f>'Employee Attendance'!A315</x:f>
        <x:v>Neria Rutashobya</x:v>
      </x:c>
      <x:c r="B941" t="str">
        <x:f>'Employee Attendance'!B315</x:f>
        <x:v>Tanzania</x:v>
      </x:c>
      <x:c r="C941" t="str">
        <x:f>'Employee Attendance'!C315</x:f>
        <x:v>TZ</x:v>
      </x:c>
      <x:c r="D941" t="str">
        <x:f>'Employee Attendance'!D315</x:f>
        <x:v>neria.rutashobya@pwc.com</x:v>
      </x:c>
      <x:c r="E941" t="str">
        <x:f>"Option 1"</x:f>
        <x:v>Option 1</x:v>
      </x:c>
      <x:c r="F941" s="14" t="n">
        <x:f>'Employee Attendance'!E315</x:f>
        <x:v>0.0802662037037037</x:v>
      </x:c>
      <x:c r="G941" t="n">
        <x:f>F941*86400</x:f>
        <x:v>6935</x:v>
      </x:c>
      <x:c r="H941" t="str">
        <x:f>'Employee Attendance'!F315</x:f>
        <x:v>Fully attended</x:v>
      </x:c>
      <x:c r="I941" t="str">
        <x:f>'Employee Attendance'!K315</x:f>
        <x:v>Yes</x:v>
      </x:c>
    </x:row>
    <x:row r="942">
      <x:c r="A942" t="str">
        <x:f>'Employee Attendance'!A315</x:f>
        <x:v>Neria Rutashobya</x:v>
      </x:c>
      <x:c r="B942" t="str">
        <x:f>'Employee Attendance'!B315</x:f>
        <x:v>Tanzania</x:v>
      </x:c>
      <x:c r="C942" t="str">
        <x:f>'Employee Attendance'!C315</x:f>
        <x:v>TZ</x:v>
      </x:c>
      <x:c r="D942" t="str">
        <x:f>'Employee Attendance'!D315</x:f>
        <x:v>neria.rutashobya@pwc.com</x:v>
      </x:c>
      <x:c r="E942" t="str">
        <x:f>"Option 2"</x:f>
        <x:v>Option 2</x:v>
      </x:c>
      <x:c r="F942" s="14" t="n">
        <x:f>'Employee Attendance'!G315</x:f>
        <x:v>0</x:v>
      </x:c>
      <x:c r="G942" t="n">
        <x:f>F942*86400</x:f>
        <x:v>0</x:v>
      </x:c>
      <x:c r="H942" t="str">
        <x:f>'Employee Attendance'!H315</x:f>
        <x:v>Did not attend</x:v>
      </x:c>
      <x:c r="I942" t="str">
        <x:f>'Employee Attendance'!L315</x:f>
        <x:v>No</x:v>
      </x:c>
    </x:row>
    <x:row r="943">
      <x:c r="A943" t="str">
        <x:f>'Employee Attendance'!A315</x:f>
        <x:v>Neria Rutashobya</x:v>
      </x:c>
      <x:c r="B943" t="str">
        <x:f>'Employee Attendance'!B315</x:f>
        <x:v>Tanzania</x:v>
      </x:c>
      <x:c r="C943" t="str">
        <x:f>'Employee Attendance'!C315</x:f>
        <x:v>TZ</x:v>
      </x:c>
      <x:c r="D943" t="str">
        <x:f>'Employee Attendance'!D315</x:f>
        <x:v>neria.rutashobya@pwc.com</x:v>
      </x:c>
      <x:c r="E943" t="str">
        <x:f>"Combined"</x:f>
        <x:v>Combined</x:v>
      </x:c>
      <x:c r="F943" s="14" t="n">
        <x:f>'Employee Attendance'!I315</x:f>
        <x:v>0.0802662037037037</x:v>
      </x:c>
      <x:c r="G943" t="n">
        <x:f>F943*86400</x:f>
        <x:v>6935</x:v>
      </x:c>
      <x:c r="H943" t="str">
        <x:f>'Employee Attendance'!J315</x:f>
        <x:v>Fully attended</x:v>
      </x:c>
      <x:c r="I943" t="str">
        <x:f>IF(OR('Employee Attendance'!K315="Yes",'Employee Attendance'!L315="Yes"),"Yes","No")</x:f>
        <x:v>Yes</x:v>
      </x:c>
    </x:row>
    <x:row r="944">
      <x:c r="A944" t="str">
        <x:f>'Employee Attendance'!A316</x:f>
        <x:v>Newton Orengeje</x:v>
      </x:c>
      <x:c r="B944" t="str">
        <x:f>'Employee Attendance'!B316</x:f>
        <x:v>Uganda</x:v>
      </x:c>
      <x:c r="C944" t="str">
        <x:f>'Employee Attendance'!C316</x:f>
        <x:v>UG</x:v>
      </x:c>
      <x:c r="D944" t="str">
        <x:f>'Employee Attendance'!D316</x:f>
        <x:v>newton.orengeje@pwc.com</x:v>
      </x:c>
      <x:c r="E944" t="str">
        <x:f>"Option 1"</x:f>
        <x:v>Option 1</x:v>
      </x:c>
      <x:c r="F944" s="14" t="n">
        <x:f>'Employee Attendance'!E316</x:f>
        <x:v>0</x:v>
      </x:c>
      <x:c r="G944" t="n">
        <x:f>F944*86400</x:f>
        <x:v>0</x:v>
      </x:c>
      <x:c r="H944" t="str">
        <x:f>'Employee Attendance'!F316</x:f>
        <x:v>Did not attend</x:v>
      </x:c>
      <x:c r="I944" t="str">
        <x:f>'Employee Attendance'!K316</x:f>
        <x:v>No</x:v>
      </x:c>
    </x:row>
    <x:row r="945">
      <x:c r="A945" t="str">
        <x:f>'Employee Attendance'!A316</x:f>
        <x:v>Newton Orengeje</x:v>
      </x:c>
      <x:c r="B945" t="str">
        <x:f>'Employee Attendance'!B316</x:f>
        <x:v>Uganda</x:v>
      </x:c>
      <x:c r="C945" t="str">
        <x:f>'Employee Attendance'!C316</x:f>
        <x:v>UG</x:v>
      </x:c>
      <x:c r="D945" t="str">
        <x:f>'Employee Attendance'!D316</x:f>
        <x:v>newton.orengeje@pwc.com</x:v>
      </x:c>
      <x:c r="E945" t="str">
        <x:f>"Option 2"</x:f>
        <x:v>Option 2</x:v>
      </x:c>
      <x:c r="F945" s="14" t="n">
        <x:f>'Employee Attendance'!G316</x:f>
        <x:v>0.0859375</x:v>
      </x:c>
      <x:c r="G945" t="n">
        <x:f>F945*86400</x:f>
        <x:v>7425</x:v>
      </x:c>
      <x:c r="H945" t="str">
        <x:f>'Employee Attendance'!H316</x:f>
        <x:v>Fully attended</x:v>
      </x:c>
      <x:c r="I945" t="str">
        <x:f>'Employee Attendance'!L316</x:f>
        <x:v>Yes</x:v>
      </x:c>
    </x:row>
    <x:row r="946">
      <x:c r="A946" t="str">
        <x:f>'Employee Attendance'!A316</x:f>
        <x:v>Newton Orengeje</x:v>
      </x:c>
      <x:c r="B946" t="str">
        <x:f>'Employee Attendance'!B316</x:f>
        <x:v>Uganda</x:v>
      </x:c>
      <x:c r="C946" t="str">
        <x:f>'Employee Attendance'!C316</x:f>
        <x:v>UG</x:v>
      </x:c>
      <x:c r="D946" t="str">
        <x:f>'Employee Attendance'!D316</x:f>
        <x:v>newton.orengeje@pwc.com</x:v>
      </x:c>
      <x:c r="E946" t="str">
        <x:f>"Combined"</x:f>
        <x:v>Combined</x:v>
      </x:c>
      <x:c r="F946" s="14" t="n">
        <x:f>'Employee Attendance'!I316</x:f>
        <x:v>0.0859375</x:v>
      </x:c>
      <x:c r="G946" t="n">
        <x:f>F946*86400</x:f>
        <x:v>7425</x:v>
      </x:c>
      <x:c r="H946" t="str">
        <x:f>'Employee Attendance'!J316</x:f>
        <x:v>Fully attended</x:v>
      </x:c>
      <x:c r="I946" t="str">
        <x:f>IF(OR('Employee Attendance'!K316="Yes",'Employee Attendance'!L316="Yes"),"Yes","No")</x:f>
        <x:v>Yes</x:v>
      </x:c>
    </x:row>
    <x:row r="947">
      <x:c r="A947" t="str">
        <x:f>'Employee Attendance'!A317</x:f>
        <x:v>Nicholas Mahero</x:v>
      </x:c>
      <x:c r="B947" t="str">
        <x:f>'Employee Attendance'!B317</x:f>
        <x:v>Kenya</x:v>
      </x:c>
      <x:c r="C947" t="str">
        <x:f>'Employee Attendance'!C317</x:f>
        <x:v>KE</x:v>
      </x:c>
      <x:c r="D947" t="str">
        <x:f>'Employee Attendance'!D317</x:f>
        <x:v>nicholas.mahero@pwc.com</x:v>
      </x:c>
      <x:c r="E947" t="str">
        <x:f>"Option 1"</x:f>
        <x:v>Option 1</x:v>
      </x:c>
      <x:c r="F947" s="14" t="n">
        <x:f>'Employee Attendance'!E317</x:f>
        <x:v>0.042534722222222224</x:v>
      </x:c>
      <x:c r="G947" t="n">
        <x:f>F947*86400</x:f>
        <x:v>3675</x:v>
      </x:c>
      <x:c r="H947" t="str">
        <x:f>'Employee Attendance'!F317</x:f>
        <x:v>Partially attended</x:v>
      </x:c>
      <x:c r="I947" t="str">
        <x:f>'Employee Attendance'!K317</x:f>
        <x:v>Yes</x:v>
      </x:c>
    </x:row>
    <x:row r="948">
      <x:c r="A948" t="str">
        <x:f>'Employee Attendance'!A317</x:f>
        <x:v>Nicholas Mahero</x:v>
      </x:c>
      <x:c r="B948" t="str">
        <x:f>'Employee Attendance'!B317</x:f>
        <x:v>Kenya</x:v>
      </x:c>
      <x:c r="C948" t="str">
        <x:f>'Employee Attendance'!C317</x:f>
        <x:v>KE</x:v>
      </x:c>
      <x:c r="D948" t="str">
        <x:f>'Employee Attendance'!D317</x:f>
        <x:v>nicholas.mahero@pwc.com</x:v>
      </x:c>
      <x:c r="E948" t="str">
        <x:f>"Option 2"</x:f>
        <x:v>Option 2</x:v>
      </x:c>
      <x:c r="F948" s="14" t="n">
        <x:f>'Employee Attendance'!G317</x:f>
        <x:v>0</x:v>
      </x:c>
      <x:c r="G948" t="n">
        <x:f>F948*86400</x:f>
        <x:v>0</x:v>
      </x:c>
      <x:c r="H948" t="str">
        <x:f>'Employee Attendance'!H317</x:f>
        <x:v>Did not attend</x:v>
      </x:c>
      <x:c r="I948" t="str">
        <x:f>'Employee Attendance'!L317</x:f>
        <x:v>No</x:v>
      </x:c>
    </x:row>
    <x:row r="949">
      <x:c r="A949" t="str">
        <x:f>'Employee Attendance'!A317</x:f>
        <x:v>Nicholas Mahero</x:v>
      </x:c>
      <x:c r="B949" t="str">
        <x:f>'Employee Attendance'!B317</x:f>
        <x:v>Kenya</x:v>
      </x:c>
      <x:c r="C949" t="str">
        <x:f>'Employee Attendance'!C317</x:f>
        <x:v>KE</x:v>
      </x:c>
      <x:c r="D949" t="str">
        <x:f>'Employee Attendance'!D317</x:f>
        <x:v>nicholas.mahero@pwc.com</x:v>
      </x:c>
      <x:c r="E949" t="str">
        <x:f>"Combined"</x:f>
        <x:v>Combined</x:v>
      </x:c>
      <x:c r="F949" s="14" t="n">
        <x:f>'Employee Attendance'!I317</x:f>
        <x:v>0.042534722222222224</x:v>
      </x:c>
      <x:c r="G949" t="n">
        <x:f>F949*86400</x:f>
        <x:v>3675</x:v>
      </x:c>
      <x:c r="H949" t="str">
        <x:f>'Employee Attendance'!J317</x:f>
        <x:v>Partially attended</x:v>
      </x:c>
      <x:c r="I949" t="str">
        <x:f>IF(OR('Employee Attendance'!K317="Yes",'Employee Attendance'!L317="Yes"),"Yes","No")</x:f>
        <x:v>Yes</x:v>
      </x:c>
    </x:row>
    <x:row r="950">
      <x:c r="A950" t="str">
        <x:f>'Employee Attendance'!A318</x:f>
        <x:v>Nilshaad Nowbuth</x:v>
      </x:c>
      <x:c r="B950" t="str">
        <x:f>'Employee Attendance'!B318</x:f>
        <x:v>Mauritius</x:v>
      </x:c>
      <x:c r="C950" t="str">
        <x:f>'Employee Attendance'!C318</x:f>
        <x:v>MU</x:v>
      </x:c>
      <x:c r="D950" t="str">
        <x:f>'Employee Attendance'!D318</x:f>
        <x:v>nilshaad.nowbuth@pwc.com</x:v>
      </x:c>
      <x:c r="E950" t="str">
        <x:f>"Option 1"</x:f>
        <x:v>Option 1</x:v>
      </x:c>
      <x:c r="F950" s="14" t="n">
        <x:f>'Employee Attendance'!E318</x:f>
        <x:v>0</x:v>
      </x:c>
      <x:c r="G950" t="n">
        <x:f>F950*86400</x:f>
        <x:v>0</x:v>
      </x:c>
      <x:c r="H950" t="str">
        <x:f>'Employee Attendance'!F318</x:f>
        <x:v>Did not attend</x:v>
      </x:c>
      <x:c r="I950" t="str">
        <x:f>'Employee Attendance'!K318</x:f>
        <x:v>No</x:v>
      </x:c>
    </x:row>
    <x:row r="951">
      <x:c r="A951" t="str">
        <x:f>'Employee Attendance'!A318</x:f>
        <x:v>Nilshaad Nowbuth</x:v>
      </x:c>
      <x:c r="B951" t="str">
        <x:f>'Employee Attendance'!B318</x:f>
        <x:v>Mauritius</x:v>
      </x:c>
      <x:c r="C951" t="str">
        <x:f>'Employee Attendance'!C318</x:f>
        <x:v>MU</x:v>
      </x:c>
      <x:c r="D951" t="str">
        <x:f>'Employee Attendance'!D318</x:f>
        <x:v>nilshaad.nowbuth@pwc.com</x:v>
      </x:c>
      <x:c r="E951" t="str">
        <x:f>"Option 2"</x:f>
        <x:v>Option 2</x:v>
      </x:c>
      <x:c r="F951" s="14" t="n">
        <x:f>'Employee Attendance'!G318</x:f>
        <x:v>0.08793981481481482</x:v>
      </x:c>
      <x:c r="G951" t="n">
        <x:f>F951*86400</x:f>
        <x:v>7598</x:v>
      </x:c>
      <x:c r="H951" t="str">
        <x:f>'Employee Attendance'!H318</x:f>
        <x:v>Fully attended</x:v>
      </x:c>
      <x:c r="I951" t="str">
        <x:f>'Employee Attendance'!L318</x:f>
        <x:v>Yes</x:v>
      </x:c>
    </x:row>
    <x:row r="952">
      <x:c r="A952" t="str">
        <x:f>'Employee Attendance'!A318</x:f>
        <x:v>Nilshaad Nowbuth</x:v>
      </x:c>
      <x:c r="B952" t="str">
        <x:f>'Employee Attendance'!B318</x:f>
        <x:v>Mauritius</x:v>
      </x:c>
      <x:c r="C952" t="str">
        <x:f>'Employee Attendance'!C318</x:f>
        <x:v>MU</x:v>
      </x:c>
      <x:c r="D952" t="str">
        <x:f>'Employee Attendance'!D318</x:f>
        <x:v>nilshaad.nowbuth@pwc.com</x:v>
      </x:c>
      <x:c r="E952" t="str">
        <x:f>"Combined"</x:f>
        <x:v>Combined</x:v>
      </x:c>
      <x:c r="F952" s="14" t="n">
        <x:f>'Employee Attendance'!I318</x:f>
        <x:v>0.08793981481481482</x:v>
      </x:c>
      <x:c r="G952" t="n">
        <x:f>F952*86400</x:f>
        <x:v>7598</x:v>
      </x:c>
      <x:c r="H952" t="str">
        <x:f>'Employee Attendance'!J318</x:f>
        <x:v>Fully attended</x:v>
      </x:c>
      <x:c r="I952" t="str">
        <x:f>IF(OR('Employee Attendance'!K318="Yes",'Employee Attendance'!L318="Yes"),"Yes","No")</x:f>
        <x:v>Yes</x:v>
      </x:c>
    </x:row>
    <x:row r="953">
      <x:c r="A953" t="str">
        <x:f>'Employee Attendance'!A319</x:f>
        <x:v>Nirvan Bissessur</x:v>
      </x:c>
      <x:c r="B953" t="str">
        <x:f>'Employee Attendance'!B319</x:f>
        <x:v>Mauritius</x:v>
      </x:c>
      <x:c r="C953" t="str">
        <x:f>'Employee Attendance'!C319</x:f>
        <x:v>MU</x:v>
      </x:c>
      <x:c r="D953" t="str">
        <x:f>'Employee Attendance'!D319</x:f>
        <x:v>nirvan.bissessur@pwc.com</x:v>
      </x:c>
      <x:c r="E953" t="str">
        <x:f>"Option 1"</x:f>
        <x:v>Option 1</x:v>
      </x:c>
      <x:c r="F953" s="14" t="n">
        <x:f>'Employee Attendance'!E319</x:f>
        <x:v>0</x:v>
      </x:c>
      <x:c r="G953" t="n">
        <x:f>F953*86400</x:f>
        <x:v>0</x:v>
      </x:c>
      <x:c r="H953" t="str">
        <x:f>'Employee Attendance'!F319</x:f>
        <x:v>Did not attend</x:v>
      </x:c>
      <x:c r="I953" t="str">
        <x:f>'Employee Attendance'!K319</x:f>
        <x:v>No</x:v>
      </x:c>
    </x:row>
    <x:row r="954">
      <x:c r="A954" t="str">
        <x:f>'Employee Attendance'!A319</x:f>
        <x:v>Nirvan Bissessur</x:v>
      </x:c>
      <x:c r="B954" t="str">
        <x:f>'Employee Attendance'!B319</x:f>
        <x:v>Mauritius</x:v>
      </x:c>
      <x:c r="C954" t="str">
        <x:f>'Employee Attendance'!C319</x:f>
        <x:v>MU</x:v>
      </x:c>
      <x:c r="D954" t="str">
        <x:f>'Employee Attendance'!D319</x:f>
        <x:v>nirvan.bissessur@pwc.com</x:v>
      </x:c>
      <x:c r="E954" t="str">
        <x:f>"Option 2"</x:f>
        <x:v>Option 2</x:v>
      </x:c>
      <x:c r="F954" s="14" t="n">
        <x:f>'Employee Attendance'!G319</x:f>
        <x:v>0.014178240740740741</x:v>
      </x:c>
      <x:c r="G954" t="n">
        <x:f>F954*86400</x:f>
        <x:v>1225</x:v>
      </x:c>
      <x:c r="H954" t="str">
        <x:f>'Employee Attendance'!H319</x:f>
        <x:v>Partially attended</x:v>
      </x:c>
      <x:c r="I954" t="str">
        <x:f>'Employee Attendance'!L319</x:f>
        <x:v>Yes</x:v>
      </x:c>
    </x:row>
    <x:row r="955">
      <x:c r="A955" t="str">
        <x:f>'Employee Attendance'!A319</x:f>
        <x:v>Nirvan Bissessur</x:v>
      </x:c>
      <x:c r="B955" t="str">
        <x:f>'Employee Attendance'!B319</x:f>
        <x:v>Mauritius</x:v>
      </x:c>
      <x:c r="C955" t="str">
        <x:f>'Employee Attendance'!C319</x:f>
        <x:v>MU</x:v>
      </x:c>
      <x:c r="D955" t="str">
        <x:f>'Employee Attendance'!D319</x:f>
        <x:v>nirvan.bissessur@pwc.com</x:v>
      </x:c>
      <x:c r="E955" t="str">
        <x:f>"Combined"</x:f>
        <x:v>Combined</x:v>
      </x:c>
      <x:c r="F955" s="14" t="n">
        <x:f>'Employee Attendance'!I319</x:f>
        <x:v>0.014178240740740741</x:v>
      </x:c>
      <x:c r="G955" t="n">
        <x:f>F955*86400</x:f>
        <x:v>1225</x:v>
      </x:c>
      <x:c r="H955" t="str">
        <x:f>'Employee Attendance'!J319</x:f>
        <x:v>Partially attended</x:v>
      </x:c>
      <x:c r="I955" t="str">
        <x:f>IF(OR('Employee Attendance'!K319="Yes",'Employee Attendance'!L319="Yes"),"Yes","No")</x:f>
        <x:v>Yes</x:v>
      </x:c>
    </x:row>
    <x:row r="956">
      <x:c r="A956" t="str">
        <x:f>'Employee Attendance'!A320</x:f>
        <x:v>Nuzhah Beebeejaun</x:v>
      </x:c>
      <x:c r="B956" t="str">
        <x:f>'Employee Attendance'!B320</x:f>
        <x:v>Mauritius</x:v>
      </x:c>
      <x:c r="C956" t="str">
        <x:f>'Employee Attendance'!C320</x:f>
        <x:v>MU</x:v>
      </x:c>
      <x:c r="D956" t="str">
        <x:f>'Employee Attendance'!D320</x:f>
        <x:v>nuzhah.beebeejaun@pwc.com</x:v>
      </x:c>
      <x:c r="E956" t="str">
        <x:f>"Option 1"</x:f>
        <x:v>Option 1</x:v>
      </x:c>
      <x:c r="F956" s="14" t="n">
        <x:f>'Employee Attendance'!E320</x:f>
        <x:v>0</x:v>
      </x:c>
      <x:c r="G956" t="n">
        <x:f>F956*86400</x:f>
        <x:v>0</x:v>
      </x:c>
      <x:c r="H956" t="str">
        <x:f>'Employee Attendance'!F320</x:f>
        <x:v>Did not attend</x:v>
      </x:c>
      <x:c r="I956" t="str">
        <x:f>'Employee Attendance'!K320</x:f>
        <x:v>No</x:v>
      </x:c>
    </x:row>
    <x:row r="957">
      <x:c r="A957" t="str">
        <x:f>'Employee Attendance'!A320</x:f>
        <x:v>Nuzhah Beebeejaun</x:v>
      </x:c>
      <x:c r="B957" t="str">
        <x:f>'Employee Attendance'!B320</x:f>
        <x:v>Mauritius</x:v>
      </x:c>
      <x:c r="C957" t="str">
        <x:f>'Employee Attendance'!C320</x:f>
        <x:v>MU</x:v>
      </x:c>
      <x:c r="D957" t="str">
        <x:f>'Employee Attendance'!D320</x:f>
        <x:v>nuzhah.beebeejaun@pwc.com</x:v>
      </x:c>
      <x:c r="E957" t="str">
        <x:f>"Option 2"</x:f>
        <x:v>Option 2</x:v>
      </x:c>
      <x:c r="F957" s="14" t="n">
        <x:f>'Employee Attendance'!G320</x:f>
        <x:v>0.09101851851851851</x:v>
      </x:c>
      <x:c r="G957" t="n">
        <x:f>F957*86400</x:f>
        <x:v>7863.999999999999</x:v>
      </x:c>
      <x:c r="H957" t="str">
        <x:f>'Employee Attendance'!H320</x:f>
        <x:v>Fully attended</x:v>
      </x:c>
      <x:c r="I957" t="str">
        <x:f>'Employee Attendance'!L320</x:f>
        <x:v>Yes</x:v>
      </x:c>
    </x:row>
    <x:row r="958">
      <x:c r="A958" t="str">
        <x:f>'Employee Attendance'!A320</x:f>
        <x:v>Nuzhah Beebeejaun</x:v>
      </x:c>
      <x:c r="B958" t="str">
        <x:f>'Employee Attendance'!B320</x:f>
        <x:v>Mauritius</x:v>
      </x:c>
      <x:c r="C958" t="str">
        <x:f>'Employee Attendance'!C320</x:f>
        <x:v>MU</x:v>
      </x:c>
      <x:c r="D958" t="str">
        <x:f>'Employee Attendance'!D320</x:f>
        <x:v>nuzhah.beebeejaun@pwc.com</x:v>
      </x:c>
      <x:c r="E958" t="str">
        <x:f>"Combined"</x:f>
        <x:v>Combined</x:v>
      </x:c>
      <x:c r="F958" s="14" t="n">
        <x:f>'Employee Attendance'!I320</x:f>
        <x:v>0.09101851851851851</x:v>
      </x:c>
      <x:c r="G958" t="n">
        <x:f>F958*86400</x:f>
        <x:v>7863.999999999999</x:v>
      </x:c>
      <x:c r="H958" t="str">
        <x:f>'Employee Attendance'!J320</x:f>
        <x:v>Fully attended</x:v>
      </x:c>
      <x:c r="I958" t="str">
        <x:f>IF(OR('Employee Attendance'!K320="Yes",'Employee Attendance'!L320="Yes"),"Yes","No")</x:f>
        <x:v>Yes</x:v>
      </x:c>
    </x:row>
    <x:row r="959">
      <x:c r="A959" t="str">
        <x:f>'Employee Attendance'!A321</x:f>
        <x:v>Nuzhah Dilmohamed</x:v>
      </x:c>
      <x:c r="B959" t="str">
        <x:f>'Employee Attendance'!B321</x:f>
        <x:v>Mauritius</x:v>
      </x:c>
      <x:c r="C959" t="str">
        <x:f>'Employee Attendance'!C321</x:f>
        <x:v>MU</x:v>
      </x:c>
      <x:c r="D959" t="str">
        <x:f>'Employee Attendance'!D321</x:f>
        <x:v>nuzhah.dilmohamed@pwc.com</x:v>
      </x:c>
      <x:c r="E959" t="str">
        <x:f>"Option 1"</x:f>
        <x:v>Option 1</x:v>
      </x:c>
      <x:c r="F959" s="14" t="n">
        <x:f>'Employee Attendance'!E321</x:f>
        <x:v>0</x:v>
      </x:c>
      <x:c r="G959" t="n">
        <x:f>F959*86400</x:f>
        <x:v>0</x:v>
      </x:c>
      <x:c r="H959" t="str">
        <x:f>'Employee Attendance'!F321</x:f>
        <x:v>Did not attend</x:v>
      </x:c>
      <x:c r="I959" t="str">
        <x:f>'Employee Attendance'!K321</x:f>
        <x:v>No</x:v>
      </x:c>
    </x:row>
    <x:row r="960">
      <x:c r="A960" t="str">
        <x:f>'Employee Attendance'!A321</x:f>
        <x:v>Nuzhah Dilmohamed</x:v>
      </x:c>
      <x:c r="B960" t="str">
        <x:f>'Employee Attendance'!B321</x:f>
        <x:v>Mauritius</x:v>
      </x:c>
      <x:c r="C960" t="str">
        <x:f>'Employee Attendance'!C321</x:f>
        <x:v>MU</x:v>
      </x:c>
      <x:c r="D960" t="str">
        <x:f>'Employee Attendance'!D321</x:f>
        <x:v>nuzhah.dilmohamed@pwc.com</x:v>
      </x:c>
      <x:c r="E960" t="str">
        <x:f>"Option 2"</x:f>
        <x:v>Option 2</x:v>
      </x:c>
      <x:c r="F960" s="14" t="n">
        <x:f>'Employee Attendance'!G321</x:f>
        <x:v>0</x:v>
      </x:c>
      <x:c r="G960" t="n">
        <x:f>F960*86400</x:f>
        <x:v>0</x:v>
      </x:c>
      <x:c r="H960" t="str">
        <x:f>'Employee Attendance'!H321</x:f>
        <x:v>Did not attend</x:v>
      </x:c>
      <x:c r="I960" t="str">
        <x:f>'Employee Attendance'!L321</x:f>
        <x:v>No</x:v>
      </x:c>
    </x:row>
    <x:row r="961">
      <x:c r="A961" t="str">
        <x:f>'Employee Attendance'!A321</x:f>
        <x:v>Nuzhah Dilmohamed</x:v>
      </x:c>
      <x:c r="B961" t="str">
        <x:f>'Employee Attendance'!B321</x:f>
        <x:v>Mauritius</x:v>
      </x:c>
      <x:c r="C961" t="str">
        <x:f>'Employee Attendance'!C321</x:f>
        <x:v>MU</x:v>
      </x:c>
      <x:c r="D961" t="str">
        <x:f>'Employee Attendance'!D321</x:f>
        <x:v>nuzhah.dilmohamed@pwc.com</x:v>
      </x:c>
      <x:c r="E961" t="str">
        <x:f>"Combined"</x:f>
        <x:v>Combined</x:v>
      </x:c>
      <x:c r="F961" s="14" t="n">
        <x:f>'Employee Attendance'!I321</x:f>
        <x:v>0</x:v>
      </x:c>
      <x:c r="G961" t="n">
        <x:f>F961*86400</x:f>
        <x:v>0</x:v>
      </x:c>
      <x:c r="H961" t="str">
        <x:f>'Employee Attendance'!J321</x:f>
        <x:v>Did not attend</x:v>
      </x:c>
      <x:c r="I961" t="str">
        <x:f>IF(OR('Employee Attendance'!K321="Yes",'Employee Attendance'!L321="Yes"),"Yes","No")</x:f>
        <x:v>No</x:v>
      </x:c>
    </x:row>
    <x:row r="962">
      <x:c r="A962" t="str">
        <x:f>'Employee Attendance'!A322</x:f>
        <x:v>Nuzhah Rosun</x:v>
      </x:c>
      <x:c r="B962" t="str">
        <x:f>'Employee Attendance'!B322</x:f>
        <x:v>Mauritius</x:v>
      </x:c>
      <x:c r="C962" t="str">
        <x:f>'Employee Attendance'!C322</x:f>
        <x:v>MU</x:v>
      </x:c>
      <x:c r="D962" t="str">
        <x:f>'Employee Attendance'!D322</x:f>
        <x:v>nuzhah.r.rosun@pwc.com</x:v>
      </x:c>
      <x:c r="E962" t="str">
        <x:f>"Option 1"</x:f>
        <x:v>Option 1</x:v>
      </x:c>
      <x:c r="F962" s="14" t="n">
        <x:f>'Employee Attendance'!E322</x:f>
        <x:v>0.07793981481481481</x:v>
      </x:c>
      <x:c r="G962" t="n">
        <x:f>F962*86400</x:f>
        <x:v>6733.999999999999</x:v>
      </x:c>
      <x:c r="H962" t="str">
        <x:f>'Employee Attendance'!F322</x:f>
        <x:v>Fully attended</x:v>
      </x:c>
      <x:c r="I962" t="str">
        <x:f>'Employee Attendance'!K322</x:f>
        <x:v>Yes</x:v>
      </x:c>
    </x:row>
    <x:row r="963">
      <x:c r="A963" t="str">
        <x:f>'Employee Attendance'!A322</x:f>
        <x:v>Nuzhah Rosun</x:v>
      </x:c>
      <x:c r="B963" t="str">
        <x:f>'Employee Attendance'!B322</x:f>
        <x:v>Mauritius</x:v>
      </x:c>
      <x:c r="C963" t="str">
        <x:f>'Employee Attendance'!C322</x:f>
        <x:v>MU</x:v>
      </x:c>
      <x:c r="D963" t="str">
        <x:f>'Employee Attendance'!D322</x:f>
        <x:v>nuzhah.r.rosun@pwc.com</x:v>
      </x:c>
      <x:c r="E963" t="str">
        <x:f>"Option 2"</x:f>
        <x:v>Option 2</x:v>
      </x:c>
      <x:c r="F963" s="14" t="n">
        <x:f>'Employee Attendance'!G322</x:f>
        <x:v>0</x:v>
      </x:c>
      <x:c r="G963" t="n">
        <x:f>F963*86400</x:f>
        <x:v>0</x:v>
      </x:c>
      <x:c r="H963" t="str">
        <x:f>'Employee Attendance'!H322</x:f>
        <x:v>Did not attend</x:v>
      </x:c>
      <x:c r="I963" t="str">
        <x:f>'Employee Attendance'!L322</x:f>
        <x:v>No</x:v>
      </x:c>
    </x:row>
    <x:row r="964">
      <x:c r="A964" t="str">
        <x:f>'Employee Attendance'!A322</x:f>
        <x:v>Nuzhah Rosun</x:v>
      </x:c>
      <x:c r="B964" t="str">
        <x:f>'Employee Attendance'!B322</x:f>
        <x:v>Mauritius</x:v>
      </x:c>
      <x:c r="C964" t="str">
        <x:f>'Employee Attendance'!C322</x:f>
        <x:v>MU</x:v>
      </x:c>
      <x:c r="D964" t="str">
        <x:f>'Employee Attendance'!D322</x:f>
        <x:v>nuzhah.r.rosun@pwc.com</x:v>
      </x:c>
      <x:c r="E964" t="str">
        <x:f>"Combined"</x:f>
        <x:v>Combined</x:v>
      </x:c>
      <x:c r="F964" s="14" t="n">
        <x:f>'Employee Attendance'!I322</x:f>
        <x:v>0.07793981481481481</x:v>
      </x:c>
      <x:c r="G964" t="n">
        <x:f>F964*86400</x:f>
        <x:v>6733.999999999999</x:v>
      </x:c>
      <x:c r="H964" t="str">
        <x:f>'Employee Attendance'!J322</x:f>
        <x:v>Fully attended</x:v>
      </x:c>
      <x:c r="I964" t="str">
        <x:f>IF(OR('Employee Attendance'!K322="Yes",'Employee Attendance'!L322="Yes"),"Yes","No")</x:f>
        <x:v>Yes</x:v>
      </x:c>
    </x:row>
    <x:row r="965">
      <x:c r="A965" t="str">
        <x:f>'Employee Attendance'!A323</x:f>
        <x:v>Nyangi Waweru</x:v>
      </x:c>
      <x:c r="B965" t="str">
        <x:f>'Employee Attendance'!B323</x:f>
        <x:v>Tanzania</x:v>
      </x:c>
      <x:c r="C965" t="str">
        <x:f>'Employee Attendance'!C323</x:f>
        <x:v>TZ</x:v>
      </x:c>
      <x:c r="D965" t="str">
        <x:f>'Employee Attendance'!D323</x:f>
        <x:v>nyangi.w.waweru@pwc.com</x:v>
      </x:c>
      <x:c r="E965" t="str">
        <x:f>"Option 1"</x:f>
        <x:v>Option 1</x:v>
      </x:c>
      <x:c r="F965" s="14" t="n">
        <x:f>'Employee Attendance'!E323</x:f>
        <x:v>0</x:v>
      </x:c>
      <x:c r="G965" t="n">
        <x:f>F965*86400</x:f>
        <x:v>0</x:v>
      </x:c>
      <x:c r="H965" t="str">
        <x:f>'Employee Attendance'!F323</x:f>
        <x:v>Did not attend</x:v>
      </x:c>
      <x:c r="I965" t="str">
        <x:f>'Employee Attendance'!K323</x:f>
        <x:v>No</x:v>
      </x:c>
    </x:row>
    <x:row r="966">
      <x:c r="A966" t="str">
        <x:f>'Employee Attendance'!A323</x:f>
        <x:v>Nyangi Waweru</x:v>
      </x:c>
      <x:c r="B966" t="str">
        <x:f>'Employee Attendance'!B323</x:f>
        <x:v>Tanzania</x:v>
      </x:c>
      <x:c r="C966" t="str">
        <x:f>'Employee Attendance'!C323</x:f>
        <x:v>TZ</x:v>
      </x:c>
      <x:c r="D966" t="str">
        <x:f>'Employee Attendance'!D323</x:f>
        <x:v>nyangi.w.waweru@pwc.com</x:v>
      </x:c>
      <x:c r="E966" t="str">
        <x:f>"Option 2"</x:f>
        <x:v>Option 2</x:v>
      </x:c>
      <x:c r="F966" s="14" t="n">
        <x:f>'Employee Attendance'!G323</x:f>
        <x:v>0</x:v>
      </x:c>
      <x:c r="G966" t="n">
        <x:f>F966*86400</x:f>
        <x:v>0</x:v>
      </x:c>
      <x:c r="H966" t="str">
        <x:f>'Employee Attendance'!H323</x:f>
        <x:v>Did not attend</x:v>
      </x:c>
      <x:c r="I966" t="str">
        <x:f>'Employee Attendance'!L323</x:f>
        <x:v>No</x:v>
      </x:c>
    </x:row>
    <x:row r="967">
      <x:c r="A967" t="str">
        <x:f>'Employee Attendance'!A323</x:f>
        <x:v>Nyangi Waweru</x:v>
      </x:c>
      <x:c r="B967" t="str">
        <x:f>'Employee Attendance'!B323</x:f>
        <x:v>Tanzania</x:v>
      </x:c>
      <x:c r="C967" t="str">
        <x:f>'Employee Attendance'!C323</x:f>
        <x:v>TZ</x:v>
      </x:c>
      <x:c r="D967" t="str">
        <x:f>'Employee Attendance'!D323</x:f>
        <x:v>nyangi.w.waweru@pwc.com</x:v>
      </x:c>
      <x:c r="E967" t="str">
        <x:f>"Combined"</x:f>
        <x:v>Combined</x:v>
      </x:c>
      <x:c r="F967" s="14" t="n">
        <x:f>'Employee Attendance'!I323</x:f>
        <x:v>0</x:v>
      </x:c>
      <x:c r="G967" t="n">
        <x:f>F967*86400</x:f>
        <x:v>0</x:v>
      </x:c>
      <x:c r="H967" t="str">
        <x:f>'Employee Attendance'!J323</x:f>
        <x:v>Did not attend</x:v>
      </x:c>
      <x:c r="I967" t="str">
        <x:f>IF(OR('Employee Attendance'!K323="Yes",'Employee Attendance'!L323="Yes"),"Yes","No")</x:f>
        <x:v>No</x:v>
      </x:c>
    </x:row>
    <x:row r="968">
      <x:c r="A968" t="str">
        <x:f>'Employee Attendance'!A324</x:f>
        <x:v>Nyongesa Odhiambo</x:v>
      </x:c>
      <x:c r="B968" t="str">
        <x:f>'Employee Attendance'!B324</x:f>
        <x:v>Kenya</x:v>
      </x:c>
      <x:c r="C968" t="str">
        <x:f>'Employee Attendance'!C324</x:f>
        <x:v>KE</x:v>
      </x:c>
      <x:c r="D968" t="str">
        <x:f>'Employee Attendance'!D324</x:f>
        <x:v>nyongesa.odhiambo@pwc.com</x:v>
      </x:c>
      <x:c r="E968" t="str">
        <x:f>"Option 1"</x:f>
        <x:v>Option 1</x:v>
      </x:c>
      <x:c r="F968" s="14" t="n">
        <x:f>'Employee Attendance'!E324</x:f>
        <x:v>0.08196759259259259</x:v>
      </x:c>
      <x:c r="G968" t="n">
        <x:f>F968*86400</x:f>
        <x:v>7082</x:v>
      </x:c>
      <x:c r="H968" t="str">
        <x:f>'Employee Attendance'!F324</x:f>
        <x:v>Fully attended</x:v>
      </x:c>
      <x:c r="I968" t="str">
        <x:f>'Employee Attendance'!K324</x:f>
        <x:v>Yes</x:v>
      </x:c>
    </x:row>
    <x:row r="969">
      <x:c r="A969" t="str">
        <x:f>'Employee Attendance'!A324</x:f>
        <x:v>Nyongesa Odhiambo</x:v>
      </x:c>
      <x:c r="B969" t="str">
        <x:f>'Employee Attendance'!B324</x:f>
        <x:v>Kenya</x:v>
      </x:c>
      <x:c r="C969" t="str">
        <x:f>'Employee Attendance'!C324</x:f>
        <x:v>KE</x:v>
      </x:c>
      <x:c r="D969" t="str">
        <x:f>'Employee Attendance'!D324</x:f>
        <x:v>nyongesa.odhiambo@pwc.com</x:v>
      </x:c>
      <x:c r="E969" t="str">
        <x:f>"Option 2"</x:f>
        <x:v>Option 2</x:v>
      </x:c>
      <x:c r="F969" s="14" t="n">
        <x:f>'Employee Attendance'!G324</x:f>
        <x:v>0</x:v>
      </x:c>
      <x:c r="G969" t="n">
        <x:f>F969*86400</x:f>
        <x:v>0</x:v>
      </x:c>
      <x:c r="H969" t="str">
        <x:f>'Employee Attendance'!H324</x:f>
        <x:v>Did not attend</x:v>
      </x:c>
      <x:c r="I969" t="str">
        <x:f>'Employee Attendance'!L324</x:f>
        <x:v>No</x:v>
      </x:c>
    </x:row>
    <x:row r="970">
      <x:c r="A970" t="str">
        <x:f>'Employee Attendance'!A324</x:f>
        <x:v>Nyongesa Odhiambo</x:v>
      </x:c>
      <x:c r="B970" t="str">
        <x:f>'Employee Attendance'!B324</x:f>
        <x:v>Kenya</x:v>
      </x:c>
      <x:c r="C970" t="str">
        <x:f>'Employee Attendance'!C324</x:f>
        <x:v>KE</x:v>
      </x:c>
      <x:c r="D970" t="str">
        <x:f>'Employee Attendance'!D324</x:f>
        <x:v>nyongesa.odhiambo@pwc.com</x:v>
      </x:c>
      <x:c r="E970" t="str">
        <x:f>"Combined"</x:f>
        <x:v>Combined</x:v>
      </x:c>
      <x:c r="F970" s="14" t="n">
        <x:f>'Employee Attendance'!I324</x:f>
        <x:v>0.08196759259259259</x:v>
      </x:c>
      <x:c r="G970" t="n">
        <x:f>F970*86400</x:f>
        <x:v>7082</x:v>
      </x:c>
      <x:c r="H970" t="str">
        <x:f>'Employee Attendance'!J324</x:f>
        <x:v>Fully attended</x:v>
      </x:c>
      <x:c r="I970" t="str">
        <x:f>IF(OR('Employee Attendance'!K324="Yes",'Employee Attendance'!L324="Yes"),"Yes","No")</x:f>
        <x:v>Yes</x:v>
      </x:c>
    </x:row>
    <x:row r="971">
      <x:c r="A971" t="str">
        <x:f>'Employee Attendance'!A325</x:f>
        <x:v>Obed Manunshu</x:v>
      </x:c>
      <x:c r="B971" t="str">
        <x:f>'Employee Attendance'!B325</x:f>
        <x:v>Tanzania</x:v>
      </x:c>
      <x:c r="C971" t="str">
        <x:f>'Employee Attendance'!C325</x:f>
        <x:v>TZ</x:v>
      </x:c>
      <x:c r="D971" t="str">
        <x:f>'Employee Attendance'!D325</x:f>
        <x:v>obed.manunshu@pwc.com</x:v>
      </x:c>
      <x:c r="E971" t="str">
        <x:f>"Option 1"</x:f>
        <x:v>Option 1</x:v>
      </x:c>
      <x:c r="F971" s="14" t="n">
        <x:f>'Employee Attendance'!E325</x:f>
        <x:v>0</x:v>
      </x:c>
      <x:c r="G971" t="n">
        <x:f>F971*86400</x:f>
        <x:v>0</x:v>
      </x:c>
      <x:c r="H971" t="str">
        <x:f>'Employee Attendance'!F325</x:f>
        <x:v>Did not attend</x:v>
      </x:c>
      <x:c r="I971" t="str">
        <x:f>'Employee Attendance'!K325</x:f>
        <x:v>No</x:v>
      </x:c>
    </x:row>
    <x:row r="972">
      <x:c r="A972" t="str">
        <x:f>'Employee Attendance'!A325</x:f>
        <x:v>Obed Manunshu</x:v>
      </x:c>
      <x:c r="B972" t="str">
        <x:f>'Employee Attendance'!B325</x:f>
        <x:v>Tanzania</x:v>
      </x:c>
      <x:c r="C972" t="str">
        <x:f>'Employee Attendance'!C325</x:f>
        <x:v>TZ</x:v>
      </x:c>
      <x:c r="D972" t="str">
        <x:f>'Employee Attendance'!D325</x:f>
        <x:v>obed.manunshu@pwc.com</x:v>
      </x:c>
      <x:c r="E972" t="str">
        <x:f>"Option 2"</x:f>
        <x:v>Option 2</x:v>
      </x:c>
      <x:c r="F972" s="14" t="n">
        <x:f>'Employee Attendance'!G325</x:f>
        <x:v>0.08475694444444444</x:v>
      </x:c>
      <x:c r="G972" t="n">
        <x:f>F972*86400</x:f>
        <x:v>7323</x:v>
      </x:c>
      <x:c r="H972" t="str">
        <x:f>'Employee Attendance'!H325</x:f>
        <x:v>Fully attended</x:v>
      </x:c>
      <x:c r="I972" t="str">
        <x:f>'Employee Attendance'!L325</x:f>
        <x:v>Yes</x:v>
      </x:c>
    </x:row>
    <x:row r="973">
      <x:c r="A973" t="str">
        <x:f>'Employee Attendance'!A325</x:f>
        <x:v>Obed Manunshu</x:v>
      </x:c>
      <x:c r="B973" t="str">
        <x:f>'Employee Attendance'!B325</x:f>
        <x:v>Tanzania</x:v>
      </x:c>
      <x:c r="C973" t="str">
        <x:f>'Employee Attendance'!C325</x:f>
        <x:v>TZ</x:v>
      </x:c>
      <x:c r="D973" t="str">
        <x:f>'Employee Attendance'!D325</x:f>
        <x:v>obed.manunshu@pwc.com</x:v>
      </x:c>
      <x:c r="E973" t="str">
        <x:f>"Combined"</x:f>
        <x:v>Combined</x:v>
      </x:c>
      <x:c r="F973" s="14" t="n">
        <x:f>'Employee Attendance'!I325</x:f>
        <x:v>0.08475694444444444</x:v>
      </x:c>
      <x:c r="G973" t="n">
        <x:f>F973*86400</x:f>
        <x:v>7323</x:v>
      </x:c>
      <x:c r="H973" t="str">
        <x:f>'Employee Attendance'!J325</x:f>
        <x:v>Fully attended</x:v>
      </x:c>
      <x:c r="I973" t="str">
        <x:f>IF(OR('Employee Attendance'!K325="Yes",'Employee Attendance'!L325="Yes"),"Yes","No")</x:f>
        <x:v>Yes</x:v>
      </x:c>
    </x:row>
    <x:row r="974">
      <x:c r="A974" t="str">
        <x:f>'Employee Attendance'!A326</x:f>
        <x:v>Olivier Rey</x:v>
      </x:c>
      <x:c r="B974" t="str">
        <x:f>'Employee Attendance'!B326</x:f>
        <x:v>Mauritius</x:v>
      </x:c>
      <x:c r="C974" t="str">
        <x:f>'Employee Attendance'!C326</x:f>
        <x:v>MU</x:v>
      </x:c>
      <x:c r="D974" t="str">
        <x:f>'Employee Attendance'!D326</x:f>
        <x:v>olivier.rey@pwc.com</x:v>
      </x:c>
      <x:c r="E974" t="str">
        <x:f>"Option 1"</x:f>
        <x:v>Option 1</x:v>
      </x:c>
      <x:c r="F974" s="14" t="n">
        <x:f>'Employee Attendance'!E326</x:f>
        <x:v>0</x:v>
      </x:c>
      <x:c r="G974" t="n">
        <x:f>F974*86400</x:f>
        <x:v>0</x:v>
      </x:c>
      <x:c r="H974" t="str">
        <x:f>'Employee Attendance'!F326</x:f>
        <x:v>Did not attend</x:v>
      </x:c>
      <x:c r="I974" t="str">
        <x:f>'Employee Attendance'!K326</x:f>
        <x:v>No</x:v>
      </x:c>
    </x:row>
    <x:row r="975">
      <x:c r="A975" t="str">
        <x:f>'Employee Attendance'!A326</x:f>
        <x:v>Olivier Rey</x:v>
      </x:c>
      <x:c r="B975" t="str">
        <x:f>'Employee Attendance'!B326</x:f>
        <x:v>Mauritius</x:v>
      </x:c>
      <x:c r="C975" t="str">
        <x:f>'Employee Attendance'!C326</x:f>
        <x:v>MU</x:v>
      </x:c>
      <x:c r="D975" t="str">
        <x:f>'Employee Attendance'!D326</x:f>
        <x:v>olivier.rey@pwc.com</x:v>
      </x:c>
      <x:c r="E975" t="str">
        <x:f>"Option 2"</x:f>
        <x:v>Option 2</x:v>
      </x:c>
      <x:c r="F975" s="14" t="n">
        <x:f>'Employee Attendance'!G326</x:f>
        <x:v>0.0022453703703703702</x:v>
      </x:c>
      <x:c r="G975" t="n">
        <x:f>F975*86400</x:f>
        <x:v>194</x:v>
      </x:c>
      <x:c r="H975" t="str">
        <x:f>'Employee Attendance'!H326</x:f>
        <x:v>Partially attended</x:v>
      </x:c>
      <x:c r="I975" t="str">
        <x:f>'Employee Attendance'!L326</x:f>
        <x:v>Yes</x:v>
      </x:c>
    </x:row>
    <x:row r="976">
      <x:c r="A976" t="str">
        <x:f>'Employee Attendance'!A326</x:f>
        <x:v>Olivier Rey</x:v>
      </x:c>
      <x:c r="B976" t="str">
        <x:f>'Employee Attendance'!B326</x:f>
        <x:v>Mauritius</x:v>
      </x:c>
      <x:c r="C976" t="str">
        <x:f>'Employee Attendance'!C326</x:f>
        <x:v>MU</x:v>
      </x:c>
      <x:c r="D976" t="str">
        <x:f>'Employee Attendance'!D326</x:f>
        <x:v>olivier.rey@pwc.com</x:v>
      </x:c>
      <x:c r="E976" t="str">
        <x:f>"Combined"</x:f>
        <x:v>Combined</x:v>
      </x:c>
      <x:c r="F976" s="14" t="n">
        <x:f>'Employee Attendance'!I326</x:f>
        <x:v>0.0022453703703703702</x:v>
      </x:c>
      <x:c r="G976" t="n">
        <x:f>F976*86400</x:f>
        <x:v>194</x:v>
      </x:c>
      <x:c r="H976" t="str">
        <x:f>'Employee Attendance'!J326</x:f>
        <x:v>Partially attended</x:v>
      </x:c>
      <x:c r="I976" t="str">
        <x:f>IF(OR('Employee Attendance'!K326="Yes",'Employee Attendance'!L326="Yes"),"Yes","No")</x:f>
        <x:v>Yes</x:v>
      </x:c>
    </x:row>
    <x:row r="977">
      <x:c r="A977" t="str">
        <x:f>'Employee Attendance'!A327</x:f>
        <x:v>Pallavee Narrainen</x:v>
      </x:c>
      <x:c r="B977" t="str">
        <x:f>'Employee Attendance'!B327</x:f>
        <x:v>Mauritius</x:v>
      </x:c>
      <x:c r="C977" t="str">
        <x:f>'Employee Attendance'!C327</x:f>
        <x:v>MU</x:v>
      </x:c>
      <x:c r="D977" t="str">
        <x:f>'Employee Attendance'!D327</x:f>
        <x:v>pallavee.narrainen@pwc.com</x:v>
      </x:c>
      <x:c r="E977" t="str">
        <x:f>"Option 1"</x:f>
        <x:v>Option 1</x:v>
      </x:c>
      <x:c r="F977" s="14" t="n">
        <x:f>'Employee Attendance'!E327</x:f>
        <x:v>0</x:v>
      </x:c>
      <x:c r="G977" t="n">
        <x:f>F977*86400</x:f>
        <x:v>0</x:v>
      </x:c>
      <x:c r="H977" t="str">
        <x:f>'Employee Attendance'!F327</x:f>
        <x:v>Did not attend</x:v>
      </x:c>
      <x:c r="I977" t="str">
        <x:f>'Employee Attendance'!K327</x:f>
        <x:v>No</x:v>
      </x:c>
    </x:row>
    <x:row r="978">
      <x:c r="A978" t="str">
        <x:f>'Employee Attendance'!A327</x:f>
        <x:v>Pallavee Narrainen</x:v>
      </x:c>
      <x:c r="B978" t="str">
        <x:f>'Employee Attendance'!B327</x:f>
        <x:v>Mauritius</x:v>
      </x:c>
      <x:c r="C978" t="str">
        <x:f>'Employee Attendance'!C327</x:f>
        <x:v>MU</x:v>
      </x:c>
      <x:c r="D978" t="str">
        <x:f>'Employee Attendance'!D327</x:f>
        <x:v>pallavee.narrainen@pwc.com</x:v>
      </x:c>
      <x:c r="E978" t="str">
        <x:f>"Option 2"</x:f>
        <x:v>Option 2</x:v>
      </x:c>
      <x:c r="F978" s="14" t="n">
        <x:f>'Employee Attendance'!G327</x:f>
        <x:v>0.08674768518518519</x:v>
      </x:c>
      <x:c r="G978" t="n">
        <x:f>F978*86400</x:f>
        <x:v>7495.000000000001</x:v>
      </x:c>
      <x:c r="H978" t="str">
        <x:f>'Employee Attendance'!H327</x:f>
        <x:v>Fully attended</x:v>
      </x:c>
      <x:c r="I978" t="str">
        <x:f>'Employee Attendance'!L327</x:f>
        <x:v>Yes</x:v>
      </x:c>
    </x:row>
    <x:row r="979">
      <x:c r="A979" t="str">
        <x:f>'Employee Attendance'!A327</x:f>
        <x:v>Pallavee Narrainen</x:v>
      </x:c>
      <x:c r="B979" t="str">
        <x:f>'Employee Attendance'!B327</x:f>
        <x:v>Mauritius</x:v>
      </x:c>
      <x:c r="C979" t="str">
        <x:f>'Employee Attendance'!C327</x:f>
        <x:v>MU</x:v>
      </x:c>
      <x:c r="D979" t="str">
        <x:f>'Employee Attendance'!D327</x:f>
        <x:v>pallavee.narrainen@pwc.com</x:v>
      </x:c>
      <x:c r="E979" t="str">
        <x:f>"Combined"</x:f>
        <x:v>Combined</x:v>
      </x:c>
      <x:c r="F979" s="14" t="n">
        <x:f>'Employee Attendance'!I327</x:f>
        <x:v>0.08674768518518519</x:v>
      </x:c>
      <x:c r="G979" t="n">
        <x:f>F979*86400</x:f>
        <x:v>7495.000000000001</x:v>
      </x:c>
      <x:c r="H979" t="str">
        <x:f>'Employee Attendance'!J327</x:f>
        <x:v>Fully attended</x:v>
      </x:c>
      <x:c r="I979" t="str">
        <x:f>IF(OR('Employee Attendance'!K327="Yes",'Employee Attendance'!L327="Yes"),"Yes","No")</x:f>
        <x:v>Yes</x:v>
      </x:c>
    </x:row>
    <x:row r="980">
      <x:c r="A980" t="str">
        <x:f>'Employee Attendance'!A328</x:f>
        <x:v>Patience Namugenyi</x:v>
      </x:c>
      <x:c r="B980" t="str">
        <x:f>'Employee Attendance'!B328</x:f>
        <x:v>Uganda</x:v>
      </x:c>
      <x:c r="C980" t="str">
        <x:f>'Employee Attendance'!C328</x:f>
        <x:v>UG</x:v>
      </x:c>
      <x:c r="D980" t="str">
        <x:f>'Employee Attendance'!D328</x:f>
        <x:v>patience.namugenyi@pwc.com</x:v>
      </x:c>
      <x:c r="E980" t="str">
        <x:f>"Option 1"</x:f>
        <x:v>Option 1</x:v>
      </x:c>
      <x:c r="F980" s="14" t="n">
        <x:f>'Employee Attendance'!E328</x:f>
        <x:v>0</x:v>
      </x:c>
      <x:c r="G980" t="n">
        <x:f>F980*86400</x:f>
        <x:v>0</x:v>
      </x:c>
      <x:c r="H980" t="str">
        <x:f>'Employee Attendance'!F328</x:f>
        <x:v>Did not attend</x:v>
      </x:c>
      <x:c r="I980" t="str">
        <x:f>'Employee Attendance'!K328</x:f>
        <x:v>No</x:v>
      </x:c>
    </x:row>
    <x:row r="981">
      <x:c r="A981" t="str">
        <x:f>'Employee Attendance'!A328</x:f>
        <x:v>Patience Namugenyi</x:v>
      </x:c>
      <x:c r="B981" t="str">
        <x:f>'Employee Attendance'!B328</x:f>
        <x:v>Uganda</x:v>
      </x:c>
      <x:c r="C981" t="str">
        <x:f>'Employee Attendance'!C328</x:f>
        <x:v>UG</x:v>
      </x:c>
      <x:c r="D981" t="str">
        <x:f>'Employee Attendance'!D328</x:f>
        <x:v>patience.namugenyi@pwc.com</x:v>
      </x:c>
      <x:c r="E981" t="str">
        <x:f>"Option 2"</x:f>
        <x:v>Option 2</x:v>
      </x:c>
      <x:c r="F981" s="14" t="n">
        <x:f>'Employee Attendance'!G328</x:f>
        <x:v>0.0874074074074074</x:v>
      </x:c>
      <x:c r="G981" t="n">
        <x:f>F981*86400</x:f>
        <x:v>7552</x:v>
      </x:c>
      <x:c r="H981" t="str">
        <x:f>'Employee Attendance'!H328</x:f>
        <x:v>Fully attended</x:v>
      </x:c>
      <x:c r="I981" t="str">
        <x:f>'Employee Attendance'!L328</x:f>
        <x:v>Yes</x:v>
      </x:c>
    </x:row>
    <x:row r="982">
      <x:c r="A982" t="str">
        <x:f>'Employee Attendance'!A328</x:f>
        <x:v>Patience Namugenyi</x:v>
      </x:c>
      <x:c r="B982" t="str">
        <x:f>'Employee Attendance'!B328</x:f>
        <x:v>Uganda</x:v>
      </x:c>
      <x:c r="C982" t="str">
        <x:f>'Employee Attendance'!C328</x:f>
        <x:v>UG</x:v>
      </x:c>
      <x:c r="D982" t="str">
        <x:f>'Employee Attendance'!D328</x:f>
        <x:v>patience.namugenyi@pwc.com</x:v>
      </x:c>
      <x:c r="E982" t="str">
        <x:f>"Combined"</x:f>
        <x:v>Combined</x:v>
      </x:c>
      <x:c r="F982" s="14" t="n">
        <x:f>'Employee Attendance'!I328</x:f>
        <x:v>0.0874074074074074</x:v>
      </x:c>
      <x:c r="G982" t="n">
        <x:f>F982*86400</x:f>
        <x:v>7552</x:v>
      </x:c>
      <x:c r="H982" t="str">
        <x:f>'Employee Attendance'!J328</x:f>
        <x:v>Fully attended</x:v>
      </x:c>
      <x:c r="I982" t="str">
        <x:f>IF(OR('Employee Attendance'!K328="Yes",'Employee Attendance'!L328="Yes"),"Yes","No")</x:f>
        <x:v>Yes</x:v>
      </x:c>
    </x:row>
    <x:row r="983">
      <x:c r="A983" t="str">
        <x:f>'Employee Attendance'!A329</x:f>
        <x:v>Patricia Kavuma</x:v>
      </x:c>
      <x:c r="B983" t="str">
        <x:f>'Employee Attendance'!B329</x:f>
        <x:v>Uganda</x:v>
      </x:c>
      <x:c r="C983" t="str">
        <x:f>'Employee Attendance'!C329</x:f>
        <x:v>UG</x:v>
      </x:c>
      <x:c r="D983" t="str">
        <x:f>'Employee Attendance'!D329</x:f>
        <x:v>patricia.kavuma@pwc.com</x:v>
      </x:c>
      <x:c r="E983" t="str">
        <x:f>"Option 1"</x:f>
        <x:v>Option 1</x:v>
      </x:c>
      <x:c r="F983" s="14" t="n">
        <x:f>'Employee Attendance'!E329</x:f>
        <x:v>0</x:v>
      </x:c>
      <x:c r="G983" t="n">
        <x:f>F983*86400</x:f>
        <x:v>0</x:v>
      </x:c>
      <x:c r="H983" t="str">
        <x:f>'Employee Attendance'!F329</x:f>
        <x:v>Did not attend</x:v>
      </x:c>
      <x:c r="I983" t="str">
        <x:f>'Employee Attendance'!K329</x:f>
        <x:v>No</x:v>
      </x:c>
    </x:row>
    <x:row r="984">
      <x:c r="A984" t="str">
        <x:f>'Employee Attendance'!A329</x:f>
        <x:v>Patricia Kavuma</x:v>
      </x:c>
      <x:c r="B984" t="str">
        <x:f>'Employee Attendance'!B329</x:f>
        <x:v>Uganda</x:v>
      </x:c>
      <x:c r="C984" t="str">
        <x:f>'Employee Attendance'!C329</x:f>
        <x:v>UG</x:v>
      </x:c>
      <x:c r="D984" t="str">
        <x:f>'Employee Attendance'!D329</x:f>
        <x:v>patricia.kavuma@pwc.com</x:v>
      </x:c>
      <x:c r="E984" t="str">
        <x:f>"Option 2"</x:f>
        <x:v>Option 2</x:v>
      </x:c>
      <x:c r="F984" s="14" t="n">
        <x:f>'Employee Attendance'!G329</x:f>
        <x:v>0.029861111111111113</x:v>
      </x:c>
      <x:c r="G984" t="n">
        <x:f>F984*86400</x:f>
        <x:v>2580</x:v>
      </x:c>
      <x:c r="H984" t="str">
        <x:f>'Employee Attendance'!H329</x:f>
        <x:v>Partially attended</x:v>
      </x:c>
      <x:c r="I984" t="str">
        <x:f>'Employee Attendance'!L329</x:f>
        <x:v>Yes</x:v>
      </x:c>
    </x:row>
    <x:row r="985">
      <x:c r="A985" t="str">
        <x:f>'Employee Attendance'!A329</x:f>
        <x:v>Patricia Kavuma</x:v>
      </x:c>
      <x:c r="B985" t="str">
        <x:f>'Employee Attendance'!B329</x:f>
        <x:v>Uganda</x:v>
      </x:c>
      <x:c r="C985" t="str">
        <x:f>'Employee Attendance'!C329</x:f>
        <x:v>UG</x:v>
      </x:c>
      <x:c r="D985" t="str">
        <x:f>'Employee Attendance'!D329</x:f>
        <x:v>patricia.kavuma@pwc.com</x:v>
      </x:c>
      <x:c r="E985" t="str">
        <x:f>"Combined"</x:f>
        <x:v>Combined</x:v>
      </x:c>
      <x:c r="F985" s="14" t="n">
        <x:f>'Employee Attendance'!I329</x:f>
        <x:v>0.029861111111111113</x:v>
      </x:c>
      <x:c r="G985" t="n">
        <x:f>F985*86400</x:f>
        <x:v>2580</x:v>
      </x:c>
      <x:c r="H985" t="str">
        <x:f>'Employee Attendance'!J329</x:f>
        <x:v>Partially attended</x:v>
      </x:c>
      <x:c r="I985" t="str">
        <x:f>IF(OR('Employee Attendance'!K329="Yes",'Employee Attendance'!L329="Yes"),"Yes","No")</x:f>
        <x:v>Yes</x:v>
      </x:c>
    </x:row>
    <x:row r="986">
      <x:c r="A986" t="str">
        <x:f>'Employee Attendance'!A330</x:f>
        <x:v>Patrick Kiambi</x:v>
      </x:c>
      <x:c r="B986" t="str">
        <x:f>'Employee Attendance'!B330</x:f>
        <x:v>Kenya</x:v>
      </x:c>
      <x:c r="C986" t="str">
        <x:f>'Employee Attendance'!C330</x:f>
        <x:v>KE</x:v>
      </x:c>
      <x:c r="D986" t="str">
        <x:f>'Employee Attendance'!D330</x:f>
        <x:v>patrick.kiambi@pwc.com</x:v>
      </x:c>
      <x:c r="E986" t="str">
        <x:f>"Option 1"</x:f>
        <x:v>Option 1</x:v>
      </x:c>
      <x:c r="F986" s="14" t="n">
        <x:f>'Employee Attendance'!E330</x:f>
        <x:v>0</x:v>
      </x:c>
      <x:c r="G986" t="n">
        <x:f>F986*86400</x:f>
        <x:v>0</x:v>
      </x:c>
      <x:c r="H986" t="str">
        <x:f>'Employee Attendance'!F330</x:f>
        <x:v>Did not attend</x:v>
      </x:c>
      <x:c r="I986" t="str">
        <x:f>'Employee Attendance'!K330</x:f>
        <x:v>No</x:v>
      </x:c>
    </x:row>
    <x:row r="987">
      <x:c r="A987" t="str">
        <x:f>'Employee Attendance'!A330</x:f>
        <x:v>Patrick Kiambi</x:v>
      </x:c>
      <x:c r="B987" t="str">
        <x:f>'Employee Attendance'!B330</x:f>
        <x:v>Kenya</x:v>
      </x:c>
      <x:c r="C987" t="str">
        <x:f>'Employee Attendance'!C330</x:f>
        <x:v>KE</x:v>
      </x:c>
      <x:c r="D987" t="str">
        <x:f>'Employee Attendance'!D330</x:f>
        <x:v>patrick.kiambi@pwc.com</x:v>
      </x:c>
      <x:c r="E987" t="str">
        <x:f>"Option 2"</x:f>
        <x:v>Option 2</x:v>
      </x:c>
      <x:c r="F987" s="14" t="n">
        <x:f>'Employee Attendance'!G330</x:f>
        <x:v>0</x:v>
      </x:c>
      <x:c r="G987" t="n">
        <x:f>F987*86400</x:f>
        <x:v>0</x:v>
      </x:c>
      <x:c r="H987" t="str">
        <x:f>'Employee Attendance'!H330</x:f>
        <x:v>Did not attend</x:v>
      </x:c>
      <x:c r="I987" t="str">
        <x:f>'Employee Attendance'!L330</x:f>
        <x:v>No</x:v>
      </x:c>
    </x:row>
    <x:row r="988">
      <x:c r="A988" t="str">
        <x:f>'Employee Attendance'!A330</x:f>
        <x:v>Patrick Kiambi</x:v>
      </x:c>
      <x:c r="B988" t="str">
        <x:f>'Employee Attendance'!B330</x:f>
        <x:v>Kenya</x:v>
      </x:c>
      <x:c r="C988" t="str">
        <x:f>'Employee Attendance'!C330</x:f>
        <x:v>KE</x:v>
      </x:c>
      <x:c r="D988" t="str">
        <x:f>'Employee Attendance'!D330</x:f>
        <x:v>patrick.kiambi@pwc.com</x:v>
      </x:c>
      <x:c r="E988" t="str">
        <x:f>"Combined"</x:f>
        <x:v>Combined</x:v>
      </x:c>
      <x:c r="F988" s="14" t="n">
        <x:f>'Employee Attendance'!I330</x:f>
        <x:v>0</x:v>
      </x:c>
      <x:c r="G988" t="n">
        <x:f>F988*86400</x:f>
        <x:v>0</x:v>
      </x:c>
      <x:c r="H988" t="str">
        <x:f>'Employee Attendance'!J330</x:f>
        <x:v>Did not attend</x:v>
      </x:c>
      <x:c r="I988" t="str">
        <x:f>IF(OR('Employee Attendance'!K330="Yes",'Employee Attendance'!L330="Yes"),"Yes","No")</x:f>
        <x:v>No</x:v>
      </x:c>
    </x:row>
    <x:row r="989">
      <x:c r="A989" t="str">
        <x:f>'Employee Attendance'!A331</x:f>
        <x:v>Patrick Rimomo</x:v>
      </x:c>
      <x:c r="B989" t="str">
        <x:f>'Employee Attendance'!B331</x:f>
        <x:v>Kenya</x:v>
      </x:c>
      <x:c r="C989" t="str">
        <x:f>'Employee Attendance'!C331</x:f>
        <x:v>KE</x:v>
      </x:c>
      <x:c r="D989" t="str">
        <x:f>'Employee Attendance'!D331</x:f>
        <x:v>patrick.rimomo@pwc.com</x:v>
      </x:c>
      <x:c r="E989" t="str">
        <x:f>"Option 1"</x:f>
        <x:v>Option 1</x:v>
      </x:c>
      <x:c r="F989" s="14" t="n">
        <x:f>'Employee Attendance'!E331</x:f>
        <x:v>0.05197916666666667</x:v>
      </x:c>
      <x:c r="G989" t="n">
        <x:f>F989*86400</x:f>
        <x:v>4491</x:v>
      </x:c>
      <x:c r="H989" t="str">
        <x:f>'Employee Attendance'!F331</x:f>
        <x:v>Partially attended</x:v>
      </x:c>
      <x:c r="I989" t="str">
        <x:f>'Employee Attendance'!K331</x:f>
        <x:v>Yes</x:v>
      </x:c>
    </x:row>
    <x:row r="990">
      <x:c r="A990" t="str">
        <x:f>'Employee Attendance'!A331</x:f>
        <x:v>Patrick Rimomo</x:v>
      </x:c>
      <x:c r="B990" t="str">
        <x:f>'Employee Attendance'!B331</x:f>
        <x:v>Kenya</x:v>
      </x:c>
      <x:c r="C990" t="str">
        <x:f>'Employee Attendance'!C331</x:f>
        <x:v>KE</x:v>
      </x:c>
      <x:c r="D990" t="str">
        <x:f>'Employee Attendance'!D331</x:f>
        <x:v>patrick.rimomo@pwc.com</x:v>
      </x:c>
      <x:c r="E990" t="str">
        <x:f>"Option 2"</x:f>
        <x:v>Option 2</x:v>
      </x:c>
      <x:c r="F990" s="14" t="n">
        <x:f>'Employee Attendance'!G331</x:f>
        <x:v>0</x:v>
      </x:c>
      <x:c r="G990" t="n">
        <x:f>F990*86400</x:f>
        <x:v>0</x:v>
      </x:c>
      <x:c r="H990" t="str">
        <x:f>'Employee Attendance'!H331</x:f>
        <x:v>Did not attend</x:v>
      </x:c>
      <x:c r="I990" t="str">
        <x:f>'Employee Attendance'!L331</x:f>
        <x:v>No</x:v>
      </x:c>
    </x:row>
    <x:row r="991">
      <x:c r="A991" t="str">
        <x:f>'Employee Attendance'!A331</x:f>
        <x:v>Patrick Rimomo</x:v>
      </x:c>
      <x:c r="B991" t="str">
        <x:f>'Employee Attendance'!B331</x:f>
        <x:v>Kenya</x:v>
      </x:c>
      <x:c r="C991" t="str">
        <x:f>'Employee Attendance'!C331</x:f>
        <x:v>KE</x:v>
      </x:c>
      <x:c r="D991" t="str">
        <x:f>'Employee Attendance'!D331</x:f>
        <x:v>patrick.rimomo@pwc.com</x:v>
      </x:c>
      <x:c r="E991" t="str">
        <x:f>"Combined"</x:f>
        <x:v>Combined</x:v>
      </x:c>
      <x:c r="F991" s="14" t="n">
        <x:f>'Employee Attendance'!I331</x:f>
        <x:v>0.05197916666666667</x:v>
      </x:c>
      <x:c r="G991" t="n">
        <x:f>F991*86400</x:f>
        <x:v>4491</x:v>
      </x:c>
      <x:c r="H991" t="str">
        <x:f>'Employee Attendance'!J331</x:f>
        <x:v>Partially attended</x:v>
      </x:c>
      <x:c r="I991" t="str">
        <x:f>IF(OR('Employee Attendance'!K331="Yes",'Employee Attendance'!L331="Yes"),"Yes","No")</x:f>
        <x:v>Yes</x:v>
      </x:c>
    </x:row>
    <x:row r="992">
      <x:c r="A992" t="str">
        <x:f>'Employee Attendance'!A332</x:f>
        <x:v>Pearl Koon</x:v>
      </x:c>
      <x:c r="B992" t="str">
        <x:f>'Employee Attendance'!B332</x:f>
        <x:v>Mauritius</x:v>
      </x:c>
      <x:c r="C992" t="str">
        <x:f>'Employee Attendance'!C332</x:f>
        <x:v>MU</x:v>
      </x:c>
      <x:c r="D992" t="str">
        <x:f>'Employee Attendance'!D332</x:f>
        <x:v>pearl.koon@pwc.com</x:v>
      </x:c>
      <x:c r="E992" t="str">
        <x:f>"Option 1"</x:f>
        <x:v>Option 1</x:v>
      </x:c>
      <x:c r="F992" s="14" t="n">
        <x:f>'Employee Attendance'!E332</x:f>
        <x:v>0</x:v>
      </x:c>
      <x:c r="G992" t="n">
        <x:f>F992*86400</x:f>
        <x:v>0</x:v>
      </x:c>
      <x:c r="H992" t="str">
        <x:f>'Employee Attendance'!F332</x:f>
        <x:v>Did not attend</x:v>
      </x:c>
      <x:c r="I992" t="str">
        <x:f>'Employee Attendance'!K332</x:f>
        <x:v>No</x:v>
      </x:c>
    </x:row>
    <x:row r="993">
      <x:c r="A993" t="str">
        <x:f>'Employee Attendance'!A332</x:f>
        <x:v>Pearl Koon</x:v>
      </x:c>
      <x:c r="B993" t="str">
        <x:f>'Employee Attendance'!B332</x:f>
        <x:v>Mauritius</x:v>
      </x:c>
      <x:c r="C993" t="str">
        <x:f>'Employee Attendance'!C332</x:f>
        <x:v>MU</x:v>
      </x:c>
      <x:c r="D993" t="str">
        <x:f>'Employee Attendance'!D332</x:f>
        <x:v>pearl.koon@pwc.com</x:v>
      </x:c>
      <x:c r="E993" t="str">
        <x:f>"Option 2"</x:f>
        <x:v>Option 2</x:v>
      </x:c>
      <x:c r="F993" s="14" t="n">
        <x:f>'Employee Attendance'!G332</x:f>
        <x:v>0.06388888888888888</x:v>
      </x:c>
      <x:c r="G993" t="n">
        <x:f>F993*86400</x:f>
        <x:v>5520</x:v>
      </x:c>
      <x:c r="H993" t="str">
        <x:f>'Employee Attendance'!H332</x:f>
        <x:v>Fully attended</x:v>
      </x:c>
      <x:c r="I993" t="str">
        <x:f>'Employee Attendance'!L332</x:f>
        <x:v>Yes</x:v>
      </x:c>
    </x:row>
    <x:row r="994">
      <x:c r="A994" t="str">
        <x:f>'Employee Attendance'!A332</x:f>
        <x:v>Pearl Koon</x:v>
      </x:c>
      <x:c r="B994" t="str">
        <x:f>'Employee Attendance'!B332</x:f>
        <x:v>Mauritius</x:v>
      </x:c>
      <x:c r="C994" t="str">
        <x:f>'Employee Attendance'!C332</x:f>
        <x:v>MU</x:v>
      </x:c>
      <x:c r="D994" t="str">
        <x:f>'Employee Attendance'!D332</x:f>
        <x:v>pearl.koon@pwc.com</x:v>
      </x:c>
      <x:c r="E994" t="str">
        <x:f>"Combined"</x:f>
        <x:v>Combined</x:v>
      </x:c>
      <x:c r="F994" s="14" t="n">
        <x:f>'Employee Attendance'!I332</x:f>
        <x:v>0.06388888888888888</x:v>
      </x:c>
      <x:c r="G994" t="n">
        <x:f>F994*86400</x:f>
        <x:v>5520</x:v>
      </x:c>
      <x:c r="H994" t="str">
        <x:f>'Employee Attendance'!J332</x:f>
        <x:v>Fully attended</x:v>
      </x:c>
      <x:c r="I994" t="str">
        <x:f>IF(OR('Employee Attendance'!K332="Yes",'Employee Attendance'!L332="Yes"),"Yes","No")</x:f>
        <x:v>Yes</x:v>
      </x:c>
    </x:row>
    <x:row r="995">
      <x:c r="A995" t="str">
        <x:f>'Employee Attendance'!A333</x:f>
        <x:v>Peter Namara</x:v>
      </x:c>
      <x:c r="B995" t="str">
        <x:f>'Employee Attendance'!B333</x:f>
        <x:v>Uganda</x:v>
      </x:c>
      <x:c r="C995" t="str">
        <x:f>'Employee Attendance'!C333</x:f>
        <x:v>UG</x:v>
      </x:c>
      <x:c r="D995" t="str">
        <x:f>'Employee Attendance'!D333</x:f>
        <x:v>peter.namara@pwc.com</x:v>
      </x:c>
      <x:c r="E995" t="str">
        <x:f>"Option 1"</x:f>
        <x:v>Option 1</x:v>
      </x:c>
      <x:c r="F995" s="14" t="n">
        <x:f>'Employee Attendance'!E333</x:f>
        <x:v>0</x:v>
      </x:c>
      <x:c r="G995" t="n">
        <x:f>F995*86400</x:f>
        <x:v>0</x:v>
      </x:c>
      <x:c r="H995" t="str">
        <x:f>'Employee Attendance'!F333</x:f>
        <x:v>Did not attend</x:v>
      </x:c>
      <x:c r="I995" t="str">
        <x:f>'Employee Attendance'!K333</x:f>
        <x:v>No</x:v>
      </x:c>
    </x:row>
    <x:row r="996">
      <x:c r="A996" t="str">
        <x:f>'Employee Attendance'!A333</x:f>
        <x:v>Peter Namara</x:v>
      </x:c>
      <x:c r="B996" t="str">
        <x:f>'Employee Attendance'!B333</x:f>
        <x:v>Uganda</x:v>
      </x:c>
      <x:c r="C996" t="str">
        <x:f>'Employee Attendance'!C333</x:f>
        <x:v>UG</x:v>
      </x:c>
      <x:c r="D996" t="str">
        <x:f>'Employee Attendance'!D333</x:f>
        <x:v>peter.namara@pwc.com</x:v>
      </x:c>
      <x:c r="E996" t="str">
        <x:f>"Option 2"</x:f>
        <x:v>Option 2</x:v>
      </x:c>
      <x:c r="F996" s="14" t="n">
        <x:f>'Employee Attendance'!G333</x:f>
        <x:v>0</x:v>
      </x:c>
      <x:c r="G996" t="n">
        <x:f>F996*86400</x:f>
        <x:v>0</x:v>
      </x:c>
      <x:c r="H996" t="str">
        <x:f>'Employee Attendance'!H333</x:f>
        <x:v>Did not attend</x:v>
      </x:c>
      <x:c r="I996" t="str">
        <x:f>'Employee Attendance'!L333</x:f>
        <x:v>No</x:v>
      </x:c>
    </x:row>
    <x:row r="997">
      <x:c r="A997" t="str">
        <x:f>'Employee Attendance'!A333</x:f>
        <x:v>Peter Namara</x:v>
      </x:c>
      <x:c r="B997" t="str">
        <x:f>'Employee Attendance'!B333</x:f>
        <x:v>Uganda</x:v>
      </x:c>
      <x:c r="C997" t="str">
        <x:f>'Employee Attendance'!C333</x:f>
        <x:v>UG</x:v>
      </x:c>
      <x:c r="D997" t="str">
        <x:f>'Employee Attendance'!D333</x:f>
        <x:v>peter.namara@pwc.com</x:v>
      </x:c>
      <x:c r="E997" t="str">
        <x:f>"Combined"</x:f>
        <x:v>Combined</x:v>
      </x:c>
      <x:c r="F997" s="14" t="n">
        <x:f>'Employee Attendance'!I333</x:f>
        <x:v>0</x:v>
      </x:c>
      <x:c r="G997" t="n">
        <x:f>F997*86400</x:f>
        <x:v>0</x:v>
      </x:c>
      <x:c r="H997" t="str">
        <x:f>'Employee Attendance'!J333</x:f>
        <x:v>Did not attend</x:v>
      </x:c>
      <x:c r="I997" t="str">
        <x:f>IF(OR('Employee Attendance'!K333="Yes",'Employee Attendance'!L333="Yes"),"Yes","No")</x:f>
        <x:v>No</x:v>
      </x:c>
    </x:row>
    <x:row r="998">
      <x:c r="A998" t="str">
        <x:f>'Employee Attendance'!A334</x:f>
        <x:v>Peter Ngahu</x:v>
      </x:c>
      <x:c r="B998" t="str">
        <x:f>'Employee Attendance'!B334</x:f>
        <x:v>Kenya</x:v>
      </x:c>
      <x:c r="C998" t="str">
        <x:f>'Employee Attendance'!C334</x:f>
        <x:v>KE</x:v>
      </x:c>
      <x:c r="D998" t="str">
        <x:f>'Employee Attendance'!D334</x:f>
        <x:v>peter.ngahu@pwc.com</x:v>
      </x:c>
      <x:c r="E998" t="str">
        <x:f>"Option 1"</x:f>
        <x:v>Option 1</x:v>
      </x:c>
      <x:c r="F998" s="14" t="n">
        <x:f>'Employee Attendance'!E334</x:f>
        <x:v>0</x:v>
      </x:c>
      <x:c r="G998" t="n">
        <x:f>F998*86400</x:f>
        <x:v>0</x:v>
      </x:c>
      <x:c r="H998" t="str">
        <x:f>'Employee Attendance'!F334</x:f>
        <x:v>Did not attend</x:v>
      </x:c>
      <x:c r="I998" t="str">
        <x:f>'Employee Attendance'!K334</x:f>
        <x:v>No</x:v>
      </x:c>
    </x:row>
    <x:row r="999">
      <x:c r="A999" t="str">
        <x:f>'Employee Attendance'!A334</x:f>
        <x:v>Peter Ngahu</x:v>
      </x:c>
      <x:c r="B999" t="str">
        <x:f>'Employee Attendance'!B334</x:f>
        <x:v>Kenya</x:v>
      </x:c>
      <x:c r="C999" t="str">
        <x:f>'Employee Attendance'!C334</x:f>
        <x:v>KE</x:v>
      </x:c>
      <x:c r="D999" t="str">
        <x:f>'Employee Attendance'!D334</x:f>
        <x:v>peter.ngahu@pwc.com</x:v>
      </x:c>
      <x:c r="E999" t="str">
        <x:f>"Option 2"</x:f>
        <x:v>Option 2</x:v>
      </x:c>
      <x:c r="F999" s="14" t="n">
        <x:f>'Employee Attendance'!G334</x:f>
        <x:v>0</x:v>
      </x:c>
      <x:c r="G999" t="n">
        <x:f>F999*86400</x:f>
        <x:v>0</x:v>
      </x:c>
      <x:c r="H999" t="str">
        <x:f>'Employee Attendance'!H334</x:f>
        <x:v>Did not attend</x:v>
      </x:c>
      <x:c r="I999" t="str">
        <x:f>'Employee Attendance'!L334</x:f>
        <x:v>No</x:v>
      </x:c>
    </x:row>
    <x:row r="1000">
      <x:c r="A1000" t="str">
        <x:f>'Employee Attendance'!A334</x:f>
        <x:v>Peter Ngahu</x:v>
      </x:c>
      <x:c r="B1000" t="str">
        <x:f>'Employee Attendance'!B334</x:f>
        <x:v>Kenya</x:v>
      </x:c>
      <x:c r="C1000" t="str">
        <x:f>'Employee Attendance'!C334</x:f>
        <x:v>KE</x:v>
      </x:c>
      <x:c r="D1000" t="str">
        <x:f>'Employee Attendance'!D334</x:f>
        <x:v>peter.ngahu@pwc.com</x:v>
      </x:c>
      <x:c r="E1000" t="str">
        <x:f>"Combined"</x:f>
        <x:v>Combined</x:v>
      </x:c>
      <x:c r="F1000" s="14" t="n">
        <x:f>'Employee Attendance'!I334</x:f>
        <x:v>0</x:v>
      </x:c>
      <x:c r="G1000" t="n">
        <x:f>F1000*86400</x:f>
        <x:v>0</x:v>
      </x:c>
      <x:c r="H1000" t="str">
        <x:f>'Employee Attendance'!J334</x:f>
        <x:v>Did not attend</x:v>
      </x:c>
      <x:c r="I1000" t="str">
        <x:f>IF(OR('Employee Attendance'!K334="Yes",'Employee Attendance'!L334="Yes"),"Yes","No")</x:f>
        <x:v>No</x:v>
      </x:c>
    </x:row>
    <x:row r="1001">
      <x:c r="A1001" t="str">
        <x:f>'Employee Attendance'!A335</x:f>
        <x:v>Peter Ojekunle</x:v>
      </x:c>
      <x:c r="B1001" t="str">
        <x:f>'Employee Attendance'!B335</x:f>
        <x:v>Uganda</x:v>
      </x:c>
      <x:c r="C1001" t="str">
        <x:f>'Employee Attendance'!C335</x:f>
        <x:v>UG</x:v>
      </x:c>
      <x:c r="D1001" t="str">
        <x:f>'Employee Attendance'!D335</x:f>
        <x:v>peter.s.ojekunle@pwc.com</x:v>
      </x:c>
      <x:c r="E1001" t="str">
        <x:f>"Option 1"</x:f>
        <x:v>Option 1</x:v>
      </x:c>
      <x:c r="F1001" s="14" t="n">
        <x:f>'Employee Attendance'!E335</x:f>
        <x:v>0.004039351851851852</x:v>
      </x:c>
      <x:c r="G1001" t="n">
        <x:f>F1001*86400</x:f>
        <x:v>349</x:v>
      </x:c>
      <x:c r="H1001" t="str">
        <x:f>'Employee Attendance'!F335</x:f>
        <x:v>Partially attended</x:v>
      </x:c>
      <x:c r="I1001" t="str">
        <x:f>'Employee Attendance'!K335</x:f>
        <x:v>Yes</x:v>
      </x:c>
    </x:row>
    <x:row r="1002">
      <x:c r="A1002" t="str">
        <x:f>'Employee Attendance'!A335</x:f>
        <x:v>Peter Ojekunle</x:v>
      </x:c>
      <x:c r="B1002" t="str">
        <x:f>'Employee Attendance'!B335</x:f>
        <x:v>Uganda</x:v>
      </x:c>
      <x:c r="C1002" t="str">
        <x:f>'Employee Attendance'!C335</x:f>
        <x:v>UG</x:v>
      </x:c>
      <x:c r="D1002" t="str">
        <x:f>'Employee Attendance'!D335</x:f>
        <x:v>peter.s.ojekunle@pwc.com</x:v>
      </x:c>
      <x:c r="E1002" t="str">
        <x:f>"Option 2"</x:f>
        <x:v>Option 2</x:v>
      </x:c>
      <x:c r="F1002" s="14" t="n">
        <x:f>'Employee Attendance'!G335</x:f>
        <x:v>0</x:v>
      </x:c>
      <x:c r="G1002" t="n">
        <x:f>F1002*86400</x:f>
        <x:v>0</x:v>
      </x:c>
      <x:c r="H1002" t="str">
        <x:f>'Employee Attendance'!H335</x:f>
        <x:v>Did not attend</x:v>
      </x:c>
      <x:c r="I1002" t="str">
        <x:f>'Employee Attendance'!L335</x:f>
        <x:v>No</x:v>
      </x:c>
    </x:row>
    <x:row r="1003">
      <x:c r="A1003" t="str">
        <x:f>'Employee Attendance'!A335</x:f>
        <x:v>Peter Ojekunle</x:v>
      </x:c>
      <x:c r="B1003" t="str">
        <x:f>'Employee Attendance'!B335</x:f>
        <x:v>Uganda</x:v>
      </x:c>
      <x:c r="C1003" t="str">
        <x:f>'Employee Attendance'!C335</x:f>
        <x:v>UG</x:v>
      </x:c>
      <x:c r="D1003" t="str">
        <x:f>'Employee Attendance'!D335</x:f>
        <x:v>peter.s.ojekunle@pwc.com</x:v>
      </x:c>
      <x:c r="E1003" t="str">
        <x:f>"Combined"</x:f>
        <x:v>Combined</x:v>
      </x:c>
      <x:c r="F1003" s="14" t="n">
        <x:f>'Employee Attendance'!I335</x:f>
        <x:v>0.004039351851851852</x:v>
      </x:c>
      <x:c r="G1003" t="n">
        <x:f>F1003*86400</x:f>
        <x:v>349</x:v>
      </x:c>
      <x:c r="H1003" t="str">
        <x:f>'Employee Attendance'!J335</x:f>
        <x:v>Partially attended</x:v>
      </x:c>
      <x:c r="I1003" t="str">
        <x:f>IF(OR('Employee Attendance'!K335="Yes",'Employee Attendance'!L335="Yes"),"Yes","No")</x:f>
        <x:v>Yes</x:v>
      </x:c>
    </x:row>
    <x:row r="1004">
      <x:c r="A1004" t="str">
        <x:f>'Employee Attendance'!A336</x:f>
        <x:v>Phaneesh Purmah</x:v>
      </x:c>
      <x:c r="B1004" t="str">
        <x:f>'Employee Attendance'!B336</x:f>
        <x:v>Mauritius</x:v>
      </x:c>
      <x:c r="C1004" t="str">
        <x:f>'Employee Attendance'!C336</x:f>
        <x:v>MU</x:v>
      </x:c>
      <x:c r="D1004" t="str">
        <x:f>'Employee Attendance'!D336</x:f>
        <x:v>phaneesh.purmah@pwc.com</x:v>
      </x:c>
      <x:c r="E1004" t="str">
        <x:f>"Option 1"</x:f>
        <x:v>Option 1</x:v>
      </x:c>
      <x:c r="F1004" s="14" t="n">
        <x:f>'Employee Attendance'!E336</x:f>
        <x:v>0</x:v>
      </x:c>
      <x:c r="G1004" t="n">
        <x:f>F1004*86400</x:f>
        <x:v>0</x:v>
      </x:c>
      <x:c r="H1004" t="str">
        <x:f>'Employee Attendance'!F336</x:f>
        <x:v>Did not attend</x:v>
      </x:c>
      <x:c r="I1004" t="str">
        <x:f>'Employee Attendance'!K336</x:f>
        <x:v>No</x:v>
      </x:c>
    </x:row>
    <x:row r="1005">
      <x:c r="A1005" t="str">
        <x:f>'Employee Attendance'!A336</x:f>
        <x:v>Phaneesh Purmah</x:v>
      </x:c>
      <x:c r="B1005" t="str">
        <x:f>'Employee Attendance'!B336</x:f>
        <x:v>Mauritius</x:v>
      </x:c>
      <x:c r="C1005" t="str">
        <x:f>'Employee Attendance'!C336</x:f>
        <x:v>MU</x:v>
      </x:c>
      <x:c r="D1005" t="str">
        <x:f>'Employee Attendance'!D336</x:f>
        <x:v>phaneesh.purmah@pwc.com</x:v>
      </x:c>
      <x:c r="E1005" t="str">
        <x:f>"Option 2"</x:f>
        <x:v>Option 2</x:v>
      </x:c>
      <x:c r="F1005" s="14" t="n">
        <x:f>'Employee Attendance'!G336</x:f>
        <x:v>0</x:v>
      </x:c>
      <x:c r="G1005" t="n">
        <x:f>F1005*86400</x:f>
        <x:v>0</x:v>
      </x:c>
      <x:c r="H1005" t="str">
        <x:f>'Employee Attendance'!H336</x:f>
        <x:v>Did not attend</x:v>
      </x:c>
      <x:c r="I1005" t="str">
        <x:f>'Employee Attendance'!L336</x:f>
        <x:v>No</x:v>
      </x:c>
    </x:row>
    <x:row r="1006">
      <x:c r="A1006" t="str">
        <x:f>'Employee Attendance'!A336</x:f>
        <x:v>Phaneesh Purmah</x:v>
      </x:c>
      <x:c r="B1006" t="str">
        <x:f>'Employee Attendance'!B336</x:f>
        <x:v>Mauritius</x:v>
      </x:c>
      <x:c r="C1006" t="str">
        <x:f>'Employee Attendance'!C336</x:f>
        <x:v>MU</x:v>
      </x:c>
      <x:c r="D1006" t="str">
        <x:f>'Employee Attendance'!D336</x:f>
        <x:v>phaneesh.purmah@pwc.com</x:v>
      </x:c>
      <x:c r="E1006" t="str">
        <x:f>"Combined"</x:f>
        <x:v>Combined</x:v>
      </x:c>
      <x:c r="F1006" s="14" t="n">
        <x:f>'Employee Attendance'!I336</x:f>
        <x:v>0</x:v>
      </x:c>
      <x:c r="G1006" t="n">
        <x:f>F1006*86400</x:f>
        <x:v>0</x:v>
      </x:c>
      <x:c r="H1006" t="str">
        <x:f>'Employee Attendance'!J336</x:f>
        <x:v>Did not attend</x:v>
      </x:c>
      <x:c r="I1006" t="str">
        <x:f>IF(OR('Employee Attendance'!K336="Yes",'Employee Attendance'!L336="Yes"),"Yes","No")</x:f>
        <x:v>No</x:v>
      </x:c>
    </x:row>
    <x:row r="1007">
      <x:c r="A1007" t="str">
        <x:f>'Employee Attendance'!A337</x:f>
        <x:v>Pieter Hough</x:v>
      </x:c>
      <x:c r="B1007" t="str">
        <x:f>'Employee Attendance'!B337</x:f>
        <x:v>South Africa</x:v>
      </x:c>
      <x:c r="C1007" t="str">
        <x:f>'Employee Attendance'!C337</x:f>
        <x:v>ZA</x:v>
      </x:c>
      <x:c r="D1007" t="str">
        <x:f>'Employee Attendance'!D337</x:f>
        <x:v>pieter.hough@pwc.com</x:v>
      </x:c>
      <x:c r="E1007" t="str">
        <x:f>"Option 1"</x:f>
        <x:v>Option 1</x:v>
      </x:c>
      <x:c r="F1007" s="14" t="n">
        <x:f>'Employee Attendance'!E337</x:f>
        <x:v>0.0815162037037037</x:v>
      </x:c>
      <x:c r="G1007" t="n">
        <x:f>F1007*86400</x:f>
        <x:v>7043</x:v>
      </x:c>
      <x:c r="H1007" t="str">
        <x:f>'Employee Attendance'!F337</x:f>
        <x:v>Fully attended</x:v>
      </x:c>
      <x:c r="I1007" t="str">
        <x:f>'Employee Attendance'!K337</x:f>
        <x:v>Yes</x:v>
      </x:c>
    </x:row>
    <x:row r="1008">
      <x:c r="A1008" t="str">
        <x:f>'Employee Attendance'!A337</x:f>
        <x:v>Pieter Hough</x:v>
      </x:c>
      <x:c r="B1008" t="str">
        <x:f>'Employee Attendance'!B337</x:f>
        <x:v>South Africa</x:v>
      </x:c>
      <x:c r="C1008" t="str">
        <x:f>'Employee Attendance'!C337</x:f>
        <x:v>ZA</x:v>
      </x:c>
      <x:c r="D1008" t="str">
        <x:f>'Employee Attendance'!D337</x:f>
        <x:v>pieter.hough@pwc.com</x:v>
      </x:c>
      <x:c r="E1008" t="str">
        <x:f>"Option 2"</x:f>
        <x:v>Option 2</x:v>
      </x:c>
      <x:c r="F1008" s="14" t="n">
        <x:f>'Employee Attendance'!G337</x:f>
        <x:v>0</x:v>
      </x:c>
      <x:c r="G1008" t="n">
        <x:f>F1008*86400</x:f>
        <x:v>0</x:v>
      </x:c>
      <x:c r="H1008" t="str">
        <x:f>'Employee Attendance'!H337</x:f>
        <x:v>Did not attend</x:v>
      </x:c>
      <x:c r="I1008" t="str">
        <x:f>'Employee Attendance'!L337</x:f>
        <x:v>No</x:v>
      </x:c>
    </x:row>
    <x:row r="1009">
      <x:c r="A1009" t="str">
        <x:f>'Employee Attendance'!A337</x:f>
        <x:v>Pieter Hough</x:v>
      </x:c>
      <x:c r="B1009" t="str">
        <x:f>'Employee Attendance'!B337</x:f>
        <x:v>South Africa</x:v>
      </x:c>
      <x:c r="C1009" t="str">
        <x:f>'Employee Attendance'!C337</x:f>
        <x:v>ZA</x:v>
      </x:c>
      <x:c r="D1009" t="str">
        <x:f>'Employee Attendance'!D337</x:f>
        <x:v>pieter.hough@pwc.com</x:v>
      </x:c>
      <x:c r="E1009" t="str">
        <x:f>"Combined"</x:f>
        <x:v>Combined</x:v>
      </x:c>
      <x:c r="F1009" s="14" t="n">
        <x:f>'Employee Attendance'!I337</x:f>
        <x:v>0.0815162037037037</x:v>
      </x:c>
      <x:c r="G1009" t="n">
        <x:f>F1009*86400</x:f>
        <x:v>7043</x:v>
      </x:c>
      <x:c r="H1009" t="str">
        <x:f>'Employee Attendance'!J337</x:f>
        <x:v>Fully attended</x:v>
      </x:c>
      <x:c r="I1009" t="str">
        <x:f>IF(OR('Employee Attendance'!K337="Yes",'Employee Attendance'!L337="Yes"),"Yes","No")</x:f>
        <x:v>Yes</x:v>
      </x:c>
    </x:row>
    <x:row r="1010">
      <x:c r="A1010" t="str">
        <x:f>'Employee Attendance'!A338</x:f>
        <x:v>Piyanshu Ghumaria</x:v>
      </x:c>
      <x:c r="B1010" t="str">
        <x:f>'Employee Attendance'!B338</x:f>
        <x:v>Mauritius</x:v>
      </x:c>
      <x:c r="C1010" t="str">
        <x:f>'Employee Attendance'!C338</x:f>
        <x:v>MU</x:v>
      </x:c>
      <x:c r="D1010" t="str">
        <x:f>'Employee Attendance'!D338</x:f>
        <x:v>piyanshu.ghumaria@pwc.com</x:v>
      </x:c>
      <x:c r="E1010" t="str">
        <x:f>"Option 1"</x:f>
        <x:v>Option 1</x:v>
      </x:c>
      <x:c r="F1010" s="14" t="n">
        <x:f>'Employee Attendance'!E338</x:f>
        <x:v>0</x:v>
      </x:c>
      <x:c r="G1010" t="n">
        <x:f>F1010*86400</x:f>
        <x:v>0</x:v>
      </x:c>
      <x:c r="H1010" t="str">
        <x:f>'Employee Attendance'!F338</x:f>
        <x:v>Did not attend</x:v>
      </x:c>
      <x:c r="I1010" t="str">
        <x:f>'Employee Attendance'!K338</x:f>
        <x:v>No</x:v>
      </x:c>
    </x:row>
    <x:row r="1011">
      <x:c r="A1011" t="str">
        <x:f>'Employee Attendance'!A338</x:f>
        <x:v>Piyanshu Ghumaria</x:v>
      </x:c>
      <x:c r="B1011" t="str">
        <x:f>'Employee Attendance'!B338</x:f>
        <x:v>Mauritius</x:v>
      </x:c>
      <x:c r="C1011" t="str">
        <x:f>'Employee Attendance'!C338</x:f>
        <x:v>MU</x:v>
      </x:c>
      <x:c r="D1011" t="str">
        <x:f>'Employee Attendance'!D338</x:f>
        <x:v>piyanshu.ghumaria@pwc.com</x:v>
      </x:c>
      <x:c r="E1011" t="str">
        <x:f>"Option 2"</x:f>
        <x:v>Option 2</x:v>
      </x:c>
      <x:c r="F1011" s="14" t="n">
        <x:f>'Employee Attendance'!G338</x:f>
        <x:v>0</x:v>
      </x:c>
      <x:c r="G1011" t="n">
        <x:f>F1011*86400</x:f>
        <x:v>0</x:v>
      </x:c>
      <x:c r="H1011" t="str">
        <x:f>'Employee Attendance'!H338</x:f>
        <x:v>Did not attend</x:v>
      </x:c>
      <x:c r="I1011" t="str">
        <x:f>'Employee Attendance'!L338</x:f>
        <x:v>No</x:v>
      </x:c>
    </x:row>
    <x:row r="1012">
      <x:c r="A1012" t="str">
        <x:f>'Employee Attendance'!A338</x:f>
        <x:v>Piyanshu Ghumaria</x:v>
      </x:c>
      <x:c r="B1012" t="str">
        <x:f>'Employee Attendance'!B338</x:f>
        <x:v>Mauritius</x:v>
      </x:c>
      <x:c r="C1012" t="str">
        <x:f>'Employee Attendance'!C338</x:f>
        <x:v>MU</x:v>
      </x:c>
      <x:c r="D1012" t="str">
        <x:f>'Employee Attendance'!D338</x:f>
        <x:v>piyanshu.ghumaria@pwc.com</x:v>
      </x:c>
      <x:c r="E1012" t="str">
        <x:f>"Combined"</x:f>
        <x:v>Combined</x:v>
      </x:c>
      <x:c r="F1012" s="14" t="n">
        <x:f>'Employee Attendance'!I338</x:f>
        <x:v>0</x:v>
      </x:c>
      <x:c r="G1012" t="n">
        <x:f>F1012*86400</x:f>
        <x:v>0</x:v>
      </x:c>
      <x:c r="H1012" t="str">
        <x:f>'Employee Attendance'!J338</x:f>
        <x:v>Did not attend</x:v>
      </x:c>
      <x:c r="I1012" t="str">
        <x:f>IF(OR('Employee Attendance'!K338="Yes",'Employee Attendance'!L338="Yes"),"Yes","No")</x:f>
        <x:v>No</x:v>
      </x:c>
    </x:row>
    <x:row r="1013">
      <x:c r="A1013" t="str">
        <x:f>'Employee Attendance'!A339</x:f>
        <x:v>Praveena Ramlogun</x:v>
      </x:c>
      <x:c r="B1013" t="str">
        <x:f>'Employee Attendance'!B339</x:f>
        <x:v>Mauritius</x:v>
      </x:c>
      <x:c r="C1013" t="str">
        <x:f>'Employee Attendance'!C339</x:f>
        <x:v>MU</x:v>
      </x:c>
      <x:c r="D1013" t="str">
        <x:f>'Employee Attendance'!D339</x:f>
        <x:v>praveena.ramlogun@pwc.com</x:v>
      </x:c>
      <x:c r="E1013" t="str">
        <x:f>"Option 1"</x:f>
        <x:v>Option 1</x:v>
      </x:c>
      <x:c r="F1013" s="14" t="n">
        <x:f>'Employee Attendance'!E339</x:f>
        <x:v>0</x:v>
      </x:c>
      <x:c r="G1013" t="n">
        <x:f>F1013*86400</x:f>
        <x:v>0</x:v>
      </x:c>
      <x:c r="H1013" t="str">
        <x:f>'Employee Attendance'!F339</x:f>
        <x:v>Did not attend</x:v>
      </x:c>
      <x:c r="I1013" t="str">
        <x:f>'Employee Attendance'!K339</x:f>
        <x:v>No</x:v>
      </x:c>
    </x:row>
    <x:row r="1014">
      <x:c r="A1014" t="str">
        <x:f>'Employee Attendance'!A339</x:f>
        <x:v>Praveena Ramlogun</x:v>
      </x:c>
      <x:c r="B1014" t="str">
        <x:f>'Employee Attendance'!B339</x:f>
        <x:v>Mauritius</x:v>
      </x:c>
      <x:c r="C1014" t="str">
        <x:f>'Employee Attendance'!C339</x:f>
        <x:v>MU</x:v>
      </x:c>
      <x:c r="D1014" t="str">
        <x:f>'Employee Attendance'!D339</x:f>
        <x:v>praveena.ramlogun@pwc.com</x:v>
      </x:c>
      <x:c r="E1014" t="str">
        <x:f>"Option 2"</x:f>
        <x:v>Option 2</x:v>
      </x:c>
      <x:c r="F1014" s="14" t="n">
        <x:f>'Employee Attendance'!G339</x:f>
        <x:v>0.08113425925925925</x:v>
      </x:c>
      <x:c r="G1014" t="n">
        <x:f>F1014*86400</x:f>
        <x:v>7009.999999999999</x:v>
      </x:c>
      <x:c r="H1014" t="str">
        <x:f>'Employee Attendance'!H339</x:f>
        <x:v>Fully attended</x:v>
      </x:c>
      <x:c r="I1014" t="str">
        <x:f>'Employee Attendance'!L339</x:f>
        <x:v>Yes</x:v>
      </x:c>
    </x:row>
    <x:row r="1015">
      <x:c r="A1015" t="str">
        <x:f>'Employee Attendance'!A339</x:f>
        <x:v>Praveena Ramlogun</x:v>
      </x:c>
      <x:c r="B1015" t="str">
        <x:f>'Employee Attendance'!B339</x:f>
        <x:v>Mauritius</x:v>
      </x:c>
      <x:c r="C1015" t="str">
        <x:f>'Employee Attendance'!C339</x:f>
        <x:v>MU</x:v>
      </x:c>
      <x:c r="D1015" t="str">
        <x:f>'Employee Attendance'!D339</x:f>
        <x:v>praveena.ramlogun@pwc.com</x:v>
      </x:c>
      <x:c r="E1015" t="str">
        <x:f>"Combined"</x:f>
        <x:v>Combined</x:v>
      </x:c>
      <x:c r="F1015" s="14" t="n">
        <x:f>'Employee Attendance'!I339</x:f>
        <x:v>0.08113425925925925</x:v>
      </x:c>
      <x:c r="G1015" t="n">
        <x:f>F1015*86400</x:f>
        <x:v>7009.999999999999</x:v>
      </x:c>
      <x:c r="H1015" t="str">
        <x:f>'Employee Attendance'!J339</x:f>
        <x:v>Fully attended</x:v>
      </x:c>
      <x:c r="I1015" t="str">
        <x:f>IF(OR('Employee Attendance'!K339="Yes",'Employee Attendance'!L339="Yes"),"Yes","No")</x:f>
        <x:v>Yes</x:v>
      </x:c>
    </x:row>
    <x:row r="1016">
      <x:c r="A1016" t="str">
        <x:f>'Employee Attendance'!A340</x:f>
        <x:v>Pravin Meetoo</x:v>
      </x:c>
      <x:c r="B1016" t="str">
        <x:f>'Employee Attendance'!B340</x:f>
        <x:v>Mauritius</x:v>
      </x:c>
      <x:c r="C1016" t="str">
        <x:f>'Employee Attendance'!C340</x:f>
        <x:v>MU</x:v>
      </x:c>
      <x:c r="D1016" t="str">
        <x:f>'Employee Attendance'!D340</x:f>
        <x:v>pravin.p.meetoo@pwc.com</x:v>
      </x:c>
      <x:c r="E1016" t="str">
        <x:f>"Option 1"</x:f>
        <x:v>Option 1</x:v>
      </x:c>
      <x:c r="F1016" s="14" t="n">
        <x:f>'Employee Attendance'!E340</x:f>
        <x:v>0.007152777777777778</x:v>
      </x:c>
      <x:c r="G1016" t="n">
        <x:f>F1016*86400</x:f>
        <x:v>618</x:v>
      </x:c>
      <x:c r="H1016" t="str">
        <x:f>'Employee Attendance'!F340</x:f>
        <x:v>Partially attended</x:v>
      </x:c>
      <x:c r="I1016" t="str">
        <x:f>'Employee Attendance'!K340</x:f>
        <x:v>Yes</x:v>
      </x:c>
    </x:row>
    <x:row r="1017">
      <x:c r="A1017" t="str">
        <x:f>'Employee Attendance'!A340</x:f>
        <x:v>Pravin Meetoo</x:v>
      </x:c>
      <x:c r="B1017" t="str">
        <x:f>'Employee Attendance'!B340</x:f>
        <x:v>Mauritius</x:v>
      </x:c>
      <x:c r="C1017" t="str">
        <x:f>'Employee Attendance'!C340</x:f>
        <x:v>MU</x:v>
      </x:c>
      <x:c r="D1017" t="str">
        <x:f>'Employee Attendance'!D340</x:f>
        <x:v>pravin.p.meetoo@pwc.com</x:v>
      </x:c>
      <x:c r="E1017" t="str">
        <x:f>"Option 2"</x:f>
        <x:v>Option 2</x:v>
      </x:c>
      <x:c r="F1017" s="14" t="n">
        <x:f>'Employee Attendance'!G340</x:f>
        <x:v>0.08265046296296297</x:v>
      </x:c>
      <x:c r="G1017" t="n">
        <x:f>F1017*86400</x:f>
        <x:v>7141</x:v>
      </x:c>
      <x:c r="H1017" t="str">
        <x:f>'Employee Attendance'!H340</x:f>
        <x:v>Fully attended</x:v>
      </x:c>
      <x:c r="I1017" t="str">
        <x:f>'Employee Attendance'!L340</x:f>
        <x:v>Yes</x:v>
      </x:c>
    </x:row>
    <x:row r="1018">
      <x:c r="A1018" t="str">
        <x:f>'Employee Attendance'!A340</x:f>
        <x:v>Pravin Meetoo</x:v>
      </x:c>
      <x:c r="B1018" t="str">
        <x:f>'Employee Attendance'!B340</x:f>
        <x:v>Mauritius</x:v>
      </x:c>
      <x:c r="C1018" t="str">
        <x:f>'Employee Attendance'!C340</x:f>
        <x:v>MU</x:v>
      </x:c>
      <x:c r="D1018" t="str">
        <x:f>'Employee Attendance'!D340</x:f>
        <x:v>pravin.p.meetoo@pwc.com</x:v>
      </x:c>
      <x:c r="E1018" t="str">
        <x:f>"Combined"</x:f>
        <x:v>Combined</x:v>
      </x:c>
      <x:c r="F1018" s="14" t="n">
        <x:f>'Employee Attendance'!I340</x:f>
        <x:v>0.08980324074074074</x:v>
      </x:c>
      <x:c r="G1018" t="n">
        <x:f>F1018*86400</x:f>
        <x:v>7759</x:v>
      </x:c>
      <x:c r="H1018" t="str">
        <x:f>'Employee Attendance'!J340</x:f>
        <x:v>Fully attended</x:v>
      </x:c>
      <x:c r="I1018" t="str">
        <x:f>IF(OR('Employee Attendance'!K340="Yes",'Employee Attendance'!L340="Yes"),"Yes","No")</x:f>
        <x:v>Yes</x:v>
      </x:c>
    </x:row>
    <x:row r="1019">
      <x:c r="A1019" t="str">
        <x:f>'Employee Attendance'!A341</x:f>
        <x:v>Preksha Russeean</x:v>
      </x:c>
      <x:c r="B1019" t="str">
        <x:f>'Employee Attendance'!B341</x:f>
        <x:v>Mauritius</x:v>
      </x:c>
      <x:c r="C1019" t="str">
        <x:f>'Employee Attendance'!C341</x:f>
        <x:v>MU</x:v>
      </x:c>
      <x:c r="D1019" t="str">
        <x:f>'Employee Attendance'!D341</x:f>
        <x:v>preksha.russeean@pwc.com</x:v>
      </x:c>
      <x:c r="E1019" t="str">
        <x:f>"Option 1"</x:f>
        <x:v>Option 1</x:v>
      </x:c>
      <x:c r="F1019" s="14" t="n">
        <x:f>'Employee Attendance'!E341</x:f>
        <x:v>0</x:v>
      </x:c>
      <x:c r="G1019" t="n">
        <x:f>F1019*86400</x:f>
        <x:v>0</x:v>
      </x:c>
      <x:c r="H1019" t="str">
        <x:f>'Employee Attendance'!F341</x:f>
        <x:v>Did not attend</x:v>
      </x:c>
      <x:c r="I1019" t="str">
        <x:f>'Employee Attendance'!K341</x:f>
        <x:v>No</x:v>
      </x:c>
    </x:row>
    <x:row r="1020">
      <x:c r="A1020" t="str">
        <x:f>'Employee Attendance'!A341</x:f>
        <x:v>Preksha Russeean</x:v>
      </x:c>
      <x:c r="B1020" t="str">
        <x:f>'Employee Attendance'!B341</x:f>
        <x:v>Mauritius</x:v>
      </x:c>
      <x:c r="C1020" t="str">
        <x:f>'Employee Attendance'!C341</x:f>
        <x:v>MU</x:v>
      </x:c>
      <x:c r="D1020" t="str">
        <x:f>'Employee Attendance'!D341</x:f>
        <x:v>preksha.russeean@pwc.com</x:v>
      </x:c>
      <x:c r="E1020" t="str">
        <x:f>"Option 2"</x:f>
        <x:v>Option 2</x:v>
      </x:c>
      <x:c r="F1020" s="14" t="n">
        <x:f>'Employee Attendance'!G341</x:f>
        <x:v>0.08564814814814815</x:v>
      </x:c>
      <x:c r="G1020" t="n">
        <x:f>F1020*86400</x:f>
        <x:v>7400.000000000001</x:v>
      </x:c>
      <x:c r="H1020" t="str">
        <x:f>'Employee Attendance'!H341</x:f>
        <x:v>Fully attended</x:v>
      </x:c>
      <x:c r="I1020" t="str">
        <x:f>'Employee Attendance'!L341</x:f>
        <x:v>Yes</x:v>
      </x:c>
    </x:row>
    <x:row r="1021">
      <x:c r="A1021" t="str">
        <x:f>'Employee Attendance'!A341</x:f>
        <x:v>Preksha Russeean</x:v>
      </x:c>
      <x:c r="B1021" t="str">
        <x:f>'Employee Attendance'!B341</x:f>
        <x:v>Mauritius</x:v>
      </x:c>
      <x:c r="C1021" t="str">
        <x:f>'Employee Attendance'!C341</x:f>
        <x:v>MU</x:v>
      </x:c>
      <x:c r="D1021" t="str">
        <x:f>'Employee Attendance'!D341</x:f>
        <x:v>preksha.russeean@pwc.com</x:v>
      </x:c>
      <x:c r="E1021" t="str">
        <x:f>"Combined"</x:f>
        <x:v>Combined</x:v>
      </x:c>
      <x:c r="F1021" s="14" t="n">
        <x:f>'Employee Attendance'!I341</x:f>
        <x:v>0.08564814814814815</x:v>
      </x:c>
      <x:c r="G1021" t="n">
        <x:f>F1021*86400</x:f>
        <x:v>7400.000000000001</x:v>
      </x:c>
      <x:c r="H1021" t="str">
        <x:f>'Employee Attendance'!J341</x:f>
        <x:v>Fully attended</x:v>
      </x:c>
      <x:c r="I1021" t="str">
        <x:f>IF(OR('Employee Attendance'!K341="Yes",'Employee Attendance'!L341="Yes"),"Yes","No")</x:f>
        <x:v>Yes</x:v>
      </x:c>
    </x:row>
    <x:row r="1022">
      <x:c r="A1022" t="str">
        <x:f>'Employee Attendance'!A342</x:f>
        <x:v>Prisca Lifasi</x:v>
      </x:c>
      <x:c r="B1022" t="str">
        <x:f>'Employee Attendance'!B342</x:f>
        <x:v>Zambia</x:v>
      </x:c>
      <x:c r="C1022" t="str">
        <x:f>'Employee Attendance'!C342</x:f>
        <x:v>ZM</x:v>
      </x:c>
      <x:c r="D1022" t="str">
        <x:f>'Employee Attendance'!D342</x:f>
        <x:v>prisca.lifasi@pwc.com</x:v>
      </x:c>
      <x:c r="E1022" t="str">
        <x:f>"Option 1"</x:f>
        <x:v>Option 1</x:v>
      </x:c>
      <x:c r="F1022" s="14" t="n">
        <x:f>'Employee Attendance'!E342</x:f>
        <x:v>0.024733796296296295</x:v>
      </x:c>
      <x:c r="G1022" t="n">
        <x:f>F1022*86400</x:f>
        <x:v>2137</x:v>
      </x:c>
      <x:c r="H1022" t="str">
        <x:f>'Employee Attendance'!F342</x:f>
        <x:v>Partially attended</x:v>
      </x:c>
      <x:c r="I1022" t="str">
        <x:f>'Employee Attendance'!K342</x:f>
        <x:v>Yes</x:v>
      </x:c>
    </x:row>
    <x:row r="1023">
      <x:c r="A1023" t="str">
        <x:f>'Employee Attendance'!A342</x:f>
        <x:v>Prisca Lifasi</x:v>
      </x:c>
      <x:c r="B1023" t="str">
        <x:f>'Employee Attendance'!B342</x:f>
        <x:v>Zambia</x:v>
      </x:c>
      <x:c r="C1023" t="str">
        <x:f>'Employee Attendance'!C342</x:f>
        <x:v>ZM</x:v>
      </x:c>
      <x:c r="D1023" t="str">
        <x:f>'Employee Attendance'!D342</x:f>
        <x:v>prisca.lifasi@pwc.com</x:v>
      </x:c>
      <x:c r="E1023" t="str">
        <x:f>"Option 2"</x:f>
        <x:v>Option 2</x:v>
      </x:c>
      <x:c r="F1023" s="14" t="n">
        <x:f>'Employee Attendance'!G342</x:f>
        <x:v>0.010659722222222221</x:v>
      </x:c>
      <x:c r="G1023" t="n">
        <x:f>F1023*86400</x:f>
        <x:v>920.9999999999999</x:v>
      </x:c>
      <x:c r="H1023" t="str">
        <x:f>'Employee Attendance'!H342</x:f>
        <x:v>Partially attended</x:v>
      </x:c>
      <x:c r="I1023" t="str">
        <x:f>'Employee Attendance'!L342</x:f>
        <x:v>Yes</x:v>
      </x:c>
    </x:row>
    <x:row r="1024">
      <x:c r="A1024" t="str">
        <x:f>'Employee Attendance'!A342</x:f>
        <x:v>Prisca Lifasi</x:v>
      </x:c>
      <x:c r="B1024" t="str">
        <x:f>'Employee Attendance'!B342</x:f>
        <x:v>Zambia</x:v>
      </x:c>
      <x:c r="C1024" t="str">
        <x:f>'Employee Attendance'!C342</x:f>
        <x:v>ZM</x:v>
      </x:c>
      <x:c r="D1024" t="str">
        <x:f>'Employee Attendance'!D342</x:f>
        <x:v>prisca.lifasi@pwc.com</x:v>
      </x:c>
      <x:c r="E1024" t="str">
        <x:f>"Combined"</x:f>
        <x:v>Combined</x:v>
      </x:c>
      <x:c r="F1024" s="14" t="n">
        <x:f>'Employee Attendance'!I342</x:f>
        <x:v>0.03539351851851852</x:v>
      </x:c>
      <x:c r="G1024" t="n">
        <x:f>F1024*86400</x:f>
        <x:v>3058</x:v>
      </x:c>
      <x:c r="H1024" t="str">
        <x:f>'Employee Attendance'!J342</x:f>
        <x:v>Partially attended</x:v>
      </x:c>
      <x:c r="I1024" t="str">
        <x:f>IF(OR('Employee Attendance'!K342="Yes",'Employee Attendance'!L342="Yes"),"Yes","No")</x:f>
        <x:v>Yes</x:v>
      </x:c>
    </x:row>
    <x:row r="1025">
      <x:c r="A1025" t="str">
        <x:f>'Employee Attendance'!A343</x:f>
        <x:v>Purav Patel</x:v>
      </x:c>
      <x:c r="B1025" t="str">
        <x:f>'Employee Attendance'!B343</x:f>
        <x:v>Kenya</x:v>
      </x:c>
      <x:c r="C1025" t="str">
        <x:f>'Employee Attendance'!C343</x:f>
        <x:v>KE</x:v>
      </x:c>
      <x:c r="D1025" t="str">
        <x:f>'Employee Attendance'!D343</x:f>
        <x:v>purav.patel@pwc.com</x:v>
      </x:c>
      <x:c r="E1025" t="str">
        <x:f>"Option 1"</x:f>
        <x:v>Option 1</x:v>
      </x:c>
      <x:c r="F1025" s="14" t="n">
        <x:f>'Employee Attendance'!E343</x:f>
        <x:v>0.08225694444444444</x:v>
      </x:c>
      <x:c r="G1025" t="n">
        <x:f>F1025*86400</x:f>
        <x:v>7106.999999999999</x:v>
      </x:c>
      <x:c r="H1025" t="str">
        <x:f>'Employee Attendance'!F343</x:f>
        <x:v>Fully attended</x:v>
      </x:c>
      <x:c r="I1025" t="str">
        <x:f>'Employee Attendance'!K343</x:f>
        <x:v>Yes</x:v>
      </x:c>
    </x:row>
    <x:row r="1026">
      <x:c r="A1026" t="str">
        <x:f>'Employee Attendance'!A343</x:f>
        <x:v>Purav Patel</x:v>
      </x:c>
      <x:c r="B1026" t="str">
        <x:f>'Employee Attendance'!B343</x:f>
        <x:v>Kenya</x:v>
      </x:c>
      <x:c r="C1026" t="str">
        <x:f>'Employee Attendance'!C343</x:f>
        <x:v>KE</x:v>
      </x:c>
      <x:c r="D1026" t="str">
        <x:f>'Employee Attendance'!D343</x:f>
        <x:v>purav.patel@pwc.com</x:v>
      </x:c>
      <x:c r="E1026" t="str">
        <x:f>"Option 2"</x:f>
        <x:v>Option 2</x:v>
      </x:c>
      <x:c r="F1026" s="14" t="n">
        <x:f>'Employee Attendance'!G343</x:f>
        <x:v>0</x:v>
      </x:c>
      <x:c r="G1026" t="n">
        <x:f>F1026*86400</x:f>
        <x:v>0</x:v>
      </x:c>
      <x:c r="H1026" t="str">
        <x:f>'Employee Attendance'!H343</x:f>
        <x:v>Did not attend</x:v>
      </x:c>
      <x:c r="I1026" t="str">
        <x:f>'Employee Attendance'!L343</x:f>
        <x:v>No</x:v>
      </x:c>
    </x:row>
    <x:row r="1027">
      <x:c r="A1027" t="str">
        <x:f>'Employee Attendance'!A343</x:f>
        <x:v>Purav Patel</x:v>
      </x:c>
      <x:c r="B1027" t="str">
        <x:f>'Employee Attendance'!B343</x:f>
        <x:v>Kenya</x:v>
      </x:c>
      <x:c r="C1027" t="str">
        <x:f>'Employee Attendance'!C343</x:f>
        <x:v>KE</x:v>
      </x:c>
      <x:c r="D1027" t="str">
        <x:f>'Employee Attendance'!D343</x:f>
        <x:v>purav.patel@pwc.com</x:v>
      </x:c>
      <x:c r="E1027" t="str">
        <x:f>"Combined"</x:f>
        <x:v>Combined</x:v>
      </x:c>
      <x:c r="F1027" s="14" t="n">
        <x:f>'Employee Attendance'!I343</x:f>
        <x:v>0.08225694444444444</x:v>
      </x:c>
      <x:c r="G1027" t="n">
        <x:f>F1027*86400</x:f>
        <x:v>7106.999999999999</x:v>
      </x:c>
      <x:c r="H1027" t="str">
        <x:f>'Employee Attendance'!J343</x:f>
        <x:v>Fully attended</x:v>
      </x:c>
      <x:c r="I1027" t="str">
        <x:f>IF(OR('Employee Attendance'!K343="Yes",'Employee Attendance'!L343="Yes"),"Yes","No")</x:f>
        <x:v>Yes</x:v>
      </x:c>
    </x:row>
    <x:row r="1028">
      <x:c r="A1028" t="str">
        <x:f>'Employee Attendance'!A344</x:f>
        <x:v>Purvashi Ramracheea</x:v>
      </x:c>
      <x:c r="B1028" t="str">
        <x:f>'Employee Attendance'!B344</x:f>
        <x:v>Mauritius</x:v>
      </x:c>
      <x:c r="C1028" t="str">
        <x:f>'Employee Attendance'!C344</x:f>
        <x:v>MU</x:v>
      </x:c>
      <x:c r="D1028" t="str">
        <x:f>'Employee Attendance'!D344</x:f>
        <x:v>purvashi.ramracheea@pwc.com</x:v>
      </x:c>
      <x:c r="E1028" t="str">
        <x:f>"Option 1"</x:f>
        <x:v>Option 1</x:v>
      </x:c>
      <x:c r="F1028" s="14" t="n">
        <x:f>'Employee Attendance'!E344</x:f>
        <x:v>0</x:v>
      </x:c>
      <x:c r="G1028" t="n">
        <x:f>F1028*86400</x:f>
        <x:v>0</x:v>
      </x:c>
      <x:c r="H1028" t="str">
        <x:f>'Employee Attendance'!F344</x:f>
        <x:v>Did not attend</x:v>
      </x:c>
      <x:c r="I1028" t="str">
        <x:f>'Employee Attendance'!K344</x:f>
        <x:v>No</x:v>
      </x:c>
    </x:row>
    <x:row r="1029">
      <x:c r="A1029" t="str">
        <x:f>'Employee Attendance'!A344</x:f>
        <x:v>Purvashi Ramracheea</x:v>
      </x:c>
      <x:c r="B1029" t="str">
        <x:f>'Employee Attendance'!B344</x:f>
        <x:v>Mauritius</x:v>
      </x:c>
      <x:c r="C1029" t="str">
        <x:f>'Employee Attendance'!C344</x:f>
        <x:v>MU</x:v>
      </x:c>
      <x:c r="D1029" t="str">
        <x:f>'Employee Attendance'!D344</x:f>
        <x:v>purvashi.ramracheea@pwc.com</x:v>
      </x:c>
      <x:c r="E1029" t="str">
        <x:f>"Option 2"</x:f>
        <x:v>Option 2</x:v>
      </x:c>
      <x:c r="F1029" s="14" t="n">
        <x:f>'Employee Attendance'!G344</x:f>
        <x:v>0.06076388888888889</x:v>
      </x:c>
      <x:c r="G1029" t="n">
        <x:f>F1029*86400</x:f>
        <x:v>5250</x:v>
      </x:c>
      <x:c r="H1029" t="str">
        <x:f>'Employee Attendance'!H344</x:f>
        <x:v>Partially attended</x:v>
      </x:c>
      <x:c r="I1029" t="str">
        <x:f>'Employee Attendance'!L344</x:f>
        <x:v>Yes</x:v>
      </x:c>
    </x:row>
    <x:row r="1030">
      <x:c r="A1030" t="str">
        <x:f>'Employee Attendance'!A344</x:f>
        <x:v>Purvashi Ramracheea</x:v>
      </x:c>
      <x:c r="B1030" t="str">
        <x:f>'Employee Attendance'!B344</x:f>
        <x:v>Mauritius</x:v>
      </x:c>
      <x:c r="C1030" t="str">
        <x:f>'Employee Attendance'!C344</x:f>
        <x:v>MU</x:v>
      </x:c>
      <x:c r="D1030" t="str">
        <x:f>'Employee Attendance'!D344</x:f>
        <x:v>purvashi.ramracheea@pwc.com</x:v>
      </x:c>
      <x:c r="E1030" t="str">
        <x:f>"Combined"</x:f>
        <x:v>Combined</x:v>
      </x:c>
      <x:c r="F1030" s="14" t="n">
        <x:f>'Employee Attendance'!I344</x:f>
        <x:v>0.06076388888888889</x:v>
      </x:c>
      <x:c r="G1030" t="n">
        <x:f>F1030*86400</x:f>
        <x:v>5250</x:v>
      </x:c>
      <x:c r="H1030" t="str">
        <x:f>'Employee Attendance'!J344</x:f>
        <x:v>Partially attended</x:v>
      </x:c>
      <x:c r="I1030" t="str">
        <x:f>IF(OR('Employee Attendance'!K344="Yes",'Employee Attendance'!L344="Yes"),"Yes","No")</x:f>
        <x:v>Yes</x:v>
      </x:c>
    </x:row>
    <x:row r="1031">
      <x:c r="A1031" t="str">
        <x:f>'Employee Attendance'!A345</x:f>
        <x:v>Racheal Nakimuli</x:v>
      </x:c>
      <x:c r="B1031" t="str">
        <x:f>'Employee Attendance'!B345</x:f>
        <x:v>Uganda</x:v>
      </x:c>
      <x:c r="C1031" t="str">
        <x:f>'Employee Attendance'!C345</x:f>
        <x:v>UG</x:v>
      </x:c>
      <x:c r="D1031" t="str">
        <x:f>'Employee Attendance'!D345</x:f>
        <x:v>racheal.nakimuli@pwc.com</x:v>
      </x:c>
      <x:c r="E1031" t="str">
        <x:f>"Option 1"</x:f>
        <x:v>Option 1</x:v>
      </x:c>
      <x:c r="F1031" s="14" t="n">
        <x:f>'Employee Attendance'!E345</x:f>
        <x:v>0.06954861111111112</x:v>
      </x:c>
      <x:c r="G1031" t="n">
        <x:f>F1031*86400</x:f>
        <x:v>6009.000000000001</x:v>
      </x:c>
      <x:c r="H1031" t="str">
        <x:f>'Employee Attendance'!F345</x:f>
        <x:v>Fully attended</x:v>
      </x:c>
      <x:c r="I1031" t="str">
        <x:f>'Employee Attendance'!K345</x:f>
        <x:v>Yes</x:v>
      </x:c>
    </x:row>
    <x:row r="1032">
      <x:c r="A1032" t="str">
        <x:f>'Employee Attendance'!A345</x:f>
        <x:v>Racheal Nakimuli</x:v>
      </x:c>
      <x:c r="B1032" t="str">
        <x:f>'Employee Attendance'!B345</x:f>
        <x:v>Uganda</x:v>
      </x:c>
      <x:c r="C1032" t="str">
        <x:f>'Employee Attendance'!C345</x:f>
        <x:v>UG</x:v>
      </x:c>
      <x:c r="D1032" t="str">
        <x:f>'Employee Attendance'!D345</x:f>
        <x:v>racheal.nakimuli@pwc.com</x:v>
      </x:c>
      <x:c r="E1032" t="str">
        <x:f>"Option 2"</x:f>
        <x:v>Option 2</x:v>
      </x:c>
      <x:c r="F1032" s="14" t="n">
        <x:f>'Employee Attendance'!G345</x:f>
        <x:v>0</x:v>
      </x:c>
      <x:c r="G1032" t="n">
        <x:f>F1032*86400</x:f>
        <x:v>0</x:v>
      </x:c>
      <x:c r="H1032" t="str">
        <x:f>'Employee Attendance'!H345</x:f>
        <x:v>Did not attend</x:v>
      </x:c>
      <x:c r="I1032" t="str">
        <x:f>'Employee Attendance'!L345</x:f>
        <x:v>No</x:v>
      </x:c>
    </x:row>
    <x:row r="1033">
      <x:c r="A1033" t="str">
        <x:f>'Employee Attendance'!A345</x:f>
        <x:v>Racheal Nakimuli</x:v>
      </x:c>
      <x:c r="B1033" t="str">
        <x:f>'Employee Attendance'!B345</x:f>
        <x:v>Uganda</x:v>
      </x:c>
      <x:c r="C1033" t="str">
        <x:f>'Employee Attendance'!C345</x:f>
        <x:v>UG</x:v>
      </x:c>
      <x:c r="D1033" t="str">
        <x:f>'Employee Attendance'!D345</x:f>
        <x:v>racheal.nakimuli@pwc.com</x:v>
      </x:c>
      <x:c r="E1033" t="str">
        <x:f>"Combined"</x:f>
        <x:v>Combined</x:v>
      </x:c>
      <x:c r="F1033" s="14" t="n">
        <x:f>'Employee Attendance'!I345</x:f>
        <x:v>0.06954861111111112</x:v>
      </x:c>
      <x:c r="G1033" t="n">
        <x:f>F1033*86400</x:f>
        <x:v>6009.000000000001</x:v>
      </x:c>
      <x:c r="H1033" t="str">
        <x:f>'Employee Attendance'!J345</x:f>
        <x:v>Fully attended</x:v>
      </x:c>
      <x:c r="I1033" t="str">
        <x:f>IF(OR('Employee Attendance'!K345="Yes",'Employee Attendance'!L345="Yes"),"Yes","No")</x:f>
        <x:v>Yes</x:v>
      </x:c>
    </x:row>
    <x:row r="1034">
      <x:c r="A1034" t="str">
        <x:f>'Employee Attendance'!A346</x:f>
        <x:v>Raj Sookhurry</x:v>
      </x:c>
      <x:c r="B1034" t="str">
        <x:f>'Employee Attendance'!B346</x:f>
        <x:v>Mauritius</x:v>
      </x:c>
      <x:c r="C1034" t="str">
        <x:f>'Employee Attendance'!C346</x:f>
        <x:v>MU</x:v>
      </x:c>
      <x:c r="D1034" t="str">
        <x:f>'Employee Attendance'!D346</x:f>
        <x:v>raj.sookhurry@pwc.com</x:v>
      </x:c>
      <x:c r="E1034" t="str">
        <x:f>"Option 1"</x:f>
        <x:v>Option 1</x:v>
      </x:c>
      <x:c r="F1034" s="14" t="n">
        <x:f>'Employee Attendance'!E346</x:f>
        <x:v>0</x:v>
      </x:c>
      <x:c r="G1034" t="n">
        <x:f>F1034*86400</x:f>
        <x:v>0</x:v>
      </x:c>
      <x:c r="H1034" t="str">
        <x:f>'Employee Attendance'!F346</x:f>
        <x:v>Did not attend</x:v>
      </x:c>
      <x:c r="I1034" t="str">
        <x:f>'Employee Attendance'!K346</x:f>
        <x:v>No</x:v>
      </x:c>
    </x:row>
    <x:row r="1035">
      <x:c r="A1035" t="str">
        <x:f>'Employee Attendance'!A346</x:f>
        <x:v>Raj Sookhurry</x:v>
      </x:c>
      <x:c r="B1035" t="str">
        <x:f>'Employee Attendance'!B346</x:f>
        <x:v>Mauritius</x:v>
      </x:c>
      <x:c r="C1035" t="str">
        <x:f>'Employee Attendance'!C346</x:f>
        <x:v>MU</x:v>
      </x:c>
      <x:c r="D1035" t="str">
        <x:f>'Employee Attendance'!D346</x:f>
        <x:v>raj.sookhurry@pwc.com</x:v>
      </x:c>
      <x:c r="E1035" t="str">
        <x:f>"Option 2"</x:f>
        <x:v>Option 2</x:v>
      </x:c>
      <x:c r="F1035" s="14" t="n">
        <x:f>'Employee Attendance'!G346</x:f>
        <x:v>0</x:v>
      </x:c>
      <x:c r="G1035" t="n">
        <x:f>F1035*86400</x:f>
        <x:v>0</x:v>
      </x:c>
      <x:c r="H1035" t="str">
        <x:f>'Employee Attendance'!H346</x:f>
        <x:v>Did not attend</x:v>
      </x:c>
      <x:c r="I1035" t="str">
        <x:f>'Employee Attendance'!L346</x:f>
        <x:v>No</x:v>
      </x:c>
    </x:row>
    <x:row r="1036">
      <x:c r="A1036" t="str">
        <x:f>'Employee Attendance'!A346</x:f>
        <x:v>Raj Sookhurry</x:v>
      </x:c>
      <x:c r="B1036" t="str">
        <x:f>'Employee Attendance'!B346</x:f>
        <x:v>Mauritius</x:v>
      </x:c>
      <x:c r="C1036" t="str">
        <x:f>'Employee Attendance'!C346</x:f>
        <x:v>MU</x:v>
      </x:c>
      <x:c r="D1036" t="str">
        <x:f>'Employee Attendance'!D346</x:f>
        <x:v>raj.sookhurry@pwc.com</x:v>
      </x:c>
      <x:c r="E1036" t="str">
        <x:f>"Combined"</x:f>
        <x:v>Combined</x:v>
      </x:c>
      <x:c r="F1036" s="14" t="n">
        <x:f>'Employee Attendance'!I346</x:f>
        <x:v>0</x:v>
      </x:c>
      <x:c r="G1036" t="n">
        <x:f>F1036*86400</x:f>
        <x:v>0</x:v>
      </x:c>
      <x:c r="H1036" t="str">
        <x:f>'Employee Attendance'!J346</x:f>
        <x:v>Did not attend</x:v>
      </x:c>
      <x:c r="I1036" t="str">
        <x:f>IF(OR('Employee Attendance'!K346="Yes",'Employee Attendance'!L346="Yes"),"Yes","No")</x:f>
        <x:v>No</x:v>
      </x:c>
    </x:row>
    <x:row r="1037">
      <x:c r="A1037" t="str">
        <x:f>'Employee Attendance'!A347</x:f>
        <x:v>Ranveer Dindoyal</x:v>
      </x:c>
      <x:c r="B1037" t="str">
        <x:f>'Employee Attendance'!B347</x:f>
        <x:v>Mauritius</x:v>
      </x:c>
      <x:c r="C1037" t="str">
        <x:f>'Employee Attendance'!C347</x:f>
        <x:v>MU</x:v>
      </x:c>
      <x:c r="D1037" t="str">
        <x:f>'Employee Attendance'!D347</x:f>
        <x:v>ranveer.d.dindoyal@pwc.com</x:v>
      </x:c>
      <x:c r="E1037" t="str">
        <x:f>"Option 1"</x:f>
        <x:v>Option 1</x:v>
      </x:c>
      <x:c r="F1037" s="14" t="n">
        <x:f>'Employee Attendance'!E347</x:f>
        <x:v>0.07543981481481482</x:v>
      </x:c>
      <x:c r="G1037" t="n">
        <x:f>F1037*86400</x:f>
        <x:v>6518.000000000001</x:v>
      </x:c>
      <x:c r="H1037" t="str">
        <x:f>'Employee Attendance'!F347</x:f>
        <x:v>Fully attended</x:v>
      </x:c>
      <x:c r="I1037" t="str">
        <x:f>'Employee Attendance'!K347</x:f>
        <x:v>Yes</x:v>
      </x:c>
    </x:row>
    <x:row r="1038">
      <x:c r="A1038" t="str">
        <x:f>'Employee Attendance'!A347</x:f>
        <x:v>Ranveer Dindoyal</x:v>
      </x:c>
      <x:c r="B1038" t="str">
        <x:f>'Employee Attendance'!B347</x:f>
        <x:v>Mauritius</x:v>
      </x:c>
      <x:c r="C1038" t="str">
        <x:f>'Employee Attendance'!C347</x:f>
        <x:v>MU</x:v>
      </x:c>
      <x:c r="D1038" t="str">
        <x:f>'Employee Attendance'!D347</x:f>
        <x:v>ranveer.d.dindoyal@pwc.com</x:v>
      </x:c>
      <x:c r="E1038" t="str">
        <x:f>"Option 2"</x:f>
        <x:v>Option 2</x:v>
      </x:c>
      <x:c r="F1038" s="14" t="n">
        <x:f>'Employee Attendance'!G347</x:f>
        <x:v>0</x:v>
      </x:c>
      <x:c r="G1038" t="n">
        <x:f>F1038*86400</x:f>
        <x:v>0</x:v>
      </x:c>
      <x:c r="H1038" t="str">
        <x:f>'Employee Attendance'!H347</x:f>
        <x:v>Did not attend</x:v>
      </x:c>
      <x:c r="I1038" t="str">
        <x:f>'Employee Attendance'!L347</x:f>
        <x:v>No</x:v>
      </x:c>
    </x:row>
    <x:row r="1039">
      <x:c r="A1039" t="str">
        <x:f>'Employee Attendance'!A347</x:f>
        <x:v>Ranveer Dindoyal</x:v>
      </x:c>
      <x:c r="B1039" t="str">
        <x:f>'Employee Attendance'!B347</x:f>
        <x:v>Mauritius</x:v>
      </x:c>
      <x:c r="C1039" t="str">
        <x:f>'Employee Attendance'!C347</x:f>
        <x:v>MU</x:v>
      </x:c>
      <x:c r="D1039" t="str">
        <x:f>'Employee Attendance'!D347</x:f>
        <x:v>ranveer.d.dindoyal@pwc.com</x:v>
      </x:c>
      <x:c r="E1039" t="str">
        <x:f>"Combined"</x:f>
        <x:v>Combined</x:v>
      </x:c>
      <x:c r="F1039" s="14" t="n">
        <x:f>'Employee Attendance'!I347</x:f>
        <x:v>0.07543981481481482</x:v>
      </x:c>
      <x:c r="G1039" t="n">
        <x:f>F1039*86400</x:f>
        <x:v>6518.000000000001</x:v>
      </x:c>
      <x:c r="H1039" t="str">
        <x:f>'Employee Attendance'!J347</x:f>
        <x:v>Fully attended</x:v>
      </x:c>
      <x:c r="I1039" t="str">
        <x:f>IF(OR('Employee Attendance'!K347="Yes",'Employee Attendance'!L347="Yes"),"Yes","No")</x:f>
        <x:v>Yes</x:v>
      </x:c>
    </x:row>
    <x:row r="1040">
      <x:c r="A1040" t="str">
        <x:f>'Employee Attendance'!A348</x:f>
        <x:v>Raphael Ochieng</x:v>
      </x:c>
      <x:c r="B1040" t="str">
        <x:f>'Employee Attendance'!B348</x:f>
        <x:v>Kenya</x:v>
      </x:c>
      <x:c r="C1040" t="str">
        <x:f>'Employee Attendance'!C348</x:f>
        <x:v>KE</x:v>
      </x:c>
      <x:c r="D1040" t="str">
        <x:f>'Employee Attendance'!D348</x:f>
        <x:v>raphael.ochieng@pwc.com</x:v>
      </x:c>
      <x:c r="E1040" t="str">
        <x:f>"Option 1"</x:f>
        <x:v>Option 1</x:v>
      </x:c>
      <x:c r="F1040" s="14" t="n">
        <x:f>'Employee Attendance'!E348</x:f>
        <x:v>0</x:v>
      </x:c>
      <x:c r="G1040" t="n">
        <x:f>F1040*86400</x:f>
        <x:v>0</x:v>
      </x:c>
      <x:c r="H1040" t="str">
        <x:f>'Employee Attendance'!F348</x:f>
        <x:v>Did not attend</x:v>
      </x:c>
      <x:c r="I1040" t="str">
        <x:f>'Employee Attendance'!K348</x:f>
        <x:v>No</x:v>
      </x:c>
    </x:row>
    <x:row r="1041">
      <x:c r="A1041" t="str">
        <x:f>'Employee Attendance'!A348</x:f>
        <x:v>Raphael Ochieng</x:v>
      </x:c>
      <x:c r="B1041" t="str">
        <x:f>'Employee Attendance'!B348</x:f>
        <x:v>Kenya</x:v>
      </x:c>
      <x:c r="C1041" t="str">
        <x:f>'Employee Attendance'!C348</x:f>
        <x:v>KE</x:v>
      </x:c>
      <x:c r="D1041" t="str">
        <x:f>'Employee Attendance'!D348</x:f>
        <x:v>raphael.ochieng@pwc.com</x:v>
      </x:c>
      <x:c r="E1041" t="str">
        <x:f>"Option 2"</x:f>
        <x:v>Option 2</x:v>
      </x:c>
      <x:c r="F1041" s="14" t="n">
        <x:f>'Employee Attendance'!G348</x:f>
        <x:v>0.02318287037037037</x:v>
      </x:c>
      <x:c r="G1041" t="n">
        <x:f>F1041*86400</x:f>
        <x:v>2003</x:v>
      </x:c>
      <x:c r="H1041" t="str">
        <x:f>'Employee Attendance'!H348</x:f>
        <x:v>Partially attended</x:v>
      </x:c>
      <x:c r="I1041" t="str">
        <x:f>'Employee Attendance'!L348</x:f>
        <x:v>Yes</x:v>
      </x:c>
    </x:row>
    <x:row r="1042">
      <x:c r="A1042" t="str">
        <x:f>'Employee Attendance'!A348</x:f>
        <x:v>Raphael Ochieng</x:v>
      </x:c>
      <x:c r="B1042" t="str">
        <x:f>'Employee Attendance'!B348</x:f>
        <x:v>Kenya</x:v>
      </x:c>
      <x:c r="C1042" t="str">
        <x:f>'Employee Attendance'!C348</x:f>
        <x:v>KE</x:v>
      </x:c>
      <x:c r="D1042" t="str">
        <x:f>'Employee Attendance'!D348</x:f>
        <x:v>raphael.ochieng@pwc.com</x:v>
      </x:c>
      <x:c r="E1042" t="str">
        <x:f>"Combined"</x:f>
        <x:v>Combined</x:v>
      </x:c>
      <x:c r="F1042" s="14" t="n">
        <x:f>'Employee Attendance'!I348</x:f>
        <x:v>0.02318287037037037</x:v>
      </x:c>
      <x:c r="G1042" t="n">
        <x:f>F1042*86400</x:f>
        <x:v>2003</x:v>
      </x:c>
      <x:c r="H1042" t="str">
        <x:f>'Employee Attendance'!J348</x:f>
        <x:v>Partially attended</x:v>
      </x:c>
      <x:c r="I1042" t="str">
        <x:f>IF(OR('Employee Attendance'!K348="Yes",'Employee Attendance'!L348="Yes"),"Yes","No")</x:f>
        <x:v>Yes</x:v>
      </x:c>
    </x:row>
    <x:row r="1043">
      <x:c r="A1043" t="str">
        <x:f>'Employee Attendance'!A349</x:f>
        <x:v>Rashida Phiri</x:v>
      </x:c>
      <x:c r="B1043" t="str">
        <x:f>'Employee Attendance'!B349</x:f>
        <x:v>Zambia</x:v>
      </x:c>
      <x:c r="C1043" t="str">
        <x:f>'Employee Attendance'!C349</x:f>
        <x:v>ZM</x:v>
      </x:c>
      <x:c r="D1043" t="str">
        <x:f>'Employee Attendance'!D349</x:f>
        <x:v>rashida.x.phiri@pwc.com</x:v>
      </x:c>
      <x:c r="E1043" t="str">
        <x:f>"Option 1"</x:f>
        <x:v>Option 1</x:v>
      </x:c>
      <x:c r="F1043" s="14" t="n">
        <x:f>'Employee Attendance'!E349</x:f>
        <x:v>0.08166666666666667</x:v>
      </x:c>
      <x:c r="G1043" t="n">
        <x:f>F1043*86400</x:f>
        <x:v>7056</x:v>
      </x:c>
      <x:c r="H1043" t="str">
        <x:f>'Employee Attendance'!F349</x:f>
        <x:v>Fully attended</x:v>
      </x:c>
      <x:c r="I1043" t="str">
        <x:f>'Employee Attendance'!K349</x:f>
        <x:v>Yes</x:v>
      </x:c>
    </x:row>
    <x:row r="1044">
      <x:c r="A1044" t="str">
        <x:f>'Employee Attendance'!A349</x:f>
        <x:v>Rashida Phiri</x:v>
      </x:c>
      <x:c r="B1044" t="str">
        <x:f>'Employee Attendance'!B349</x:f>
        <x:v>Zambia</x:v>
      </x:c>
      <x:c r="C1044" t="str">
        <x:f>'Employee Attendance'!C349</x:f>
        <x:v>ZM</x:v>
      </x:c>
      <x:c r="D1044" t="str">
        <x:f>'Employee Attendance'!D349</x:f>
        <x:v>rashida.x.phiri@pwc.com</x:v>
      </x:c>
      <x:c r="E1044" t="str">
        <x:f>"Option 2"</x:f>
        <x:v>Option 2</x:v>
      </x:c>
      <x:c r="F1044" s="14" t="n">
        <x:f>'Employee Attendance'!G349</x:f>
        <x:v>0</x:v>
      </x:c>
      <x:c r="G1044" t="n">
        <x:f>F1044*86400</x:f>
        <x:v>0</x:v>
      </x:c>
      <x:c r="H1044" t="str">
        <x:f>'Employee Attendance'!H349</x:f>
        <x:v>Did not attend</x:v>
      </x:c>
      <x:c r="I1044" t="str">
        <x:f>'Employee Attendance'!L349</x:f>
        <x:v>No</x:v>
      </x:c>
    </x:row>
    <x:row r="1045">
      <x:c r="A1045" t="str">
        <x:f>'Employee Attendance'!A349</x:f>
        <x:v>Rashida Phiri</x:v>
      </x:c>
      <x:c r="B1045" t="str">
        <x:f>'Employee Attendance'!B349</x:f>
        <x:v>Zambia</x:v>
      </x:c>
      <x:c r="C1045" t="str">
        <x:f>'Employee Attendance'!C349</x:f>
        <x:v>ZM</x:v>
      </x:c>
      <x:c r="D1045" t="str">
        <x:f>'Employee Attendance'!D349</x:f>
        <x:v>rashida.x.phiri@pwc.com</x:v>
      </x:c>
      <x:c r="E1045" t="str">
        <x:f>"Combined"</x:f>
        <x:v>Combined</x:v>
      </x:c>
      <x:c r="F1045" s="14" t="n">
        <x:f>'Employee Attendance'!I349</x:f>
        <x:v>0.08166666666666667</x:v>
      </x:c>
      <x:c r="G1045" t="n">
        <x:f>F1045*86400</x:f>
        <x:v>7056</x:v>
      </x:c>
      <x:c r="H1045" t="str">
        <x:f>'Employee Attendance'!J349</x:f>
        <x:v>Fully attended</x:v>
      </x:c>
      <x:c r="I1045" t="str">
        <x:f>IF(OR('Employee Attendance'!K349="Yes",'Employee Attendance'!L349="Yes"),"Yes","No")</x:f>
        <x:v>Yes</x:v>
      </x:c>
    </x:row>
    <x:row r="1046">
      <x:c r="A1046" t="str">
        <x:f>'Employee Attendance'!A350</x:f>
        <x:v>Ray Hang'ambwa</x:v>
      </x:c>
      <x:c r="B1046" t="str">
        <x:f>'Employee Attendance'!B350</x:f>
        <x:v>Zambia</x:v>
      </x:c>
      <x:c r="C1046" t="str">
        <x:f>'Employee Attendance'!C350</x:f>
        <x:v>ZM</x:v>
      </x:c>
      <x:c r="D1046" t="str">
        <x:f>'Employee Attendance'!D350</x:f>
        <x:v>ray.hangambwa@pwc.com</x:v>
      </x:c>
      <x:c r="E1046" t="str">
        <x:f>"Option 1"</x:f>
        <x:v>Option 1</x:v>
      </x:c>
      <x:c r="F1046" s="14" t="n">
        <x:f>'Employee Attendance'!E350</x:f>
        <x:v>0</x:v>
      </x:c>
      <x:c r="G1046" t="n">
        <x:f>F1046*86400</x:f>
        <x:v>0</x:v>
      </x:c>
      <x:c r="H1046" t="str">
        <x:f>'Employee Attendance'!F350</x:f>
        <x:v>Did not attend</x:v>
      </x:c>
      <x:c r="I1046" t="str">
        <x:f>'Employee Attendance'!K350</x:f>
        <x:v>No</x:v>
      </x:c>
    </x:row>
    <x:row r="1047">
      <x:c r="A1047" t="str">
        <x:f>'Employee Attendance'!A350</x:f>
        <x:v>Ray Hang'ambwa</x:v>
      </x:c>
      <x:c r="B1047" t="str">
        <x:f>'Employee Attendance'!B350</x:f>
        <x:v>Zambia</x:v>
      </x:c>
      <x:c r="C1047" t="str">
        <x:f>'Employee Attendance'!C350</x:f>
        <x:v>ZM</x:v>
      </x:c>
      <x:c r="D1047" t="str">
        <x:f>'Employee Attendance'!D350</x:f>
        <x:v>ray.hangambwa@pwc.com</x:v>
      </x:c>
      <x:c r="E1047" t="str">
        <x:f>"Option 2"</x:f>
        <x:v>Option 2</x:v>
      </x:c>
      <x:c r="F1047" s="14" t="n">
        <x:f>'Employee Attendance'!G350</x:f>
        <x:v>0</x:v>
      </x:c>
      <x:c r="G1047" t="n">
        <x:f>F1047*86400</x:f>
        <x:v>0</x:v>
      </x:c>
      <x:c r="H1047" t="str">
        <x:f>'Employee Attendance'!H350</x:f>
        <x:v>Did not attend</x:v>
      </x:c>
      <x:c r="I1047" t="str">
        <x:f>'Employee Attendance'!L350</x:f>
        <x:v>No</x:v>
      </x:c>
    </x:row>
    <x:row r="1048">
      <x:c r="A1048" t="str">
        <x:f>'Employee Attendance'!A350</x:f>
        <x:v>Ray Hang'ambwa</x:v>
      </x:c>
      <x:c r="B1048" t="str">
        <x:f>'Employee Attendance'!B350</x:f>
        <x:v>Zambia</x:v>
      </x:c>
      <x:c r="C1048" t="str">
        <x:f>'Employee Attendance'!C350</x:f>
        <x:v>ZM</x:v>
      </x:c>
      <x:c r="D1048" t="str">
        <x:f>'Employee Attendance'!D350</x:f>
        <x:v>ray.hangambwa@pwc.com</x:v>
      </x:c>
      <x:c r="E1048" t="str">
        <x:f>"Combined"</x:f>
        <x:v>Combined</x:v>
      </x:c>
      <x:c r="F1048" s="14" t="n">
        <x:f>'Employee Attendance'!I350</x:f>
        <x:v>0</x:v>
      </x:c>
      <x:c r="G1048" t="n">
        <x:f>F1048*86400</x:f>
        <x:v>0</x:v>
      </x:c>
      <x:c r="H1048" t="str">
        <x:f>'Employee Attendance'!J350</x:f>
        <x:v>Did not attend</x:v>
      </x:c>
      <x:c r="I1048" t="str">
        <x:f>IF(OR('Employee Attendance'!K350="Yes",'Employee Attendance'!L350="Yes"),"Yes","No")</x:f>
        <x:v>No</x:v>
      </x:c>
    </x:row>
    <x:row r="1049">
      <x:c r="A1049" t="str">
        <x:f>'Employee Attendance'!A351</x:f>
        <x:v>Rebecca Chepkoech</x:v>
      </x:c>
      <x:c r="B1049" t="str">
        <x:f>'Employee Attendance'!B351</x:f>
        <x:v>Rwanda</x:v>
      </x:c>
      <x:c r="C1049" t="str">
        <x:f>'Employee Attendance'!C351</x:f>
        <x:v>RW</x:v>
      </x:c>
      <x:c r="D1049" t="str">
        <x:f>'Employee Attendance'!D351</x:f>
        <x:v>rebecca.r.chepkoech@pwc.com</x:v>
      </x:c>
      <x:c r="E1049" t="str">
        <x:f>"Option 1"</x:f>
        <x:v>Option 1</x:v>
      </x:c>
      <x:c r="F1049" s="14" t="n">
        <x:f>'Employee Attendance'!E351</x:f>
        <x:v>0</x:v>
      </x:c>
      <x:c r="G1049" t="n">
        <x:f>F1049*86400</x:f>
        <x:v>0</x:v>
      </x:c>
      <x:c r="H1049" t="str">
        <x:f>'Employee Attendance'!F351</x:f>
        <x:v>Did not attend</x:v>
      </x:c>
      <x:c r="I1049" t="str">
        <x:f>'Employee Attendance'!K351</x:f>
        <x:v>No</x:v>
      </x:c>
    </x:row>
    <x:row r="1050">
      <x:c r="A1050" t="str">
        <x:f>'Employee Attendance'!A351</x:f>
        <x:v>Rebecca Chepkoech</x:v>
      </x:c>
      <x:c r="B1050" t="str">
        <x:f>'Employee Attendance'!B351</x:f>
        <x:v>Rwanda</x:v>
      </x:c>
      <x:c r="C1050" t="str">
        <x:f>'Employee Attendance'!C351</x:f>
        <x:v>RW</x:v>
      </x:c>
      <x:c r="D1050" t="str">
        <x:f>'Employee Attendance'!D351</x:f>
        <x:v>rebecca.r.chepkoech@pwc.com</x:v>
      </x:c>
      <x:c r="E1050" t="str">
        <x:f>"Option 2"</x:f>
        <x:v>Option 2</x:v>
      </x:c>
      <x:c r="F1050" s="14" t="n">
        <x:f>'Employee Attendance'!G351</x:f>
        <x:v>0.0880787037037037</x:v>
      </x:c>
      <x:c r="G1050" t="n">
        <x:f>F1050*86400</x:f>
        <x:v>7610</x:v>
      </x:c>
      <x:c r="H1050" t="str">
        <x:f>'Employee Attendance'!H351</x:f>
        <x:v>Fully attended</x:v>
      </x:c>
      <x:c r="I1050" t="str">
        <x:f>'Employee Attendance'!L351</x:f>
        <x:v>Yes</x:v>
      </x:c>
    </x:row>
    <x:row r="1051">
      <x:c r="A1051" t="str">
        <x:f>'Employee Attendance'!A351</x:f>
        <x:v>Rebecca Chepkoech</x:v>
      </x:c>
      <x:c r="B1051" t="str">
        <x:f>'Employee Attendance'!B351</x:f>
        <x:v>Rwanda</x:v>
      </x:c>
      <x:c r="C1051" t="str">
        <x:f>'Employee Attendance'!C351</x:f>
        <x:v>RW</x:v>
      </x:c>
      <x:c r="D1051" t="str">
        <x:f>'Employee Attendance'!D351</x:f>
        <x:v>rebecca.r.chepkoech@pwc.com</x:v>
      </x:c>
      <x:c r="E1051" t="str">
        <x:f>"Combined"</x:f>
        <x:v>Combined</x:v>
      </x:c>
      <x:c r="F1051" s="14" t="n">
        <x:f>'Employee Attendance'!I351</x:f>
        <x:v>0.0880787037037037</x:v>
      </x:c>
      <x:c r="G1051" t="n">
        <x:f>F1051*86400</x:f>
        <x:v>7610</x:v>
      </x:c>
      <x:c r="H1051" t="str">
        <x:f>'Employee Attendance'!J351</x:f>
        <x:v>Fully attended</x:v>
      </x:c>
      <x:c r="I1051" t="str">
        <x:f>IF(OR('Employee Attendance'!K351="Yes",'Employee Attendance'!L351="Yes"),"Yes","No")</x:f>
        <x:v>Yes</x:v>
      </x:c>
    </x:row>
    <x:row r="1052">
      <x:c r="A1052" t="str">
        <x:f>'Employee Attendance'!A352</x:f>
        <x:v>Rehema Muhimbi</x:v>
      </x:c>
      <x:c r="B1052" t="str">
        <x:f>'Employee Attendance'!B352</x:f>
        <x:v>Tanzania</x:v>
      </x:c>
      <x:c r="C1052" t="str">
        <x:f>'Employee Attendance'!C352</x:f>
        <x:v>TZ</x:v>
      </x:c>
      <x:c r="D1052" t="str">
        <x:f>'Employee Attendance'!D352</x:f>
        <x:v>rehema.muhimbi@pwc.com</x:v>
      </x:c>
      <x:c r="E1052" t="str">
        <x:f>"Option 1"</x:f>
        <x:v>Option 1</x:v>
      </x:c>
      <x:c r="F1052" s="14" t="n">
        <x:f>'Employee Attendance'!E352</x:f>
        <x:v>0</x:v>
      </x:c>
      <x:c r="G1052" t="n">
        <x:f>F1052*86400</x:f>
        <x:v>0</x:v>
      </x:c>
      <x:c r="H1052" t="str">
        <x:f>'Employee Attendance'!F352</x:f>
        <x:v>Did not attend</x:v>
      </x:c>
      <x:c r="I1052" t="str">
        <x:f>'Employee Attendance'!K352</x:f>
        <x:v>No</x:v>
      </x:c>
    </x:row>
    <x:row r="1053">
      <x:c r="A1053" t="str">
        <x:f>'Employee Attendance'!A352</x:f>
        <x:v>Rehema Muhimbi</x:v>
      </x:c>
      <x:c r="B1053" t="str">
        <x:f>'Employee Attendance'!B352</x:f>
        <x:v>Tanzania</x:v>
      </x:c>
      <x:c r="C1053" t="str">
        <x:f>'Employee Attendance'!C352</x:f>
        <x:v>TZ</x:v>
      </x:c>
      <x:c r="D1053" t="str">
        <x:f>'Employee Attendance'!D352</x:f>
        <x:v>rehema.muhimbi@pwc.com</x:v>
      </x:c>
      <x:c r="E1053" t="str">
        <x:f>"Option 2"</x:f>
        <x:v>Option 2</x:v>
      </x:c>
      <x:c r="F1053" s="14" t="n">
        <x:f>'Employee Attendance'!G352</x:f>
        <x:v>0.0880324074074074</x:v>
      </x:c>
      <x:c r="G1053" t="n">
        <x:f>F1053*86400</x:f>
        <x:v>7606</x:v>
      </x:c>
      <x:c r="H1053" t="str">
        <x:f>'Employee Attendance'!H352</x:f>
        <x:v>Fully attended</x:v>
      </x:c>
      <x:c r="I1053" t="str">
        <x:f>'Employee Attendance'!L352</x:f>
        <x:v>Yes</x:v>
      </x:c>
    </x:row>
    <x:row r="1054">
      <x:c r="A1054" t="str">
        <x:f>'Employee Attendance'!A352</x:f>
        <x:v>Rehema Muhimbi</x:v>
      </x:c>
      <x:c r="B1054" t="str">
        <x:f>'Employee Attendance'!B352</x:f>
        <x:v>Tanzania</x:v>
      </x:c>
      <x:c r="C1054" t="str">
        <x:f>'Employee Attendance'!C352</x:f>
        <x:v>TZ</x:v>
      </x:c>
      <x:c r="D1054" t="str">
        <x:f>'Employee Attendance'!D352</x:f>
        <x:v>rehema.muhimbi@pwc.com</x:v>
      </x:c>
      <x:c r="E1054" t="str">
        <x:f>"Combined"</x:f>
        <x:v>Combined</x:v>
      </x:c>
      <x:c r="F1054" s="14" t="n">
        <x:f>'Employee Attendance'!I352</x:f>
        <x:v>0.0880324074074074</x:v>
      </x:c>
      <x:c r="G1054" t="n">
        <x:f>F1054*86400</x:f>
        <x:v>7606</x:v>
      </x:c>
      <x:c r="H1054" t="str">
        <x:f>'Employee Attendance'!J352</x:f>
        <x:v>Fully attended</x:v>
      </x:c>
      <x:c r="I1054" t="str">
        <x:f>IF(OR('Employee Attendance'!K352="Yes",'Employee Attendance'!L352="Yes"),"Yes","No")</x:f>
        <x:v>Yes</x:v>
      </x:c>
    </x:row>
    <x:row r="1055">
      <x:c r="A1055" t="str">
        <x:f>'Employee Attendance'!A353</x:f>
        <x:v>Rendani Ramulongo</x:v>
      </x:c>
      <x:c r="B1055" t="str">
        <x:f>'Employee Attendance'!B353</x:f>
        <x:v>Tanzania</x:v>
      </x:c>
      <x:c r="C1055" t="str">
        <x:f>'Employee Attendance'!C353</x:f>
        <x:v>TZ</x:v>
      </x:c>
      <x:c r="D1055" t="str">
        <x:f>'Employee Attendance'!D353</x:f>
        <x:v>rendani.r.ramulongo@pwc.com</x:v>
      </x:c>
      <x:c r="E1055" t="str">
        <x:f>"Option 1"</x:f>
        <x:v>Option 1</x:v>
      </x:c>
      <x:c r="F1055" s="14" t="n">
        <x:f>'Employee Attendance'!E353</x:f>
        <x:v>0.08533564814814815</x:v>
      </x:c>
      <x:c r="G1055" t="n">
        <x:f>F1055*86400</x:f>
        <x:v>7373</x:v>
      </x:c>
      <x:c r="H1055" t="str">
        <x:f>'Employee Attendance'!F353</x:f>
        <x:v>Fully attended</x:v>
      </x:c>
      <x:c r="I1055" t="str">
        <x:f>'Employee Attendance'!K353</x:f>
        <x:v>Yes</x:v>
      </x:c>
    </x:row>
    <x:row r="1056">
      <x:c r="A1056" t="str">
        <x:f>'Employee Attendance'!A353</x:f>
        <x:v>Rendani Ramulongo</x:v>
      </x:c>
      <x:c r="B1056" t="str">
        <x:f>'Employee Attendance'!B353</x:f>
        <x:v>Tanzania</x:v>
      </x:c>
      <x:c r="C1056" t="str">
        <x:f>'Employee Attendance'!C353</x:f>
        <x:v>TZ</x:v>
      </x:c>
      <x:c r="D1056" t="str">
        <x:f>'Employee Attendance'!D353</x:f>
        <x:v>rendani.r.ramulongo@pwc.com</x:v>
      </x:c>
      <x:c r="E1056" t="str">
        <x:f>"Option 2"</x:f>
        <x:v>Option 2</x:v>
      </x:c>
      <x:c r="F1056" s="14" t="n">
        <x:f>'Employee Attendance'!G353</x:f>
        <x:v>0</x:v>
      </x:c>
      <x:c r="G1056" t="n">
        <x:f>F1056*86400</x:f>
        <x:v>0</x:v>
      </x:c>
      <x:c r="H1056" t="str">
        <x:f>'Employee Attendance'!H353</x:f>
        <x:v>Did not attend</x:v>
      </x:c>
      <x:c r="I1056" t="str">
        <x:f>'Employee Attendance'!L353</x:f>
        <x:v>No</x:v>
      </x:c>
    </x:row>
    <x:row r="1057">
      <x:c r="A1057" t="str">
        <x:f>'Employee Attendance'!A353</x:f>
        <x:v>Rendani Ramulongo</x:v>
      </x:c>
      <x:c r="B1057" t="str">
        <x:f>'Employee Attendance'!B353</x:f>
        <x:v>Tanzania</x:v>
      </x:c>
      <x:c r="C1057" t="str">
        <x:f>'Employee Attendance'!C353</x:f>
        <x:v>TZ</x:v>
      </x:c>
      <x:c r="D1057" t="str">
        <x:f>'Employee Attendance'!D353</x:f>
        <x:v>rendani.r.ramulongo@pwc.com</x:v>
      </x:c>
      <x:c r="E1057" t="str">
        <x:f>"Combined"</x:f>
        <x:v>Combined</x:v>
      </x:c>
      <x:c r="F1057" s="14" t="n">
        <x:f>'Employee Attendance'!I353</x:f>
        <x:v>0.08533564814814815</x:v>
      </x:c>
      <x:c r="G1057" t="n">
        <x:f>F1057*86400</x:f>
        <x:v>7373</x:v>
      </x:c>
      <x:c r="H1057" t="str">
        <x:f>'Employee Attendance'!J353</x:f>
        <x:v>Fully attended</x:v>
      </x:c>
      <x:c r="I1057" t="str">
        <x:f>IF(OR('Employee Attendance'!K353="Yes",'Employee Attendance'!L353="Yes"),"Yes","No")</x:f>
        <x:v>Yes</x:v>
      </x:c>
    </x:row>
    <x:row r="1058">
      <x:c r="A1058" t="str">
        <x:f>'Employee Attendance'!A354</x:f>
        <x:v>Renou Ramdany</x:v>
      </x:c>
      <x:c r="B1058" t="str">
        <x:f>'Employee Attendance'!B354</x:f>
        <x:v>Mauritius</x:v>
      </x:c>
      <x:c r="C1058" t="str">
        <x:f>'Employee Attendance'!C354</x:f>
        <x:v>MU</x:v>
      </x:c>
      <x:c r="D1058" t="str">
        <x:f>'Employee Attendance'!D354</x:f>
        <x:v>renou.ramdany@pwc.com</x:v>
      </x:c>
      <x:c r="E1058" t="str">
        <x:f>"Option 1"</x:f>
        <x:v>Option 1</x:v>
      </x:c>
      <x:c r="F1058" s="14" t="n">
        <x:f>'Employee Attendance'!E354</x:f>
        <x:v>0.08386574074074074</x:v>
      </x:c>
      <x:c r="G1058" t="n">
        <x:f>F1058*86400</x:f>
        <x:v>7246</x:v>
      </x:c>
      <x:c r="H1058" t="str">
        <x:f>'Employee Attendance'!F354</x:f>
        <x:v>Fully attended</x:v>
      </x:c>
      <x:c r="I1058" t="str">
        <x:f>'Employee Attendance'!K354</x:f>
        <x:v>Yes</x:v>
      </x:c>
    </x:row>
    <x:row r="1059">
      <x:c r="A1059" t="str">
        <x:f>'Employee Attendance'!A354</x:f>
        <x:v>Renou Ramdany</x:v>
      </x:c>
      <x:c r="B1059" t="str">
        <x:f>'Employee Attendance'!B354</x:f>
        <x:v>Mauritius</x:v>
      </x:c>
      <x:c r="C1059" t="str">
        <x:f>'Employee Attendance'!C354</x:f>
        <x:v>MU</x:v>
      </x:c>
      <x:c r="D1059" t="str">
        <x:f>'Employee Attendance'!D354</x:f>
        <x:v>renou.ramdany@pwc.com</x:v>
      </x:c>
      <x:c r="E1059" t="str">
        <x:f>"Option 2"</x:f>
        <x:v>Option 2</x:v>
      </x:c>
      <x:c r="F1059" s="14" t="n">
        <x:f>'Employee Attendance'!G354</x:f>
        <x:v>0</x:v>
      </x:c>
      <x:c r="G1059" t="n">
        <x:f>F1059*86400</x:f>
        <x:v>0</x:v>
      </x:c>
      <x:c r="H1059" t="str">
        <x:f>'Employee Attendance'!H354</x:f>
        <x:v>Did not attend</x:v>
      </x:c>
      <x:c r="I1059" t="str">
        <x:f>'Employee Attendance'!L354</x:f>
        <x:v>No</x:v>
      </x:c>
    </x:row>
    <x:row r="1060">
      <x:c r="A1060" t="str">
        <x:f>'Employee Attendance'!A354</x:f>
        <x:v>Renou Ramdany</x:v>
      </x:c>
      <x:c r="B1060" t="str">
        <x:f>'Employee Attendance'!B354</x:f>
        <x:v>Mauritius</x:v>
      </x:c>
      <x:c r="C1060" t="str">
        <x:f>'Employee Attendance'!C354</x:f>
        <x:v>MU</x:v>
      </x:c>
      <x:c r="D1060" t="str">
        <x:f>'Employee Attendance'!D354</x:f>
        <x:v>renou.ramdany@pwc.com</x:v>
      </x:c>
      <x:c r="E1060" t="str">
        <x:f>"Combined"</x:f>
        <x:v>Combined</x:v>
      </x:c>
      <x:c r="F1060" s="14" t="n">
        <x:f>'Employee Attendance'!I354</x:f>
        <x:v>0.08386574074074074</x:v>
      </x:c>
      <x:c r="G1060" t="n">
        <x:f>F1060*86400</x:f>
        <x:v>7246</x:v>
      </x:c>
      <x:c r="H1060" t="str">
        <x:f>'Employee Attendance'!J354</x:f>
        <x:v>Fully attended</x:v>
      </x:c>
      <x:c r="I1060" t="str">
        <x:f>IF(OR('Employee Attendance'!K354="Yes",'Employee Attendance'!L354="Yes"),"Yes","No")</x:f>
        <x:v>Yes</x:v>
      </x:c>
    </x:row>
    <x:row r="1061">
      <x:c r="A1061" t="str">
        <x:f>'Employee Attendance'!A355</x:f>
        <x:v>Revatee Huril</x:v>
      </x:c>
      <x:c r="B1061" t="str">
        <x:f>'Employee Attendance'!B355</x:f>
        <x:v>Mauritius</x:v>
      </x:c>
      <x:c r="C1061" t="str">
        <x:f>'Employee Attendance'!C355</x:f>
        <x:v>MU</x:v>
      </x:c>
      <x:c r="D1061" t="str">
        <x:f>'Employee Attendance'!D355</x:f>
        <x:v>revatee.huril@pwc.com</x:v>
      </x:c>
      <x:c r="E1061" t="str">
        <x:f>"Option 1"</x:f>
        <x:v>Option 1</x:v>
      </x:c>
      <x:c r="F1061" s="14" t="n">
        <x:f>'Employee Attendance'!E355</x:f>
        <x:v>0.00017361111111111112</x:v>
      </x:c>
      <x:c r="G1061" t="n">
        <x:f>F1061*86400</x:f>
        <x:v>15</x:v>
      </x:c>
      <x:c r="H1061" t="str">
        <x:f>'Employee Attendance'!F355</x:f>
        <x:v>Partially attended</x:v>
      </x:c>
      <x:c r="I1061" t="str">
        <x:f>'Employee Attendance'!K355</x:f>
        <x:v>Yes</x:v>
      </x:c>
    </x:row>
    <x:row r="1062">
      <x:c r="A1062" t="str">
        <x:f>'Employee Attendance'!A355</x:f>
        <x:v>Revatee Huril</x:v>
      </x:c>
      <x:c r="B1062" t="str">
        <x:f>'Employee Attendance'!B355</x:f>
        <x:v>Mauritius</x:v>
      </x:c>
      <x:c r="C1062" t="str">
        <x:f>'Employee Attendance'!C355</x:f>
        <x:v>MU</x:v>
      </x:c>
      <x:c r="D1062" t="str">
        <x:f>'Employee Attendance'!D355</x:f>
        <x:v>revatee.huril@pwc.com</x:v>
      </x:c>
      <x:c r="E1062" t="str">
        <x:f>"Option 2"</x:f>
        <x:v>Option 2</x:v>
      </x:c>
      <x:c r="F1062" s="14" t="n">
        <x:f>'Employee Attendance'!G355</x:f>
        <x:v>0.09190972222222223</x:v>
      </x:c>
      <x:c r="G1062" t="n">
        <x:f>F1062*86400</x:f>
        <x:v>7941</x:v>
      </x:c>
      <x:c r="H1062" t="str">
        <x:f>'Employee Attendance'!H355</x:f>
        <x:v>Fully attended</x:v>
      </x:c>
      <x:c r="I1062" t="str">
        <x:f>'Employee Attendance'!L355</x:f>
        <x:v>Yes</x:v>
      </x:c>
    </x:row>
    <x:row r="1063">
      <x:c r="A1063" t="str">
        <x:f>'Employee Attendance'!A355</x:f>
        <x:v>Revatee Huril</x:v>
      </x:c>
      <x:c r="B1063" t="str">
        <x:f>'Employee Attendance'!B355</x:f>
        <x:v>Mauritius</x:v>
      </x:c>
      <x:c r="C1063" t="str">
        <x:f>'Employee Attendance'!C355</x:f>
        <x:v>MU</x:v>
      </x:c>
      <x:c r="D1063" t="str">
        <x:f>'Employee Attendance'!D355</x:f>
        <x:v>revatee.huril@pwc.com</x:v>
      </x:c>
      <x:c r="E1063" t="str">
        <x:f>"Combined"</x:f>
        <x:v>Combined</x:v>
      </x:c>
      <x:c r="F1063" s="14" t="n">
        <x:f>'Employee Attendance'!I355</x:f>
        <x:v>0.09208333333333334</x:v>
      </x:c>
      <x:c r="G1063" t="n">
        <x:f>F1063*86400</x:f>
        <x:v>7956</x:v>
      </x:c>
      <x:c r="H1063" t="str">
        <x:f>'Employee Attendance'!J355</x:f>
        <x:v>Fully attended</x:v>
      </x:c>
      <x:c r="I1063" t="str">
        <x:f>IF(OR('Employee Attendance'!K355="Yes",'Employee Attendance'!L355="Yes"),"Yes","No")</x:f>
        <x:v>Yes</x:v>
      </x:c>
    </x:row>
    <x:row r="1064">
      <x:c r="A1064" t="str">
        <x:f>'Employee Attendance'!A356</x:f>
        <x:v>Rhoda Irungu</x:v>
      </x:c>
      <x:c r="B1064" t="str">
        <x:f>'Employee Attendance'!B356</x:f>
        <x:v>Kenya</x:v>
      </x:c>
      <x:c r="C1064" t="str">
        <x:f>'Employee Attendance'!C356</x:f>
        <x:v>KE</x:v>
      </x:c>
      <x:c r="D1064" t="str">
        <x:f>'Employee Attendance'!D356</x:f>
        <x:v>rhoda.irungu@pwc.com</x:v>
      </x:c>
      <x:c r="E1064" t="str">
        <x:f>"Option 1"</x:f>
        <x:v>Option 1</x:v>
      </x:c>
      <x:c r="F1064" s="14" t="n">
        <x:f>'Employee Attendance'!E356</x:f>
        <x:v>0</x:v>
      </x:c>
      <x:c r="G1064" t="n">
        <x:f>F1064*86400</x:f>
        <x:v>0</x:v>
      </x:c>
      <x:c r="H1064" t="str">
        <x:f>'Employee Attendance'!F356</x:f>
        <x:v>Did not attend</x:v>
      </x:c>
      <x:c r="I1064" t="str">
        <x:f>'Employee Attendance'!K356</x:f>
        <x:v>No</x:v>
      </x:c>
    </x:row>
    <x:row r="1065">
      <x:c r="A1065" t="str">
        <x:f>'Employee Attendance'!A356</x:f>
        <x:v>Rhoda Irungu</x:v>
      </x:c>
      <x:c r="B1065" t="str">
        <x:f>'Employee Attendance'!B356</x:f>
        <x:v>Kenya</x:v>
      </x:c>
      <x:c r="C1065" t="str">
        <x:f>'Employee Attendance'!C356</x:f>
        <x:v>KE</x:v>
      </x:c>
      <x:c r="D1065" t="str">
        <x:f>'Employee Attendance'!D356</x:f>
        <x:v>rhoda.irungu@pwc.com</x:v>
      </x:c>
      <x:c r="E1065" t="str">
        <x:f>"Option 2"</x:f>
        <x:v>Option 2</x:v>
      </x:c>
      <x:c r="F1065" s="14" t="n">
        <x:f>'Employee Attendance'!G356</x:f>
        <x:v>0.08614583333333334</x:v>
      </x:c>
      <x:c r="G1065" t="n">
        <x:f>F1065*86400</x:f>
        <x:v>7443</x:v>
      </x:c>
      <x:c r="H1065" t="str">
        <x:f>'Employee Attendance'!H356</x:f>
        <x:v>Fully attended</x:v>
      </x:c>
      <x:c r="I1065" t="str">
        <x:f>'Employee Attendance'!L356</x:f>
        <x:v>Yes</x:v>
      </x:c>
    </x:row>
    <x:row r="1066">
      <x:c r="A1066" t="str">
        <x:f>'Employee Attendance'!A356</x:f>
        <x:v>Rhoda Irungu</x:v>
      </x:c>
      <x:c r="B1066" t="str">
        <x:f>'Employee Attendance'!B356</x:f>
        <x:v>Kenya</x:v>
      </x:c>
      <x:c r="C1066" t="str">
        <x:f>'Employee Attendance'!C356</x:f>
        <x:v>KE</x:v>
      </x:c>
      <x:c r="D1066" t="str">
        <x:f>'Employee Attendance'!D356</x:f>
        <x:v>rhoda.irungu@pwc.com</x:v>
      </x:c>
      <x:c r="E1066" t="str">
        <x:f>"Combined"</x:f>
        <x:v>Combined</x:v>
      </x:c>
      <x:c r="F1066" s="14" t="n">
        <x:f>'Employee Attendance'!I356</x:f>
        <x:v>0.08614583333333334</x:v>
      </x:c>
      <x:c r="G1066" t="n">
        <x:f>F1066*86400</x:f>
        <x:v>7443</x:v>
      </x:c>
      <x:c r="H1066" t="str">
        <x:f>'Employee Attendance'!J356</x:f>
        <x:v>Fully attended</x:v>
      </x:c>
      <x:c r="I1066" t="str">
        <x:f>IF(OR('Employee Attendance'!K356="Yes",'Employee Attendance'!L356="Yes"),"Yes","No")</x:f>
        <x:v>Yes</x:v>
      </x:c>
    </x:row>
    <x:row r="1067">
      <x:c r="A1067" t="str">
        <x:f>'Employee Attendance'!A357</x:f>
        <x:v>Richard John</x:v>
      </x:c>
      <x:c r="B1067" t="str">
        <x:f>'Employee Attendance'!B357</x:f>
        <x:v>Tanzania</x:v>
      </x:c>
      <x:c r="C1067" t="str">
        <x:f>'Employee Attendance'!C357</x:f>
        <x:v>TZ</x:v>
      </x:c>
      <x:c r="D1067" t="str">
        <x:f>'Employee Attendance'!D357</x:f>
        <x:v>richard.john@pwc.com</x:v>
      </x:c>
      <x:c r="E1067" t="str">
        <x:f>"Option 1"</x:f>
        <x:v>Option 1</x:v>
      </x:c>
      <x:c r="F1067" s="14" t="n">
        <x:f>'Employee Attendance'!E357</x:f>
        <x:v>0.08765046296296296</x:v>
      </x:c>
      <x:c r="G1067" t="n">
        <x:f>F1067*86400</x:f>
        <x:v>7573</x:v>
      </x:c>
      <x:c r="H1067" t="str">
        <x:f>'Employee Attendance'!F357</x:f>
        <x:v>Fully attended</x:v>
      </x:c>
      <x:c r="I1067" t="str">
        <x:f>'Employee Attendance'!K357</x:f>
        <x:v>Yes</x:v>
      </x:c>
    </x:row>
    <x:row r="1068">
      <x:c r="A1068" t="str">
        <x:f>'Employee Attendance'!A357</x:f>
        <x:v>Richard John</x:v>
      </x:c>
      <x:c r="B1068" t="str">
        <x:f>'Employee Attendance'!B357</x:f>
        <x:v>Tanzania</x:v>
      </x:c>
      <x:c r="C1068" t="str">
        <x:f>'Employee Attendance'!C357</x:f>
        <x:v>TZ</x:v>
      </x:c>
      <x:c r="D1068" t="str">
        <x:f>'Employee Attendance'!D357</x:f>
        <x:v>richard.john@pwc.com</x:v>
      </x:c>
      <x:c r="E1068" t="str">
        <x:f>"Option 2"</x:f>
        <x:v>Option 2</x:v>
      </x:c>
      <x:c r="F1068" s="14" t="n">
        <x:f>'Employee Attendance'!G357</x:f>
        <x:v>0.045023148148148145</x:v>
      </x:c>
      <x:c r="G1068" t="n">
        <x:f>F1068*86400</x:f>
        <x:v>3889.9999999999995</x:v>
      </x:c>
      <x:c r="H1068" t="str">
        <x:f>'Employee Attendance'!H357</x:f>
        <x:v>Partially attended</x:v>
      </x:c>
      <x:c r="I1068" t="str">
        <x:f>'Employee Attendance'!L357</x:f>
        <x:v>Yes</x:v>
      </x:c>
    </x:row>
    <x:row r="1069">
      <x:c r="A1069" t="str">
        <x:f>'Employee Attendance'!A357</x:f>
        <x:v>Richard John</x:v>
      </x:c>
      <x:c r="B1069" t="str">
        <x:f>'Employee Attendance'!B357</x:f>
        <x:v>Tanzania</x:v>
      </x:c>
      <x:c r="C1069" t="str">
        <x:f>'Employee Attendance'!C357</x:f>
        <x:v>TZ</x:v>
      </x:c>
      <x:c r="D1069" t="str">
        <x:f>'Employee Attendance'!D357</x:f>
        <x:v>richard.john@pwc.com</x:v>
      </x:c>
      <x:c r="E1069" t="str">
        <x:f>"Combined"</x:f>
        <x:v>Combined</x:v>
      </x:c>
      <x:c r="F1069" s="14" t="n">
        <x:f>'Employee Attendance'!I357</x:f>
        <x:v>0.1326736111111111</x:v>
      </x:c>
      <x:c r="G1069" t="n">
        <x:f>F1069*86400</x:f>
        <x:v>11462.999999999998</x:v>
      </x:c>
      <x:c r="H1069" t="str">
        <x:f>'Employee Attendance'!J357</x:f>
        <x:v>Fully attended</x:v>
      </x:c>
      <x:c r="I1069" t="str">
        <x:f>IF(OR('Employee Attendance'!K357="Yes",'Employee Attendance'!L357="Yes"),"Yes","No")</x:f>
        <x:v>Yes</x:v>
      </x:c>
    </x:row>
    <x:row r="1070">
      <x:c r="A1070" t="str">
        <x:f>'Employee Attendance'!A358</x:f>
        <x:v>Richard Manzi</x:v>
      </x:c>
      <x:c r="B1070" t="str">
        <x:f>'Employee Attendance'!B358</x:f>
        <x:v>Rwanda</x:v>
      </x:c>
      <x:c r="C1070" t="str">
        <x:f>'Employee Attendance'!C358</x:f>
        <x:v>RW</x:v>
      </x:c>
      <x:c r="D1070" t="str">
        <x:f>'Employee Attendance'!D358</x:f>
        <x:v>richard.manzi@pwc.com</x:v>
      </x:c>
      <x:c r="E1070" t="str">
        <x:f>"Option 1"</x:f>
        <x:v>Option 1</x:v>
      </x:c>
      <x:c r="F1070" s="14" t="n">
        <x:f>'Employee Attendance'!E358</x:f>
        <x:v>0.056400462962962965</x:v>
      </x:c>
      <x:c r="G1070" t="n">
        <x:f>F1070*86400</x:f>
        <x:v>4873</x:v>
      </x:c>
      <x:c r="H1070" t="str">
        <x:f>'Employee Attendance'!F358</x:f>
        <x:v>Partially attended</x:v>
      </x:c>
      <x:c r="I1070" t="str">
        <x:f>'Employee Attendance'!K358</x:f>
        <x:v>Yes</x:v>
      </x:c>
    </x:row>
    <x:row r="1071">
      <x:c r="A1071" t="str">
        <x:f>'Employee Attendance'!A358</x:f>
        <x:v>Richard Manzi</x:v>
      </x:c>
      <x:c r="B1071" t="str">
        <x:f>'Employee Attendance'!B358</x:f>
        <x:v>Rwanda</x:v>
      </x:c>
      <x:c r="C1071" t="str">
        <x:f>'Employee Attendance'!C358</x:f>
        <x:v>RW</x:v>
      </x:c>
      <x:c r="D1071" t="str">
        <x:f>'Employee Attendance'!D358</x:f>
        <x:v>richard.manzi@pwc.com</x:v>
      </x:c>
      <x:c r="E1071" t="str">
        <x:f>"Option 2"</x:f>
        <x:v>Option 2</x:v>
      </x:c>
      <x:c r="F1071" s="14" t="n">
        <x:f>'Employee Attendance'!G358</x:f>
        <x:v>0</x:v>
      </x:c>
      <x:c r="G1071" t="n">
        <x:f>F1071*86400</x:f>
        <x:v>0</x:v>
      </x:c>
      <x:c r="H1071" t="str">
        <x:f>'Employee Attendance'!H358</x:f>
        <x:v>Did not attend</x:v>
      </x:c>
      <x:c r="I1071" t="str">
        <x:f>'Employee Attendance'!L358</x:f>
        <x:v>No</x:v>
      </x:c>
    </x:row>
    <x:row r="1072">
      <x:c r="A1072" t="str">
        <x:f>'Employee Attendance'!A358</x:f>
        <x:v>Richard Manzi</x:v>
      </x:c>
      <x:c r="B1072" t="str">
        <x:f>'Employee Attendance'!B358</x:f>
        <x:v>Rwanda</x:v>
      </x:c>
      <x:c r="C1072" t="str">
        <x:f>'Employee Attendance'!C358</x:f>
        <x:v>RW</x:v>
      </x:c>
      <x:c r="D1072" t="str">
        <x:f>'Employee Attendance'!D358</x:f>
        <x:v>richard.manzi@pwc.com</x:v>
      </x:c>
      <x:c r="E1072" t="str">
        <x:f>"Combined"</x:f>
        <x:v>Combined</x:v>
      </x:c>
      <x:c r="F1072" s="14" t="n">
        <x:f>'Employee Attendance'!I358</x:f>
        <x:v>0.056400462962962965</x:v>
      </x:c>
      <x:c r="G1072" t="n">
        <x:f>F1072*86400</x:f>
        <x:v>4873</x:v>
      </x:c>
      <x:c r="H1072" t="str">
        <x:f>'Employee Attendance'!J358</x:f>
        <x:v>Partially attended</x:v>
      </x:c>
      <x:c r="I1072" t="str">
        <x:f>IF(OR('Employee Attendance'!K358="Yes",'Employee Attendance'!L358="Yes"),"Yes","No")</x:f>
        <x:v>Yes</x:v>
      </x:c>
    </x:row>
    <x:row r="1073">
      <x:c r="A1073" t="str">
        <x:f>'Employee Attendance'!A359</x:f>
        <x:v>Ridhiwani Mohammed</x:v>
      </x:c>
      <x:c r="B1073" t="str">
        <x:f>'Employee Attendance'!B359</x:f>
        <x:v>Tanzania</x:v>
      </x:c>
      <x:c r="C1073" t="str">
        <x:f>'Employee Attendance'!C359</x:f>
        <x:v>TZ</x:v>
      </x:c>
      <x:c r="D1073" t="str">
        <x:f>'Employee Attendance'!D359</x:f>
        <x:v>ridhiwani.mohammed@pwc.com</x:v>
      </x:c>
      <x:c r="E1073" t="str">
        <x:f>"Option 1"</x:f>
        <x:v>Option 1</x:v>
      </x:c>
      <x:c r="F1073" s="14" t="n">
        <x:f>'Employee Attendance'!E359</x:f>
        <x:v>0</x:v>
      </x:c>
      <x:c r="G1073" t="n">
        <x:f>F1073*86400</x:f>
        <x:v>0</x:v>
      </x:c>
      <x:c r="H1073" t="str">
        <x:f>'Employee Attendance'!F359</x:f>
        <x:v>Did not attend</x:v>
      </x:c>
      <x:c r="I1073" t="str">
        <x:f>'Employee Attendance'!K359</x:f>
        <x:v>No</x:v>
      </x:c>
    </x:row>
    <x:row r="1074">
      <x:c r="A1074" t="str">
        <x:f>'Employee Attendance'!A359</x:f>
        <x:v>Ridhiwani Mohammed</x:v>
      </x:c>
      <x:c r="B1074" t="str">
        <x:f>'Employee Attendance'!B359</x:f>
        <x:v>Tanzania</x:v>
      </x:c>
      <x:c r="C1074" t="str">
        <x:f>'Employee Attendance'!C359</x:f>
        <x:v>TZ</x:v>
      </x:c>
      <x:c r="D1074" t="str">
        <x:f>'Employee Attendance'!D359</x:f>
        <x:v>ridhiwani.mohammed@pwc.com</x:v>
      </x:c>
      <x:c r="E1074" t="str">
        <x:f>"Option 2"</x:f>
        <x:v>Option 2</x:v>
      </x:c>
      <x:c r="F1074" s="14" t="n">
        <x:f>'Employee Attendance'!G359</x:f>
        <x:v>0.08454861111111112</x:v>
      </x:c>
      <x:c r="G1074" t="n">
        <x:f>F1074*86400</x:f>
        <x:v>7305</x:v>
      </x:c>
      <x:c r="H1074" t="str">
        <x:f>'Employee Attendance'!H359</x:f>
        <x:v>Fully attended</x:v>
      </x:c>
      <x:c r="I1074" t="str">
        <x:f>'Employee Attendance'!L359</x:f>
        <x:v>Yes</x:v>
      </x:c>
    </x:row>
    <x:row r="1075">
      <x:c r="A1075" t="str">
        <x:f>'Employee Attendance'!A359</x:f>
        <x:v>Ridhiwani Mohammed</x:v>
      </x:c>
      <x:c r="B1075" t="str">
        <x:f>'Employee Attendance'!B359</x:f>
        <x:v>Tanzania</x:v>
      </x:c>
      <x:c r="C1075" t="str">
        <x:f>'Employee Attendance'!C359</x:f>
        <x:v>TZ</x:v>
      </x:c>
      <x:c r="D1075" t="str">
        <x:f>'Employee Attendance'!D359</x:f>
        <x:v>ridhiwani.mohammed@pwc.com</x:v>
      </x:c>
      <x:c r="E1075" t="str">
        <x:f>"Combined"</x:f>
        <x:v>Combined</x:v>
      </x:c>
      <x:c r="F1075" s="14" t="n">
        <x:f>'Employee Attendance'!I359</x:f>
        <x:v>0.08454861111111112</x:v>
      </x:c>
      <x:c r="G1075" t="n">
        <x:f>F1075*86400</x:f>
        <x:v>7305</x:v>
      </x:c>
      <x:c r="H1075" t="str">
        <x:f>'Employee Attendance'!J359</x:f>
        <x:v>Fully attended</x:v>
      </x:c>
      <x:c r="I1075" t="str">
        <x:f>IF(OR('Employee Attendance'!K359="Yes",'Employee Attendance'!L359="Yes"),"Yes","No")</x:f>
        <x:v>Yes</x:v>
      </x:c>
    </x:row>
    <x:row r="1076">
      <x:c r="A1076" t="str">
        <x:f>'Employee Attendance'!A360</x:f>
        <x:v>Ronah Nuwagaba</x:v>
      </x:c>
      <x:c r="B1076" t="str">
        <x:f>'Employee Attendance'!B360</x:f>
        <x:v>Uganda</x:v>
      </x:c>
      <x:c r="C1076" t="str">
        <x:f>'Employee Attendance'!C360</x:f>
        <x:v>UG</x:v>
      </x:c>
      <x:c r="D1076" t="str">
        <x:f>'Employee Attendance'!D360</x:f>
        <x:v>ronah.nuwagaba@pwc.com</x:v>
      </x:c>
      <x:c r="E1076" t="str">
        <x:f>"Option 1"</x:f>
        <x:v>Option 1</x:v>
      </x:c>
      <x:c r="F1076" s="14" t="n">
        <x:f>'Employee Attendance'!E360</x:f>
        <x:v>0.09329861111111111</x:v>
      </x:c>
      <x:c r="G1076" t="n">
        <x:f>F1076*86400</x:f>
        <x:v>8061</x:v>
      </x:c>
      <x:c r="H1076" t="str">
        <x:f>'Employee Attendance'!F360</x:f>
        <x:v>Fully attended</x:v>
      </x:c>
      <x:c r="I1076" t="str">
        <x:f>'Employee Attendance'!K360</x:f>
        <x:v>Yes</x:v>
      </x:c>
    </x:row>
    <x:row r="1077">
      <x:c r="A1077" t="str">
        <x:f>'Employee Attendance'!A360</x:f>
        <x:v>Ronah Nuwagaba</x:v>
      </x:c>
      <x:c r="B1077" t="str">
        <x:f>'Employee Attendance'!B360</x:f>
        <x:v>Uganda</x:v>
      </x:c>
      <x:c r="C1077" t="str">
        <x:f>'Employee Attendance'!C360</x:f>
        <x:v>UG</x:v>
      </x:c>
      <x:c r="D1077" t="str">
        <x:f>'Employee Attendance'!D360</x:f>
        <x:v>ronah.nuwagaba@pwc.com</x:v>
      </x:c>
      <x:c r="E1077" t="str">
        <x:f>"Option 2"</x:f>
        <x:v>Option 2</x:v>
      </x:c>
      <x:c r="F1077" s="14" t="n">
        <x:f>'Employee Attendance'!G360</x:f>
        <x:v>0</x:v>
      </x:c>
      <x:c r="G1077" t="n">
        <x:f>F1077*86400</x:f>
        <x:v>0</x:v>
      </x:c>
      <x:c r="H1077" t="str">
        <x:f>'Employee Attendance'!H360</x:f>
        <x:v>Did not attend</x:v>
      </x:c>
      <x:c r="I1077" t="str">
        <x:f>'Employee Attendance'!L360</x:f>
        <x:v>No</x:v>
      </x:c>
    </x:row>
    <x:row r="1078">
      <x:c r="A1078" t="str">
        <x:f>'Employee Attendance'!A360</x:f>
        <x:v>Ronah Nuwagaba</x:v>
      </x:c>
      <x:c r="B1078" t="str">
        <x:f>'Employee Attendance'!B360</x:f>
        <x:v>Uganda</x:v>
      </x:c>
      <x:c r="C1078" t="str">
        <x:f>'Employee Attendance'!C360</x:f>
        <x:v>UG</x:v>
      </x:c>
      <x:c r="D1078" t="str">
        <x:f>'Employee Attendance'!D360</x:f>
        <x:v>ronah.nuwagaba@pwc.com</x:v>
      </x:c>
      <x:c r="E1078" t="str">
        <x:f>"Combined"</x:f>
        <x:v>Combined</x:v>
      </x:c>
      <x:c r="F1078" s="14" t="n">
        <x:f>'Employee Attendance'!I360</x:f>
        <x:v>0.09329861111111111</x:v>
      </x:c>
      <x:c r="G1078" t="n">
        <x:f>F1078*86400</x:f>
        <x:v>8061</x:v>
      </x:c>
      <x:c r="H1078" t="str">
        <x:f>'Employee Attendance'!J360</x:f>
        <x:v>Fully attended</x:v>
      </x:c>
      <x:c r="I1078" t="str">
        <x:f>IF(OR('Employee Attendance'!K360="Yes",'Employee Attendance'!L360="Yes"),"Yes","No")</x:f>
        <x:v>Yes</x:v>
      </x:c>
    </x:row>
    <x:row r="1079">
      <x:c r="A1079" t="str">
        <x:f>'Employee Attendance'!A361</x:f>
        <x:v>Ronald Simba</x:v>
      </x:c>
      <x:c r="B1079" t="str">
        <x:f>'Employee Attendance'!B361</x:f>
        <x:v>Tanzania</x:v>
      </x:c>
      <x:c r="C1079" t="str">
        <x:f>'Employee Attendance'!C361</x:f>
        <x:v>TZ</x:v>
      </x:c>
      <x:c r="D1079" t="str">
        <x:f>'Employee Attendance'!D361</x:f>
        <x:v>ronald.simba@pwc.com</x:v>
      </x:c>
      <x:c r="E1079" t="str">
        <x:f>"Option 1"</x:f>
        <x:v>Option 1</x:v>
      </x:c>
      <x:c r="F1079" s="14" t="n">
        <x:f>'Employee Attendance'!E361</x:f>
        <x:v>0.17761574074074074</x:v>
      </x:c>
      <x:c r="G1079" t="n">
        <x:f>F1079*86400</x:f>
        <x:v>15346</x:v>
      </x:c>
      <x:c r="H1079" t="str">
        <x:f>'Employee Attendance'!F361</x:f>
        <x:v>Fully attended</x:v>
      </x:c>
      <x:c r="I1079" t="str">
        <x:f>'Employee Attendance'!K361</x:f>
        <x:v>Yes</x:v>
      </x:c>
    </x:row>
    <x:row r="1080">
      <x:c r="A1080" t="str">
        <x:f>'Employee Attendance'!A361</x:f>
        <x:v>Ronald Simba</x:v>
      </x:c>
      <x:c r="B1080" t="str">
        <x:f>'Employee Attendance'!B361</x:f>
        <x:v>Tanzania</x:v>
      </x:c>
      <x:c r="C1080" t="str">
        <x:f>'Employee Attendance'!C361</x:f>
        <x:v>TZ</x:v>
      </x:c>
      <x:c r="D1080" t="str">
        <x:f>'Employee Attendance'!D361</x:f>
        <x:v>ronald.simba@pwc.com</x:v>
      </x:c>
      <x:c r="E1080" t="str">
        <x:f>"Option 2"</x:f>
        <x:v>Option 2</x:v>
      </x:c>
      <x:c r="F1080" s="14" t="n">
        <x:f>'Employee Attendance'!G361</x:f>
        <x:v>0</x:v>
      </x:c>
      <x:c r="G1080" t="n">
        <x:f>F1080*86400</x:f>
        <x:v>0</x:v>
      </x:c>
      <x:c r="H1080" t="str">
        <x:f>'Employee Attendance'!H361</x:f>
        <x:v>Did not attend</x:v>
      </x:c>
      <x:c r="I1080" t="str">
        <x:f>'Employee Attendance'!L361</x:f>
        <x:v>No</x:v>
      </x:c>
    </x:row>
    <x:row r="1081">
      <x:c r="A1081" t="str">
        <x:f>'Employee Attendance'!A361</x:f>
        <x:v>Ronald Simba</x:v>
      </x:c>
      <x:c r="B1081" t="str">
        <x:f>'Employee Attendance'!B361</x:f>
        <x:v>Tanzania</x:v>
      </x:c>
      <x:c r="C1081" t="str">
        <x:f>'Employee Attendance'!C361</x:f>
        <x:v>TZ</x:v>
      </x:c>
      <x:c r="D1081" t="str">
        <x:f>'Employee Attendance'!D361</x:f>
        <x:v>ronald.simba@pwc.com</x:v>
      </x:c>
      <x:c r="E1081" t="str">
        <x:f>"Combined"</x:f>
        <x:v>Combined</x:v>
      </x:c>
      <x:c r="F1081" s="14" t="n">
        <x:f>'Employee Attendance'!I361</x:f>
        <x:v>0.17761574074074074</x:v>
      </x:c>
      <x:c r="G1081" t="n">
        <x:f>F1081*86400</x:f>
        <x:v>15346</x:v>
      </x:c>
      <x:c r="H1081" t="str">
        <x:f>'Employee Attendance'!J361</x:f>
        <x:v>Fully attended</x:v>
      </x:c>
      <x:c r="I1081" t="str">
        <x:f>IF(OR('Employee Attendance'!K361="Yes",'Employee Attendance'!L361="Yes"),"Yes","No")</x:f>
        <x:v>Yes</x:v>
      </x:c>
    </x:row>
    <x:row r="1082">
      <x:c r="A1082" t="str">
        <x:f>'Employee Attendance'!A362</x:f>
        <x:v>Rose Muasya</x:v>
      </x:c>
      <x:c r="B1082" t="str">
        <x:f>'Employee Attendance'!B362</x:f>
        <x:v>Kenya</x:v>
      </x:c>
      <x:c r="C1082" t="str">
        <x:f>'Employee Attendance'!C362</x:f>
        <x:v>KE</x:v>
      </x:c>
      <x:c r="D1082" t="str">
        <x:f>'Employee Attendance'!D362</x:f>
        <x:v>rose.muasya@pwc.com</x:v>
      </x:c>
      <x:c r="E1082" t="str">
        <x:f>"Option 1"</x:f>
        <x:v>Option 1</x:v>
      </x:c>
      <x:c r="F1082" s="14" t="n">
        <x:f>'Employee Attendance'!E362</x:f>
        <x:v>0.024849537037037038</x:v>
      </x:c>
      <x:c r="G1082" t="n">
        <x:f>F1082*86400</x:f>
        <x:v>2147</x:v>
      </x:c>
      <x:c r="H1082" t="str">
        <x:f>'Employee Attendance'!F362</x:f>
        <x:v>Partially attended</x:v>
      </x:c>
      <x:c r="I1082" t="str">
        <x:f>'Employee Attendance'!K362</x:f>
        <x:v>Yes</x:v>
      </x:c>
    </x:row>
    <x:row r="1083">
      <x:c r="A1083" t="str">
        <x:f>'Employee Attendance'!A362</x:f>
        <x:v>Rose Muasya</x:v>
      </x:c>
      <x:c r="B1083" t="str">
        <x:f>'Employee Attendance'!B362</x:f>
        <x:v>Kenya</x:v>
      </x:c>
      <x:c r="C1083" t="str">
        <x:f>'Employee Attendance'!C362</x:f>
        <x:v>KE</x:v>
      </x:c>
      <x:c r="D1083" t="str">
        <x:f>'Employee Attendance'!D362</x:f>
        <x:v>rose.muasya@pwc.com</x:v>
      </x:c>
      <x:c r="E1083" t="str">
        <x:f>"Option 2"</x:f>
        <x:v>Option 2</x:v>
      </x:c>
      <x:c r="F1083" s="14" t="n">
        <x:f>'Employee Attendance'!G362</x:f>
        <x:v>0.01824074074074074</x:v>
      </x:c>
      <x:c r="G1083" t="n">
        <x:f>F1083*86400</x:f>
        <x:v>1576</x:v>
      </x:c>
      <x:c r="H1083" t="str">
        <x:f>'Employee Attendance'!H362</x:f>
        <x:v>Partially attended</x:v>
      </x:c>
      <x:c r="I1083" t="str">
        <x:f>'Employee Attendance'!L362</x:f>
        <x:v>Yes</x:v>
      </x:c>
    </x:row>
    <x:row r="1084">
      <x:c r="A1084" t="str">
        <x:f>'Employee Attendance'!A362</x:f>
        <x:v>Rose Muasya</x:v>
      </x:c>
      <x:c r="B1084" t="str">
        <x:f>'Employee Attendance'!B362</x:f>
        <x:v>Kenya</x:v>
      </x:c>
      <x:c r="C1084" t="str">
        <x:f>'Employee Attendance'!C362</x:f>
        <x:v>KE</x:v>
      </x:c>
      <x:c r="D1084" t="str">
        <x:f>'Employee Attendance'!D362</x:f>
        <x:v>rose.muasya@pwc.com</x:v>
      </x:c>
      <x:c r="E1084" t="str">
        <x:f>"Combined"</x:f>
        <x:v>Combined</x:v>
      </x:c>
      <x:c r="F1084" s="14" t="n">
        <x:f>'Employee Attendance'!I362</x:f>
        <x:v>0.04309027777777778</x:v>
      </x:c>
      <x:c r="G1084" t="n">
        <x:f>F1084*86400</x:f>
        <x:v>3723.0000000000005</x:v>
      </x:c>
      <x:c r="H1084" t="str">
        <x:f>'Employee Attendance'!J362</x:f>
        <x:v>Partially attended</x:v>
      </x:c>
      <x:c r="I1084" t="str">
        <x:f>IF(OR('Employee Attendance'!K362="Yes",'Employee Attendance'!L362="Yes"),"Yes","No")</x:f>
        <x:v>Yes</x:v>
      </x:c>
    </x:row>
    <x:row r="1085">
      <x:c r="A1085" t="str">
        <x:f>'Employee Attendance'!A363</x:f>
        <x:v>Rose Mufana</x:v>
      </x:c>
      <x:c r="B1085" t="str">
        <x:f>'Employee Attendance'!B363</x:f>
        <x:v>Zambia</x:v>
      </x:c>
      <x:c r="C1085" t="str">
        <x:f>'Employee Attendance'!C363</x:f>
        <x:v>ZM</x:v>
      </x:c>
      <x:c r="D1085" t="str">
        <x:f>'Employee Attendance'!D363</x:f>
        <x:v>rose.mufana@pwc.com</x:v>
      </x:c>
      <x:c r="E1085" t="str">
        <x:f>"Option 1"</x:f>
        <x:v>Option 1</x:v>
      </x:c>
      <x:c r="F1085" s="14" t="n">
        <x:f>'Employee Attendance'!E363</x:f>
        <x:v>0.11326388888888889</x:v>
      </x:c>
      <x:c r="G1085" t="n">
        <x:f>F1085*86400</x:f>
        <x:v>9786</x:v>
      </x:c>
      <x:c r="H1085" t="str">
        <x:f>'Employee Attendance'!F363</x:f>
        <x:v>Fully attended</x:v>
      </x:c>
      <x:c r="I1085" t="str">
        <x:f>'Employee Attendance'!K363</x:f>
        <x:v>Yes</x:v>
      </x:c>
    </x:row>
    <x:row r="1086">
      <x:c r="A1086" t="str">
        <x:f>'Employee Attendance'!A363</x:f>
        <x:v>Rose Mufana</x:v>
      </x:c>
      <x:c r="B1086" t="str">
        <x:f>'Employee Attendance'!B363</x:f>
        <x:v>Zambia</x:v>
      </x:c>
      <x:c r="C1086" t="str">
        <x:f>'Employee Attendance'!C363</x:f>
        <x:v>ZM</x:v>
      </x:c>
      <x:c r="D1086" t="str">
        <x:f>'Employee Attendance'!D363</x:f>
        <x:v>rose.mufana@pwc.com</x:v>
      </x:c>
      <x:c r="E1086" t="str">
        <x:f>"Option 2"</x:f>
        <x:v>Option 2</x:v>
      </x:c>
      <x:c r="F1086" s="14" t="n">
        <x:f>'Employee Attendance'!G363</x:f>
        <x:v>0.03693287037037037</x:v>
      </x:c>
      <x:c r="G1086" t="n">
        <x:f>F1086*86400</x:f>
        <x:v>3191</x:v>
      </x:c>
      <x:c r="H1086" t="str">
        <x:f>'Employee Attendance'!H363</x:f>
        <x:v>Partially attended</x:v>
      </x:c>
      <x:c r="I1086" t="str">
        <x:f>'Employee Attendance'!L363</x:f>
        <x:v>Yes</x:v>
      </x:c>
    </x:row>
    <x:row r="1087">
      <x:c r="A1087" t="str">
        <x:f>'Employee Attendance'!A363</x:f>
        <x:v>Rose Mufana</x:v>
      </x:c>
      <x:c r="B1087" t="str">
        <x:f>'Employee Attendance'!B363</x:f>
        <x:v>Zambia</x:v>
      </x:c>
      <x:c r="C1087" t="str">
        <x:f>'Employee Attendance'!C363</x:f>
        <x:v>ZM</x:v>
      </x:c>
      <x:c r="D1087" t="str">
        <x:f>'Employee Attendance'!D363</x:f>
        <x:v>rose.mufana@pwc.com</x:v>
      </x:c>
      <x:c r="E1087" t="str">
        <x:f>"Combined"</x:f>
        <x:v>Combined</x:v>
      </x:c>
      <x:c r="F1087" s="14" t="n">
        <x:f>'Employee Attendance'!I363</x:f>
        <x:v>0.15019675925925927</x:v>
      </x:c>
      <x:c r="G1087" t="n">
        <x:f>F1087*86400</x:f>
        <x:v>12977</x:v>
      </x:c>
      <x:c r="H1087" t="str">
        <x:f>'Employee Attendance'!J363</x:f>
        <x:v>Fully attended</x:v>
      </x:c>
      <x:c r="I1087" t="str">
        <x:f>IF(OR('Employee Attendance'!K363="Yes",'Employee Attendance'!L363="Yes"),"Yes","No")</x:f>
        <x:v>Yes</x:v>
      </x:c>
    </x:row>
    <x:row r="1088">
      <x:c r="A1088" t="str">
        <x:f>'Employee Attendance'!A364</x:f>
        <x:v>Roselyne Ogutu</x:v>
      </x:c>
      <x:c r="B1088" t="str">
        <x:f>'Employee Attendance'!B364</x:f>
        <x:v>Kenya</x:v>
      </x:c>
      <x:c r="C1088" t="str">
        <x:f>'Employee Attendance'!C364</x:f>
        <x:v>KE</x:v>
      </x:c>
      <x:c r="D1088" t="str">
        <x:f>'Employee Attendance'!D364</x:f>
        <x:v>roselyne.ogutu@pwc.com</x:v>
      </x:c>
      <x:c r="E1088" t="str">
        <x:f>"Option 1"</x:f>
        <x:v>Option 1</x:v>
      </x:c>
      <x:c r="F1088" s="14" t="n">
        <x:f>'Employee Attendance'!E364</x:f>
        <x:v>0.08618055555555555</x:v>
      </x:c>
      <x:c r="G1088" t="n">
        <x:f>F1088*86400</x:f>
        <x:v>7446</x:v>
      </x:c>
      <x:c r="H1088" t="str">
        <x:f>'Employee Attendance'!F364</x:f>
        <x:v>Fully attended</x:v>
      </x:c>
      <x:c r="I1088" t="str">
        <x:f>'Employee Attendance'!K364</x:f>
        <x:v>Yes</x:v>
      </x:c>
    </x:row>
    <x:row r="1089">
      <x:c r="A1089" t="str">
        <x:f>'Employee Attendance'!A364</x:f>
        <x:v>Roselyne Ogutu</x:v>
      </x:c>
      <x:c r="B1089" t="str">
        <x:f>'Employee Attendance'!B364</x:f>
        <x:v>Kenya</x:v>
      </x:c>
      <x:c r="C1089" t="str">
        <x:f>'Employee Attendance'!C364</x:f>
        <x:v>KE</x:v>
      </x:c>
      <x:c r="D1089" t="str">
        <x:f>'Employee Attendance'!D364</x:f>
        <x:v>roselyne.ogutu@pwc.com</x:v>
      </x:c>
      <x:c r="E1089" t="str">
        <x:f>"Option 2"</x:f>
        <x:v>Option 2</x:v>
      </x:c>
      <x:c r="F1089" s="14" t="n">
        <x:f>'Employee Attendance'!G364</x:f>
        <x:v>0.09908564814814814</x:v>
      </x:c>
      <x:c r="G1089" t="n">
        <x:f>F1089*86400</x:f>
        <x:v>8561</x:v>
      </x:c>
      <x:c r="H1089" t="str">
        <x:f>'Employee Attendance'!H364</x:f>
        <x:v>Fully attended</x:v>
      </x:c>
      <x:c r="I1089" t="str">
        <x:f>'Employee Attendance'!L364</x:f>
        <x:v>Yes</x:v>
      </x:c>
    </x:row>
    <x:row r="1090">
      <x:c r="A1090" t="str">
        <x:f>'Employee Attendance'!A364</x:f>
        <x:v>Roselyne Ogutu</x:v>
      </x:c>
      <x:c r="B1090" t="str">
        <x:f>'Employee Attendance'!B364</x:f>
        <x:v>Kenya</x:v>
      </x:c>
      <x:c r="C1090" t="str">
        <x:f>'Employee Attendance'!C364</x:f>
        <x:v>KE</x:v>
      </x:c>
      <x:c r="D1090" t="str">
        <x:f>'Employee Attendance'!D364</x:f>
        <x:v>roselyne.ogutu@pwc.com</x:v>
      </x:c>
      <x:c r="E1090" t="str">
        <x:f>"Combined"</x:f>
        <x:v>Combined</x:v>
      </x:c>
      <x:c r="F1090" s="14" t="n">
        <x:f>'Employee Attendance'!I364</x:f>
        <x:v>0.1852662037037037</x:v>
      </x:c>
      <x:c r="G1090" t="n">
        <x:f>F1090*86400</x:f>
        <x:v>16007</x:v>
      </x:c>
      <x:c r="H1090" t="str">
        <x:f>'Employee Attendance'!J364</x:f>
        <x:v>Fully attended</x:v>
      </x:c>
      <x:c r="I1090" t="str">
        <x:f>IF(OR('Employee Attendance'!K364="Yes",'Employee Attendance'!L364="Yes"),"Yes","No")</x:f>
        <x:v>Yes</x:v>
      </x:c>
    </x:row>
    <x:row r="1091">
      <x:c r="A1091" t="str">
        <x:f>'Employee Attendance'!A365</x:f>
        <x:v>Roshik Rughoonauth</x:v>
      </x:c>
      <x:c r="B1091" t="str">
        <x:f>'Employee Attendance'!B365</x:f>
        <x:v>Mauritius</x:v>
      </x:c>
      <x:c r="C1091" t="str">
        <x:f>'Employee Attendance'!C365</x:f>
        <x:v>MU</x:v>
      </x:c>
      <x:c r="D1091" t="str">
        <x:f>'Employee Attendance'!D365</x:f>
        <x:v>roshik.r.rughoonauth@pwc.com</x:v>
      </x:c>
      <x:c r="E1091" t="str">
        <x:f>"Option 1"</x:f>
        <x:v>Option 1</x:v>
      </x:c>
      <x:c r="F1091" s="14" t="n">
        <x:f>'Employee Attendance'!E365</x:f>
        <x:v>0</x:v>
      </x:c>
      <x:c r="G1091" t="n">
        <x:f>F1091*86400</x:f>
        <x:v>0</x:v>
      </x:c>
      <x:c r="H1091" t="str">
        <x:f>'Employee Attendance'!F365</x:f>
        <x:v>Did not attend</x:v>
      </x:c>
      <x:c r="I1091" t="str">
        <x:f>'Employee Attendance'!K365</x:f>
        <x:v>No</x:v>
      </x:c>
    </x:row>
    <x:row r="1092">
      <x:c r="A1092" t="str">
        <x:f>'Employee Attendance'!A365</x:f>
        <x:v>Roshik Rughoonauth</x:v>
      </x:c>
      <x:c r="B1092" t="str">
        <x:f>'Employee Attendance'!B365</x:f>
        <x:v>Mauritius</x:v>
      </x:c>
      <x:c r="C1092" t="str">
        <x:f>'Employee Attendance'!C365</x:f>
        <x:v>MU</x:v>
      </x:c>
      <x:c r="D1092" t="str">
        <x:f>'Employee Attendance'!D365</x:f>
        <x:v>roshik.r.rughoonauth@pwc.com</x:v>
      </x:c>
      <x:c r="E1092" t="str">
        <x:f>"Option 2"</x:f>
        <x:v>Option 2</x:v>
      </x:c>
      <x:c r="F1092" s="14" t="n">
        <x:f>'Employee Attendance'!G365</x:f>
        <x:v>0.08736111111111111</x:v>
      </x:c>
      <x:c r="G1092" t="n">
        <x:f>F1092*86400</x:f>
        <x:v>7548</x:v>
      </x:c>
      <x:c r="H1092" t="str">
        <x:f>'Employee Attendance'!H365</x:f>
        <x:v>Fully attended</x:v>
      </x:c>
      <x:c r="I1092" t="str">
        <x:f>'Employee Attendance'!L365</x:f>
        <x:v>Yes</x:v>
      </x:c>
    </x:row>
    <x:row r="1093">
      <x:c r="A1093" t="str">
        <x:f>'Employee Attendance'!A365</x:f>
        <x:v>Roshik Rughoonauth</x:v>
      </x:c>
      <x:c r="B1093" t="str">
        <x:f>'Employee Attendance'!B365</x:f>
        <x:v>Mauritius</x:v>
      </x:c>
      <x:c r="C1093" t="str">
        <x:f>'Employee Attendance'!C365</x:f>
        <x:v>MU</x:v>
      </x:c>
      <x:c r="D1093" t="str">
        <x:f>'Employee Attendance'!D365</x:f>
        <x:v>roshik.r.rughoonauth@pwc.com</x:v>
      </x:c>
      <x:c r="E1093" t="str">
        <x:f>"Combined"</x:f>
        <x:v>Combined</x:v>
      </x:c>
      <x:c r="F1093" s="14" t="n">
        <x:f>'Employee Attendance'!I365</x:f>
        <x:v>0.08736111111111111</x:v>
      </x:c>
      <x:c r="G1093" t="n">
        <x:f>F1093*86400</x:f>
        <x:v>7548</x:v>
      </x:c>
      <x:c r="H1093" t="str">
        <x:f>'Employee Attendance'!J365</x:f>
        <x:v>Fully attended</x:v>
      </x:c>
      <x:c r="I1093" t="str">
        <x:f>IF(OR('Employee Attendance'!K365="Yes",'Employee Attendance'!L365="Yes"),"Yes","No")</x:f>
        <x:v>Yes</x:v>
      </x:c>
    </x:row>
    <x:row r="1094">
      <x:c r="A1094" t="str">
        <x:f>'Employee Attendance'!A366</x:f>
        <x:v>Roumaiy Dookhun</x:v>
      </x:c>
      <x:c r="B1094" t="str">
        <x:f>'Employee Attendance'!B366</x:f>
        <x:v>Mauritius</x:v>
      </x:c>
      <x:c r="C1094" t="str">
        <x:f>'Employee Attendance'!C366</x:f>
        <x:v>MU</x:v>
      </x:c>
      <x:c r="D1094" t="str">
        <x:f>'Employee Attendance'!D366</x:f>
        <x:v>roumaiy.dookhun@pwc.com</x:v>
      </x:c>
      <x:c r="E1094" t="str">
        <x:f>"Option 1"</x:f>
        <x:v>Option 1</x:v>
      </x:c>
      <x:c r="F1094" s="14" t="n">
        <x:f>'Employee Attendance'!E366</x:f>
        <x:v>0</x:v>
      </x:c>
      <x:c r="G1094" t="n">
        <x:f>F1094*86400</x:f>
        <x:v>0</x:v>
      </x:c>
      <x:c r="H1094" t="str">
        <x:f>'Employee Attendance'!F366</x:f>
        <x:v>Did not attend</x:v>
      </x:c>
      <x:c r="I1094" t="str">
        <x:f>'Employee Attendance'!K366</x:f>
        <x:v>No</x:v>
      </x:c>
    </x:row>
    <x:row r="1095">
      <x:c r="A1095" t="str">
        <x:f>'Employee Attendance'!A366</x:f>
        <x:v>Roumaiy Dookhun</x:v>
      </x:c>
      <x:c r="B1095" t="str">
        <x:f>'Employee Attendance'!B366</x:f>
        <x:v>Mauritius</x:v>
      </x:c>
      <x:c r="C1095" t="str">
        <x:f>'Employee Attendance'!C366</x:f>
        <x:v>MU</x:v>
      </x:c>
      <x:c r="D1095" t="str">
        <x:f>'Employee Attendance'!D366</x:f>
        <x:v>roumaiy.dookhun@pwc.com</x:v>
      </x:c>
      <x:c r="E1095" t="str">
        <x:f>"Option 2"</x:f>
        <x:v>Option 2</x:v>
      </x:c>
      <x:c r="F1095" s="14" t="n">
        <x:f>'Employee Attendance'!G366</x:f>
        <x:v>0.08711805555555556</x:v>
      </x:c>
      <x:c r="G1095" t="n">
        <x:f>F1095*86400</x:f>
        <x:v>7527</x:v>
      </x:c>
      <x:c r="H1095" t="str">
        <x:f>'Employee Attendance'!H366</x:f>
        <x:v>Fully attended</x:v>
      </x:c>
      <x:c r="I1095" t="str">
        <x:f>'Employee Attendance'!L366</x:f>
        <x:v>Yes</x:v>
      </x:c>
    </x:row>
    <x:row r="1096">
      <x:c r="A1096" t="str">
        <x:f>'Employee Attendance'!A366</x:f>
        <x:v>Roumaiy Dookhun</x:v>
      </x:c>
      <x:c r="B1096" t="str">
        <x:f>'Employee Attendance'!B366</x:f>
        <x:v>Mauritius</x:v>
      </x:c>
      <x:c r="C1096" t="str">
        <x:f>'Employee Attendance'!C366</x:f>
        <x:v>MU</x:v>
      </x:c>
      <x:c r="D1096" t="str">
        <x:f>'Employee Attendance'!D366</x:f>
        <x:v>roumaiy.dookhun@pwc.com</x:v>
      </x:c>
      <x:c r="E1096" t="str">
        <x:f>"Combined"</x:f>
        <x:v>Combined</x:v>
      </x:c>
      <x:c r="F1096" s="14" t="n">
        <x:f>'Employee Attendance'!I366</x:f>
        <x:v>0.08711805555555556</x:v>
      </x:c>
      <x:c r="G1096" t="n">
        <x:f>F1096*86400</x:f>
        <x:v>7527</x:v>
      </x:c>
      <x:c r="H1096" t="str">
        <x:f>'Employee Attendance'!J366</x:f>
        <x:v>Fully attended</x:v>
      </x:c>
      <x:c r="I1096" t="str">
        <x:f>IF(OR('Employee Attendance'!K366="Yes",'Employee Attendance'!L366="Yes"),"Yes","No")</x:f>
        <x:v>Yes</x:v>
      </x:c>
    </x:row>
    <x:row r="1097">
      <x:c r="A1097" t="str">
        <x:f>'Employee Attendance'!A367</x:f>
        <x:v>Rovena Choytah</x:v>
      </x:c>
      <x:c r="B1097" t="str">
        <x:f>'Employee Attendance'!B367</x:f>
        <x:v>Mauritius</x:v>
      </x:c>
      <x:c r="C1097" t="str">
        <x:f>'Employee Attendance'!C367</x:f>
        <x:v>MU</x:v>
      </x:c>
      <x:c r="D1097" t="str">
        <x:f>'Employee Attendance'!D367</x:f>
        <x:v>rovena.c.choytah@pwc.com</x:v>
      </x:c>
      <x:c r="E1097" t="str">
        <x:f>"Option 1"</x:f>
        <x:v>Option 1</x:v>
      </x:c>
      <x:c r="F1097" s="14" t="n">
        <x:f>'Employee Attendance'!E367</x:f>
        <x:v>0</x:v>
      </x:c>
      <x:c r="G1097" t="n">
        <x:f>F1097*86400</x:f>
        <x:v>0</x:v>
      </x:c>
      <x:c r="H1097" t="str">
        <x:f>'Employee Attendance'!F367</x:f>
        <x:v>Did not attend</x:v>
      </x:c>
      <x:c r="I1097" t="str">
        <x:f>'Employee Attendance'!K367</x:f>
        <x:v>No</x:v>
      </x:c>
    </x:row>
    <x:row r="1098">
      <x:c r="A1098" t="str">
        <x:f>'Employee Attendance'!A367</x:f>
        <x:v>Rovena Choytah</x:v>
      </x:c>
      <x:c r="B1098" t="str">
        <x:f>'Employee Attendance'!B367</x:f>
        <x:v>Mauritius</x:v>
      </x:c>
      <x:c r="C1098" t="str">
        <x:f>'Employee Attendance'!C367</x:f>
        <x:v>MU</x:v>
      </x:c>
      <x:c r="D1098" t="str">
        <x:f>'Employee Attendance'!D367</x:f>
        <x:v>rovena.c.choytah@pwc.com</x:v>
      </x:c>
      <x:c r="E1098" t="str">
        <x:f>"Option 2"</x:f>
        <x:v>Option 2</x:v>
      </x:c>
      <x:c r="F1098" s="14" t="n">
        <x:f>'Employee Attendance'!G367</x:f>
        <x:v>0.06778935185185185</x:v>
      </x:c>
      <x:c r="G1098" t="n">
        <x:f>F1098*86400</x:f>
        <x:v>5857</x:v>
      </x:c>
      <x:c r="H1098" t="str">
        <x:f>'Employee Attendance'!H367</x:f>
        <x:v>Fully attended</x:v>
      </x:c>
      <x:c r="I1098" t="str">
        <x:f>'Employee Attendance'!L367</x:f>
        <x:v>Yes</x:v>
      </x:c>
    </x:row>
    <x:row r="1099">
      <x:c r="A1099" t="str">
        <x:f>'Employee Attendance'!A367</x:f>
        <x:v>Rovena Choytah</x:v>
      </x:c>
      <x:c r="B1099" t="str">
        <x:f>'Employee Attendance'!B367</x:f>
        <x:v>Mauritius</x:v>
      </x:c>
      <x:c r="C1099" t="str">
        <x:f>'Employee Attendance'!C367</x:f>
        <x:v>MU</x:v>
      </x:c>
      <x:c r="D1099" t="str">
        <x:f>'Employee Attendance'!D367</x:f>
        <x:v>rovena.c.choytah@pwc.com</x:v>
      </x:c>
      <x:c r="E1099" t="str">
        <x:f>"Combined"</x:f>
        <x:v>Combined</x:v>
      </x:c>
      <x:c r="F1099" s="14" t="n">
        <x:f>'Employee Attendance'!I367</x:f>
        <x:v>0.06778935185185185</x:v>
      </x:c>
      <x:c r="G1099" t="n">
        <x:f>F1099*86400</x:f>
        <x:v>5857</x:v>
      </x:c>
      <x:c r="H1099" t="str">
        <x:f>'Employee Attendance'!J367</x:f>
        <x:v>Fully attended</x:v>
      </x:c>
      <x:c r="I1099" t="str">
        <x:f>IF(OR('Employee Attendance'!K367="Yes",'Employee Attendance'!L367="Yes"),"Yes","No")</x:f>
        <x:v>Yes</x:v>
      </x:c>
    </x:row>
    <x:row r="1100">
      <x:c r="A1100" t="str">
        <x:f>'Employee Attendance'!A368</x:f>
        <x:v>Rune Arnold</x:v>
      </x:c>
      <x:c r="B1100" t="str">
        <x:f>'Employee Attendance'!B368</x:f>
        <x:v>Tanzania</x:v>
      </x:c>
      <x:c r="C1100" t="str">
        <x:f>'Employee Attendance'!C368</x:f>
        <x:v>TZ</x:v>
      </x:c>
      <x:c r="D1100" t="str">
        <x:f>'Employee Attendance'!D368</x:f>
        <x:v>rune.arnold@pwc.com</x:v>
      </x:c>
      <x:c r="E1100" t="str">
        <x:f>"Option 1"</x:f>
        <x:v>Option 1</x:v>
      </x:c>
      <x:c r="F1100" s="14" t="n">
        <x:f>'Employee Attendance'!E368</x:f>
        <x:v>0</x:v>
      </x:c>
      <x:c r="G1100" t="n">
        <x:f>F1100*86400</x:f>
        <x:v>0</x:v>
      </x:c>
      <x:c r="H1100" t="str">
        <x:f>'Employee Attendance'!F368</x:f>
        <x:v>Did not attend</x:v>
      </x:c>
      <x:c r="I1100" t="str">
        <x:f>'Employee Attendance'!K368</x:f>
        <x:v>No</x:v>
      </x:c>
    </x:row>
    <x:row r="1101">
      <x:c r="A1101" t="str">
        <x:f>'Employee Attendance'!A368</x:f>
        <x:v>Rune Arnold</x:v>
      </x:c>
      <x:c r="B1101" t="str">
        <x:f>'Employee Attendance'!B368</x:f>
        <x:v>Tanzania</x:v>
      </x:c>
      <x:c r="C1101" t="str">
        <x:f>'Employee Attendance'!C368</x:f>
        <x:v>TZ</x:v>
      </x:c>
      <x:c r="D1101" t="str">
        <x:f>'Employee Attendance'!D368</x:f>
        <x:v>rune.arnold@pwc.com</x:v>
      </x:c>
      <x:c r="E1101" t="str">
        <x:f>"Option 2"</x:f>
        <x:v>Option 2</x:v>
      </x:c>
      <x:c r="F1101" s="14" t="n">
        <x:f>'Employee Attendance'!G368</x:f>
        <x:v>0.08377314814814815</x:v>
      </x:c>
      <x:c r="G1101" t="n">
        <x:f>F1101*86400</x:f>
        <x:v>7238</x:v>
      </x:c>
      <x:c r="H1101" t="str">
        <x:f>'Employee Attendance'!H368</x:f>
        <x:v>Fully attended</x:v>
      </x:c>
      <x:c r="I1101" t="str">
        <x:f>'Employee Attendance'!L368</x:f>
        <x:v>Yes</x:v>
      </x:c>
    </x:row>
    <x:row r="1102">
      <x:c r="A1102" t="str">
        <x:f>'Employee Attendance'!A368</x:f>
        <x:v>Rune Arnold</x:v>
      </x:c>
      <x:c r="B1102" t="str">
        <x:f>'Employee Attendance'!B368</x:f>
        <x:v>Tanzania</x:v>
      </x:c>
      <x:c r="C1102" t="str">
        <x:f>'Employee Attendance'!C368</x:f>
        <x:v>TZ</x:v>
      </x:c>
      <x:c r="D1102" t="str">
        <x:f>'Employee Attendance'!D368</x:f>
        <x:v>rune.arnold@pwc.com</x:v>
      </x:c>
      <x:c r="E1102" t="str">
        <x:f>"Combined"</x:f>
        <x:v>Combined</x:v>
      </x:c>
      <x:c r="F1102" s="14" t="n">
        <x:f>'Employee Attendance'!I368</x:f>
        <x:v>0.08377314814814815</x:v>
      </x:c>
      <x:c r="G1102" t="n">
        <x:f>F1102*86400</x:f>
        <x:v>7238</x:v>
      </x:c>
      <x:c r="H1102" t="str">
        <x:f>'Employee Attendance'!J368</x:f>
        <x:v>Fully attended</x:v>
      </x:c>
      <x:c r="I1102" t="str">
        <x:f>IF(OR('Employee Attendance'!K368="Yes",'Employee Attendance'!L368="Yes"),"Yes","No")</x:f>
        <x:v>Yes</x:v>
      </x:c>
    </x:row>
    <x:row r="1103">
      <x:c r="A1103" t="str">
        <x:f>'Employee Attendance'!A369</x:f>
        <x:v>Ruth Nangiro</x:v>
      </x:c>
      <x:c r="B1103" t="str">
        <x:f>'Employee Attendance'!B369</x:f>
        <x:v>Uganda</x:v>
      </x:c>
      <x:c r="C1103" t="str">
        <x:f>'Employee Attendance'!C369</x:f>
        <x:v>UG</x:v>
      </x:c>
      <x:c r="D1103" t="str">
        <x:f>'Employee Attendance'!D369</x:f>
        <x:v>ruth.nangiro@pwc.com</x:v>
      </x:c>
      <x:c r="E1103" t="str">
        <x:f>"Option 1"</x:f>
        <x:v>Option 1</x:v>
      </x:c>
      <x:c r="F1103" s="14" t="n">
        <x:f>'Employee Attendance'!E369</x:f>
        <x:v>0</x:v>
      </x:c>
      <x:c r="G1103" t="n">
        <x:f>F1103*86400</x:f>
        <x:v>0</x:v>
      </x:c>
      <x:c r="H1103" t="str">
        <x:f>'Employee Attendance'!F369</x:f>
        <x:v>Did not attend</x:v>
      </x:c>
      <x:c r="I1103" t="str">
        <x:f>'Employee Attendance'!K369</x:f>
        <x:v>No</x:v>
      </x:c>
    </x:row>
    <x:row r="1104">
      <x:c r="A1104" t="str">
        <x:f>'Employee Attendance'!A369</x:f>
        <x:v>Ruth Nangiro</x:v>
      </x:c>
      <x:c r="B1104" t="str">
        <x:f>'Employee Attendance'!B369</x:f>
        <x:v>Uganda</x:v>
      </x:c>
      <x:c r="C1104" t="str">
        <x:f>'Employee Attendance'!C369</x:f>
        <x:v>UG</x:v>
      </x:c>
      <x:c r="D1104" t="str">
        <x:f>'Employee Attendance'!D369</x:f>
        <x:v>ruth.nangiro@pwc.com</x:v>
      </x:c>
      <x:c r="E1104" t="str">
        <x:f>"Option 2"</x:f>
        <x:v>Option 2</x:v>
      </x:c>
      <x:c r="F1104" s="14" t="n">
        <x:f>'Employee Attendance'!G369</x:f>
        <x:v>0.08163194444444444</x:v>
      </x:c>
      <x:c r="G1104" t="n">
        <x:f>F1104*86400</x:f>
        <x:v>7052.999999999999</x:v>
      </x:c>
      <x:c r="H1104" t="str">
        <x:f>'Employee Attendance'!H369</x:f>
        <x:v>Fully attended</x:v>
      </x:c>
      <x:c r="I1104" t="str">
        <x:f>'Employee Attendance'!L369</x:f>
        <x:v>Yes</x:v>
      </x:c>
    </x:row>
    <x:row r="1105">
      <x:c r="A1105" t="str">
        <x:f>'Employee Attendance'!A369</x:f>
        <x:v>Ruth Nangiro</x:v>
      </x:c>
      <x:c r="B1105" t="str">
        <x:f>'Employee Attendance'!B369</x:f>
        <x:v>Uganda</x:v>
      </x:c>
      <x:c r="C1105" t="str">
        <x:f>'Employee Attendance'!C369</x:f>
        <x:v>UG</x:v>
      </x:c>
      <x:c r="D1105" t="str">
        <x:f>'Employee Attendance'!D369</x:f>
        <x:v>ruth.nangiro@pwc.com</x:v>
      </x:c>
      <x:c r="E1105" t="str">
        <x:f>"Combined"</x:f>
        <x:v>Combined</x:v>
      </x:c>
      <x:c r="F1105" s="14" t="n">
        <x:f>'Employee Attendance'!I369</x:f>
        <x:v>0.08163194444444444</x:v>
      </x:c>
      <x:c r="G1105" t="n">
        <x:f>F1105*86400</x:f>
        <x:v>7052.999999999999</x:v>
      </x:c>
      <x:c r="H1105" t="str">
        <x:f>'Employee Attendance'!J369</x:f>
        <x:v>Fully attended</x:v>
      </x:c>
      <x:c r="I1105" t="str">
        <x:f>IF(OR('Employee Attendance'!K369="Yes",'Employee Attendance'!L369="Yes"),"Yes","No")</x:f>
        <x:v>Yes</x:v>
      </x:c>
    </x:row>
    <x:row r="1106">
      <x:c r="A1106" t="str">
        <x:f>'Employee Attendance'!A370</x:f>
        <x:v>Said Said</x:v>
      </x:c>
      <x:c r="B1106" t="str">
        <x:f>'Employee Attendance'!B370</x:f>
        <x:v>Tanzania</x:v>
      </x:c>
      <x:c r="C1106" t="str">
        <x:f>'Employee Attendance'!C370</x:f>
        <x:v>TZ</x:v>
      </x:c>
      <x:c r="D1106" t="str">
        <x:f>'Employee Attendance'!D370</x:f>
        <x:v>said.h.said@pwc.com</x:v>
      </x:c>
      <x:c r="E1106" t="str">
        <x:f>"Option 1"</x:f>
        <x:v>Option 1</x:v>
      </x:c>
      <x:c r="F1106" s="14" t="n">
        <x:f>'Employee Attendance'!E370</x:f>
        <x:v>0.08012731481481482</x:v>
      </x:c>
      <x:c r="G1106" t="n">
        <x:f>F1106*86400</x:f>
        <x:v>6923</x:v>
      </x:c>
      <x:c r="H1106" t="str">
        <x:f>'Employee Attendance'!F370</x:f>
        <x:v>Fully attended</x:v>
      </x:c>
      <x:c r="I1106" t="str">
        <x:f>'Employee Attendance'!K370</x:f>
        <x:v>Yes</x:v>
      </x:c>
    </x:row>
    <x:row r="1107">
      <x:c r="A1107" t="str">
        <x:f>'Employee Attendance'!A370</x:f>
        <x:v>Said Said</x:v>
      </x:c>
      <x:c r="B1107" t="str">
        <x:f>'Employee Attendance'!B370</x:f>
        <x:v>Tanzania</x:v>
      </x:c>
      <x:c r="C1107" t="str">
        <x:f>'Employee Attendance'!C370</x:f>
        <x:v>TZ</x:v>
      </x:c>
      <x:c r="D1107" t="str">
        <x:f>'Employee Attendance'!D370</x:f>
        <x:v>said.h.said@pwc.com</x:v>
      </x:c>
      <x:c r="E1107" t="str">
        <x:f>"Option 2"</x:f>
        <x:v>Option 2</x:v>
      </x:c>
      <x:c r="F1107" s="14" t="n">
        <x:f>'Employee Attendance'!G370</x:f>
        <x:v>0</x:v>
      </x:c>
      <x:c r="G1107" t="n">
        <x:f>F1107*86400</x:f>
        <x:v>0</x:v>
      </x:c>
      <x:c r="H1107" t="str">
        <x:f>'Employee Attendance'!H370</x:f>
        <x:v>Did not attend</x:v>
      </x:c>
      <x:c r="I1107" t="str">
        <x:f>'Employee Attendance'!L370</x:f>
        <x:v>No</x:v>
      </x:c>
    </x:row>
    <x:row r="1108">
      <x:c r="A1108" t="str">
        <x:f>'Employee Attendance'!A370</x:f>
        <x:v>Said Said</x:v>
      </x:c>
      <x:c r="B1108" t="str">
        <x:f>'Employee Attendance'!B370</x:f>
        <x:v>Tanzania</x:v>
      </x:c>
      <x:c r="C1108" t="str">
        <x:f>'Employee Attendance'!C370</x:f>
        <x:v>TZ</x:v>
      </x:c>
      <x:c r="D1108" t="str">
        <x:f>'Employee Attendance'!D370</x:f>
        <x:v>said.h.said@pwc.com</x:v>
      </x:c>
      <x:c r="E1108" t="str">
        <x:f>"Combined"</x:f>
        <x:v>Combined</x:v>
      </x:c>
      <x:c r="F1108" s="14" t="n">
        <x:f>'Employee Attendance'!I370</x:f>
        <x:v>0.08012731481481482</x:v>
      </x:c>
      <x:c r="G1108" t="n">
        <x:f>F1108*86400</x:f>
        <x:v>6923</x:v>
      </x:c>
      <x:c r="H1108" t="str">
        <x:f>'Employee Attendance'!J370</x:f>
        <x:v>Fully attended</x:v>
      </x:c>
      <x:c r="I1108" t="str">
        <x:f>IF(OR('Employee Attendance'!K370="Yes",'Employee Attendance'!L370="Yes"),"Yes","No")</x:f>
        <x:v>Yes</x:v>
      </x:c>
    </x:row>
    <x:row r="1109">
      <x:c r="A1109" t="str">
        <x:f>'Employee Attendance'!A371</x:f>
        <x:v>Samuel Bitwire</x:v>
      </x:c>
      <x:c r="B1109" t="str">
        <x:f>'Employee Attendance'!B371</x:f>
        <x:v>Uganda</x:v>
      </x:c>
      <x:c r="C1109" t="str">
        <x:f>'Employee Attendance'!C371</x:f>
        <x:v>UG</x:v>
      </x:c>
      <x:c r="D1109" t="str">
        <x:f>'Employee Attendance'!D371</x:f>
        <x:v>samuel.bitwire@pwc.com</x:v>
      </x:c>
      <x:c r="E1109" t="str">
        <x:f>"Option 1"</x:f>
        <x:v>Option 1</x:v>
      </x:c>
      <x:c r="F1109" s="14" t="n">
        <x:f>'Employee Attendance'!E371</x:f>
        <x:v>0</x:v>
      </x:c>
      <x:c r="G1109" t="n">
        <x:f>F1109*86400</x:f>
        <x:v>0</x:v>
      </x:c>
      <x:c r="H1109" t="str">
        <x:f>'Employee Attendance'!F371</x:f>
        <x:v>Did not attend</x:v>
      </x:c>
      <x:c r="I1109" t="str">
        <x:f>'Employee Attendance'!K371</x:f>
        <x:v>No</x:v>
      </x:c>
    </x:row>
    <x:row r="1110">
      <x:c r="A1110" t="str">
        <x:f>'Employee Attendance'!A371</x:f>
        <x:v>Samuel Bitwire</x:v>
      </x:c>
      <x:c r="B1110" t="str">
        <x:f>'Employee Attendance'!B371</x:f>
        <x:v>Uganda</x:v>
      </x:c>
      <x:c r="C1110" t="str">
        <x:f>'Employee Attendance'!C371</x:f>
        <x:v>UG</x:v>
      </x:c>
      <x:c r="D1110" t="str">
        <x:f>'Employee Attendance'!D371</x:f>
        <x:v>samuel.bitwire@pwc.com</x:v>
      </x:c>
      <x:c r="E1110" t="str">
        <x:f>"Option 2"</x:f>
        <x:v>Option 2</x:v>
      </x:c>
      <x:c r="F1110" s="14" t="n">
        <x:f>'Employee Attendance'!G371</x:f>
        <x:v>0.08671296296296296</x:v>
      </x:c>
      <x:c r="G1110" t="n">
        <x:f>F1110*86400</x:f>
        <x:v>7492</x:v>
      </x:c>
      <x:c r="H1110" t="str">
        <x:f>'Employee Attendance'!H371</x:f>
        <x:v>Fully attended</x:v>
      </x:c>
      <x:c r="I1110" t="str">
        <x:f>'Employee Attendance'!L371</x:f>
        <x:v>Yes</x:v>
      </x:c>
    </x:row>
    <x:row r="1111">
      <x:c r="A1111" t="str">
        <x:f>'Employee Attendance'!A371</x:f>
        <x:v>Samuel Bitwire</x:v>
      </x:c>
      <x:c r="B1111" t="str">
        <x:f>'Employee Attendance'!B371</x:f>
        <x:v>Uganda</x:v>
      </x:c>
      <x:c r="C1111" t="str">
        <x:f>'Employee Attendance'!C371</x:f>
        <x:v>UG</x:v>
      </x:c>
      <x:c r="D1111" t="str">
        <x:f>'Employee Attendance'!D371</x:f>
        <x:v>samuel.bitwire@pwc.com</x:v>
      </x:c>
      <x:c r="E1111" t="str">
        <x:f>"Combined"</x:f>
        <x:v>Combined</x:v>
      </x:c>
      <x:c r="F1111" s="14" t="n">
        <x:f>'Employee Attendance'!I371</x:f>
        <x:v>0.08671296296296296</x:v>
      </x:c>
      <x:c r="G1111" t="n">
        <x:f>F1111*86400</x:f>
        <x:v>7492</x:v>
      </x:c>
      <x:c r="H1111" t="str">
        <x:f>'Employee Attendance'!J371</x:f>
        <x:v>Fully attended</x:v>
      </x:c>
      <x:c r="I1111" t="str">
        <x:f>IF(OR('Employee Attendance'!K371="Yes",'Employee Attendance'!L371="Yes"),"Yes","No")</x:f>
        <x:v>Yes</x:v>
      </x:c>
    </x:row>
    <x:row r="1112">
      <x:c r="A1112" t="str">
        <x:f>'Employee Attendance'!A372</x:f>
        <x:v>Samuel Shejamabu</x:v>
      </x:c>
      <x:c r="B1112" t="str">
        <x:f>'Employee Attendance'!B372</x:f>
        <x:v>Tanzania</x:v>
      </x:c>
      <x:c r="C1112" t="str">
        <x:f>'Employee Attendance'!C372</x:f>
        <x:v>TZ</x:v>
      </x:c>
      <x:c r="D1112" t="str">
        <x:f>'Employee Attendance'!D372</x:f>
        <x:v>samuel.shejamabu@pwc.com</x:v>
      </x:c>
      <x:c r="E1112" t="str">
        <x:f>"Option 1"</x:f>
        <x:v>Option 1</x:v>
      </x:c>
      <x:c r="F1112" s="14" t="n">
        <x:f>'Employee Attendance'!E372</x:f>
        <x:v>0</x:v>
      </x:c>
      <x:c r="G1112" t="n">
        <x:f>F1112*86400</x:f>
        <x:v>0</x:v>
      </x:c>
      <x:c r="H1112" t="str">
        <x:f>'Employee Attendance'!F372</x:f>
        <x:v>Did not attend</x:v>
      </x:c>
      <x:c r="I1112" t="str">
        <x:f>'Employee Attendance'!K372</x:f>
        <x:v>No</x:v>
      </x:c>
    </x:row>
    <x:row r="1113">
      <x:c r="A1113" t="str">
        <x:f>'Employee Attendance'!A372</x:f>
        <x:v>Samuel Shejamabu</x:v>
      </x:c>
      <x:c r="B1113" t="str">
        <x:f>'Employee Attendance'!B372</x:f>
        <x:v>Tanzania</x:v>
      </x:c>
      <x:c r="C1113" t="str">
        <x:f>'Employee Attendance'!C372</x:f>
        <x:v>TZ</x:v>
      </x:c>
      <x:c r="D1113" t="str">
        <x:f>'Employee Attendance'!D372</x:f>
        <x:v>samuel.shejamabu@pwc.com</x:v>
      </x:c>
      <x:c r="E1113" t="str">
        <x:f>"Option 2"</x:f>
        <x:v>Option 2</x:v>
      </x:c>
      <x:c r="F1113" s="14" t="n">
        <x:f>'Employee Attendance'!G372</x:f>
        <x:v>0.08935185185185185</x:v>
      </x:c>
      <x:c r="G1113" t="n">
        <x:f>F1113*86400</x:f>
        <x:v>7720</x:v>
      </x:c>
      <x:c r="H1113" t="str">
        <x:f>'Employee Attendance'!H372</x:f>
        <x:v>Fully attended</x:v>
      </x:c>
      <x:c r="I1113" t="str">
        <x:f>'Employee Attendance'!L372</x:f>
        <x:v>Yes</x:v>
      </x:c>
    </x:row>
    <x:row r="1114">
      <x:c r="A1114" t="str">
        <x:f>'Employee Attendance'!A372</x:f>
        <x:v>Samuel Shejamabu</x:v>
      </x:c>
      <x:c r="B1114" t="str">
        <x:f>'Employee Attendance'!B372</x:f>
        <x:v>Tanzania</x:v>
      </x:c>
      <x:c r="C1114" t="str">
        <x:f>'Employee Attendance'!C372</x:f>
        <x:v>TZ</x:v>
      </x:c>
      <x:c r="D1114" t="str">
        <x:f>'Employee Attendance'!D372</x:f>
        <x:v>samuel.shejamabu@pwc.com</x:v>
      </x:c>
      <x:c r="E1114" t="str">
        <x:f>"Combined"</x:f>
        <x:v>Combined</x:v>
      </x:c>
      <x:c r="F1114" s="14" t="n">
        <x:f>'Employee Attendance'!I372</x:f>
        <x:v>0.08935185185185185</x:v>
      </x:c>
      <x:c r="G1114" t="n">
        <x:f>F1114*86400</x:f>
        <x:v>7720</x:v>
      </x:c>
      <x:c r="H1114" t="str">
        <x:f>'Employee Attendance'!J372</x:f>
        <x:v>Fully attended</x:v>
      </x:c>
      <x:c r="I1114" t="str">
        <x:f>IF(OR('Employee Attendance'!K372="Yes",'Employee Attendance'!L372="Yes"),"Yes","No")</x:f>
        <x:v>Yes</x:v>
      </x:c>
    </x:row>
    <x:row r="1115">
      <x:c r="A1115" t="str">
        <x:f>'Employee Attendance'!A373</x:f>
        <x:v>Samuel Wanjau</x:v>
      </x:c>
      <x:c r="B1115" t="str">
        <x:f>'Employee Attendance'!B373</x:f>
        <x:v>Kenya</x:v>
      </x:c>
      <x:c r="C1115" t="str">
        <x:f>'Employee Attendance'!C373</x:f>
        <x:v>KE</x:v>
      </x:c>
      <x:c r="D1115" t="str">
        <x:f>'Employee Attendance'!D373</x:f>
        <x:v>samuel.wanjau@pwc.com</x:v>
      </x:c>
      <x:c r="E1115" t="str">
        <x:f>"Option 1"</x:f>
        <x:v>Option 1</x:v>
      </x:c>
      <x:c r="F1115" s="14" t="n">
        <x:f>'Employee Attendance'!E373</x:f>
        <x:v>0.04493055555555556</x:v>
      </x:c>
      <x:c r="G1115" t="n">
        <x:f>F1115*86400</x:f>
        <x:v>3882</x:v>
      </x:c>
      <x:c r="H1115" t="str">
        <x:f>'Employee Attendance'!F373</x:f>
        <x:v>Partially attended</x:v>
      </x:c>
      <x:c r="I1115" t="str">
        <x:f>'Employee Attendance'!K373</x:f>
        <x:v>Yes</x:v>
      </x:c>
    </x:row>
    <x:row r="1116">
      <x:c r="A1116" t="str">
        <x:f>'Employee Attendance'!A373</x:f>
        <x:v>Samuel Wanjau</x:v>
      </x:c>
      <x:c r="B1116" t="str">
        <x:f>'Employee Attendance'!B373</x:f>
        <x:v>Kenya</x:v>
      </x:c>
      <x:c r="C1116" t="str">
        <x:f>'Employee Attendance'!C373</x:f>
        <x:v>KE</x:v>
      </x:c>
      <x:c r="D1116" t="str">
        <x:f>'Employee Attendance'!D373</x:f>
        <x:v>samuel.wanjau@pwc.com</x:v>
      </x:c>
      <x:c r="E1116" t="str">
        <x:f>"Option 2"</x:f>
        <x:v>Option 2</x:v>
      </x:c>
      <x:c r="F1116" s="14" t="n">
        <x:f>'Employee Attendance'!G373</x:f>
        <x:v>0</x:v>
      </x:c>
      <x:c r="G1116" t="n">
        <x:f>F1116*86400</x:f>
        <x:v>0</x:v>
      </x:c>
      <x:c r="H1116" t="str">
        <x:f>'Employee Attendance'!H373</x:f>
        <x:v>Did not attend</x:v>
      </x:c>
      <x:c r="I1116" t="str">
        <x:f>'Employee Attendance'!L373</x:f>
        <x:v>No</x:v>
      </x:c>
    </x:row>
    <x:row r="1117">
      <x:c r="A1117" t="str">
        <x:f>'Employee Attendance'!A373</x:f>
        <x:v>Samuel Wanjau</x:v>
      </x:c>
      <x:c r="B1117" t="str">
        <x:f>'Employee Attendance'!B373</x:f>
        <x:v>Kenya</x:v>
      </x:c>
      <x:c r="C1117" t="str">
        <x:f>'Employee Attendance'!C373</x:f>
        <x:v>KE</x:v>
      </x:c>
      <x:c r="D1117" t="str">
        <x:f>'Employee Attendance'!D373</x:f>
        <x:v>samuel.wanjau@pwc.com</x:v>
      </x:c>
      <x:c r="E1117" t="str">
        <x:f>"Combined"</x:f>
        <x:v>Combined</x:v>
      </x:c>
      <x:c r="F1117" s="14" t="n">
        <x:f>'Employee Attendance'!I373</x:f>
        <x:v>0.04493055555555556</x:v>
      </x:c>
      <x:c r="G1117" t="n">
        <x:f>F1117*86400</x:f>
        <x:v>3882</x:v>
      </x:c>
      <x:c r="H1117" t="str">
        <x:f>'Employee Attendance'!J373</x:f>
        <x:v>Partially attended</x:v>
      </x:c>
      <x:c r="I1117" t="str">
        <x:f>IF(OR('Employee Attendance'!K373="Yes",'Employee Attendance'!L373="Yes"),"Yes","No")</x:f>
        <x:v>Yes</x:v>
      </x:c>
    </x:row>
    <x:row r="1118">
      <x:c r="A1118" t="str">
        <x:f>'Employee Attendance'!A374</x:f>
        <x:v>Sandra Muriithi</x:v>
      </x:c>
      <x:c r="B1118" t="str">
        <x:f>'Employee Attendance'!B374</x:f>
        <x:v>Kenya</x:v>
      </x:c>
      <x:c r="C1118" t="str">
        <x:f>'Employee Attendance'!C374</x:f>
        <x:v>KE</x:v>
      </x:c>
      <x:c r="D1118" t="str">
        <x:f>'Employee Attendance'!D374</x:f>
        <x:v>sandra.muriithi@pwc.com</x:v>
      </x:c>
      <x:c r="E1118" t="str">
        <x:f>"Option 1"</x:f>
        <x:v>Option 1</x:v>
      </x:c>
      <x:c r="F1118" s="14" t="n">
        <x:f>'Employee Attendance'!E374</x:f>
        <x:v>0</x:v>
      </x:c>
      <x:c r="G1118" t="n">
        <x:f>F1118*86400</x:f>
        <x:v>0</x:v>
      </x:c>
      <x:c r="H1118" t="str">
        <x:f>'Employee Attendance'!F374</x:f>
        <x:v>Did not attend</x:v>
      </x:c>
      <x:c r="I1118" t="str">
        <x:f>'Employee Attendance'!K374</x:f>
        <x:v>No</x:v>
      </x:c>
    </x:row>
    <x:row r="1119">
      <x:c r="A1119" t="str">
        <x:f>'Employee Attendance'!A374</x:f>
        <x:v>Sandra Muriithi</x:v>
      </x:c>
      <x:c r="B1119" t="str">
        <x:f>'Employee Attendance'!B374</x:f>
        <x:v>Kenya</x:v>
      </x:c>
      <x:c r="C1119" t="str">
        <x:f>'Employee Attendance'!C374</x:f>
        <x:v>KE</x:v>
      </x:c>
      <x:c r="D1119" t="str">
        <x:f>'Employee Attendance'!D374</x:f>
        <x:v>sandra.muriithi@pwc.com</x:v>
      </x:c>
      <x:c r="E1119" t="str">
        <x:f>"Option 2"</x:f>
        <x:v>Option 2</x:v>
      </x:c>
      <x:c r="F1119" s="14" t="n">
        <x:f>'Employee Attendance'!G374</x:f>
        <x:v>0</x:v>
      </x:c>
      <x:c r="G1119" t="n">
        <x:f>F1119*86400</x:f>
        <x:v>0</x:v>
      </x:c>
      <x:c r="H1119" t="str">
        <x:f>'Employee Attendance'!H374</x:f>
        <x:v>Did not attend</x:v>
      </x:c>
      <x:c r="I1119" t="str">
        <x:f>'Employee Attendance'!L374</x:f>
        <x:v>No</x:v>
      </x:c>
    </x:row>
    <x:row r="1120">
      <x:c r="A1120" t="str">
        <x:f>'Employee Attendance'!A374</x:f>
        <x:v>Sandra Muriithi</x:v>
      </x:c>
      <x:c r="B1120" t="str">
        <x:f>'Employee Attendance'!B374</x:f>
        <x:v>Kenya</x:v>
      </x:c>
      <x:c r="C1120" t="str">
        <x:f>'Employee Attendance'!C374</x:f>
        <x:v>KE</x:v>
      </x:c>
      <x:c r="D1120" t="str">
        <x:f>'Employee Attendance'!D374</x:f>
        <x:v>sandra.muriithi@pwc.com</x:v>
      </x:c>
      <x:c r="E1120" t="str">
        <x:f>"Combined"</x:f>
        <x:v>Combined</x:v>
      </x:c>
      <x:c r="F1120" s="14" t="n">
        <x:f>'Employee Attendance'!I374</x:f>
        <x:v>0</x:v>
      </x:c>
      <x:c r="G1120" t="n">
        <x:f>F1120*86400</x:f>
        <x:v>0</x:v>
      </x:c>
      <x:c r="H1120" t="str">
        <x:f>'Employee Attendance'!J374</x:f>
        <x:v>Did not attend</x:v>
      </x:c>
      <x:c r="I1120" t="str">
        <x:f>IF(OR('Employee Attendance'!K374="Yes",'Employee Attendance'!L374="Yes"),"Yes","No")</x:f>
        <x:v>No</x:v>
      </x:c>
    </x:row>
    <x:row r="1121">
      <x:c r="A1121" t="str">
        <x:f>'Employee Attendance'!A375</x:f>
        <x:v>Sania Pooloo</x:v>
      </x:c>
      <x:c r="B1121" t="str">
        <x:f>'Employee Attendance'!B375</x:f>
        <x:v>Mauritius</x:v>
      </x:c>
      <x:c r="C1121" t="str">
        <x:f>'Employee Attendance'!C375</x:f>
        <x:v>MU</x:v>
      </x:c>
      <x:c r="D1121" t="str">
        <x:f>'Employee Attendance'!D375</x:f>
        <x:v>sania.pooloo@pwc.com</x:v>
      </x:c>
      <x:c r="E1121" t="str">
        <x:f>"Option 1"</x:f>
        <x:v>Option 1</x:v>
      </x:c>
      <x:c r="F1121" s="14" t="n">
        <x:f>'Employee Attendance'!E375</x:f>
        <x:v>0</x:v>
      </x:c>
      <x:c r="G1121" t="n">
        <x:f>F1121*86400</x:f>
        <x:v>0</x:v>
      </x:c>
      <x:c r="H1121" t="str">
        <x:f>'Employee Attendance'!F375</x:f>
        <x:v>Did not attend</x:v>
      </x:c>
      <x:c r="I1121" t="str">
        <x:f>'Employee Attendance'!K375</x:f>
        <x:v>No</x:v>
      </x:c>
    </x:row>
    <x:row r="1122">
      <x:c r="A1122" t="str">
        <x:f>'Employee Attendance'!A375</x:f>
        <x:v>Sania Pooloo</x:v>
      </x:c>
      <x:c r="B1122" t="str">
        <x:f>'Employee Attendance'!B375</x:f>
        <x:v>Mauritius</x:v>
      </x:c>
      <x:c r="C1122" t="str">
        <x:f>'Employee Attendance'!C375</x:f>
        <x:v>MU</x:v>
      </x:c>
      <x:c r="D1122" t="str">
        <x:f>'Employee Attendance'!D375</x:f>
        <x:v>sania.pooloo@pwc.com</x:v>
      </x:c>
      <x:c r="E1122" t="str">
        <x:f>"Option 2"</x:f>
        <x:v>Option 2</x:v>
      </x:c>
      <x:c r="F1122" s="14" t="n">
        <x:f>'Employee Attendance'!G375</x:f>
        <x:v>0.08373842592592592</x:v>
      </x:c>
      <x:c r="G1122" t="n">
        <x:f>F1122*86400</x:f>
        <x:v>7235</x:v>
      </x:c>
      <x:c r="H1122" t="str">
        <x:f>'Employee Attendance'!H375</x:f>
        <x:v>Fully attended</x:v>
      </x:c>
      <x:c r="I1122" t="str">
        <x:f>'Employee Attendance'!L375</x:f>
        <x:v>Yes</x:v>
      </x:c>
    </x:row>
    <x:row r="1123">
      <x:c r="A1123" t="str">
        <x:f>'Employee Attendance'!A375</x:f>
        <x:v>Sania Pooloo</x:v>
      </x:c>
      <x:c r="B1123" t="str">
        <x:f>'Employee Attendance'!B375</x:f>
        <x:v>Mauritius</x:v>
      </x:c>
      <x:c r="C1123" t="str">
        <x:f>'Employee Attendance'!C375</x:f>
        <x:v>MU</x:v>
      </x:c>
      <x:c r="D1123" t="str">
        <x:f>'Employee Attendance'!D375</x:f>
        <x:v>sania.pooloo@pwc.com</x:v>
      </x:c>
      <x:c r="E1123" t="str">
        <x:f>"Combined"</x:f>
        <x:v>Combined</x:v>
      </x:c>
      <x:c r="F1123" s="14" t="n">
        <x:f>'Employee Attendance'!I375</x:f>
        <x:v>0.08373842592592592</x:v>
      </x:c>
      <x:c r="G1123" t="n">
        <x:f>F1123*86400</x:f>
        <x:v>7235</x:v>
      </x:c>
      <x:c r="H1123" t="str">
        <x:f>'Employee Attendance'!J375</x:f>
        <x:v>Fully attended</x:v>
      </x:c>
      <x:c r="I1123" t="str">
        <x:f>IF(OR('Employee Attendance'!K375="Yes",'Employee Attendance'!L375="Yes"),"Yes","No")</x:f>
        <x:v>Yes</x:v>
      </x:c>
    </x:row>
    <x:row r="1124">
      <x:c r="A1124" t="str">
        <x:f>'Employee Attendance'!A376</x:f>
        <x:v>Sanjana Rawoo</x:v>
      </x:c>
      <x:c r="B1124" t="str">
        <x:f>'Employee Attendance'!B376</x:f>
        <x:v>Mauritius</x:v>
      </x:c>
      <x:c r="C1124" t="str">
        <x:f>'Employee Attendance'!C376</x:f>
        <x:v>MU</x:v>
      </x:c>
      <x:c r="D1124" t="str">
        <x:f>'Employee Attendance'!D376</x:f>
        <x:v>sanjana.rawoo@pwc.com</x:v>
      </x:c>
      <x:c r="E1124" t="str">
        <x:f>"Option 1"</x:f>
        <x:v>Option 1</x:v>
      </x:c>
      <x:c r="F1124" s="14" t="n">
        <x:f>'Employee Attendance'!E376</x:f>
        <x:v>0</x:v>
      </x:c>
      <x:c r="G1124" t="n">
        <x:f>F1124*86400</x:f>
        <x:v>0</x:v>
      </x:c>
      <x:c r="H1124" t="str">
        <x:f>'Employee Attendance'!F376</x:f>
        <x:v>Did not attend</x:v>
      </x:c>
      <x:c r="I1124" t="str">
        <x:f>'Employee Attendance'!K376</x:f>
        <x:v>No</x:v>
      </x:c>
    </x:row>
    <x:row r="1125">
      <x:c r="A1125" t="str">
        <x:f>'Employee Attendance'!A376</x:f>
        <x:v>Sanjana Rawoo</x:v>
      </x:c>
      <x:c r="B1125" t="str">
        <x:f>'Employee Attendance'!B376</x:f>
        <x:v>Mauritius</x:v>
      </x:c>
      <x:c r="C1125" t="str">
        <x:f>'Employee Attendance'!C376</x:f>
        <x:v>MU</x:v>
      </x:c>
      <x:c r="D1125" t="str">
        <x:f>'Employee Attendance'!D376</x:f>
        <x:v>sanjana.rawoo@pwc.com</x:v>
      </x:c>
      <x:c r="E1125" t="str">
        <x:f>"Option 2"</x:f>
        <x:v>Option 2</x:v>
      </x:c>
      <x:c r="F1125" s="14" t="n">
        <x:f>'Employee Attendance'!G376</x:f>
        <x:v>0</x:v>
      </x:c>
      <x:c r="G1125" t="n">
        <x:f>F1125*86400</x:f>
        <x:v>0</x:v>
      </x:c>
      <x:c r="H1125" t="str">
        <x:f>'Employee Attendance'!H376</x:f>
        <x:v>Did not attend</x:v>
      </x:c>
      <x:c r="I1125" t="str">
        <x:f>'Employee Attendance'!L376</x:f>
        <x:v>No</x:v>
      </x:c>
    </x:row>
    <x:row r="1126">
      <x:c r="A1126" t="str">
        <x:f>'Employee Attendance'!A376</x:f>
        <x:v>Sanjana Rawoo</x:v>
      </x:c>
      <x:c r="B1126" t="str">
        <x:f>'Employee Attendance'!B376</x:f>
        <x:v>Mauritius</x:v>
      </x:c>
      <x:c r="C1126" t="str">
        <x:f>'Employee Attendance'!C376</x:f>
        <x:v>MU</x:v>
      </x:c>
      <x:c r="D1126" t="str">
        <x:f>'Employee Attendance'!D376</x:f>
        <x:v>sanjana.rawoo@pwc.com</x:v>
      </x:c>
      <x:c r="E1126" t="str">
        <x:f>"Combined"</x:f>
        <x:v>Combined</x:v>
      </x:c>
      <x:c r="F1126" s="14" t="n">
        <x:f>'Employee Attendance'!I376</x:f>
        <x:v>0</x:v>
      </x:c>
      <x:c r="G1126" t="n">
        <x:f>F1126*86400</x:f>
        <x:v>0</x:v>
      </x:c>
      <x:c r="H1126" t="str">
        <x:f>'Employee Attendance'!J376</x:f>
        <x:v>Did not attend</x:v>
      </x:c>
      <x:c r="I1126" t="str">
        <x:f>IF(OR('Employee Attendance'!K376="Yes",'Employee Attendance'!L376="Yes"),"Yes","No")</x:f>
        <x:v>No</x:v>
      </x:c>
    </x:row>
    <x:row r="1127">
      <x:c r="A1127" t="str">
        <x:f>'Employee Attendance'!A377</x:f>
        <x:v>Sarah Otindo</x:v>
      </x:c>
      <x:c r="B1127" t="str">
        <x:f>'Employee Attendance'!B377</x:f>
        <x:v>Kenya</x:v>
      </x:c>
      <x:c r="C1127" t="str">
        <x:f>'Employee Attendance'!C377</x:f>
        <x:v>KE</x:v>
      </x:c>
      <x:c r="D1127" t="str">
        <x:f>'Employee Attendance'!D377</x:f>
        <x:v>sarah.otindo@pwc.com</x:v>
      </x:c>
      <x:c r="E1127" t="str">
        <x:f>"Option 1"</x:f>
        <x:v>Option 1</x:v>
      </x:c>
      <x:c r="F1127" s="14" t="n">
        <x:f>'Employee Attendance'!E377</x:f>
        <x:v>0</x:v>
      </x:c>
      <x:c r="G1127" t="n">
        <x:f>F1127*86400</x:f>
        <x:v>0</x:v>
      </x:c>
      <x:c r="H1127" t="str">
        <x:f>'Employee Attendance'!F377</x:f>
        <x:v>Did not attend</x:v>
      </x:c>
      <x:c r="I1127" t="str">
        <x:f>'Employee Attendance'!K377</x:f>
        <x:v>No</x:v>
      </x:c>
    </x:row>
    <x:row r="1128">
      <x:c r="A1128" t="str">
        <x:f>'Employee Attendance'!A377</x:f>
        <x:v>Sarah Otindo</x:v>
      </x:c>
      <x:c r="B1128" t="str">
        <x:f>'Employee Attendance'!B377</x:f>
        <x:v>Kenya</x:v>
      </x:c>
      <x:c r="C1128" t="str">
        <x:f>'Employee Attendance'!C377</x:f>
        <x:v>KE</x:v>
      </x:c>
      <x:c r="D1128" t="str">
        <x:f>'Employee Attendance'!D377</x:f>
        <x:v>sarah.otindo@pwc.com</x:v>
      </x:c>
      <x:c r="E1128" t="str">
        <x:f>"Option 2"</x:f>
        <x:v>Option 2</x:v>
      </x:c>
      <x:c r="F1128" s="14" t="n">
        <x:f>'Employee Attendance'!G377</x:f>
        <x:v>0.08784722222222222</x:v>
      </x:c>
      <x:c r="G1128" t="n">
        <x:f>F1128*86400</x:f>
        <x:v>7589.999999999999</x:v>
      </x:c>
      <x:c r="H1128" t="str">
        <x:f>'Employee Attendance'!H377</x:f>
        <x:v>Fully attended</x:v>
      </x:c>
      <x:c r="I1128" t="str">
        <x:f>'Employee Attendance'!L377</x:f>
        <x:v>Yes</x:v>
      </x:c>
    </x:row>
    <x:row r="1129">
      <x:c r="A1129" t="str">
        <x:f>'Employee Attendance'!A377</x:f>
        <x:v>Sarah Otindo</x:v>
      </x:c>
      <x:c r="B1129" t="str">
        <x:f>'Employee Attendance'!B377</x:f>
        <x:v>Kenya</x:v>
      </x:c>
      <x:c r="C1129" t="str">
        <x:f>'Employee Attendance'!C377</x:f>
        <x:v>KE</x:v>
      </x:c>
      <x:c r="D1129" t="str">
        <x:f>'Employee Attendance'!D377</x:f>
        <x:v>sarah.otindo@pwc.com</x:v>
      </x:c>
      <x:c r="E1129" t="str">
        <x:f>"Combined"</x:f>
        <x:v>Combined</x:v>
      </x:c>
      <x:c r="F1129" s="14" t="n">
        <x:f>'Employee Attendance'!I377</x:f>
        <x:v>0.08784722222222222</x:v>
      </x:c>
      <x:c r="G1129" t="n">
        <x:f>F1129*86400</x:f>
        <x:v>7589.999999999999</x:v>
      </x:c>
      <x:c r="H1129" t="str">
        <x:f>'Employee Attendance'!J377</x:f>
        <x:v>Fully attended</x:v>
      </x:c>
      <x:c r="I1129" t="str">
        <x:f>IF(OR('Employee Attendance'!K377="Yes",'Employee Attendance'!L377="Yes"),"Yes","No")</x:f>
        <x:v>Yes</x:v>
      </x:c>
    </x:row>
    <x:row r="1130">
      <x:c r="A1130" t="str">
        <x:f>'Employee Attendance'!A378</x:f>
        <x:v>Seline Achieng</x:v>
      </x:c>
      <x:c r="B1130" t="str">
        <x:f>'Employee Attendance'!B378</x:f>
        <x:v>Kenya</x:v>
      </x:c>
      <x:c r="C1130" t="str">
        <x:f>'Employee Attendance'!C378</x:f>
        <x:v>KE</x:v>
      </x:c>
      <x:c r="D1130" t="str">
        <x:f>'Employee Attendance'!D378</x:f>
        <x:v>seline.achieng@pwc.com</x:v>
      </x:c>
      <x:c r="E1130" t="str">
        <x:f>"Option 1"</x:f>
        <x:v>Option 1</x:v>
      </x:c>
      <x:c r="F1130" s="14" t="n">
        <x:f>'Employee Attendance'!E378</x:f>
        <x:v>0.06871527777777778</x:v>
      </x:c>
      <x:c r="G1130" t="n">
        <x:f>F1130*86400</x:f>
        <x:v>5937</x:v>
      </x:c>
      <x:c r="H1130" t="str">
        <x:f>'Employee Attendance'!F378</x:f>
        <x:v>Fully attended</x:v>
      </x:c>
      <x:c r="I1130" t="str">
        <x:f>'Employee Attendance'!K378</x:f>
        <x:v>Yes</x:v>
      </x:c>
    </x:row>
    <x:row r="1131">
      <x:c r="A1131" t="str">
        <x:f>'Employee Attendance'!A378</x:f>
        <x:v>Seline Achieng</x:v>
      </x:c>
      <x:c r="B1131" t="str">
        <x:f>'Employee Attendance'!B378</x:f>
        <x:v>Kenya</x:v>
      </x:c>
      <x:c r="C1131" t="str">
        <x:f>'Employee Attendance'!C378</x:f>
        <x:v>KE</x:v>
      </x:c>
      <x:c r="D1131" t="str">
        <x:f>'Employee Attendance'!D378</x:f>
        <x:v>seline.achieng@pwc.com</x:v>
      </x:c>
      <x:c r="E1131" t="str">
        <x:f>"Option 2"</x:f>
        <x:v>Option 2</x:v>
      </x:c>
      <x:c r="F1131" s="14" t="n">
        <x:f>'Employee Attendance'!G378</x:f>
        <x:v>0</x:v>
      </x:c>
      <x:c r="G1131" t="n">
        <x:f>F1131*86400</x:f>
        <x:v>0</x:v>
      </x:c>
      <x:c r="H1131" t="str">
        <x:f>'Employee Attendance'!H378</x:f>
        <x:v>Did not attend</x:v>
      </x:c>
      <x:c r="I1131" t="str">
        <x:f>'Employee Attendance'!L378</x:f>
        <x:v>No</x:v>
      </x:c>
    </x:row>
    <x:row r="1132">
      <x:c r="A1132" t="str">
        <x:f>'Employee Attendance'!A378</x:f>
        <x:v>Seline Achieng</x:v>
      </x:c>
      <x:c r="B1132" t="str">
        <x:f>'Employee Attendance'!B378</x:f>
        <x:v>Kenya</x:v>
      </x:c>
      <x:c r="C1132" t="str">
        <x:f>'Employee Attendance'!C378</x:f>
        <x:v>KE</x:v>
      </x:c>
      <x:c r="D1132" t="str">
        <x:f>'Employee Attendance'!D378</x:f>
        <x:v>seline.achieng@pwc.com</x:v>
      </x:c>
      <x:c r="E1132" t="str">
        <x:f>"Combined"</x:f>
        <x:v>Combined</x:v>
      </x:c>
      <x:c r="F1132" s="14" t="n">
        <x:f>'Employee Attendance'!I378</x:f>
        <x:v>0.06871527777777778</x:v>
      </x:c>
      <x:c r="G1132" t="n">
        <x:f>F1132*86400</x:f>
        <x:v>5937</x:v>
      </x:c>
      <x:c r="H1132" t="str">
        <x:f>'Employee Attendance'!J378</x:f>
        <x:v>Fully attended</x:v>
      </x:c>
      <x:c r="I1132" t="str">
        <x:f>IF(OR('Employee Attendance'!K378="Yes",'Employee Attendance'!L378="Yes"),"Yes","No")</x:f>
        <x:v>Yes</x:v>
      </x:c>
    </x:row>
    <x:row r="1133">
      <x:c r="A1133" t="str">
        <x:f>'Employee Attendance'!A379</x:f>
        <x:v>Serah Kiprono</x:v>
      </x:c>
      <x:c r="B1133" t="str">
        <x:f>'Employee Attendance'!B379</x:f>
        <x:v>Kenya</x:v>
      </x:c>
      <x:c r="C1133" t="str">
        <x:f>'Employee Attendance'!C379</x:f>
        <x:v>KE</x:v>
      </x:c>
      <x:c r="D1133" t="str">
        <x:f>'Employee Attendance'!D379</x:f>
        <x:v>serah.kiprono@pwc.com</x:v>
      </x:c>
      <x:c r="E1133" t="str">
        <x:f>"Option 1"</x:f>
        <x:v>Option 1</x:v>
      </x:c>
      <x:c r="F1133" s="14" t="n">
        <x:f>'Employee Attendance'!E379</x:f>
        <x:v>0.08631944444444445</x:v>
      </x:c>
      <x:c r="G1133" t="n">
        <x:f>F1133*86400</x:f>
        <x:v>7458</x:v>
      </x:c>
      <x:c r="H1133" t="str">
        <x:f>'Employee Attendance'!F379</x:f>
        <x:v>Fully attended</x:v>
      </x:c>
      <x:c r="I1133" t="str">
        <x:f>'Employee Attendance'!K379</x:f>
        <x:v>Yes</x:v>
      </x:c>
    </x:row>
    <x:row r="1134">
      <x:c r="A1134" t="str">
        <x:f>'Employee Attendance'!A379</x:f>
        <x:v>Serah Kiprono</x:v>
      </x:c>
      <x:c r="B1134" t="str">
        <x:f>'Employee Attendance'!B379</x:f>
        <x:v>Kenya</x:v>
      </x:c>
      <x:c r="C1134" t="str">
        <x:f>'Employee Attendance'!C379</x:f>
        <x:v>KE</x:v>
      </x:c>
      <x:c r="D1134" t="str">
        <x:f>'Employee Attendance'!D379</x:f>
        <x:v>serah.kiprono@pwc.com</x:v>
      </x:c>
      <x:c r="E1134" t="str">
        <x:f>"Option 2"</x:f>
        <x:v>Option 2</x:v>
      </x:c>
      <x:c r="F1134" s="14" t="n">
        <x:f>'Employee Attendance'!G379</x:f>
        <x:v>0.09119212962962962</x:v>
      </x:c>
      <x:c r="G1134" t="n">
        <x:f>F1134*86400</x:f>
        <x:v>7878.999999999999</x:v>
      </x:c>
      <x:c r="H1134" t="str">
        <x:f>'Employee Attendance'!H379</x:f>
        <x:v>Fully attended</x:v>
      </x:c>
      <x:c r="I1134" t="str">
        <x:f>'Employee Attendance'!L379</x:f>
        <x:v>Yes</x:v>
      </x:c>
    </x:row>
    <x:row r="1135">
      <x:c r="A1135" t="str">
        <x:f>'Employee Attendance'!A379</x:f>
        <x:v>Serah Kiprono</x:v>
      </x:c>
      <x:c r="B1135" t="str">
        <x:f>'Employee Attendance'!B379</x:f>
        <x:v>Kenya</x:v>
      </x:c>
      <x:c r="C1135" t="str">
        <x:f>'Employee Attendance'!C379</x:f>
        <x:v>KE</x:v>
      </x:c>
      <x:c r="D1135" t="str">
        <x:f>'Employee Attendance'!D379</x:f>
        <x:v>serah.kiprono@pwc.com</x:v>
      </x:c>
      <x:c r="E1135" t="str">
        <x:f>"Combined"</x:f>
        <x:v>Combined</x:v>
      </x:c>
      <x:c r="F1135" s="14" t="n">
        <x:f>'Employee Attendance'!I379</x:f>
        <x:v>0.17751157407407409</x:v>
      </x:c>
      <x:c r="G1135" t="n">
        <x:f>F1135*86400</x:f>
        <x:v>15337.000000000002</x:v>
      </x:c>
      <x:c r="H1135" t="str">
        <x:f>'Employee Attendance'!J379</x:f>
        <x:v>Fully attended</x:v>
      </x:c>
      <x:c r="I1135" t="str">
        <x:f>IF(OR('Employee Attendance'!K379="Yes",'Employee Attendance'!L379="Yes"),"Yes","No")</x:f>
        <x:v>Yes</x:v>
      </x:c>
    </x:row>
    <x:row r="1136">
      <x:c r="A1136" t="str">
        <x:f>'Employee Attendance'!A380</x:f>
        <x:v>Serah Omwenga</x:v>
      </x:c>
      <x:c r="B1136" t="str">
        <x:f>'Employee Attendance'!B380</x:f>
        <x:v>Kenya</x:v>
      </x:c>
      <x:c r="C1136" t="str">
        <x:f>'Employee Attendance'!C380</x:f>
        <x:v>KE</x:v>
      </x:c>
      <x:c r="D1136" t="str">
        <x:f>'Employee Attendance'!D380</x:f>
        <x:v>serah.omwenga@pwc.com</x:v>
      </x:c>
      <x:c r="E1136" t="str">
        <x:f>"Option 1"</x:f>
        <x:v>Option 1</x:v>
      </x:c>
      <x:c r="F1136" s="14" t="n">
        <x:f>'Employee Attendance'!E380</x:f>
        <x:v>0</x:v>
      </x:c>
      <x:c r="G1136" t="n">
        <x:f>F1136*86400</x:f>
        <x:v>0</x:v>
      </x:c>
      <x:c r="H1136" t="str">
        <x:f>'Employee Attendance'!F380</x:f>
        <x:v>Did not attend</x:v>
      </x:c>
      <x:c r="I1136" t="str">
        <x:f>'Employee Attendance'!K380</x:f>
        <x:v>No</x:v>
      </x:c>
    </x:row>
    <x:row r="1137">
      <x:c r="A1137" t="str">
        <x:f>'Employee Attendance'!A380</x:f>
        <x:v>Serah Omwenga</x:v>
      </x:c>
      <x:c r="B1137" t="str">
        <x:f>'Employee Attendance'!B380</x:f>
        <x:v>Kenya</x:v>
      </x:c>
      <x:c r="C1137" t="str">
        <x:f>'Employee Attendance'!C380</x:f>
        <x:v>KE</x:v>
      </x:c>
      <x:c r="D1137" t="str">
        <x:f>'Employee Attendance'!D380</x:f>
        <x:v>serah.omwenga@pwc.com</x:v>
      </x:c>
      <x:c r="E1137" t="str">
        <x:f>"Option 2"</x:f>
        <x:v>Option 2</x:v>
      </x:c>
      <x:c r="F1137" s="14" t="n">
        <x:f>'Employee Attendance'!G380</x:f>
        <x:v>0.07215277777777777</x:v>
      </x:c>
      <x:c r="G1137" t="n">
        <x:f>F1137*86400</x:f>
        <x:v>6234</x:v>
      </x:c>
      <x:c r="H1137" t="str">
        <x:f>'Employee Attendance'!H380</x:f>
        <x:v>Fully attended</x:v>
      </x:c>
      <x:c r="I1137" t="str">
        <x:f>'Employee Attendance'!L380</x:f>
        <x:v>Yes</x:v>
      </x:c>
    </x:row>
    <x:row r="1138">
      <x:c r="A1138" t="str">
        <x:f>'Employee Attendance'!A380</x:f>
        <x:v>Serah Omwenga</x:v>
      </x:c>
      <x:c r="B1138" t="str">
        <x:f>'Employee Attendance'!B380</x:f>
        <x:v>Kenya</x:v>
      </x:c>
      <x:c r="C1138" t="str">
        <x:f>'Employee Attendance'!C380</x:f>
        <x:v>KE</x:v>
      </x:c>
      <x:c r="D1138" t="str">
        <x:f>'Employee Attendance'!D380</x:f>
        <x:v>serah.omwenga@pwc.com</x:v>
      </x:c>
      <x:c r="E1138" t="str">
        <x:f>"Combined"</x:f>
        <x:v>Combined</x:v>
      </x:c>
      <x:c r="F1138" s="14" t="n">
        <x:f>'Employee Attendance'!I380</x:f>
        <x:v>0.07215277777777777</x:v>
      </x:c>
      <x:c r="G1138" t="n">
        <x:f>F1138*86400</x:f>
        <x:v>6234</x:v>
      </x:c>
      <x:c r="H1138" t="str">
        <x:f>'Employee Attendance'!J380</x:f>
        <x:v>Fully attended</x:v>
      </x:c>
      <x:c r="I1138" t="str">
        <x:f>IF(OR('Employee Attendance'!K380="Yes",'Employee Attendance'!L380="Yes"),"Yes","No")</x:f>
        <x:v>Yes</x:v>
      </x:c>
    </x:row>
    <x:row r="1139">
      <x:c r="A1139" t="str">
        <x:f>'Employee Attendance'!A381</x:f>
        <x:v>Seth Adoli</x:v>
      </x:c>
      <x:c r="B1139" t="str">
        <x:f>'Employee Attendance'!B381</x:f>
        <x:v>Kenya</x:v>
      </x:c>
      <x:c r="C1139" t="str">
        <x:f>'Employee Attendance'!C381</x:f>
        <x:v>KE</x:v>
      </x:c>
      <x:c r="D1139" t="str">
        <x:f>'Employee Attendance'!D381</x:f>
        <x:v>seth.adoli@pwc.com</x:v>
      </x:c>
      <x:c r="E1139" t="str">
        <x:f>"Option 1"</x:f>
        <x:v>Option 1</x:v>
      </x:c>
      <x:c r="F1139" s="14" t="n">
        <x:f>'Employee Attendance'!E381</x:f>
        <x:v>0.06729166666666667</x:v>
      </x:c>
      <x:c r="G1139" t="n">
        <x:f>F1139*86400</x:f>
        <x:v>5814</x:v>
      </x:c>
      <x:c r="H1139" t="str">
        <x:f>'Employee Attendance'!F381</x:f>
        <x:v>Fully attended</x:v>
      </x:c>
      <x:c r="I1139" t="str">
        <x:f>'Employee Attendance'!K381</x:f>
        <x:v>Yes</x:v>
      </x:c>
    </x:row>
    <x:row r="1140">
      <x:c r="A1140" t="str">
        <x:f>'Employee Attendance'!A381</x:f>
        <x:v>Seth Adoli</x:v>
      </x:c>
      <x:c r="B1140" t="str">
        <x:f>'Employee Attendance'!B381</x:f>
        <x:v>Kenya</x:v>
      </x:c>
      <x:c r="C1140" t="str">
        <x:f>'Employee Attendance'!C381</x:f>
        <x:v>KE</x:v>
      </x:c>
      <x:c r="D1140" t="str">
        <x:f>'Employee Attendance'!D381</x:f>
        <x:v>seth.adoli@pwc.com</x:v>
      </x:c>
      <x:c r="E1140" t="str">
        <x:f>"Option 2"</x:f>
        <x:v>Option 2</x:v>
      </x:c>
      <x:c r="F1140" s="14" t="n">
        <x:f>'Employee Attendance'!G381</x:f>
        <x:v>0</x:v>
      </x:c>
      <x:c r="G1140" t="n">
        <x:f>F1140*86400</x:f>
        <x:v>0</x:v>
      </x:c>
      <x:c r="H1140" t="str">
        <x:f>'Employee Attendance'!H381</x:f>
        <x:v>Did not attend</x:v>
      </x:c>
      <x:c r="I1140" t="str">
        <x:f>'Employee Attendance'!L381</x:f>
        <x:v>No</x:v>
      </x:c>
    </x:row>
    <x:row r="1141">
      <x:c r="A1141" t="str">
        <x:f>'Employee Attendance'!A381</x:f>
        <x:v>Seth Adoli</x:v>
      </x:c>
      <x:c r="B1141" t="str">
        <x:f>'Employee Attendance'!B381</x:f>
        <x:v>Kenya</x:v>
      </x:c>
      <x:c r="C1141" t="str">
        <x:f>'Employee Attendance'!C381</x:f>
        <x:v>KE</x:v>
      </x:c>
      <x:c r="D1141" t="str">
        <x:f>'Employee Attendance'!D381</x:f>
        <x:v>seth.adoli@pwc.com</x:v>
      </x:c>
      <x:c r="E1141" t="str">
        <x:f>"Combined"</x:f>
        <x:v>Combined</x:v>
      </x:c>
      <x:c r="F1141" s="14" t="n">
        <x:f>'Employee Attendance'!I381</x:f>
        <x:v>0.06729166666666667</x:v>
      </x:c>
      <x:c r="G1141" t="n">
        <x:f>F1141*86400</x:f>
        <x:v>5814</x:v>
      </x:c>
      <x:c r="H1141" t="str">
        <x:f>'Employee Attendance'!J381</x:f>
        <x:v>Fully attended</x:v>
      </x:c>
      <x:c r="I1141" t="str">
        <x:f>IF(OR('Employee Attendance'!K381="Yes",'Employee Attendance'!L381="Yes"),"Yes","No")</x:f>
        <x:v>Yes</x:v>
      </x:c>
    </x:row>
    <x:row r="1142">
      <x:c r="A1142" t="str">
        <x:f>'Employee Attendance'!A382</x:f>
        <x:v>Shaan Seenundun</x:v>
      </x:c>
      <x:c r="B1142" t="str">
        <x:f>'Employee Attendance'!B382</x:f>
        <x:v>Mauritius</x:v>
      </x:c>
      <x:c r="C1142" t="str">
        <x:f>'Employee Attendance'!C382</x:f>
        <x:v>MU</x:v>
      </x:c>
      <x:c r="D1142" t="str">
        <x:f>'Employee Attendance'!D382</x:f>
        <x:v>shaan.seenundun@pwc.com</x:v>
      </x:c>
      <x:c r="E1142" t="str">
        <x:f>"Option 1"</x:f>
        <x:v>Option 1</x:v>
      </x:c>
      <x:c r="F1142" s="14" t="n">
        <x:f>'Employee Attendance'!E382</x:f>
        <x:v>0</x:v>
      </x:c>
      <x:c r="G1142" t="n">
        <x:f>F1142*86400</x:f>
        <x:v>0</x:v>
      </x:c>
      <x:c r="H1142" t="str">
        <x:f>'Employee Attendance'!F382</x:f>
        <x:v>Did not attend</x:v>
      </x:c>
      <x:c r="I1142" t="str">
        <x:f>'Employee Attendance'!K382</x:f>
        <x:v>No</x:v>
      </x:c>
    </x:row>
    <x:row r="1143">
      <x:c r="A1143" t="str">
        <x:f>'Employee Attendance'!A382</x:f>
        <x:v>Shaan Seenundun</x:v>
      </x:c>
      <x:c r="B1143" t="str">
        <x:f>'Employee Attendance'!B382</x:f>
        <x:v>Mauritius</x:v>
      </x:c>
      <x:c r="C1143" t="str">
        <x:f>'Employee Attendance'!C382</x:f>
        <x:v>MU</x:v>
      </x:c>
      <x:c r="D1143" t="str">
        <x:f>'Employee Attendance'!D382</x:f>
        <x:v>shaan.seenundun@pwc.com</x:v>
      </x:c>
      <x:c r="E1143" t="str">
        <x:f>"Option 2"</x:f>
        <x:v>Option 2</x:v>
      </x:c>
      <x:c r="F1143" s="14" t="n">
        <x:f>'Employee Attendance'!G382</x:f>
        <x:v>0.08608796296296296</x:v>
      </x:c>
      <x:c r="G1143" t="n">
        <x:f>F1143*86400</x:f>
        <x:v>7438</x:v>
      </x:c>
      <x:c r="H1143" t="str">
        <x:f>'Employee Attendance'!H382</x:f>
        <x:v>Fully attended</x:v>
      </x:c>
      <x:c r="I1143" t="str">
        <x:f>'Employee Attendance'!L382</x:f>
        <x:v>Yes</x:v>
      </x:c>
    </x:row>
    <x:row r="1144">
      <x:c r="A1144" t="str">
        <x:f>'Employee Attendance'!A382</x:f>
        <x:v>Shaan Seenundun</x:v>
      </x:c>
      <x:c r="B1144" t="str">
        <x:f>'Employee Attendance'!B382</x:f>
        <x:v>Mauritius</x:v>
      </x:c>
      <x:c r="C1144" t="str">
        <x:f>'Employee Attendance'!C382</x:f>
        <x:v>MU</x:v>
      </x:c>
      <x:c r="D1144" t="str">
        <x:f>'Employee Attendance'!D382</x:f>
        <x:v>shaan.seenundun@pwc.com</x:v>
      </x:c>
      <x:c r="E1144" t="str">
        <x:f>"Combined"</x:f>
        <x:v>Combined</x:v>
      </x:c>
      <x:c r="F1144" s="14" t="n">
        <x:f>'Employee Attendance'!I382</x:f>
        <x:v>0.08608796296296296</x:v>
      </x:c>
      <x:c r="G1144" t="n">
        <x:f>F1144*86400</x:f>
        <x:v>7438</x:v>
      </x:c>
      <x:c r="H1144" t="str">
        <x:f>'Employee Attendance'!J382</x:f>
        <x:v>Fully attended</x:v>
      </x:c>
      <x:c r="I1144" t="str">
        <x:f>IF(OR('Employee Attendance'!K382="Yes",'Employee Attendance'!L382="Yes"),"Yes","No")</x:f>
        <x:v>Yes</x:v>
      </x:c>
    </x:row>
    <x:row r="1145">
      <x:c r="A1145" t="str">
        <x:f>'Employee Attendance'!A383</x:f>
        <x:v>Shakil Maghun</x:v>
      </x:c>
      <x:c r="B1145" t="str">
        <x:f>'Employee Attendance'!B383</x:f>
        <x:v>Mauritius</x:v>
      </x:c>
      <x:c r="C1145" t="str">
        <x:f>'Employee Attendance'!C383</x:f>
        <x:v>MU</x:v>
      </x:c>
      <x:c r="D1145" t="str">
        <x:f>'Employee Attendance'!D383</x:f>
        <x:v>shakil.maghun@pwc.com</x:v>
      </x:c>
      <x:c r="E1145" t="str">
        <x:f>"Option 1"</x:f>
        <x:v>Option 1</x:v>
      </x:c>
      <x:c r="F1145" s="14" t="n">
        <x:f>'Employee Attendance'!E383</x:f>
        <x:v>0</x:v>
      </x:c>
      <x:c r="G1145" t="n">
        <x:f>F1145*86400</x:f>
        <x:v>0</x:v>
      </x:c>
      <x:c r="H1145" t="str">
        <x:f>'Employee Attendance'!F383</x:f>
        <x:v>Did not attend</x:v>
      </x:c>
      <x:c r="I1145" t="str">
        <x:f>'Employee Attendance'!K383</x:f>
        <x:v>No</x:v>
      </x:c>
    </x:row>
    <x:row r="1146">
      <x:c r="A1146" t="str">
        <x:f>'Employee Attendance'!A383</x:f>
        <x:v>Shakil Maghun</x:v>
      </x:c>
      <x:c r="B1146" t="str">
        <x:f>'Employee Attendance'!B383</x:f>
        <x:v>Mauritius</x:v>
      </x:c>
      <x:c r="C1146" t="str">
        <x:f>'Employee Attendance'!C383</x:f>
        <x:v>MU</x:v>
      </x:c>
      <x:c r="D1146" t="str">
        <x:f>'Employee Attendance'!D383</x:f>
        <x:v>shakil.maghun@pwc.com</x:v>
      </x:c>
      <x:c r="E1146" t="str">
        <x:f>"Option 2"</x:f>
        <x:v>Option 2</x:v>
      </x:c>
      <x:c r="F1146" s="14" t="n">
        <x:f>'Employee Attendance'!G383</x:f>
        <x:v>0.08681712962962963</x:v>
      </x:c>
      <x:c r="G1146" t="n">
        <x:f>F1146*86400</x:f>
        <x:v>7501</x:v>
      </x:c>
      <x:c r="H1146" t="str">
        <x:f>'Employee Attendance'!H383</x:f>
        <x:v>Fully attended</x:v>
      </x:c>
      <x:c r="I1146" t="str">
        <x:f>'Employee Attendance'!L383</x:f>
        <x:v>Yes</x:v>
      </x:c>
    </x:row>
    <x:row r="1147">
      <x:c r="A1147" t="str">
        <x:f>'Employee Attendance'!A383</x:f>
        <x:v>Shakil Maghun</x:v>
      </x:c>
      <x:c r="B1147" t="str">
        <x:f>'Employee Attendance'!B383</x:f>
        <x:v>Mauritius</x:v>
      </x:c>
      <x:c r="C1147" t="str">
        <x:f>'Employee Attendance'!C383</x:f>
        <x:v>MU</x:v>
      </x:c>
      <x:c r="D1147" t="str">
        <x:f>'Employee Attendance'!D383</x:f>
        <x:v>shakil.maghun@pwc.com</x:v>
      </x:c>
      <x:c r="E1147" t="str">
        <x:f>"Combined"</x:f>
        <x:v>Combined</x:v>
      </x:c>
      <x:c r="F1147" s="14" t="n">
        <x:f>'Employee Attendance'!I383</x:f>
        <x:v>0.08681712962962963</x:v>
      </x:c>
      <x:c r="G1147" t="n">
        <x:f>F1147*86400</x:f>
        <x:v>7501</x:v>
      </x:c>
      <x:c r="H1147" t="str">
        <x:f>'Employee Attendance'!J383</x:f>
        <x:v>Fully attended</x:v>
      </x:c>
      <x:c r="I1147" t="str">
        <x:f>IF(OR('Employee Attendance'!K383="Yes",'Employee Attendance'!L383="Yes"),"Yes","No")</x:f>
        <x:v>Yes</x:v>
      </x:c>
    </x:row>
    <x:row r="1148">
      <x:c r="A1148" t="str">
        <x:f>'Employee Attendance'!A384</x:f>
        <x:v>Sharon Nanyonga</x:v>
      </x:c>
      <x:c r="B1148" t="str">
        <x:f>'Employee Attendance'!B384</x:f>
        <x:v>Uganda</x:v>
      </x:c>
      <x:c r="C1148" t="str">
        <x:f>'Employee Attendance'!C384</x:f>
        <x:v>UG</x:v>
      </x:c>
      <x:c r="D1148" t="str">
        <x:f>'Employee Attendance'!D384</x:f>
        <x:v>sharon.nanyonga@pwc.com</x:v>
      </x:c>
      <x:c r="E1148" t="str">
        <x:f>"Option 1"</x:f>
        <x:v>Option 1</x:v>
      </x:c>
      <x:c r="F1148" s="14" t="n">
        <x:f>'Employee Attendance'!E384</x:f>
        <x:v>0.08226851851851852</x:v>
      </x:c>
      <x:c r="G1148" t="n">
        <x:f>F1148*86400</x:f>
        <x:v>7108</x:v>
      </x:c>
      <x:c r="H1148" t="str">
        <x:f>'Employee Attendance'!F384</x:f>
        <x:v>Fully attended</x:v>
      </x:c>
      <x:c r="I1148" t="str">
        <x:f>'Employee Attendance'!K384</x:f>
        <x:v>Yes</x:v>
      </x:c>
    </x:row>
    <x:row r="1149">
      <x:c r="A1149" t="str">
        <x:f>'Employee Attendance'!A384</x:f>
        <x:v>Sharon Nanyonga</x:v>
      </x:c>
      <x:c r="B1149" t="str">
        <x:f>'Employee Attendance'!B384</x:f>
        <x:v>Uganda</x:v>
      </x:c>
      <x:c r="C1149" t="str">
        <x:f>'Employee Attendance'!C384</x:f>
        <x:v>UG</x:v>
      </x:c>
      <x:c r="D1149" t="str">
        <x:f>'Employee Attendance'!D384</x:f>
        <x:v>sharon.nanyonga@pwc.com</x:v>
      </x:c>
      <x:c r="E1149" t="str">
        <x:f>"Option 2"</x:f>
        <x:v>Option 2</x:v>
      </x:c>
      <x:c r="F1149" s="14" t="n">
        <x:f>'Employee Attendance'!G384</x:f>
        <x:v>0</x:v>
      </x:c>
      <x:c r="G1149" t="n">
        <x:f>F1149*86400</x:f>
        <x:v>0</x:v>
      </x:c>
      <x:c r="H1149" t="str">
        <x:f>'Employee Attendance'!H384</x:f>
        <x:v>Did not attend</x:v>
      </x:c>
      <x:c r="I1149" t="str">
        <x:f>'Employee Attendance'!L384</x:f>
        <x:v>No</x:v>
      </x:c>
    </x:row>
    <x:row r="1150">
      <x:c r="A1150" t="str">
        <x:f>'Employee Attendance'!A384</x:f>
        <x:v>Sharon Nanyonga</x:v>
      </x:c>
      <x:c r="B1150" t="str">
        <x:f>'Employee Attendance'!B384</x:f>
        <x:v>Uganda</x:v>
      </x:c>
      <x:c r="C1150" t="str">
        <x:f>'Employee Attendance'!C384</x:f>
        <x:v>UG</x:v>
      </x:c>
      <x:c r="D1150" t="str">
        <x:f>'Employee Attendance'!D384</x:f>
        <x:v>sharon.nanyonga@pwc.com</x:v>
      </x:c>
      <x:c r="E1150" t="str">
        <x:f>"Combined"</x:f>
        <x:v>Combined</x:v>
      </x:c>
      <x:c r="F1150" s="14" t="n">
        <x:f>'Employee Attendance'!I384</x:f>
        <x:v>0.08226851851851852</x:v>
      </x:c>
      <x:c r="G1150" t="n">
        <x:f>F1150*86400</x:f>
        <x:v>7108</x:v>
      </x:c>
      <x:c r="H1150" t="str">
        <x:f>'Employee Attendance'!J384</x:f>
        <x:v>Fully attended</x:v>
      </x:c>
      <x:c r="I1150" t="str">
        <x:f>IF(OR('Employee Attendance'!K384="Yes",'Employee Attendance'!L384="Yes"),"Yes","No")</x:f>
        <x:v>Yes</x:v>
      </x:c>
    </x:row>
    <x:row r="1151">
      <x:c r="A1151" t="str">
        <x:f>'Employee Attendance'!A385</x:f>
        <x:v>Sharon Obiero</x:v>
      </x:c>
      <x:c r="B1151" t="str">
        <x:f>'Employee Attendance'!B385</x:f>
        <x:v>Kenya</x:v>
      </x:c>
      <x:c r="C1151" t="str">
        <x:f>'Employee Attendance'!C385</x:f>
        <x:v>KE</x:v>
      </x:c>
      <x:c r="D1151" t="str">
        <x:f>'Employee Attendance'!D385</x:f>
        <x:v>sharon.obiero@pwc.com</x:v>
      </x:c>
      <x:c r="E1151" t="str">
        <x:f>"Option 1"</x:f>
        <x:v>Option 1</x:v>
      </x:c>
      <x:c r="F1151" s="14" t="n">
        <x:f>'Employee Attendance'!E385</x:f>
        <x:v>0.07486111111111111</x:v>
      </x:c>
      <x:c r="G1151" t="n">
        <x:f>F1151*86400</x:f>
        <x:v>6468</x:v>
      </x:c>
      <x:c r="H1151" t="str">
        <x:f>'Employee Attendance'!F385</x:f>
        <x:v>Fully attended</x:v>
      </x:c>
      <x:c r="I1151" t="str">
        <x:f>'Employee Attendance'!K385</x:f>
        <x:v>Yes</x:v>
      </x:c>
    </x:row>
    <x:row r="1152">
      <x:c r="A1152" t="str">
        <x:f>'Employee Attendance'!A385</x:f>
        <x:v>Sharon Obiero</x:v>
      </x:c>
      <x:c r="B1152" t="str">
        <x:f>'Employee Attendance'!B385</x:f>
        <x:v>Kenya</x:v>
      </x:c>
      <x:c r="C1152" t="str">
        <x:f>'Employee Attendance'!C385</x:f>
        <x:v>KE</x:v>
      </x:c>
      <x:c r="D1152" t="str">
        <x:f>'Employee Attendance'!D385</x:f>
        <x:v>sharon.obiero@pwc.com</x:v>
      </x:c>
      <x:c r="E1152" t="str">
        <x:f>"Option 2"</x:f>
        <x:v>Option 2</x:v>
      </x:c>
      <x:c r="F1152" s="14" t="n">
        <x:f>'Employee Attendance'!G385</x:f>
        <x:v>0</x:v>
      </x:c>
      <x:c r="G1152" t="n">
        <x:f>F1152*86400</x:f>
        <x:v>0</x:v>
      </x:c>
      <x:c r="H1152" t="str">
        <x:f>'Employee Attendance'!H385</x:f>
        <x:v>Did not attend</x:v>
      </x:c>
      <x:c r="I1152" t="str">
        <x:f>'Employee Attendance'!L385</x:f>
        <x:v>No</x:v>
      </x:c>
    </x:row>
    <x:row r="1153">
      <x:c r="A1153" t="str">
        <x:f>'Employee Attendance'!A385</x:f>
        <x:v>Sharon Obiero</x:v>
      </x:c>
      <x:c r="B1153" t="str">
        <x:f>'Employee Attendance'!B385</x:f>
        <x:v>Kenya</x:v>
      </x:c>
      <x:c r="C1153" t="str">
        <x:f>'Employee Attendance'!C385</x:f>
        <x:v>KE</x:v>
      </x:c>
      <x:c r="D1153" t="str">
        <x:f>'Employee Attendance'!D385</x:f>
        <x:v>sharon.obiero@pwc.com</x:v>
      </x:c>
      <x:c r="E1153" t="str">
        <x:f>"Combined"</x:f>
        <x:v>Combined</x:v>
      </x:c>
      <x:c r="F1153" s="14" t="n">
        <x:f>'Employee Attendance'!I385</x:f>
        <x:v>0.07486111111111111</x:v>
      </x:c>
      <x:c r="G1153" t="n">
        <x:f>F1153*86400</x:f>
        <x:v>6468</x:v>
      </x:c>
      <x:c r="H1153" t="str">
        <x:f>'Employee Attendance'!J385</x:f>
        <x:v>Fully attended</x:v>
      </x:c>
      <x:c r="I1153" t="str">
        <x:f>IF(OR('Employee Attendance'!K385="Yes",'Employee Attendance'!L385="Yes"),"Yes","No")</x:f>
        <x:v>Yes</x:v>
      </x:c>
    </x:row>
    <x:row r="1154">
      <x:c r="A1154" t="str">
        <x:f>'Employee Attendance'!A386</x:f>
        <x:v>Sharon Sidialo</x:v>
      </x:c>
      <x:c r="B1154" t="str">
        <x:f>'Employee Attendance'!B386</x:f>
        <x:v>Kenya</x:v>
      </x:c>
      <x:c r="C1154" t="str">
        <x:f>'Employee Attendance'!C386</x:f>
        <x:v>KE</x:v>
      </x:c>
      <x:c r="D1154" t="str">
        <x:f>'Employee Attendance'!D386</x:f>
        <x:v>sharon.sidialo@pwc.com</x:v>
      </x:c>
      <x:c r="E1154" t="str">
        <x:f>"Option 1"</x:f>
        <x:v>Option 1</x:v>
      </x:c>
      <x:c r="F1154" s="14" t="n">
        <x:f>'Employee Attendance'!E386</x:f>
        <x:v>0</x:v>
      </x:c>
      <x:c r="G1154" t="n">
        <x:f>F1154*86400</x:f>
        <x:v>0</x:v>
      </x:c>
      <x:c r="H1154" t="str">
        <x:f>'Employee Attendance'!F386</x:f>
        <x:v>Did not attend</x:v>
      </x:c>
      <x:c r="I1154" t="str">
        <x:f>'Employee Attendance'!K386</x:f>
        <x:v>No</x:v>
      </x:c>
    </x:row>
    <x:row r="1155">
      <x:c r="A1155" t="str">
        <x:f>'Employee Attendance'!A386</x:f>
        <x:v>Sharon Sidialo</x:v>
      </x:c>
      <x:c r="B1155" t="str">
        <x:f>'Employee Attendance'!B386</x:f>
        <x:v>Kenya</x:v>
      </x:c>
      <x:c r="C1155" t="str">
        <x:f>'Employee Attendance'!C386</x:f>
        <x:v>KE</x:v>
      </x:c>
      <x:c r="D1155" t="str">
        <x:f>'Employee Attendance'!D386</x:f>
        <x:v>sharon.sidialo@pwc.com</x:v>
      </x:c>
      <x:c r="E1155" t="str">
        <x:f>"Option 2"</x:f>
        <x:v>Option 2</x:v>
      </x:c>
      <x:c r="F1155" s="14" t="n">
        <x:f>'Employee Attendance'!G386</x:f>
        <x:v>0.04567129629629629</x:v>
      </x:c>
      <x:c r="G1155" t="n">
        <x:f>F1155*86400</x:f>
        <x:v>3945.9999999999995</x:v>
      </x:c>
      <x:c r="H1155" t="str">
        <x:f>'Employee Attendance'!H386</x:f>
        <x:v>Partially attended</x:v>
      </x:c>
      <x:c r="I1155" t="str">
        <x:f>'Employee Attendance'!L386</x:f>
        <x:v>Yes</x:v>
      </x:c>
    </x:row>
    <x:row r="1156">
      <x:c r="A1156" t="str">
        <x:f>'Employee Attendance'!A386</x:f>
        <x:v>Sharon Sidialo</x:v>
      </x:c>
      <x:c r="B1156" t="str">
        <x:f>'Employee Attendance'!B386</x:f>
        <x:v>Kenya</x:v>
      </x:c>
      <x:c r="C1156" t="str">
        <x:f>'Employee Attendance'!C386</x:f>
        <x:v>KE</x:v>
      </x:c>
      <x:c r="D1156" t="str">
        <x:f>'Employee Attendance'!D386</x:f>
        <x:v>sharon.sidialo@pwc.com</x:v>
      </x:c>
      <x:c r="E1156" t="str">
        <x:f>"Combined"</x:f>
        <x:v>Combined</x:v>
      </x:c>
      <x:c r="F1156" s="14" t="n">
        <x:f>'Employee Attendance'!I386</x:f>
        <x:v>0.04567129629629629</x:v>
      </x:c>
      <x:c r="G1156" t="n">
        <x:f>F1156*86400</x:f>
        <x:v>3945.9999999999995</x:v>
      </x:c>
      <x:c r="H1156" t="str">
        <x:f>'Employee Attendance'!J386</x:f>
        <x:v>Partially attended</x:v>
      </x:c>
      <x:c r="I1156" t="str">
        <x:f>IF(OR('Employee Attendance'!K386="Yes",'Employee Attendance'!L386="Yes"),"Yes","No")</x:f>
        <x:v>Yes</x:v>
      </x:c>
    </x:row>
    <x:row r="1157">
      <x:c r="A1157" t="str">
        <x:f>'Employee Attendance'!A387</x:f>
        <x:v>Sharon Wilfred-Kabubi</x:v>
      </x:c>
      <x:c r="B1157" t="str">
        <x:f>'Employee Attendance'!B387</x:f>
        <x:v>Zambia</x:v>
      </x:c>
      <x:c r="C1157" t="str">
        <x:f>'Employee Attendance'!C387</x:f>
        <x:v>ZM</x:v>
      </x:c>
      <x:c r="D1157" t="str">
        <x:f>'Employee Attendance'!D387</x:f>
        <x:v>sharon.w.wilfredkabubi@pwc.com</x:v>
      </x:c>
      <x:c r="E1157" t="str">
        <x:f>"Option 1"</x:f>
        <x:v>Option 1</x:v>
      </x:c>
      <x:c r="F1157" s="14" t="n">
        <x:f>'Employee Attendance'!E387</x:f>
        <x:v>0.08648148148148148</x:v>
      </x:c>
      <x:c r="G1157" t="n">
        <x:f>F1157*86400</x:f>
        <x:v>7472</x:v>
      </x:c>
      <x:c r="H1157" t="str">
        <x:f>'Employee Attendance'!F387</x:f>
        <x:v>Fully attended</x:v>
      </x:c>
      <x:c r="I1157" t="str">
        <x:f>'Employee Attendance'!K387</x:f>
        <x:v>Yes</x:v>
      </x:c>
    </x:row>
    <x:row r="1158">
      <x:c r="A1158" t="str">
        <x:f>'Employee Attendance'!A387</x:f>
        <x:v>Sharon Wilfred-Kabubi</x:v>
      </x:c>
      <x:c r="B1158" t="str">
        <x:f>'Employee Attendance'!B387</x:f>
        <x:v>Zambia</x:v>
      </x:c>
      <x:c r="C1158" t="str">
        <x:f>'Employee Attendance'!C387</x:f>
        <x:v>ZM</x:v>
      </x:c>
      <x:c r="D1158" t="str">
        <x:f>'Employee Attendance'!D387</x:f>
        <x:v>sharon.w.wilfredkabubi@pwc.com</x:v>
      </x:c>
      <x:c r="E1158" t="str">
        <x:f>"Option 2"</x:f>
        <x:v>Option 2</x:v>
      </x:c>
      <x:c r="F1158" s="14" t="n">
        <x:f>'Employee Attendance'!G387</x:f>
        <x:v>0</x:v>
      </x:c>
      <x:c r="G1158" t="n">
        <x:f>F1158*86400</x:f>
        <x:v>0</x:v>
      </x:c>
      <x:c r="H1158" t="str">
        <x:f>'Employee Attendance'!H387</x:f>
        <x:v>Did not attend</x:v>
      </x:c>
      <x:c r="I1158" t="str">
        <x:f>'Employee Attendance'!L387</x:f>
        <x:v>No</x:v>
      </x:c>
    </x:row>
    <x:row r="1159">
      <x:c r="A1159" t="str">
        <x:f>'Employee Attendance'!A387</x:f>
        <x:v>Sharon Wilfred-Kabubi</x:v>
      </x:c>
      <x:c r="B1159" t="str">
        <x:f>'Employee Attendance'!B387</x:f>
        <x:v>Zambia</x:v>
      </x:c>
      <x:c r="C1159" t="str">
        <x:f>'Employee Attendance'!C387</x:f>
        <x:v>ZM</x:v>
      </x:c>
      <x:c r="D1159" t="str">
        <x:f>'Employee Attendance'!D387</x:f>
        <x:v>sharon.w.wilfredkabubi@pwc.com</x:v>
      </x:c>
      <x:c r="E1159" t="str">
        <x:f>"Combined"</x:f>
        <x:v>Combined</x:v>
      </x:c>
      <x:c r="F1159" s="14" t="n">
        <x:f>'Employee Attendance'!I387</x:f>
        <x:v>0.08648148148148148</x:v>
      </x:c>
      <x:c r="G1159" t="n">
        <x:f>F1159*86400</x:f>
        <x:v>7472</x:v>
      </x:c>
      <x:c r="H1159" t="str">
        <x:f>'Employee Attendance'!J387</x:f>
        <x:v>Fully attended</x:v>
      </x:c>
      <x:c r="I1159" t="str">
        <x:f>IF(OR('Employee Attendance'!K387="Yes",'Employee Attendance'!L387="Yes"),"Yes","No")</x:f>
        <x:v>Yes</x:v>
      </x:c>
    </x:row>
    <x:row r="1160">
      <x:c r="A1160" t="str">
        <x:f>'Employee Attendance'!A388</x:f>
        <x:v>Sharvin Ballah</x:v>
      </x:c>
      <x:c r="B1160" t="str">
        <x:f>'Employee Attendance'!B388</x:f>
        <x:v>Mauritius</x:v>
      </x:c>
      <x:c r="C1160" t="str">
        <x:f>'Employee Attendance'!C388</x:f>
        <x:v>MU</x:v>
      </x:c>
      <x:c r="D1160" t="str">
        <x:f>'Employee Attendance'!D388</x:f>
        <x:v>sharvin.ballah@pwc.com</x:v>
      </x:c>
      <x:c r="E1160" t="str">
        <x:f>"Option 1"</x:f>
        <x:v>Option 1</x:v>
      </x:c>
      <x:c r="F1160" s="14" t="n">
        <x:f>'Employee Attendance'!E388</x:f>
        <x:v>0</x:v>
      </x:c>
      <x:c r="G1160" t="n">
        <x:f>F1160*86400</x:f>
        <x:v>0</x:v>
      </x:c>
      <x:c r="H1160" t="str">
        <x:f>'Employee Attendance'!F388</x:f>
        <x:v>Did not attend</x:v>
      </x:c>
      <x:c r="I1160" t="str">
        <x:f>'Employee Attendance'!K388</x:f>
        <x:v>No</x:v>
      </x:c>
    </x:row>
    <x:row r="1161">
      <x:c r="A1161" t="str">
        <x:f>'Employee Attendance'!A388</x:f>
        <x:v>Sharvin Ballah</x:v>
      </x:c>
      <x:c r="B1161" t="str">
        <x:f>'Employee Attendance'!B388</x:f>
        <x:v>Mauritius</x:v>
      </x:c>
      <x:c r="C1161" t="str">
        <x:f>'Employee Attendance'!C388</x:f>
        <x:v>MU</x:v>
      </x:c>
      <x:c r="D1161" t="str">
        <x:f>'Employee Attendance'!D388</x:f>
        <x:v>sharvin.ballah@pwc.com</x:v>
      </x:c>
      <x:c r="E1161" t="str">
        <x:f>"Option 2"</x:f>
        <x:v>Option 2</x:v>
      </x:c>
      <x:c r="F1161" s="14" t="n">
        <x:f>'Employee Attendance'!G388</x:f>
        <x:v>0.08686342592592593</x:v>
      </x:c>
      <x:c r="G1161" t="n">
        <x:f>F1161*86400</x:f>
        <x:v>7505</x:v>
      </x:c>
      <x:c r="H1161" t="str">
        <x:f>'Employee Attendance'!H388</x:f>
        <x:v>Fully attended</x:v>
      </x:c>
      <x:c r="I1161" t="str">
        <x:f>'Employee Attendance'!L388</x:f>
        <x:v>Yes</x:v>
      </x:c>
    </x:row>
    <x:row r="1162">
      <x:c r="A1162" t="str">
        <x:f>'Employee Attendance'!A388</x:f>
        <x:v>Sharvin Ballah</x:v>
      </x:c>
      <x:c r="B1162" t="str">
        <x:f>'Employee Attendance'!B388</x:f>
        <x:v>Mauritius</x:v>
      </x:c>
      <x:c r="C1162" t="str">
        <x:f>'Employee Attendance'!C388</x:f>
        <x:v>MU</x:v>
      </x:c>
      <x:c r="D1162" t="str">
        <x:f>'Employee Attendance'!D388</x:f>
        <x:v>sharvin.ballah@pwc.com</x:v>
      </x:c>
      <x:c r="E1162" t="str">
        <x:f>"Combined"</x:f>
        <x:v>Combined</x:v>
      </x:c>
      <x:c r="F1162" s="14" t="n">
        <x:f>'Employee Attendance'!I388</x:f>
        <x:v>0.08686342592592593</x:v>
      </x:c>
      <x:c r="G1162" t="n">
        <x:f>F1162*86400</x:f>
        <x:v>7505</x:v>
      </x:c>
      <x:c r="H1162" t="str">
        <x:f>'Employee Attendance'!J388</x:f>
        <x:v>Fully attended</x:v>
      </x:c>
      <x:c r="I1162" t="str">
        <x:f>IF(OR('Employee Attendance'!K388="Yes",'Employee Attendance'!L388="Yes"),"Yes","No")</x:f>
        <x:v>Yes</x:v>
      </x:c>
    </x:row>
    <x:row r="1163">
      <x:c r="A1163" t="str">
        <x:f>'Employee Attendance'!A389</x:f>
        <x:v>Sheila Masaki</x:v>
      </x:c>
      <x:c r="B1163" t="str">
        <x:f>'Employee Attendance'!B389</x:f>
        <x:v>Kenya</x:v>
      </x:c>
      <x:c r="C1163" t="str">
        <x:f>'Employee Attendance'!C389</x:f>
        <x:v>KE</x:v>
      </x:c>
      <x:c r="D1163" t="str">
        <x:f>'Employee Attendance'!D389</x:f>
        <x:v>sheila.masaki@pwc.com</x:v>
      </x:c>
      <x:c r="E1163" t="str">
        <x:f>"Option 1"</x:f>
        <x:v>Option 1</x:v>
      </x:c>
      <x:c r="F1163" s="14" t="n">
        <x:f>'Employee Attendance'!E389</x:f>
        <x:v>0</x:v>
      </x:c>
      <x:c r="G1163" t="n">
        <x:f>F1163*86400</x:f>
        <x:v>0</x:v>
      </x:c>
      <x:c r="H1163" t="str">
        <x:f>'Employee Attendance'!F389</x:f>
        <x:v>Did not attend</x:v>
      </x:c>
      <x:c r="I1163" t="str">
        <x:f>'Employee Attendance'!K389</x:f>
        <x:v>No</x:v>
      </x:c>
    </x:row>
    <x:row r="1164">
      <x:c r="A1164" t="str">
        <x:f>'Employee Attendance'!A389</x:f>
        <x:v>Sheila Masaki</x:v>
      </x:c>
      <x:c r="B1164" t="str">
        <x:f>'Employee Attendance'!B389</x:f>
        <x:v>Kenya</x:v>
      </x:c>
      <x:c r="C1164" t="str">
        <x:f>'Employee Attendance'!C389</x:f>
        <x:v>KE</x:v>
      </x:c>
      <x:c r="D1164" t="str">
        <x:f>'Employee Attendance'!D389</x:f>
        <x:v>sheila.masaki@pwc.com</x:v>
      </x:c>
      <x:c r="E1164" t="str">
        <x:f>"Option 2"</x:f>
        <x:v>Option 2</x:v>
      </x:c>
      <x:c r="F1164" s="14" t="n">
        <x:f>'Employee Attendance'!G389</x:f>
        <x:v>0</x:v>
      </x:c>
      <x:c r="G1164" t="n">
        <x:f>F1164*86400</x:f>
        <x:v>0</x:v>
      </x:c>
      <x:c r="H1164" t="str">
        <x:f>'Employee Attendance'!H389</x:f>
        <x:v>Did not attend</x:v>
      </x:c>
      <x:c r="I1164" t="str">
        <x:f>'Employee Attendance'!L389</x:f>
        <x:v>No</x:v>
      </x:c>
    </x:row>
    <x:row r="1165">
      <x:c r="A1165" t="str">
        <x:f>'Employee Attendance'!A389</x:f>
        <x:v>Sheila Masaki</x:v>
      </x:c>
      <x:c r="B1165" t="str">
        <x:f>'Employee Attendance'!B389</x:f>
        <x:v>Kenya</x:v>
      </x:c>
      <x:c r="C1165" t="str">
        <x:f>'Employee Attendance'!C389</x:f>
        <x:v>KE</x:v>
      </x:c>
      <x:c r="D1165" t="str">
        <x:f>'Employee Attendance'!D389</x:f>
        <x:v>sheila.masaki@pwc.com</x:v>
      </x:c>
      <x:c r="E1165" t="str">
        <x:f>"Combined"</x:f>
        <x:v>Combined</x:v>
      </x:c>
      <x:c r="F1165" s="14" t="n">
        <x:f>'Employee Attendance'!I389</x:f>
        <x:v>0</x:v>
      </x:c>
      <x:c r="G1165" t="n">
        <x:f>F1165*86400</x:f>
        <x:v>0</x:v>
      </x:c>
      <x:c r="H1165" t="str">
        <x:f>'Employee Attendance'!J389</x:f>
        <x:v>Did not attend</x:v>
      </x:c>
      <x:c r="I1165" t="str">
        <x:f>IF(OR('Employee Attendance'!K389="Yes",'Employee Attendance'!L389="Yes"),"Yes","No")</x:f>
        <x:v>No</x:v>
      </x:c>
    </x:row>
    <x:row r="1166">
      <x:c r="A1166" t="str">
        <x:f>'Employee Attendance'!A390</x:f>
        <x:v>Shriya Ragoonundun</x:v>
      </x:c>
      <x:c r="B1166" t="str">
        <x:f>'Employee Attendance'!B390</x:f>
        <x:v>Mauritius</x:v>
      </x:c>
      <x:c r="C1166" t="str">
        <x:f>'Employee Attendance'!C390</x:f>
        <x:v>MU</x:v>
      </x:c>
      <x:c r="D1166" t="str">
        <x:f>'Employee Attendance'!D390</x:f>
        <x:v>shriya.r.ragoonundun@pwc.com</x:v>
      </x:c>
      <x:c r="E1166" t="str">
        <x:f>"Option 1"</x:f>
        <x:v>Option 1</x:v>
      </x:c>
      <x:c r="F1166" s="14" t="n">
        <x:f>'Employee Attendance'!E390</x:f>
        <x:v>0</x:v>
      </x:c>
      <x:c r="G1166" t="n">
        <x:f>F1166*86400</x:f>
        <x:v>0</x:v>
      </x:c>
      <x:c r="H1166" t="str">
        <x:f>'Employee Attendance'!F390</x:f>
        <x:v>Did not attend</x:v>
      </x:c>
      <x:c r="I1166" t="str">
        <x:f>'Employee Attendance'!K390</x:f>
        <x:v>No</x:v>
      </x:c>
    </x:row>
    <x:row r="1167">
      <x:c r="A1167" t="str">
        <x:f>'Employee Attendance'!A390</x:f>
        <x:v>Shriya Ragoonundun</x:v>
      </x:c>
      <x:c r="B1167" t="str">
        <x:f>'Employee Attendance'!B390</x:f>
        <x:v>Mauritius</x:v>
      </x:c>
      <x:c r="C1167" t="str">
        <x:f>'Employee Attendance'!C390</x:f>
        <x:v>MU</x:v>
      </x:c>
      <x:c r="D1167" t="str">
        <x:f>'Employee Attendance'!D390</x:f>
        <x:v>shriya.r.ragoonundun@pwc.com</x:v>
      </x:c>
      <x:c r="E1167" t="str">
        <x:f>"Option 2"</x:f>
        <x:v>Option 2</x:v>
      </x:c>
      <x:c r="F1167" s="14" t="n">
        <x:f>'Employee Attendance'!G390</x:f>
        <x:v>0.07444444444444444</x:v>
      </x:c>
      <x:c r="G1167" t="n">
        <x:f>F1167*86400</x:f>
        <x:v>6431.999999999999</x:v>
      </x:c>
      <x:c r="H1167" t="str">
        <x:f>'Employee Attendance'!H390</x:f>
        <x:v>Fully attended</x:v>
      </x:c>
      <x:c r="I1167" t="str">
        <x:f>'Employee Attendance'!L390</x:f>
        <x:v>Yes</x:v>
      </x:c>
    </x:row>
    <x:row r="1168">
      <x:c r="A1168" t="str">
        <x:f>'Employee Attendance'!A390</x:f>
        <x:v>Shriya Ragoonundun</x:v>
      </x:c>
      <x:c r="B1168" t="str">
        <x:f>'Employee Attendance'!B390</x:f>
        <x:v>Mauritius</x:v>
      </x:c>
      <x:c r="C1168" t="str">
        <x:f>'Employee Attendance'!C390</x:f>
        <x:v>MU</x:v>
      </x:c>
      <x:c r="D1168" t="str">
        <x:f>'Employee Attendance'!D390</x:f>
        <x:v>shriya.r.ragoonundun@pwc.com</x:v>
      </x:c>
      <x:c r="E1168" t="str">
        <x:f>"Combined"</x:f>
        <x:v>Combined</x:v>
      </x:c>
      <x:c r="F1168" s="14" t="n">
        <x:f>'Employee Attendance'!I390</x:f>
        <x:v>0.07444444444444444</x:v>
      </x:c>
      <x:c r="G1168" t="n">
        <x:f>F1168*86400</x:f>
        <x:v>6431.999999999999</x:v>
      </x:c>
      <x:c r="H1168" t="str">
        <x:f>'Employee Attendance'!J390</x:f>
        <x:v>Fully attended</x:v>
      </x:c>
      <x:c r="I1168" t="str">
        <x:f>IF(OR('Employee Attendance'!K390="Yes",'Employee Attendance'!L390="Yes"),"Yes","No")</x:f>
        <x:v>Yes</x:v>
      </x:c>
    </x:row>
    <x:row r="1169">
      <x:c r="A1169" t="str">
        <x:f>'Employee Attendance'!A391</x:f>
        <x:v>Shriya Seesurrun</x:v>
      </x:c>
      <x:c r="B1169" t="str">
        <x:f>'Employee Attendance'!B391</x:f>
        <x:v>Mauritius</x:v>
      </x:c>
      <x:c r="C1169" t="str">
        <x:f>'Employee Attendance'!C391</x:f>
        <x:v>MU</x:v>
      </x:c>
      <x:c r="D1169" t="str">
        <x:f>'Employee Attendance'!D391</x:f>
        <x:v>shriya.seesurrun@pwc.com</x:v>
      </x:c>
      <x:c r="E1169" t="str">
        <x:f>"Option 1"</x:f>
        <x:v>Option 1</x:v>
      </x:c>
      <x:c r="F1169" s="14" t="n">
        <x:f>'Employee Attendance'!E391</x:f>
        <x:v>0.015497685185185186</x:v>
      </x:c>
      <x:c r="G1169" t="n">
        <x:f>F1169*86400</x:f>
        <x:v>1339</x:v>
      </x:c>
      <x:c r="H1169" t="str">
        <x:f>'Employee Attendance'!F391</x:f>
        <x:v>Partially attended</x:v>
      </x:c>
      <x:c r="I1169" t="str">
        <x:f>'Employee Attendance'!K391</x:f>
        <x:v>Yes</x:v>
      </x:c>
    </x:row>
    <x:row r="1170">
      <x:c r="A1170" t="str">
        <x:f>'Employee Attendance'!A391</x:f>
        <x:v>Shriya Seesurrun</x:v>
      </x:c>
      <x:c r="B1170" t="str">
        <x:f>'Employee Attendance'!B391</x:f>
        <x:v>Mauritius</x:v>
      </x:c>
      <x:c r="C1170" t="str">
        <x:f>'Employee Attendance'!C391</x:f>
        <x:v>MU</x:v>
      </x:c>
      <x:c r="D1170" t="str">
        <x:f>'Employee Attendance'!D391</x:f>
        <x:v>shriya.seesurrun@pwc.com</x:v>
      </x:c>
      <x:c r="E1170" t="str">
        <x:f>"Option 2"</x:f>
        <x:v>Option 2</x:v>
      </x:c>
      <x:c r="F1170" s="14" t="n">
        <x:f>'Employee Attendance'!G391</x:f>
        <x:v>0.04466435185185185</x:v>
      </x:c>
      <x:c r="G1170" t="n">
        <x:f>F1170*86400</x:f>
        <x:v>3859</x:v>
      </x:c>
      <x:c r="H1170" t="str">
        <x:f>'Employee Attendance'!H391</x:f>
        <x:v>Partially attended</x:v>
      </x:c>
      <x:c r="I1170" t="str">
        <x:f>'Employee Attendance'!L391</x:f>
        <x:v>Yes</x:v>
      </x:c>
    </x:row>
    <x:row r="1171">
      <x:c r="A1171" t="str">
        <x:f>'Employee Attendance'!A391</x:f>
        <x:v>Shriya Seesurrun</x:v>
      </x:c>
      <x:c r="B1171" t="str">
        <x:f>'Employee Attendance'!B391</x:f>
        <x:v>Mauritius</x:v>
      </x:c>
      <x:c r="C1171" t="str">
        <x:f>'Employee Attendance'!C391</x:f>
        <x:v>MU</x:v>
      </x:c>
      <x:c r="D1171" t="str">
        <x:f>'Employee Attendance'!D391</x:f>
        <x:v>shriya.seesurrun@pwc.com</x:v>
      </x:c>
      <x:c r="E1171" t="str">
        <x:f>"Combined"</x:f>
        <x:v>Combined</x:v>
      </x:c>
      <x:c r="F1171" s="14" t="n">
        <x:f>'Employee Attendance'!I391</x:f>
        <x:v>0.060162037037037035</x:v>
      </x:c>
      <x:c r="G1171" t="n">
        <x:f>F1171*86400</x:f>
        <x:v>5198</x:v>
      </x:c>
      <x:c r="H1171" t="str">
        <x:f>'Employee Attendance'!J391</x:f>
        <x:v>Partially attended</x:v>
      </x:c>
      <x:c r="I1171" t="str">
        <x:f>IF(OR('Employee Attendance'!K391="Yes",'Employee Attendance'!L391="Yes"),"Yes","No")</x:f>
        <x:v>Yes</x:v>
      </x:c>
    </x:row>
    <x:row r="1172">
      <x:c r="A1172" t="str">
        <x:f>'Employee Attendance'!A392</x:f>
        <x:v>Shruti Ramdahin</x:v>
      </x:c>
      <x:c r="B1172" t="str">
        <x:f>'Employee Attendance'!B392</x:f>
        <x:v>Mauritius</x:v>
      </x:c>
      <x:c r="C1172" t="str">
        <x:f>'Employee Attendance'!C392</x:f>
        <x:v>MU</x:v>
      </x:c>
      <x:c r="D1172" t="str">
        <x:f>'Employee Attendance'!D392</x:f>
        <x:v>shruti.ramdahin@pwc.com</x:v>
      </x:c>
      <x:c r="E1172" t="str">
        <x:f>"Option 1"</x:f>
        <x:v>Option 1</x:v>
      </x:c>
      <x:c r="F1172" s="14" t="n">
        <x:f>'Employee Attendance'!E392</x:f>
        <x:v>0</x:v>
      </x:c>
      <x:c r="G1172" t="n">
        <x:f>F1172*86400</x:f>
        <x:v>0</x:v>
      </x:c>
      <x:c r="H1172" t="str">
        <x:f>'Employee Attendance'!F392</x:f>
        <x:v>Did not attend</x:v>
      </x:c>
      <x:c r="I1172" t="str">
        <x:f>'Employee Attendance'!K392</x:f>
        <x:v>No</x:v>
      </x:c>
    </x:row>
    <x:row r="1173">
      <x:c r="A1173" t="str">
        <x:f>'Employee Attendance'!A392</x:f>
        <x:v>Shruti Ramdahin</x:v>
      </x:c>
      <x:c r="B1173" t="str">
        <x:f>'Employee Attendance'!B392</x:f>
        <x:v>Mauritius</x:v>
      </x:c>
      <x:c r="C1173" t="str">
        <x:f>'Employee Attendance'!C392</x:f>
        <x:v>MU</x:v>
      </x:c>
      <x:c r="D1173" t="str">
        <x:f>'Employee Attendance'!D392</x:f>
        <x:v>shruti.ramdahin@pwc.com</x:v>
      </x:c>
      <x:c r="E1173" t="str">
        <x:f>"Option 2"</x:f>
        <x:v>Option 2</x:v>
      </x:c>
      <x:c r="F1173" s="14" t="n">
        <x:f>'Employee Attendance'!G392</x:f>
        <x:v>0.08747685185185185</x:v>
      </x:c>
      <x:c r="G1173" t="n">
        <x:f>F1173*86400</x:f>
        <x:v>7558</x:v>
      </x:c>
      <x:c r="H1173" t="str">
        <x:f>'Employee Attendance'!H392</x:f>
        <x:v>Fully attended</x:v>
      </x:c>
      <x:c r="I1173" t="str">
        <x:f>'Employee Attendance'!L392</x:f>
        <x:v>Yes</x:v>
      </x:c>
    </x:row>
    <x:row r="1174">
      <x:c r="A1174" t="str">
        <x:f>'Employee Attendance'!A392</x:f>
        <x:v>Shruti Ramdahin</x:v>
      </x:c>
      <x:c r="B1174" t="str">
        <x:f>'Employee Attendance'!B392</x:f>
        <x:v>Mauritius</x:v>
      </x:c>
      <x:c r="C1174" t="str">
        <x:f>'Employee Attendance'!C392</x:f>
        <x:v>MU</x:v>
      </x:c>
      <x:c r="D1174" t="str">
        <x:f>'Employee Attendance'!D392</x:f>
        <x:v>shruti.ramdahin@pwc.com</x:v>
      </x:c>
      <x:c r="E1174" t="str">
        <x:f>"Combined"</x:f>
        <x:v>Combined</x:v>
      </x:c>
      <x:c r="F1174" s="14" t="n">
        <x:f>'Employee Attendance'!I392</x:f>
        <x:v>0.08747685185185185</x:v>
      </x:c>
      <x:c r="G1174" t="n">
        <x:f>F1174*86400</x:f>
        <x:v>7558</x:v>
      </x:c>
      <x:c r="H1174" t="str">
        <x:f>'Employee Attendance'!J392</x:f>
        <x:v>Fully attended</x:v>
      </x:c>
      <x:c r="I1174" t="str">
        <x:f>IF(OR('Employee Attendance'!K392="Yes",'Employee Attendance'!L392="Yes"),"Yes","No")</x:f>
        <x:v>Yes</x:v>
      </x:c>
    </x:row>
    <x:row r="1175">
      <x:c r="A1175" t="str">
        <x:f>'Employee Attendance'!A393</x:f>
        <x:v>Sian Odhiambo</x:v>
      </x:c>
      <x:c r="B1175" t="str">
        <x:f>'Employee Attendance'!B393</x:f>
        <x:v>Kenya</x:v>
      </x:c>
      <x:c r="C1175" t="str">
        <x:f>'Employee Attendance'!C393</x:f>
        <x:v>KE</x:v>
      </x:c>
      <x:c r="D1175" t="str">
        <x:f>'Employee Attendance'!D393</x:f>
        <x:v>sian.odhiambo@pwc.com</x:v>
      </x:c>
      <x:c r="E1175" t="str">
        <x:f>"Option 1"</x:f>
        <x:v>Option 1</x:v>
      </x:c>
      <x:c r="F1175" s="14" t="n">
        <x:f>'Employee Attendance'!E393</x:f>
        <x:v>0</x:v>
      </x:c>
      <x:c r="G1175" t="n">
        <x:f>F1175*86400</x:f>
        <x:v>0</x:v>
      </x:c>
      <x:c r="H1175" t="str">
        <x:f>'Employee Attendance'!F393</x:f>
        <x:v>Did not attend</x:v>
      </x:c>
      <x:c r="I1175" t="str">
        <x:f>'Employee Attendance'!K393</x:f>
        <x:v>No</x:v>
      </x:c>
    </x:row>
    <x:row r="1176">
      <x:c r="A1176" t="str">
        <x:f>'Employee Attendance'!A393</x:f>
        <x:v>Sian Odhiambo</x:v>
      </x:c>
      <x:c r="B1176" t="str">
        <x:f>'Employee Attendance'!B393</x:f>
        <x:v>Kenya</x:v>
      </x:c>
      <x:c r="C1176" t="str">
        <x:f>'Employee Attendance'!C393</x:f>
        <x:v>KE</x:v>
      </x:c>
      <x:c r="D1176" t="str">
        <x:f>'Employee Attendance'!D393</x:f>
        <x:v>sian.odhiambo@pwc.com</x:v>
      </x:c>
      <x:c r="E1176" t="str">
        <x:f>"Option 2"</x:f>
        <x:v>Option 2</x:v>
      </x:c>
      <x:c r="F1176" s="14" t="n">
        <x:f>'Employee Attendance'!G393</x:f>
        <x:v>0</x:v>
      </x:c>
      <x:c r="G1176" t="n">
        <x:f>F1176*86400</x:f>
        <x:v>0</x:v>
      </x:c>
      <x:c r="H1176" t="str">
        <x:f>'Employee Attendance'!H393</x:f>
        <x:v>Did not attend</x:v>
      </x:c>
      <x:c r="I1176" t="str">
        <x:f>'Employee Attendance'!L393</x:f>
        <x:v>No</x:v>
      </x:c>
    </x:row>
    <x:row r="1177">
      <x:c r="A1177" t="str">
        <x:f>'Employee Attendance'!A393</x:f>
        <x:v>Sian Odhiambo</x:v>
      </x:c>
      <x:c r="B1177" t="str">
        <x:f>'Employee Attendance'!B393</x:f>
        <x:v>Kenya</x:v>
      </x:c>
      <x:c r="C1177" t="str">
        <x:f>'Employee Attendance'!C393</x:f>
        <x:v>KE</x:v>
      </x:c>
      <x:c r="D1177" t="str">
        <x:f>'Employee Attendance'!D393</x:f>
        <x:v>sian.odhiambo@pwc.com</x:v>
      </x:c>
      <x:c r="E1177" t="str">
        <x:f>"Combined"</x:f>
        <x:v>Combined</x:v>
      </x:c>
      <x:c r="F1177" s="14" t="n">
        <x:f>'Employee Attendance'!I393</x:f>
        <x:v>0</x:v>
      </x:c>
      <x:c r="G1177" t="n">
        <x:f>F1177*86400</x:f>
        <x:v>0</x:v>
      </x:c>
      <x:c r="H1177" t="str">
        <x:f>'Employee Attendance'!J393</x:f>
        <x:v>Did not attend</x:v>
      </x:c>
      <x:c r="I1177" t="str">
        <x:f>IF(OR('Employee Attendance'!K393="Yes",'Employee Attendance'!L393="Yes"),"Yes","No")</x:f>
        <x:v>No</x:v>
      </x:c>
    </x:row>
    <x:row r="1178">
      <x:c r="A1178" t="str">
        <x:f>'Employee Attendance'!A394</x:f>
        <x:v>Sipiwe Dube</x:v>
      </x:c>
      <x:c r="B1178" t="str">
        <x:f>'Employee Attendance'!B394</x:f>
        <x:v>Zambia</x:v>
      </x:c>
      <x:c r="C1178" t="str">
        <x:f>'Employee Attendance'!C394</x:f>
        <x:v>ZM</x:v>
      </x:c>
      <x:c r="D1178" t="str">
        <x:f>'Employee Attendance'!D394</x:f>
        <x:v>sipiwe.dube@pwc.com</x:v>
      </x:c>
      <x:c r="E1178" t="str">
        <x:f>"Option 1"</x:f>
        <x:v>Option 1</x:v>
      </x:c>
      <x:c r="F1178" s="14" t="n">
        <x:f>'Employee Attendance'!E394</x:f>
        <x:v>0</x:v>
      </x:c>
      <x:c r="G1178" t="n">
        <x:f>F1178*86400</x:f>
        <x:v>0</x:v>
      </x:c>
      <x:c r="H1178" t="str">
        <x:f>'Employee Attendance'!F394</x:f>
        <x:v>Did not attend</x:v>
      </x:c>
      <x:c r="I1178" t="str">
        <x:f>'Employee Attendance'!K394</x:f>
        <x:v>No</x:v>
      </x:c>
    </x:row>
    <x:row r="1179">
      <x:c r="A1179" t="str">
        <x:f>'Employee Attendance'!A394</x:f>
        <x:v>Sipiwe Dube</x:v>
      </x:c>
      <x:c r="B1179" t="str">
        <x:f>'Employee Attendance'!B394</x:f>
        <x:v>Zambia</x:v>
      </x:c>
      <x:c r="C1179" t="str">
        <x:f>'Employee Attendance'!C394</x:f>
        <x:v>ZM</x:v>
      </x:c>
      <x:c r="D1179" t="str">
        <x:f>'Employee Attendance'!D394</x:f>
        <x:v>sipiwe.dube@pwc.com</x:v>
      </x:c>
      <x:c r="E1179" t="str">
        <x:f>"Option 2"</x:f>
        <x:v>Option 2</x:v>
      </x:c>
      <x:c r="F1179" s="14" t="n">
        <x:f>'Employee Attendance'!G394</x:f>
        <x:v>0.08638888888888889</x:v>
      </x:c>
      <x:c r="G1179" t="n">
        <x:f>F1179*86400</x:f>
        <x:v>7464</x:v>
      </x:c>
      <x:c r="H1179" t="str">
        <x:f>'Employee Attendance'!H394</x:f>
        <x:v>Fully attended</x:v>
      </x:c>
      <x:c r="I1179" t="str">
        <x:f>'Employee Attendance'!L394</x:f>
        <x:v>Yes</x:v>
      </x:c>
    </x:row>
    <x:row r="1180">
      <x:c r="A1180" t="str">
        <x:f>'Employee Attendance'!A394</x:f>
        <x:v>Sipiwe Dube</x:v>
      </x:c>
      <x:c r="B1180" t="str">
        <x:f>'Employee Attendance'!B394</x:f>
        <x:v>Zambia</x:v>
      </x:c>
      <x:c r="C1180" t="str">
        <x:f>'Employee Attendance'!C394</x:f>
        <x:v>ZM</x:v>
      </x:c>
      <x:c r="D1180" t="str">
        <x:f>'Employee Attendance'!D394</x:f>
        <x:v>sipiwe.dube@pwc.com</x:v>
      </x:c>
      <x:c r="E1180" t="str">
        <x:f>"Combined"</x:f>
        <x:v>Combined</x:v>
      </x:c>
      <x:c r="F1180" s="14" t="n">
        <x:f>'Employee Attendance'!I394</x:f>
        <x:v>0.08638888888888889</x:v>
      </x:c>
      <x:c r="G1180" t="n">
        <x:f>F1180*86400</x:f>
        <x:v>7464</x:v>
      </x:c>
      <x:c r="H1180" t="str">
        <x:f>'Employee Attendance'!J394</x:f>
        <x:v>Fully attended</x:v>
      </x:c>
      <x:c r="I1180" t="str">
        <x:f>IF(OR('Employee Attendance'!K394="Yes",'Employee Attendance'!L394="Yes"),"Yes","No")</x:f>
        <x:v>Yes</x:v>
      </x:c>
    </x:row>
    <x:row r="1181">
      <x:c r="A1181" t="str">
        <x:f>'Employee Attendance'!A395</x:f>
        <x:v>Sneha Sookun</x:v>
      </x:c>
      <x:c r="B1181" t="str">
        <x:f>'Employee Attendance'!B395</x:f>
        <x:v>Mauritius</x:v>
      </x:c>
      <x:c r="C1181" t="str">
        <x:f>'Employee Attendance'!C395</x:f>
        <x:v>MU</x:v>
      </x:c>
      <x:c r="D1181" t="str">
        <x:f>'Employee Attendance'!D395</x:f>
        <x:v>sneha.sookun@pwc.com</x:v>
      </x:c>
      <x:c r="E1181" t="str">
        <x:f>"Option 1"</x:f>
        <x:v>Option 1</x:v>
      </x:c>
      <x:c r="F1181" s="14" t="n">
        <x:f>'Employee Attendance'!E395</x:f>
        <x:v>0</x:v>
      </x:c>
      <x:c r="G1181" t="n">
        <x:f>F1181*86400</x:f>
        <x:v>0</x:v>
      </x:c>
      <x:c r="H1181" t="str">
        <x:f>'Employee Attendance'!F395</x:f>
        <x:v>Did not attend</x:v>
      </x:c>
      <x:c r="I1181" t="str">
        <x:f>'Employee Attendance'!K395</x:f>
        <x:v>No</x:v>
      </x:c>
    </x:row>
    <x:row r="1182">
      <x:c r="A1182" t="str">
        <x:f>'Employee Attendance'!A395</x:f>
        <x:v>Sneha Sookun</x:v>
      </x:c>
      <x:c r="B1182" t="str">
        <x:f>'Employee Attendance'!B395</x:f>
        <x:v>Mauritius</x:v>
      </x:c>
      <x:c r="C1182" t="str">
        <x:f>'Employee Attendance'!C395</x:f>
        <x:v>MU</x:v>
      </x:c>
      <x:c r="D1182" t="str">
        <x:f>'Employee Attendance'!D395</x:f>
        <x:v>sneha.sookun@pwc.com</x:v>
      </x:c>
      <x:c r="E1182" t="str">
        <x:f>"Option 2"</x:f>
        <x:v>Option 2</x:v>
      </x:c>
      <x:c r="F1182" s="14" t="n">
        <x:f>'Employee Attendance'!G395</x:f>
        <x:v>0</x:v>
      </x:c>
      <x:c r="G1182" t="n">
        <x:f>F1182*86400</x:f>
        <x:v>0</x:v>
      </x:c>
      <x:c r="H1182" t="str">
        <x:f>'Employee Attendance'!H395</x:f>
        <x:v>Did not attend</x:v>
      </x:c>
      <x:c r="I1182" t="str">
        <x:f>'Employee Attendance'!L395</x:f>
        <x:v>No</x:v>
      </x:c>
    </x:row>
    <x:row r="1183">
      <x:c r="A1183" t="str">
        <x:f>'Employee Attendance'!A395</x:f>
        <x:v>Sneha Sookun</x:v>
      </x:c>
      <x:c r="B1183" t="str">
        <x:f>'Employee Attendance'!B395</x:f>
        <x:v>Mauritius</x:v>
      </x:c>
      <x:c r="C1183" t="str">
        <x:f>'Employee Attendance'!C395</x:f>
        <x:v>MU</x:v>
      </x:c>
      <x:c r="D1183" t="str">
        <x:f>'Employee Attendance'!D395</x:f>
        <x:v>sneha.sookun@pwc.com</x:v>
      </x:c>
      <x:c r="E1183" t="str">
        <x:f>"Combined"</x:f>
        <x:v>Combined</x:v>
      </x:c>
      <x:c r="F1183" s="14" t="n">
        <x:f>'Employee Attendance'!I395</x:f>
        <x:v>0</x:v>
      </x:c>
      <x:c r="G1183" t="n">
        <x:f>F1183*86400</x:f>
        <x:v>0</x:v>
      </x:c>
      <x:c r="H1183" t="str">
        <x:f>'Employee Attendance'!J395</x:f>
        <x:v>Did not attend</x:v>
      </x:c>
      <x:c r="I1183" t="str">
        <x:f>IF(OR('Employee Attendance'!K395="Yes",'Employee Attendance'!L395="Yes"),"Yes","No")</x:f>
        <x:v>No</x:v>
      </x:c>
    </x:row>
    <x:row r="1184">
      <x:c r="A1184" t="str">
        <x:f>'Employee Attendance'!A396</x:f>
        <x:v>Spurgeon Chisulo</x:v>
      </x:c>
      <x:c r="B1184" t="str">
        <x:f>'Employee Attendance'!B396</x:f>
        <x:v>Zambia</x:v>
      </x:c>
      <x:c r="C1184" t="str">
        <x:f>'Employee Attendance'!C396</x:f>
        <x:v>ZM</x:v>
      </x:c>
      <x:c r="D1184" t="str">
        <x:f>'Employee Attendance'!D396</x:f>
        <x:v>spurgeon.chisulo@pwc.com</x:v>
      </x:c>
      <x:c r="E1184" t="str">
        <x:f>"Option 1"</x:f>
        <x:v>Option 1</x:v>
      </x:c>
      <x:c r="F1184" s="14" t="n">
        <x:f>'Employee Attendance'!E396</x:f>
        <x:v>0</x:v>
      </x:c>
      <x:c r="G1184" t="n">
        <x:f>F1184*86400</x:f>
        <x:v>0</x:v>
      </x:c>
      <x:c r="H1184" t="str">
        <x:f>'Employee Attendance'!F396</x:f>
        <x:v>Did not attend</x:v>
      </x:c>
      <x:c r="I1184" t="str">
        <x:f>'Employee Attendance'!K396</x:f>
        <x:v>No</x:v>
      </x:c>
    </x:row>
    <x:row r="1185">
      <x:c r="A1185" t="str">
        <x:f>'Employee Attendance'!A396</x:f>
        <x:v>Spurgeon Chisulo</x:v>
      </x:c>
      <x:c r="B1185" t="str">
        <x:f>'Employee Attendance'!B396</x:f>
        <x:v>Zambia</x:v>
      </x:c>
      <x:c r="C1185" t="str">
        <x:f>'Employee Attendance'!C396</x:f>
        <x:v>ZM</x:v>
      </x:c>
      <x:c r="D1185" t="str">
        <x:f>'Employee Attendance'!D396</x:f>
        <x:v>spurgeon.chisulo@pwc.com</x:v>
      </x:c>
      <x:c r="E1185" t="str">
        <x:f>"Option 2"</x:f>
        <x:v>Option 2</x:v>
      </x:c>
      <x:c r="F1185" s="14" t="n">
        <x:f>'Employee Attendance'!G396</x:f>
        <x:v>0</x:v>
      </x:c>
      <x:c r="G1185" t="n">
        <x:f>F1185*86400</x:f>
        <x:v>0</x:v>
      </x:c>
      <x:c r="H1185" t="str">
        <x:f>'Employee Attendance'!H396</x:f>
        <x:v>Did not attend</x:v>
      </x:c>
      <x:c r="I1185" t="str">
        <x:f>'Employee Attendance'!L396</x:f>
        <x:v>No</x:v>
      </x:c>
    </x:row>
    <x:row r="1186">
      <x:c r="A1186" t="str">
        <x:f>'Employee Attendance'!A396</x:f>
        <x:v>Spurgeon Chisulo</x:v>
      </x:c>
      <x:c r="B1186" t="str">
        <x:f>'Employee Attendance'!B396</x:f>
        <x:v>Zambia</x:v>
      </x:c>
      <x:c r="C1186" t="str">
        <x:f>'Employee Attendance'!C396</x:f>
        <x:v>ZM</x:v>
      </x:c>
      <x:c r="D1186" t="str">
        <x:f>'Employee Attendance'!D396</x:f>
        <x:v>spurgeon.chisulo@pwc.com</x:v>
      </x:c>
      <x:c r="E1186" t="str">
        <x:f>"Combined"</x:f>
        <x:v>Combined</x:v>
      </x:c>
      <x:c r="F1186" s="14" t="n">
        <x:f>'Employee Attendance'!I396</x:f>
        <x:v>0</x:v>
      </x:c>
      <x:c r="G1186" t="n">
        <x:f>F1186*86400</x:f>
        <x:v>0</x:v>
      </x:c>
      <x:c r="H1186" t="str">
        <x:f>'Employee Attendance'!J396</x:f>
        <x:v>Did not attend</x:v>
      </x:c>
      <x:c r="I1186" t="str">
        <x:f>IF(OR('Employee Attendance'!K396="Yes",'Employee Attendance'!L396="Yes"),"Yes","No")</x:f>
        <x:v>No</x:v>
      </x:c>
    </x:row>
    <x:row r="1187">
      <x:c r="A1187" t="str">
        <x:f>'Employee Attendance'!A397</x:f>
        <x:v>Stacey Labuschagne</x:v>
      </x:c>
      <x:c r="B1187" t="str">
        <x:f>'Employee Attendance'!B397</x:f>
        <x:v>Kenya</x:v>
      </x:c>
      <x:c r="C1187" t="str">
        <x:f>'Employee Attendance'!C397</x:f>
        <x:v>KE</x:v>
      </x:c>
      <x:c r="D1187" t="str">
        <x:f>'Employee Attendance'!D397</x:f>
        <x:v>stacey.l.labuschagne@pwc.com</x:v>
      </x:c>
      <x:c r="E1187" t="str">
        <x:f>"Option 1"</x:f>
        <x:v>Option 1</x:v>
      </x:c>
      <x:c r="F1187" s="14" t="n">
        <x:f>'Employee Attendance'!E397</x:f>
        <x:v>0.07010416666666666</x:v>
      </x:c>
      <x:c r="G1187" t="n">
        <x:f>F1187*86400</x:f>
        <x:v>6057</x:v>
      </x:c>
      <x:c r="H1187" t="str">
        <x:f>'Employee Attendance'!F397</x:f>
        <x:v>Fully attended</x:v>
      </x:c>
      <x:c r="I1187" t="str">
        <x:f>'Employee Attendance'!K397</x:f>
        <x:v>Yes</x:v>
      </x:c>
    </x:row>
    <x:row r="1188">
      <x:c r="A1188" t="str">
        <x:f>'Employee Attendance'!A397</x:f>
        <x:v>Stacey Labuschagne</x:v>
      </x:c>
      <x:c r="B1188" t="str">
        <x:f>'Employee Attendance'!B397</x:f>
        <x:v>Kenya</x:v>
      </x:c>
      <x:c r="C1188" t="str">
        <x:f>'Employee Attendance'!C397</x:f>
        <x:v>KE</x:v>
      </x:c>
      <x:c r="D1188" t="str">
        <x:f>'Employee Attendance'!D397</x:f>
        <x:v>stacey.l.labuschagne@pwc.com</x:v>
      </x:c>
      <x:c r="E1188" t="str">
        <x:f>"Option 2"</x:f>
        <x:v>Option 2</x:v>
      </x:c>
      <x:c r="F1188" s="14" t="n">
        <x:f>'Employee Attendance'!G397</x:f>
        <x:v>0</x:v>
      </x:c>
      <x:c r="G1188" t="n">
        <x:f>F1188*86400</x:f>
        <x:v>0</x:v>
      </x:c>
      <x:c r="H1188" t="str">
        <x:f>'Employee Attendance'!H397</x:f>
        <x:v>Did not attend</x:v>
      </x:c>
      <x:c r="I1188" t="str">
        <x:f>'Employee Attendance'!L397</x:f>
        <x:v>No</x:v>
      </x:c>
    </x:row>
    <x:row r="1189">
      <x:c r="A1189" t="str">
        <x:f>'Employee Attendance'!A397</x:f>
        <x:v>Stacey Labuschagne</x:v>
      </x:c>
      <x:c r="B1189" t="str">
        <x:f>'Employee Attendance'!B397</x:f>
        <x:v>Kenya</x:v>
      </x:c>
      <x:c r="C1189" t="str">
        <x:f>'Employee Attendance'!C397</x:f>
        <x:v>KE</x:v>
      </x:c>
      <x:c r="D1189" t="str">
        <x:f>'Employee Attendance'!D397</x:f>
        <x:v>stacey.l.labuschagne@pwc.com</x:v>
      </x:c>
      <x:c r="E1189" t="str">
        <x:f>"Combined"</x:f>
        <x:v>Combined</x:v>
      </x:c>
      <x:c r="F1189" s="14" t="n">
        <x:f>'Employee Attendance'!I397</x:f>
        <x:v>0.07010416666666666</x:v>
      </x:c>
      <x:c r="G1189" t="n">
        <x:f>F1189*86400</x:f>
        <x:v>6057</x:v>
      </x:c>
      <x:c r="H1189" t="str">
        <x:f>'Employee Attendance'!J397</x:f>
        <x:v>Fully attended</x:v>
      </x:c>
      <x:c r="I1189" t="str">
        <x:f>IF(OR('Employee Attendance'!K397="Yes",'Employee Attendance'!L397="Yes"),"Yes","No")</x:f>
        <x:v>Yes</x:v>
      </x:c>
    </x:row>
    <x:row r="1190">
      <x:c r="A1190" t="str">
        <x:f>'Employee Attendance'!A398</x:f>
        <x:v>Stacey Mapara</x:v>
      </x:c>
      <x:c r="B1190" t="str">
        <x:f>'Employee Attendance'!B398</x:f>
        <x:v>Mauritius</x:v>
      </x:c>
      <x:c r="C1190" t="str">
        <x:f>'Employee Attendance'!C398</x:f>
        <x:v>MU</x:v>
      </x:c>
      <x:c r="D1190" t="str">
        <x:f>'Employee Attendance'!D398</x:f>
        <x:v>mapara.tanyaradzwa@pwc.com</x:v>
      </x:c>
      <x:c r="E1190" t="str">
        <x:f>"Option 1"</x:f>
        <x:v>Option 1</x:v>
      </x:c>
      <x:c r="F1190" s="14" t="n">
        <x:f>'Employee Attendance'!E398</x:f>
        <x:v>0</x:v>
      </x:c>
      <x:c r="G1190" t="n">
        <x:f>F1190*86400</x:f>
        <x:v>0</x:v>
      </x:c>
      <x:c r="H1190" t="str">
        <x:f>'Employee Attendance'!F398</x:f>
        <x:v>Did not attend</x:v>
      </x:c>
      <x:c r="I1190" t="str">
        <x:f>'Employee Attendance'!K398</x:f>
        <x:v>No</x:v>
      </x:c>
    </x:row>
    <x:row r="1191">
      <x:c r="A1191" t="str">
        <x:f>'Employee Attendance'!A398</x:f>
        <x:v>Stacey Mapara</x:v>
      </x:c>
      <x:c r="B1191" t="str">
        <x:f>'Employee Attendance'!B398</x:f>
        <x:v>Mauritius</x:v>
      </x:c>
      <x:c r="C1191" t="str">
        <x:f>'Employee Attendance'!C398</x:f>
        <x:v>MU</x:v>
      </x:c>
      <x:c r="D1191" t="str">
        <x:f>'Employee Attendance'!D398</x:f>
        <x:v>mapara.tanyaradzwa@pwc.com</x:v>
      </x:c>
      <x:c r="E1191" t="str">
        <x:f>"Option 2"</x:f>
        <x:v>Option 2</x:v>
      </x:c>
      <x:c r="F1191" s="14" t="n">
        <x:f>'Employee Attendance'!G398</x:f>
        <x:v>0</x:v>
      </x:c>
      <x:c r="G1191" t="n">
        <x:f>F1191*86400</x:f>
        <x:v>0</x:v>
      </x:c>
      <x:c r="H1191" t="str">
        <x:f>'Employee Attendance'!H398</x:f>
        <x:v>Did not attend</x:v>
      </x:c>
      <x:c r="I1191" t="str">
        <x:f>'Employee Attendance'!L398</x:f>
        <x:v>No</x:v>
      </x:c>
    </x:row>
    <x:row r="1192">
      <x:c r="A1192" t="str">
        <x:f>'Employee Attendance'!A398</x:f>
        <x:v>Stacey Mapara</x:v>
      </x:c>
      <x:c r="B1192" t="str">
        <x:f>'Employee Attendance'!B398</x:f>
        <x:v>Mauritius</x:v>
      </x:c>
      <x:c r="C1192" t="str">
        <x:f>'Employee Attendance'!C398</x:f>
        <x:v>MU</x:v>
      </x:c>
      <x:c r="D1192" t="str">
        <x:f>'Employee Attendance'!D398</x:f>
        <x:v>mapara.tanyaradzwa@pwc.com</x:v>
      </x:c>
      <x:c r="E1192" t="str">
        <x:f>"Combined"</x:f>
        <x:v>Combined</x:v>
      </x:c>
      <x:c r="F1192" s="14" t="n">
        <x:f>'Employee Attendance'!I398</x:f>
        <x:v>0</x:v>
      </x:c>
      <x:c r="G1192" t="n">
        <x:f>F1192*86400</x:f>
        <x:v>0</x:v>
      </x:c>
      <x:c r="H1192" t="str">
        <x:f>'Employee Attendance'!J398</x:f>
        <x:v>Did not attend</x:v>
      </x:c>
      <x:c r="I1192" t="str">
        <x:f>IF(OR('Employee Attendance'!K398="Yes",'Employee Attendance'!L398="Yes"),"Yes","No")</x:f>
        <x:v>No</x:v>
      </x:c>
    </x:row>
    <x:row r="1193">
      <x:c r="A1193" t="str">
        <x:f>'Employee Attendance'!A399</x:f>
        <x:v>Stacey Nduku</x:v>
      </x:c>
      <x:c r="B1193" t="str">
        <x:f>'Employee Attendance'!B399</x:f>
        <x:v>Kenya</x:v>
      </x:c>
      <x:c r="C1193" t="str">
        <x:f>'Employee Attendance'!C399</x:f>
        <x:v>KE</x:v>
      </x:c>
      <x:c r="D1193" t="str">
        <x:f>'Employee Attendance'!D399</x:f>
        <x:v>stacey.nduku@pwc.com</x:v>
      </x:c>
      <x:c r="E1193" t="str">
        <x:f>"Option 1"</x:f>
        <x:v>Option 1</x:v>
      </x:c>
      <x:c r="F1193" s="14" t="n">
        <x:f>'Employee Attendance'!E399</x:f>
        <x:v>0.08287037037037037</x:v>
      </x:c>
      <x:c r="G1193" t="n">
        <x:f>F1193*86400</x:f>
        <x:v>7160</x:v>
      </x:c>
      <x:c r="H1193" t="str">
        <x:f>'Employee Attendance'!F399</x:f>
        <x:v>Fully attended</x:v>
      </x:c>
      <x:c r="I1193" t="str">
        <x:f>'Employee Attendance'!K399</x:f>
        <x:v>Yes</x:v>
      </x:c>
    </x:row>
    <x:row r="1194">
      <x:c r="A1194" t="str">
        <x:f>'Employee Attendance'!A399</x:f>
        <x:v>Stacey Nduku</x:v>
      </x:c>
      <x:c r="B1194" t="str">
        <x:f>'Employee Attendance'!B399</x:f>
        <x:v>Kenya</x:v>
      </x:c>
      <x:c r="C1194" t="str">
        <x:f>'Employee Attendance'!C399</x:f>
        <x:v>KE</x:v>
      </x:c>
      <x:c r="D1194" t="str">
        <x:f>'Employee Attendance'!D399</x:f>
        <x:v>stacey.nduku@pwc.com</x:v>
      </x:c>
      <x:c r="E1194" t="str">
        <x:f>"Option 2"</x:f>
        <x:v>Option 2</x:v>
      </x:c>
      <x:c r="F1194" s="14" t="n">
        <x:f>'Employee Attendance'!G399</x:f>
        <x:v>0</x:v>
      </x:c>
      <x:c r="G1194" t="n">
        <x:f>F1194*86400</x:f>
        <x:v>0</x:v>
      </x:c>
      <x:c r="H1194" t="str">
        <x:f>'Employee Attendance'!H399</x:f>
        <x:v>Did not attend</x:v>
      </x:c>
      <x:c r="I1194" t="str">
        <x:f>'Employee Attendance'!L399</x:f>
        <x:v>No</x:v>
      </x:c>
    </x:row>
    <x:row r="1195">
      <x:c r="A1195" t="str">
        <x:f>'Employee Attendance'!A399</x:f>
        <x:v>Stacey Nduku</x:v>
      </x:c>
      <x:c r="B1195" t="str">
        <x:f>'Employee Attendance'!B399</x:f>
        <x:v>Kenya</x:v>
      </x:c>
      <x:c r="C1195" t="str">
        <x:f>'Employee Attendance'!C399</x:f>
        <x:v>KE</x:v>
      </x:c>
      <x:c r="D1195" t="str">
        <x:f>'Employee Attendance'!D399</x:f>
        <x:v>stacey.nduku@pwc.com</x:v>
      </x:c>
      <x:c r="E1195" t="str">
        <x:f>"Combined"</x:f>
        <x:v>Combined</x:v>
      </x:c>
      <x:c r="F1195" s="14" t="n">
        <x:f>'Employee Attendance'!I399</x:f>
        <x:v>0.08287037037037037</x:v>
      </x:c>
      <x:c r="G1195" t="n">
        <x:f>F1195*86400</x:f>
        <x:v>7160</x:v>
      </x:c>
      <x:c r="H1195" t="str">
        <x:f>'Employee Attendance'!J399</x:f>
        <x:v>Fully attended</x:v>
      </x:c>
      <x:c r="I1195" t="str">
        <x:f>IF(OR('Employee Attendance'!K399="Yes",'Employee Attendance'!L399="Yes"),"Yes","No")</x:f>
        <x:v>Yes</x:v>
      </x:c>
    </x:row>
    <x:row r="1196">
      <x:c r="A1196" t="str">
        <x:f>'Employee Attendance'!A400</x:f>
        <x:v>Steffi-Eugenie Hong Lin</x:v>
      </x:c>
      <x:c r="B1196" t="str">
        <x:f>'Employee Attendance'!B400</x:f>
        <x:v>Mauritius</x:v>
      </x:c>
      <x:c r="C1196" t="str">
        <x:f>'Employee Attendance'!C400</x:f>
        <x:v>MU</x:v>
      </x:c>
      <x:c r="D1196" t="str">
        <x:f>'Employee Attendance'!D400</x:f>
        <x:v>steffi.s.hong@pwc.com</x:v>
      </x:c>
      <x:c r="E1196" t="str">
        <x:f>"Option 1"</x:f>
        <x:v>Option 1</x:v>
      </x:c>
      <x:c r="F1196" s="14" t="n">
        <x:f>'Employee Attendance'!E400</x:f>
        <x:v>0.00006944444444444444</x:v>
      </x:c>
      <x:c r="G1196" t="n">
        <x:f>F1196*86400</x:f>
        <x:v>6</x:v>
      </x:c>
      <x:c r="H1196" t="str">
        <x:f>'Employee Attendance'!F400</x:f>
        <x:v>Partially attended</x:v>
      </x:c>
      <x:c r="I1196" t="str">
        <x:f>'Employee Attendance'!K400</x:f>
        <x:v>Yes</x:v>
      </x:c>
    </x:row>
    <x:row r="1197">
      <x:c r="A1197" t="str">
        <x:f>'Employee Attendance'!A400</x:f>
        <x:v>Steffi-Eugenie Hong Lin</x:v>
      </x:c>
      <x:c r="B1197" t="str">
        <x:f>'Employee Attendance'!B400</x:f>
        <x:v>Mauritius</x:v>
      </x:c>
      <x:c r="C1197" t="str">
        <x:f>'Employee Attendance'!C400</x:f>
        <x:v>MU</x:v>
      </x:c>
      <x:c r="D1197" t="str">
        <x:f>'Employee Attendance'!D400</x:f>
        <x:v>steffi.s.hong@pwc.com</x:v>
      </x:c>
      <x:c r="E1197" t="str">
        <x:f>"Option 2"</x:f>
        <x:v>Option 2</x:v>
      </x:c>
      <x:c r="F1197" s="14" t="n">
        <x:f>'Employee Attendance'!G400</x:f>
        <x:v>0</x:v>
      </x:c>
      <x:c r="G1197" t="n">
        <x:f>F1197*86400</x:f>
        <x:v>0</x:v>
      </x:c>
      <x:c r="H1197" t="str">
        <x:f>'Employee Attendance'!H400</x:f>
        <x:v>Did not attend</x:v>
      </x:c>
      <x:c r="I1197" t="str">
        <x:f>'Employee Attendance'!L400</x:f>
        <x:v>No</x:v>
      </x:c>
    </x:row>
    <x:row r="1198">
      <x:c r="A1198" t="str">
        <x:f>'Employee Attendance'!A400</x:f>
        <x:v>Steffi-Eugenie Hong Lin</x:v>
      </x:c>
      <x:c r="B1198" t="str">
        <x:f>'Employee Attendance'!B400</x:f>
        <x:v>Mauritius</x:v>
      </x:c>
      <x:c r="C1198" t="str">
        <x:f>'Employee Attendance'!C400</x:f>
        <x:v>MU</x:v>
      </x:c>
      <x:c r="D1198" t="str">
        <x:f>'Employee Attendance'!D400</x:f>
        <x:v>steffi.s.hong@pwc.com</x:v>
      </x:c>
      <x:c r="E1198" t="str">
        <x:f>"Combined"</x:f>
        <x:v>Combined</x:v>
      </x:c>
      <x:c r="F1198" s="14" t="n">
        <x:f>'Employee Attendance'!I400</x:f>
        <x:v>0.00006944444444444444</x:v>
      </x:c>
      <x:c r="G1198" t="n">
        <x:f>F1198*86400</x:f>
        <x:v>6</x:v>
      </x:c>
      <x:c r="H1198" t="str">
        <x:f>'Employee Attendance'!J400</x:f>
        <x:v>Partially attended</x:v>
      </x:c>
      <x:c r="I1198" t="str">
        <x:f>IF(OR('Employee Attendance'!K400="Yes",'Employee Attendance'!L400="Yes"),"Yes","No")</x:f>
        <x:v>Yes</x:v>
      </x:c>
    </x:row>
    <x:row r="1199">
      <x:c r="A1199" t="str">
        <x:f>'Employee Attendance'!A401</x:f>
        <x:v>Stella Chege</x:v>
      </x:c>
      <x:c r="B1199" t="str">
        <x:f>'Employee Attendance'!B401</x:f>
        <x:v>Kenya</x:v>
      </x:c>
      <x:c r="C1199" t="str">
        <x:f>'Employee Attendance'!C401</x:f>
        <x:v>KE</x:v>
      </x:c>
      <x:c r="D1199" t="str">
        <x:f>'Employee Attendance'!D401</x:f>
        <x:v>stella.chege@pwc.com</x:v>
      </x:c>
      <x:c r="E1199" t="str">
        <x:f>"Option 1"</x:f>
        <x:v>Option 1</x:v>
      </x:c>
      <x:c r="F1199" s="14" t="n">
        <x:f>'Employee Attendance'!E401</x:f>
        <x:v>0.08622685185185185</x:v>
      </x:c>
      <x:c r="G1199" t="n">
        <x:f>F1199*86400</x:f>
        <x:v>7449.999999999999</x:v>
      </x:c>
      <x:c r="H1199" t="str">
        <x:f>'Employee Attendance'!F401</x:f>
        <x:v>Fully attended</x:v>
      </x:c>
      <x:c r="I1199" t="str">
        <x:f>'Employee Attendance'!K401</x:f>
        <x:v>Yes</x:v>
      </x:c>
    </x:row>
    <x:row r="1200">
      <x:c r="A1200" t="str">
        <x:f>'Employee Attendance'!A401</x:f>
        <x:v>Stella Chege</x:v>
      </x:c>
      <x:c r="B1200" t="str">
        <x:f>'Employee Attendance'!B401</x:f>
        <x:v>Kenya</x:v>
      </x:c>
      <x:c r="C1200" t="str">
        <x:f>'Employee Attendance'!C401</x:f>
        <x:v>KE</x:v>
      </x:c>
      <x:c r="D1200" t="str">
        <x:f>'Employee Attendance'!D401</x:f>
        <x:v>stella.chege@pwc.com</x:v>
      </x:c>
      <x:c r="E1200" t="str">
        <x:f>"Option 2"</x:f>
        <x:v>Option 2</x:v>
      </x:c>
      <x:c r="F1200" s="14" t="n">
        <x:f>'Employee Attendance'!G401</x:f>
        <x:v>0</x:v>
      </x:c>
      <x:c r="G1200" t="n">
        <x:f>F1200*86400</x:f>
        <x:v>0</x:v>
      </x:c>
      <x:c r="H1200" t="str">
        <x:f>'Employee Attendance'!H401</x:f>
        <x:v>Did not attend</x:v>
      </x:c>
      <x:c r="I1200" t="str">
        <x:f>'Employee Attendance'!L401</x:f>
        <x:v>No</x:v>
      </x:c>
    </x:row>
    <x:row r="1201">
      <x:c r="A1201" t="str">
        <x:f>'Employee Attendance'!A401</x:f>
        <x:v>Stella Chege</x:v>
      </x:c>
      <x:c r="B1201" t="str">
        <x:f>'Employee Attendance'!B401</x:f>
        <x:v>Kenya</x:v>
      </x:c>
      <x:c r="C1201" t="str">
        <x:f>'Employee Attendance'!C401</x:f>
        <x:v>KE</x:v>
      </x:c>
      <x:c r="D1201" t="str">
        <x:f>'Employee Attendance'!D401</x:f>
        <x:v>stella.chege@pwc.com</x:v>
      </x:c>
      <x:c r="E1201" t="str">
        <x:f>"Combined"</x:f>
        <x:v>Combined</x:v>
      </x:c>
      <x:c r="F1201" s="14" t="n">
        <x:f>'Employee Attendance'!I401</x:f>
        <x:v>0.08622685185185185</x:v>
      </x:c>
      <x:c r="G1201" t="n">
        <x:f>F1201*86400</x:f>
        <x:v>7449.999999999999</x:v>
      </x:c>
      <x:c r="H1201" t="str">
        <x:f>'Employee Attendance'!J401</x:f>
        <x:v>Fully attended</x:v>
      </x:c>
      <x:c r="I1201" t="str">
        <x:f>IF(OR('Employee Attendance'!K401="Yes",'Employee Attendance'!L401="Yes"),"Yes","No")</x:f>
        <x:v>Yes</x:v>
      </x:c>
    </x:row>
    <x:row r="1202">
      <x:c r="A1202" t="str">
        <x:f>'Employee Attendance'!A402</x:f>
        <x:v>Stella Githinji</x:v>
      </x:c>
      <x:c r="B1202" t="str">
        <x:f>'Employee Attendance'!B402</x:f>
        <x:v>Kenya</x:v>
      </x:c>
      <x:c r="C1202" t="str">
        <x:f>'Employee Attendance'!C402</x:f>
        <x:v>KE</x:v>
      </x:c>
      <x:c r="D1202" t="str">
        <x:f>'Employee Attendance'!D402</x:f>
        <x:v>stella.githinji@pwc.com</x:v>
      </x:c>
      <x:c r="E1202" t="str">
        <x:f>"Option 1"</x:f>
        <x:v>Option 1</x:v>
      </x:c>
      <x:c r="F1202" s="14" t="n">
        <x:f>'Employee Attendance'!E402</x:f>
        <x:v>0</x:v>
      </x:c>
      <x:c r="G1202" t="n">
        <x:f>F1202*86400</x:f>
        <x:v>0</x:v>
      </x:c>
      <x:c r="H1202" t="str">
        <x:f>'Employee Attendance'!F402</x:f>
        <x:v>Did not attend</x:v>
      </x:c>
      <x:c r="I1202" t="str">
        <x:f>'Employee Attendance'!K402</x:f>
        <x:v>No</x:v>
      </x:c>
    </x:row>
    <x:row r="1203">
      <x:c r="A1203" t="str">
        <x:f>'Employee Attendance'!A402</x:f>
        <x:v>Stella Githinji</x:v>
      </x:c>
      <x:c r="B1203" t="str">
        <x:f>'Employee Attendance'!B402</x:f>
        <x:v>Kenya</x:v>
      </x:c>
      <x:c r="C1203" t="str">
        <x:f>'Employee Attendance'!C402</x:f>
        <x:v>KE</x:v>
      </x:c>
      <x:c r="D1203" t="str">
        <x:f>'Employee Attendance'!D402</x:f>
        <x:v>stella.githinji@pwc.com</x:v>
      </x:c>
      <x:c r="E1203" t="str">
        <x:f>"Option 2"</x:f>
        <x:v>Option 2</x:v>
      </x:c>
      <x:c r="F1203" s="14" t="n">
        <x:f>'Employee Attendance'!G402</x:f>
        <x:v>0.085</x:v>
      </x:c>
      <x:c r="G1203" t="n">
        <x:f>F1203*86400</x:f>
        <x:v>7344.000000000001</x:v>
      </x:c>
      <x:c r="H1203" t="str">
        <x:f>'Employee Attendance'!H402</x:f>
        <x:v>Fully attended</x:v>
      </x:c>
      <x:c r="I1203" t="str">
        <x:f>'Employee Attendance'!L402</x:f>
        <x:v>Yes</x:v>
      </x:c>
    </x:row>
    <x:row r="1204">
      <x:c r="A1204" t="str">
        <x:f>'Employee Attendance'!A402</x:f>
        <x:v>Stella Githinji</x:v>
      </x:c>
      <x:c r="B1204" t="str">
        <x:f>'Employee Attendance'!B402</x:f>
        <x:v>Kenya</x:v>
      </x:c>
      <x:c r="C1204" t="str">
        <x:f>'Employee Attendance'!C402</x:f>
        <x:v>KE</x:v>
      </x:c>
      <x:c r="D1204" t="str">
        <x:f>'Employee Attendance'!D402</x:f>
        <x:v>stella.githinji@pwc.com</x:v>
      </x:c>
      <x:c r="E1204" t="str">
        <x:f>"Combined"</x:f>
        <x:v>Combined</x:v>
      </x:c>
      <x:c r="F1204" s="14" t="n">
        <x:f>'Employee Attendance'!I402</x:f>
        <x:v>0.085</x:v>
      </x:c>
      <x:c r="G1204" t="n">
        <x:f>F1204*86400</x:f>
        <x:v>7344.000000000001</x:v>
      </x:c>
      <x:c r="H1204" t="str">
        <x:f>'Employee Attendance'!J402</x:f>
        <x:v>Fully attended</x:v>
      </x:c>
      <x:c r="I1204" t="str">
        <x:f>IF(OR('Employee Attendance'!K402="Yes",'Employee Attendance'!L402="Yes"),"Yes","No")</x:f>
        <x:v>Yes</x:v>
      </x:c>
    </x:row>
    <x:row r="1205">
      <x:c r="A1205" t="str">
        <x:f>'Employee Attendance'!A403</x:f>
        <x:v>Stephen Ochieng</x:v>
      </x:c>
      <x:c r="B1205" t="str">
        <x:f>'Employee Attendance'!B403</x:f>
        <x:v>Kenya</x:v>
      </x:c>
      <x:c r="C1205" t="str">
        <x:f>'Employee Attendance'!C403</x:f>
        <x:v>KE</x:v>
      </x:c>
      <x:c r="D1205" t="str">
        <x:f>'Employee Attendance'!D403</x:f>
        <x:v>stephen.ochieng@pwc.com</x:v>
      </x:c>
      <x:c r="E1205" t="str">
        <x:f>"Option 1"</x:f>
        <x:v>Option 1</x:v>
      </x:c>
      <x:c r="F1205" s="14" t="n">
        <x:f>'Employee Attendance'!E403</x:f>
        <x:v>0</x:v>
      </x:c>
      <x:c r="G1205" t="n">
        <x:f>F1205*86400</x:f>
        <x:v>0</x:v>
      </x:c>
      <x:c r="H1205" t="str">
        <x:f>'Employee Attendance'!F403</x:f>
        <x:v>Did not attend</x:v>
      </x:c>
      <x:c r="I1205" t="str">
        <x:f>'Employee Attendance'!K403</x:f>
        <x:v>No</x:v>
      </x:c>
    </x:row>
    <x:row r="1206">
      <x:c r="A1206" t="str">
        <x:f>'Employee Attendance'!A403</x:f>
        <x:v>Stephen Ochieng</x:v>
      </x:c>
      <x:c r="B1206" t="str">
        <x:f>'Employee Attendance'!B403</x:f>
        <x:v>Kenya</x:v>
      </x:c>
      <x:c r="C1206" t="str">
        <x:f>'Employee Attendance'!C403</x:f>
        <x:v>KE</x:v>
      </x:c>
      <x:c r="D1206" t="str">
        <x:f>'Employee Attendance'!D403</x:f>
        <x:v>stephen.ochieng@pwc.com</x:v>
      </x:c>
      <x:c r="E1206" t="str">
        <x:f>"Option 2"</x:f>
        <x:v>Option 2</x:v>
      </x:c>
      <x:c r="F1206" s="14" t="n">
        <x:f>'Employee Attendance'!G403</x:f>
        <x:v>0.07415509259259259</x:v>
      </x:c>
      <x:c r="G1206" t="n">
        <x:f>F1206*86400</x:f>
        <x:v>6407</x:v>
      </x:c>
      <x:c r="H1206" t="str">
        <x:f>'Employee Attendance'!H403</x:f>
        <x:v>Fully attended</x:v>
      </x:c>
      <x:c r="I1206" t="str">
        <x:f>'Employee Attendance'!L403</x:f>
        <x:v>Yes</x:v>
      </x:c>
    </x:row>
    <x:row r="1207">
      <x:c r="A1207" t="str">
        <x:f>'Employee Attendance'!A403</x:f>
        <x:v>Stephen Ochieng</x:v>
      </x:c>
      <x:c r="B1207" t="str">
        <x:f>'Employee Attendance'!B403</x:f>
        <x:v>Kenya</x:v>
      </x:c>
      <x:c r="C1207" t="str">
        <x:f>'Employee Attendance'!C403</x:f>
        <x:v>KE</x:v>
      </x:c>
      <x:c r="D1207" t="str">
        <x:f>'Employee Attendance'!D403</x:f>
        <x:v>stephen.ochieng@pwc.com</x:v>
      </x:c>
      <x:c r="E1207" t="str">
        <x:f>"Combined"</x:f>
        <x:v>Combined</x:v>
      </x:c>
      <x:c r="F1207" s="14" t="n">
        <x:f>'Employee Attendance'!I403</x:f>
        <x:v>0.07415509259259259</x:v>
      </x:c>
      <x:c r="G1207" t="n">
        <x:f>F1207*86400</x:f>
        <x:v>6407</x:v>
      </x:c>
      <x:c r="H1207" t="str">
        <x:f>'Employee Attendance'!J403</x:f>
        <x:v>Fully attended</x:v>
      </x:c>
      <x:c r="I1207" t="str">
        <x:f>IF(OR('Employee Attendance'!K403="Yes",'Employee Attendance'!L403="Yes"),"Yes","No")</x:f>
        <x:v>Yes</x:v>
      </x:c>
    </x:row>
    <x:row r="1208">
      <x:c r="A1208" t="str">
        <x:f>'Employee Attendance'!A404</x:f>
        <x:v>Suhashinee Kawal</x:v>
      </x:c>
      <x:c r="B1208" t="str">
        <x:f>'Employee Attendance'!B404</x:f>
        <x:v>Mauritius</x:v>
      </x:c>
      <x:c r="C1208" t="str">
        <x:f>'Employee Attendance'!C404</x:f>
        <x:v>MU</x:v>
      </x:c>
      <x:c r="D1208" t="str">
        <x:f>'Employee Attendance'!D404</x:f>
        <x:v>suhashinee.kawal@pwc.com</x:v>
      </x:c>
      <x:c r="E1208" t="str">
        <x:f>"Option 1"</x:f>
        <x:v>Option 1</x:v>
      </x:c>
      <x:c r="F1208" s="14" t="n">
        <x:f>'Employee Attendance'!E404</x:f>
        <x:v>0.0006597222222222222</x:v>
      </x:c>
      <x:c r="G1208" t="n">
        <x:f>F1208*86400</x:f>
        <x:v>57</x:v>
      </x:c>
      <x:c r="H1208" t="str">
        <x:f>'Employee Attendance'!F404</x:f>
        <x:v>Partially attended</x:v>
      </x:c>
      <x:c r="I1208" t="str">
        <x:f>'Employee Attendance'!K404</x:f>
        <x:v>Yes</x:v>
      </x:c>
    </x:row>
    <x:row r="1209">
      <x:c r="A1209" t="str">
        <x:f>'Employee Attendance'!A404</x:f>
        <x:v>Suhashinee Kawal</x:v>
      </x:c>
      <x:c r="B1209" t="str">
        <x:f>'Employee Attendance'!B404</x:f>
        <x:v>Mauritius</x:v>
      </x:c>
      <x:c r="C1209" t="str">
        <x:f>'Employee Attendance'!C404</x:f>
        <x:v>MU</x:v>
      </x:c>
      <x:c r="D1209" t="str">
        <x:f>'Employee Attendance'!D404</x:f>
        <x:v>suhashinee.kawal@pwc.com</x:v>
      </x:c>
      <x:c r="E1209" t="str">
        <x:f>"Option 2"</x:f>
        <x:v>Option 2</x:v>
      </x:c>
      <x:c r="F1209" s="14" t="n">
        <x:f>'Employee Attendance'!G404</x:f>
        <x:v>0.09260416666666667</x:v>
      </x:c>
      <x:c r="G1209" t="n">
        <x:f>F1209*86400</x:f>
        <x:v>8001</x:v>
      </x:c>
      <x:c r="H1209" t="str">
        <x:f>'Employee Attendance'!H404</x:f>
        <x:v>Fully attended</x:v>
      </x:c>
      <x:c r="I1209" t="str">
        <x:f>'Employee Attendance'!L404</x:f>
        <x:v>Yes</x:v>
      </x:c>
    </x:row>
    <x:row r="1210">
      <x:c r="A1210" t="str">
        <x:f>'Employee Attendance'!A404</x:f>
        <x:v>Suhashinee Kawal</x:v>
      </x:c>
      <x:c r="B1210" t="str">
        <x:f>'Employee Attendance'!B404</x:f>
        <x:v>Mauritius</x:v>
      </x:c>
      <x:c r="C1210" t="str">
        <x:f>'Employee Attendance'!C404</x:f>
        <x:v>MU</x:v>
      </x:c>
      <x:c r="D1210" t="str">
        <x:f>'Employee Attendance'!D404</x:f>
        <x:v>suhashinee.kawal@pwc.com</x:v>
      </x:c>
      <x:c r="E1210" t="str">
        <x:f>"Combined"</x:f>
        <x:v>Combined</x:v>
      </x:c>
      <x:c r="F1210" s="14" t="n">
        <x:f>'Employee Attendance'!I404</x:f>
        <x:v>0.0932638888888889</x:v>
      </x:c>
      <x:c r="G1210" t="n">
        <x:f>F1210*86400</x:f>
        <x:v>8058.000000000001</x:v>
      </x:c>
      <x:c r="H1210" t="str">
        <x:f>'Employee Attendance'!J404</x:f>
        <x:v>Fully attended</x:v>
      </x:c>
      <x:c r="I1210" t="str">
        <x:f>IF(OR('Employee Attendance'!K404="Yes",'Employee Attendance'!L404="Yes"),"Yes","No")</x:f>
        <x:v>Yes</x:v>
      </x:c>
    </x:row>
    <x:row r="1211">
      <x:c r="A1211" t="str">
        <x:f>'Employee Attendance'!A405</x:f>
        <x:v>Susan Namwanje</x:v>
      </x:c>
      <x:c r="B1211" t="str">
        <x:f>'Employee Attendance'!B405</x:f>
        <x:v>Uganda</x:v>
      </x:c>
      <x:c r="C1211" t="str">
        <x:f>'Employee Attendance'!C405</x:f>
        <x:v>UG</x:v>
      </x:c>
      <x:c r="D1211" t="str">
        <x:f>'Employee Attendance'!D405</x:f>
        <x:v>susan.namwanje@pwc.com</x:v>
      </x:c>
      <x:c r="E1211" t="str">
        <x:f>"Option 1"</x:f>
        <x:v>Option 1</x:v>
      </x:c>
      <x:c r="F1211" s="14" t="n">
        <x:f>'Employee Attendance'!E405</x:f>
        <x:v>0</x:v>
      </x:c>
      <x:c r="G1211" t="n">
        <x:f>F1211*86400</x:f>
        <x:v>0</x:v>
      </x:c>
      <x:c r="H1211" t="str">
        <x:f>'Employee Attendance'!F405</x:f>
        <x:v>Did not attend</x:v>
      </x:c>
      <x:c r="I1211" t="str">
        <x:f>'Employee Attendance'!K405</x:f>
        <x:v>No</x:v>
      </x:c>
    </x:row>
    <x:row r="1212">
      <x:c r="A1212" t="str">
        <x:f>'Employee Attendance'!A405</x:f>
        <x:v>Susan Namwanje</x:v>
      </x:c>
      <x:c r="B1212" t="str">
        <x:f>'Employee Attendance'!B405</x:f>
        <x:v>Uganda</x:v>
      </x:c>
      <x:c r="C1212" t="str">
        <x:f>'Employee Attendance'!C405</x:f>
        <x:v>UG</x:v>
      </x:c>
      <x:c r="D1212" t="str">
        <x:f>'Employee Attendance'!D405</x:f>
        <x:v>susan.namwanje@pwc.com</x:v>
      </x:c>
      <x:c r="E1212" t="str">
        <x:f>"Option 2"</x:f>
        <x:v>Option 2</x:v>
      </x:c>
      <x:c r="F1212" s="14" t="n">
        <x:f>'Employee Attendance'!G405</x:f>
        <x:v>0.09203703703703704</x:v>
      </x:c>
      <x:c r="G1212" t="n">
        <x:f>F1212*86400</x:f>
        <x:v>7952</x:v>
      </x:c>
      <x:c r="H1212" t="str">
        <x:f>'Employee Attendance'!H405</x:f>
        <x:v>Fully attended</x:v>
      </x:c>
      <x:c r="I1212" t="str">
        <x:f>'Employee Attendance'!L405</x:f>
        <x:v>Yes</x:v>
      </x:c>
    </x:row>
    <x:row r="1213">
      <x:c r="A1213" t="str">
        <x:f>'Employee Attendance'!A405</x:f>
        <x:v>Susan Namwanje</x:v>
      </x:c>
      <x:c r="B1213" t="str">
        <x:f>'Employee Attendance'!B405</x:f>
        <x:v>Uganda</x:v>
      </x:c>
      <x:c r="C1213" t="str">
        <x:f>'Employee Attendance'!C405</x:f>
        <x:v>UG</x:v>
      </x:c>
      <x:c r="D1213" t="str">
        <x:f>'Employee Attendance'!D405</x:f>
        <x:v>susan.namwanje@pwc.com</x:v>
      </x:c>
      <x:c r="E1213" t="str">
        <x:f>"Combined"</x:f>
        <x:v>Combined</x:v>
      </x:c>
      <x:c r="F1213" s="14" t="n">
        <x:f>'Employee Attendance'!I405</x:f>
        <x:v>0.09203703703703704</x:v>
      </x:c>
      <x:c r="G1213" t="n">
        <x:f>F1213*86400</x:f>
        <x:v>7952</x:v>
      </x:c>
      <x:c r="H1213" t="str">
        <x:f>'Employee Attendance'!J405</x:f>
        <x:v>Fully attended</x:v>
      </x:c>
      <x:c r="I1213" t="str">
        <x:f>IF(OR('Employee Attendance'!K405="Yes",'Employee Attendance'!L405="Yes"),"Yes","No")</x:f>
        <x:v>Yes</x:v>
      </x:c>
    </x:row>
    <x:row r="1214">
      <x:c r="A1214" t="str">
        <x:f>'Employee Attendance'!A406</x:f>
        <x:v>Tamandani Mwalusaka</x:v>
      </x:c>
      <x:c r="B1214" t="str">
        <x:f>'Employee Attendance'!B406</x:f>
        <x:v>Zambia</x:v>
      </x:c>
      <x:c r="C1214" t="str">
        <x:f>'Employee Attendance'!C406</x:f>
        <x:v>ZM</x:v>
      </x:c>
      <x:c r="D1214" t="str">
        <x:f>'Employee Attendance'!D406</x:f>
        <x:v>tamandani.mwalusaka@pwc.com</x:v>
      </x:c>
      <x:c r="E1214" t="str">
        <x:f>"Option 1"</x:f>
        <x:v>Option 1</x:v>
      </x:c>
      <x:c r="F1214" s="14" t="n">
        <x:f>'Employee Attendance'!E406</x:f>
        <x:v>0.006678240740740741</x:v>
      </x:c>
      <x:c r="G1214" t="n">
        <x:f>F1214*86400</x:f>
        <x:v>577</x:v>
      </x:c>
      <x:c r="H1214" t="str">
        <x:f>'Employee Attendance'!F406</x:f>
        <x:v>Partially attended</x:v>
      </x:c>
      <x:c r="I1214" t="str">
        <x:f>'Employee Attendance'!K406</x:f>
        <x:v>Yes</x:v>
      </x:c>
    </x:row>
    <x:row r="1215">
      <x:c r="A1215" t="str">
        <x:f>'Employee Attendance'!A406</x:f>
        <x:v>Tamandani Mwalusaka</x:v>
      </x:c>
      <x:c r="B1215" t="str">
        <x:f>'Employee Attendance'!B406</x:f>
        <x:v>Zambia</x:v>
      </x:c>
      <x:c r="C1215" t="str">
        <x:f>'Employee Attendance'!C406</x:f>
        <x:v>ZM</x:v>
      </x:c>
      <x:c r="D1215" t="str">
        <x:f>'Employee Attendance'!D406</x:f>
        <x:v>tamandani.mwalusaka@pwc.com</x:v>
      </x:c>
      <x:c r="E1215" t="str">
        <x:f>"Option 2"</x:f>
        <x:v>Option 2</x:v>
      </x:c>
      <x:c r="F1215" s="14" t="n">
        <x:f>'Employee Attendance'!G406</x:f>
        <x:v>0.036631944444444446</x:v>
      </x:c>
      <x:c r="G1215" t="n">
        <x:f>F1215*86400</x:f>
        <x:v>3165</x:v>
      </x:c>
      <x:c r="H1215" t="str">
        <x:f>'Employee Attendance'!H406</x:f>
        <x:v>Partially attended</x:v>
      </x:c>
      <x:c r="I1215" t="str">
        <x:f>'Employee Attendance'!L406</x:f>
        <x:v>Yes</x:v>
      </x:c>
    </x:row>
    <x:row r="1216">
      <x:c r="A1216" t="str">
        <x:f>'Employee Attendance'!A406</x:f>
        <x:v>Tamandani Mwalusaka</x:v>
      </x:c>
      <x:c r="B1216" t="str">
        <x:f>'Employee Attendance'!B406</x:f>
        <x:v>Zambia</x:v>
      </x:c>
      <x:c r="C1216" t="str">
        <x:f>'Employee Attendance'!C406</x:f>
        <x:v>ZM</x:v>
      </x:c>
      <x:c r="D1216" t="str">
        <x:f>'Employee Attendance'!D406</x:f>
        <x:v>tamandani.mwalusaka@pwc.com</x:v>
      </x:c>
      <x:c r="E1216" t="str">
        <x:f>"Combined"</x:f>
        <x:v>Combined</x:v>
      </x:c>
      <x:c r="F1216" s="14" t="n">
        <x:f>'Employee Attendance'!I406</x:f>
        <x:v>0.04331018518518519</x:v>
      </x:c>
      <x:c r="G1216" t="n">
        <x:f>F1216*86400</x:f>
        <x:v>3742</x:v>
      </x:c>
      <x:c r="H1216" t="str">
        <x:f>'Employee Attendance'!J406</x:f>
        <x:v>Partially attended</x:v>
      </x:c>
      <x:c r="I1216" t="str">
        <x:f>IF(OR('Employee Attendance'!K406="Yes",'Employee Attendance'!L406="Yes"),"Yes","No")</x:f>
        <x:v>Yes</x:v>
      </x:c>
    </x:row>
    <x:row r="1217">
      <x:c r="A1217" t="str">
        <x:f>'Employee Attendance'!A407</x:f>
        <x:v>Tarushee Beesoony</x:v>
      </x:c>
      <x:c r="B1217" t="str">
        <x:f>'Employee Attendance'!B407</x:f>
        <x:v>Mauritius</x:v>
      </x:c>
      <x:c r="C1217" t="str">
        <x:f>'Employee Attendance'!C407</x:f>
        <x:v>MU</x:v>
      </x:c>
      <x:c r="D1217" t="str">
        <x:f>'Employee Attendance'!D407</x:f>
        <x:v>tarushee.beesoony@pwc.com</x:v>
      </x:c>
      <x:c r="E1217" t="str">
        <x:f>"Option 1"</x:f>
        <x:v>Option 1</x:v>
      </x:c>
      <x:c r="F1217" s="14" t="n">
        <x:f>'Employee Attendance'!E407</x:f>
        <x:v>0</x:v>
      </x:c>
      <x:c r="G1217" t="n">
        <x:f>F1217*86400</x:f>
        <x:v>0</x:v>
      </x:c>
      <x:c r="H1217" t="str">
        <x:f>'Employee Attendance'!F407</x:f>
        <x:v>Did not attend</x:v>
      </x:c>
      <x:c r="I1217" t="str">
        <x:f>'Employee Attendance'!K407</x:f>
        <x:v>No</x:v>
      </x:c>
    </x:row>
    <x:row r="1218">
      <x:c r="A1218" t="str">
        <x:f>'Employee Attendance'!A407</x:f>
        <x:v>Tarushee Beesoony</x:v>
      </x:c>
      <x:c r="B1218" t="str">
        <x:f>'Employee Attendance'!B407</x:f>
        <x:v>Mauritius</x:v>
      </x:c>
      <x:c r="C1218" t="str">
        <x:f>'Employee Attendance'!C407</x:f>
        <x:v>MU</x:v>
      </x:c>
      <x:c r="D1218" t="str">
        <x:f>'Employee Attendance'!D407</x:f>
        <x:v>tarushee.beesoony@pwc.com</x:v>
      </x:c>
      <x:c r="E1218" t="str">
        <x:f>"Option 2"</x:f>
        <x:v>Option 2</x:v>
      </x:c>
      <x:c r="F1218" s="14" t="n">
        <x:f>'Employee Attendance'!G407</x:f>
        <x:v>0.0847337962962963</x:v>
      </x:c>
      <x:c r="G1218" t="n">
        <x:f>F1218*86400</x:f>
        <x:v>7321</x:v>
      </x:c>
      <x:c r="H1218" t="str">
        <x:f>'Employee Attendance'!H407</x:f>
        <x:v>Fully attended</x:v>
      </x:c>
      <x:c r="I1218" t="str">
        <x:f>'Employee Attendance'!L407</x:f>
        <x:v>Yes</x:v>
      </x:c>
    </x:row>
    <x:row r="1219">
      <x:c r="A1219" t="str">
        <x:f>'Employee Attendance'!A407</x:f>
        <x:v>Tarushee Beesoony</x:v>
      </x:c>
      <x:c r="B1219" t="str">
        <x:f>'Employee Attendance'!B407</x:f>
        <x:v>Mauritius</x:v>
      </x:c>
      <x:c r="C1219" t="str">
        <x:f>'Employee Attendance'!C407</x:f>
        <x:v>MU</x:v>
      </x:c>
      <x:c r="D1219" t="str">
        <x:f>'Employee Attendance'!D407</x:f>
        <x:v>tarushee.beesoony@pwc.com</x:v>
      </x:c>
      <x:c r="E1219" t="str">
        <x:f>"Combined"</x:f>
        <x:v>Combined</x:v>
      </x:c>
      <x:c r="F1219" s="14" t="n">
        <x:f>'Employee Attendance'!I407</x:f>
        <x:v>0.0847337962962963</x:v>
      </x:c>
      <x:c r="G1219" t="n">
        <x:f>F1219*86400</x:f>
        <x:v>7321</x:v>
      </x:c>
      <x:c r="H1219" t="str">
        <x:f>'Employee Attendance'!J407</x:f>
        <x:v>Fully attended</x:v>
      </x:c>
      <x:c r="I1219" t="str">
        <x:f>IF(OR('Employee Attendance'!K407="Yes",'Employee Attendance'!L407="Yes"),"Yes","No")</x:f>
        <x:v>Yes</x:v>
      </x:c>
    </x:row>
    <x:row r="1220">
      <x:c r="A1220" t="str">
        <x:f>'Employee Attendance'!A408</x:f>
        <x:v>Tasneem Butonkee</x:v>
      </x:c>
      <x:c r="B1220" t="str">
        <x:f>'Employee Attendance'!B408</x:f>
        <x:v>Mauritius</x:v>
      </x:c>
      <x:c r="C1220" t="str">
        <x:f>'Employee Attendance'!C408</x:f>
        <x:v>MU</x:v>
      </x:c>
      <x:c r="D1220" t="str">
        <x:f>'Employee Attendance'!D408</x:f>
        <x:v>tasneem.butonkee@pwc.com</x:v>
      </x:c>
      <x:c r="E1220" t="str">
        <x:f>"Option 1"</x:f>
        <x:v>Option 1</x:v>
      </x:c>
      <x:c r="F1220" s="14" t="n">
        <x:f>'Employee Attendance'!E408</x:f>
        <x:v>0.08381944444444445</x:v>
      </x:c>
      <x:c r="G1220" t="n">
        <x:f>F1220*86400</x:f>
        <x:v>7242</x:v>
      </x:c>
      <x:c r="H1220" t="str">
        <x:f>'Employee Attendance'!F408</x:f>
        <x:v>Fully attended</x:v>
      </x:c>
      <x:c r="I1220" t="str">
        <x:f>'Employee Attendance'!K408</x:f>
        <x:v>Yes</x:v>
      </x:c>
    </x:row>
    <x:row r="1221">
      <x:c r="A1221" t="str">
        <x:f>'Employee Attendance'!A408</x:f>
        <x:v>Tasneem Butonkee</x:v>
      </x:c>
      <x:c r="B1221" t="str">
        <x:f>'Employee Attendance'!B408</x:f>
        <x:v>Mauritius</x:v>
      </x:c>
      <x:c r="C1221" t="str">
        <x:f>'Employee Attendance'!C408</x:f>
        <x:v>MU</x:v>
      </x:c>
      <x:c r="D1221" t="str">
        <x:f>'Employee Attendance'!D408</x:f>
        <x:v>tasneem.butonkee@pwc.com</x:v>
      </x:c>
      <x:c r="E1221" t="str">
        <x:f>"Option 2"</x:f>
        <x:v>Option 2</x:v>
      </x:c>
      <x:c r="F1221" s="14" t="n">
        <x:f>'Employee Attendance'!G408</x:f>
        <x:v>0</x:v>
      </x:c>
      <x:c r="G1221" t="n">
        <x:f>F1221*86400</x:f>
        <x:v>0</x:v>
      </x:c>
      <x:c r="H1221" t="str">
        <x:f>'Employee Attendance'!H408</x:f>
        <x:v>Did not attend</x:v>
      </x:c>
      <x:c r="I1221" t="str">
        <x:f>'Employee Attendance'!L408</x:f>
        <x:v>No</x:v>
      </x:c>
    </x:row>
    <x:row r="1222">
      <x:c r="A1222" t="str">
        <x:f>'Employee Attendance'!A408</x:f>
        <x:v>Tasneem Butonkee</x:v>
      </x:c>
      <x:c r="B1222" t="str">
        <x:f>'Employee Attendance'!B408</x:f>
        <x:v>Mauritius</x:v>
      </x:c>
      <x:c r="C1222" t="str">
        <x:f>'Employee Attendance'!C408</x:f>
        <x:v>MU</x:v>
      </x:c>
      <x:c r="D1222" t="str">
        <x:f>'Employee Attendance'!D408</x:f>
        <x:v>tasneem.butonkee@pwc.com</x:v>
      </x:c>
      <x:c r="E1222" t="str">
        <x:f>"Combined"</x:f>
        <x:v>Combined</x:v>
      </x:c>
      <x:c r="F1222" s="14" t="n">
        <x:f>'Employee Attendance'!I408</x:f>
        <x:v>0.08381944444444445</x:v>
      </x:c>
      <x:c r="G1222" t="n">
        <x:f>F1222*86400</x:f>
        <x:v>7242</x:v>
      </x:c>
      <x:c r="H1222" t="str">
        <x:f>'Employee Attendance'!J408</x:f>
        <x:v>Fully attended</x:v>
      </x:c>
      <x:c r="I1222" t="str">
        <x:f>IF(OR('Employee Attendance'!K408="Yes",'Employee Attendance'!L408="Yes"),"Yes","No")</x:f>
        <x:v>Yes</x:v>
      </x:c>
    </x:row>
    <x:row r="1223">
      <x:c r="A1223" t="str">
        <x:f>'Employee Attendance'!A409</x:f>
        <x:v>Taufiq Ishimwe</x:v>
      </x:c>
      <x:c r="B1223" t="str">
        <x:f>'Employee Attendance'!B409</x:f>
        <x:v>Rwanda</x:v>
      </x:c>
      <x:c r="C1223" t="str">
        <x:f>'Employee Attendance'!C409</x:f>
        <x:v>RW</x:v>
      </x:c>
      <x:c r="D1223" t="str">
        <x:f>'Employee Attendance'!D409</x:f>
        <x:v>taufiq.ishimwe@pwc.com</x:v>
      </x:c>
      <x:c r="E1223" t="str">
        <x:f>"Option 1"</x:f>
        <x:v>Option 1</x:v>
      </x:c>
      <x:c r="F1223" s="14" t="n">
        <x:f>'Employee Attendance'!E409</x:f>
        <x:v>0.0630787037037037</x:v>
      </x:c>
      <x:c r="G1223" t="n">
        <x:f>F1223*86400</x:f>
        <x:v>5450</x:v>
      </x:c>
      <x:c r="H1223" t="str">
        <x:f>'Employee Attendance'!F409</x:f>
        <x:v>Fully attended</x:v>
      </x:c>
      <x:c r="I1223" t="str">
        <x:f>'Employee Attendance'!K409</x:f>
        <x:v>Yes</x:v>
      </x:c>
    </x:row>
    <x:row r="1224">
      <x:c r="A1224" t="str">
        <x:f>'Employee Attendance'!A409</x:f>
        <x:v>Taufiq Ishimwe</x:v>
      </x:c>
      <x:c r="B1224" t="str">
        <x:f>'Employee Attendance'!B409</x:f>
        <x:v>Rwanda</x:v>
      </x:c>
      <x:c r="C1224" t="str">
        <x:f>'Employee Attendance'!C409</x:f>
        <x:v>RW</x:v>
      </x:c>
      <x:c r="D1224" t="str">
        <x:f>'Employee Attendance'!D409</x:f>
        <x:v>taufiq.ishimwe@pwc.com</x:v>
      </x:c>
      <x:c r="E1224" t="str">
        <x:f>"Option 2"</x:f>
        <x:v>Option 2</x:v>
      </x:c>
      <x:c r="F1224" s="14" t="n">
        <x:f>'Employee Attendance'!G409</x:f>
        <x:v>0.03666666666666667</x:v>
      </x:c>
      <x:c r="G1224" t="n">
        <x:f>F1224*86400</x:f>
        <x:v>3168</x:v>
      </x:c>
      <x:c r="H1224" t="str">
        <x:f>'Employee Attendance'!H409</x:f>
        <x:v>Partially attended</x:v>
      </x:c>
      <x:c r="I1224" t="str">
        <x:f>'Employee Attendance'!L409</x:f>
        <x:v>Yes</x:v>
      </x:c>
    </x:row>
    <x:row r="1225">
      <x:c r="A1225" t="str">
        <x:f>'Employee Attendance'!A409</x:f>
        <x:v>Taufiq Ishimwe</x:v>
      </x:c>
      <x:c r="B1225" t="str">
        <x:f>'Employee Attendance'!B409</x:f>
        <x:v>Rwanda</x:v>
      </x:c>
      <x:c r="C1225" t="str">
        <x:f>'Employee Attendance'!C409</x:f>
        <x:v>RW</x:v>
      </x:c>
      <x:c r="D1225" t="str">
        <x:f>'Employee Attendance'!D409</x:f>
        <x:v>taufiq.ishimwe@pwc.com</x:v>
      </x:c>
      <x:c r="E1225" t="str">
        <x:f>"Combined"</x:f>
        <x:v>Combined</x:v>
      </x:c>
      <x:c r="F1225" s="14" t="n">
        <x:f>'Employee Attendance'!I409</x:f>
        <x:v>0.09974537037037037</x:v>
      </x:c>
      <x:c r="G1225" t="n">
        <x:f>F1225*86400</x:f>
        <x:v>8618</x:v>
      </x:c>
      <x:c r="H1225" t="str">
        <x:f>'Employee Attendance'!J409</x:f>
        <x:v>Fully attended</x:v>
      </x:c>
      <x:c r="I1225" t="str">
        <x:f>IF(OR('Employee Attendance'!K409="Yes",'Employee Attendance'!L409="Yes"),"Yes","No")</x:f>
        <x:v>Yes</x:v>
      </x:c>
    </x:row>
    <x:row r="1226">
      <x:c r="A1226" t="str">
        <x:f>'Employee Attendance'!A410</x:f>
        <x:v>Tecla Kibor</x:v>
      </x:c>
      <x:c r="B1226" t="str">
        <x:f>'Employee Attendance'!B410</x:f>
        <x:v>Kenya</x:v>
      </x:c>
      <x:c r="C1226" t="str">
        <x:f>'Employee Attendance'!C410</x:f>
        <x:v>KE</x:v>
      </x:c>
      <x:c r="D1226" t="str">
        <x:f>'Employee Attendance'!D410</x:f>
        <x:v>tecla.kibor@pwc.com</x:v>
      </x:c>
      <x:c r="E1226" t="str">
        <x:f>"Option 1"</x:f>
        <x:v>Option 1</x:v>
      </x:c>
      <x:c r="F1226" s="14" t="n">
        <x:f>'Employee Attendance'!E410</x:f>
        <x:v>0.08699074074074074</x:v>
      </x:c>
      <x:c r="G1226" t="n">
        <x:f>F1226*86400</x:f>
        <x:v>7516</x:v>
      </x:c>
      <x:c r="H1226" t="str">
        <x:f>'Employee Attendance'!F410</x:f>
        <x:v>Fully attended</x:v>
      </x:c>
      <x:c r="I1226" t="str">
        <x:f>'Employee Attendance'!K410</x:f>
        <x:v>Yes</x:v>
      </x:c>
    </x:row>
    <x:row r="1227">
      <x:c r="A1227" t="str">
        <x:f>'Employee Attendance'!A410</x:f>
        <x:v>Tecla Kibor</x:v>
      </x:c>
      <x:c r="B1227" t="str">
        <x:f>'Employee Attendance'!B410</x:f>
        <x:v>Kenya</x:v>
      </x:c>
      <x:c r="C1227" t="str">
        <x:f>'Employee Attendance'!C410</x:f>
        <x:v>KE</x:v>
      </x:c>
      <x:c r="D1227" t="str">
        <x:f>'Employee Attendance'!D410</x:f>
        <x:v>tecla.kibor@pwc.com</x:v>
      </x:c>
      <x:c r="E1227" t="str">
        <x:f>"Option 2"</x:f>
        <x:v>Option 2</x:v>
      </x:c>
      <x:c r="F1227" s="14" t="n">
        <x:f>'Employee Attendance'!G410</x:f>
        <x:v>0</x:v>
      </x:c>
      <x:c r="G1227" t="n">
        <x:f>F1227*86400</x:f>
        <x:v>0</x:v>
      </x:c>
      <x:c r="H1227" t="str">
        <x:f>'Employee Attendance'!H410</x:f>
        <x:v>Did not attend</x:v>
      </x:c>
      <x:c r="I1227" t="str">
        <x:f>'Employee Attendance'!L410</x:f>
        <x:v>No</x:v>
      </x:c>
    </x:row>
    <x:row r="1228">
      <x:c r="A1228" t="str">
        <x:f>'Employee Attendance'!A410</x:f>
        <x:v>Tecla Kibor</x:v>
      </x:c>
      <x:c r="B1228" t="str">
        <x:f>'Employee Attendance'!B410</x:f>
        <x:v>Kenya</x:v>
      </x:c>
      <x:c r="C1228" t="str">
        <x:f>'Employee Attendance'!C410</x:f>
        <x:v>KE</x:v>
      </x:c>
      <x:c r="D1228" t="str">
        <x:f>'Employee Attendance'!D410</x:f>
        <x:v>tecla.kibor@pwc.com</x:v>
      </x:c>
      <x:c r="E1228" t="str">
        <x:f>"Combined"</x:f>
        <x:v>Combined</x:v>
      </x:c>
      <x:c r="F1228" s="14" t="n">
        <x:f>'Employee Attendance'!I410</x:f>
        <x:v>0.08699074074074074</x:v>
      </x:c>
      <x:c r="G1228" t="n">
        <x:f>F1228*86400</x:f>
        <x:v>7516</x:v>
      </x:c>
      <x:c r="H1228" t="str">
        <x:f>'Employee Attendance'!J410</x:f>
        <x:v>Fully attended</x:v>
      </x:c>
      <x:c r="I1228" t="str">
        <x:f>IF(OR('Employee Attendance'!K410="Yes",'Employee Attendance'!L410="Yes"),"Yes","No")</x:f>
        <x:v>Yes</x:v>
      </x:c>
    </x:row>
    <x:row r="1229">
      <x:c r="A1229" t="str">
        <x:f>'Employee Attendance'!A411</x:f>
        <x:v>Teddy Mbore</x:v>
      </x:c>
      <x:c r="B1229" t="str">
        <x:f>'Employee Attendance'!B411</x:f>
        <x:v>Tanzania</x:v>
      </x:c>
      <x:c r="C1229" t="str">
        <x:f>'Employee Attendance'!C411</x:f>
        <x:v>TZ</x:v>
      </x:c>
      <x:c r="D1229" t="str">
        <x:f>'Employee Attendance'!D411</x:f>
        <x:v>teddy.mbore@pwc.com</x:v>
      </x:c>
      <x:c r="E1229" t="str">
        <x:f>"Option 1"</x:f>
        <x:v>Option 1</x:v>
      </x:c>
      <x:c r="F1229" s="14" t="n">
        <x:f>'Employee Attendance'!E411</x:f>
        <x:v>0.06253472222222223</x:v>
      </x:c>
      <x:c r="G1229" t="n">
        <x:f>F1229*86400</x:f>
        <x:v>5403.000000000001</x:v>
      </x:c>
      <x:c r="H1229" t="str">
        <x:f>'Employee Attendance'!F411</x:f>
        <x:v>Fully attended</x:v>
      </x:c>
      <x:c r="I1229" t="str">
        <x:f>'Employee Attendance'!K411</x:f>
        <x:v>Yes</x:v>
      </x:c>
    </x:row>
    <x:row r="1230">
      <x:c r="A1230" t="str">
        <x:f>'Employee Attendance'!A411</x:f>
        <x:v>Teddy Mbore</x:v>
      </x:c>
      <x:c r="B1230" t="str">
        <x:f>'Employee Attendance'!B411</x:f>
        <x:v>Tanzania</x:v>
      </x:c>
      <x:c r="C1230" t="str">
        <x:f>'Employee Attendance'!C411</x:f>
        <x:v>TZ</x:v>
      </x:c>
      <x:c r="D1230" t="str">
        <x:f>'Employee Attendance'!D411</x:f>
        <x:v>teddy.mbore@pwc.com</x:v>
      </x:c>
      <x:c r="E1230" t="str">
        <x:f>"Option 2"</x:f>
        <x:v>Option 2</x:v>
      </x:c>
      <x:c r="F1230" s="14" t="n">
        <x:f>'Employee Attendance'!G411</x:f>
        <x:v>0</x:v>
      </x:c>
      <x:c r="G1230" t="n">
        <x:f>F1230*86400</x:f>
        <x:v>0</x:v>
      </x:c>
      <x:c r="H1230" t="str">
        <x:f>'Employee Attendance'!H411</x:f>
        <x:v>Did not attend</x:v>
      </x:c>
      <x:c r="I1230" t="str">
        <x:f>'Employee Attendance'!L411</x:f>
        <x:v>No</x:v>
      </x:c>
    </x:row>
    <x:row r="1231">
      <x:c r="A1231" t="str">
        <x:f>'Employee Attendance'!A411</x:f>
        <x:v>Teddy Mbore</x:v>
      </x:c>
      <x:c r="B1231" t="str">
        <x:f>'Employee Attendance'!B411</x:f>
        <x:v>Tanzania</x:v>
      </x:c>
      <x:c r="C1231" t="str">
        <x:f>'Employee Attendance'!C411</x:f>
        <x:v>TZ</x:v>
      </x:c>
      <x:c r="D1231" t="str">
        <x:f>'Employee Attendance'!D411</x:f>
        <x:v>teddy.mbore@pwc.com</x:v>
      </x:c>
      <x:c r="E1231" t="str">
        <x:f>"Combined"</x:f>
        <x:v>Combined</x:v>
      </x:c>
      <x:c r="F1231" s="14" t="n">
        <x:f>'Employee Attendance'!I411</x:f>
        <x:v>0.06253472222222223</x:v>
      </x:c>
      <x:c r="G1231" t="n">
        <x:f>F1231*86400</x:f>
        <x:v>5403.000000000001</x:v>
      </x:c>
      <x:c r="H1231" t="str">
        <x:f>'Employee Attendance'!J411</x:f>
        <x:v>Fully attended</x:v>
      </x:c>
      <x:c r="I1231" t="str">
        <x:f>IF(OR('Employee Attendance'!K411="Yes",'Employee Attendance'!L411="Yes"),"Yes","No")</x:f>
        <x:v>Yes</x:v>
      </x:c>
    </x:row>
    <x:row r="1232">
      <x:c r="A1232" t="str">
        <x:f>'Employee Attendance'!A412</x:f>
        <x:v>Teeleswarsing Sookhy</x:v>
      </x:c>
      <x:c r="B1232" t="str">
        <x:f>'Employee Attendance'!B412</x:f>
        <x:v>Mauritius</x:v>
      </x:c>
      <x:c r="C1232" t="str">
        <x:f>'Employee Attendance'!C412</x:f>
        <x:v>MU</x:v>
      </x:c>
      <x:c r="D1232" t="str">
        <x:f>'Employee Attendance'!D412</x:f>
        <x:v>teeleswarsing.sookhy@pwc.com</x:v>
      </x:c>
      <x:c r="E1232" t="str">
        <x:f>"Option 1"</x:f>
        <x:v>Option 1</x:v>
      </x:c>
      <x:c r="F1232" s="14" t="n">
        <x:f>'Employee Attendance'!E412</x:f>
        <x:v>0</x:v>
      </x:c>
      <x:c r="G1232" t="n">
        <x:f>F1232*86400</x:f>
        <x:v>0</x:v>
      </x:c>
      <x:c r="H1232" t="str">
        <x:f>'Employee Attendance'!F412</x:f>
        <x:v>Did not attend</x:v>
      </x:c>
      <x:c r="I1232" t="str">
        <x:f>'Employee Attendance'!K412</x:f>
        <x:v>No</x:v>
      </x:c>
    </x:row>
    <x:row r="1233">
      <x:c r="A1233" t="str">
        <x:f>'Employee Attendance'!A412</x:f>
        <x:v>Teeleswarsing Sookhy</x:v>
      </x:c>
      <x:c r="B1233" t="str">
        <x:f>'Employee Attendance'!B412</x:f>
        <x:v>Mauritius</x:v>
      </x:c>
      <x:c r="C1233" t="str">
        <x:f>'Employee Attendance'!C412</x:f>
        <x:v>MU</x:v>
      </x:c>
      <x:c r="D1233" t="str">
        <x:f>'Employee Attendance'!D412</x:f>
        <x:v>teeleswarsing.sookhy@pwc.com</x:v>
      </x:c>
      <x:c r="E1233" t="str">
        <x:f>"Option 2"</x:f>
        <x:v>Option 2</x:v>
      </x:c>
      <x:c r="F1233" s="14" t="n">
        <x:f>'Employee Attendance'!G412</x:f>
        <x:v>0.0778125</x:v>
      </x:c>
      <x:c r="G1233" t="n">
        <x:f>F1233*86400</x:f>
        <x:v>6723.000000000001</x:v>
      </x:c>
      <x:c r="H1233" t="str">
        <x:f>'Employee Attendance'!H412</x:f>
        <x:v>Fully attended</x:v>
      </x:c>
      <x:c r="I1233" t="str">
        <x:f>'Employee Attendance'!L412</x:f>
        <x:v>Yes</x:v>
      </x:c>
    </x:row>
    <x:row r="1234">
      <x:c r="A1234" t="str">
        <x:f>'Employee Attendance'!A412</x:f>
        <x:v>Teeleswarsing Sookhy</x:v>
      </x:c>
      <x:c r="B1234" t="str">
        <x:f>'Employee Attendance'!B412</x:f>
        <x:v>Mauritius</x:v>
      </x:c>
      <x:c r="C1234" t="str">
        <x:f>'Employee Attendance'!C412</x:f>
        <x:v>MU</x:v>
      </x:c>
      <x:c r="D1234" t="str">
        <x:f>'Employee Attendance'!D412</x:f>
        <x:v>teeleswarsing.sookhy@pwc.com</x:v>
      </x:c>
      <x:c r="E1234" t="str">
        <x:f>"Combined"</x:f>
        <x:v>Combined</x:v>
      </x:c>
      <x:c r="F1234" s="14" t="n">
        <x:f>'Employee Attendance'!I412</x:f>
        <x:v>0.0778125</x:v>
      </x:c>
      <x:c r="G1234" t="n">
        <x:f>F1234*86400</x:f>
        <x:v>6723.000000000001</x:v>
      </x:c>
      <x:c r="H1234" t="str">
        <x:f>'Employee Attendance'!J412</x:f>
        <x:v>Fully attended</x:v>
      </x:c>
      <x:c r="I1234" t="str">
        <x:f>IF(OR('Employee Attendance'!K412="Yes",'Employee Attendance'!L412="Yes"),"Yes","No")</x:f>
        <x:v>Yes</x:v>
      </x:c>
    </x:row>
    <x:row r="1235">
      <x:c r="A1235" t="str">
        <x:f>'Employee Attendance'!A413</x:f>
        <x:v>Teresiah Maina</x:v>
      </x:c>
      <x:c r="B1235" t="str">
        <x:f>'Employee Attendance'!B413</x:f>
        <x:v>Kenya</x:v>
      </x:c>
      <x:c r="C1235" t="str">
        <x:f>'Employee Attendance'!C413</x:f>
        <x:v>KE</x:v>
      </x:c>
      <x:c r="D1235" t="str">
        <x:f>'Employee Attendance'!D413</x:f>
        <x:v>teresiah.maina@pwc.com</x:v>
      </x:c>
      <x:c r="E1235" t="str">
        <x:f>"Option 1"</x:f>
        <x:v>Option 1</x:v>
      </x:c>
      <x:c r="F1235" s="14" t="n">
        <x:f>'Employee Attendance'!E413</x:f>
        <x:v>0</x:v>
      </x:c>
      <x:c r="G1235" t="n">
        <x:f>F1235*86400</x:f>
        <x:v>0</x:v>
      </x:c>
      <x:c r="H1235" t="str">
        <x:f>'Employee Attendance'!F413</x:f>
        <x:v>Did not attend</x:v>
      </x:c>
      <x:c r="I1235" t="str">
        <x:f>'Employee Attendance'!K413</x:f>
        <x:v>No</x:v>
      </x:c>
    </x:row>
    <x:row r="1236">
      <x:c r="A1236" t="str">
        <x:f>'Employee Attendance'!A413</x:f>
        <x:v>Teresiah Maina</x:v>
      </x:c>
      <x:c r="B1236" t="str">
        <x:f>'Employee Attendance'!B413</x:f>
        <x:v>Kenya</x:v>
      </x:c>
      <x:c r="C1236" t="str">
        <x:f>'Employee Attendance'!C413</x:f>
        <x:v>KE</x:v>
      </x:c>
      <x:c r="D1236" t="str">
        <x:f>'Employee Attendance'!D413</x:f>
        <x:v>teresiah.maina@pwc.com</x:v>
      </x:c>
      <x:c r="E1236" t="str">
        <x:f>"Option 2"</x:f>
        <x:v>Option 2</x:v>
      </x:c>
      <x:c r="F1236" s="14" t="n">
        <x:f>'Employee Attendance'!G413</x:f>
        <x:v>0.07309027777777778</x:v>
      </x:c>
      <x:c r="G1236" t="n">
        <x:f>F1236*86400</x:f>
        <x:v>6315</x:v>
      </x:c>
      <x:c r="H1236" t="str">
        <x:f>'Employee Attendance'!H413</x:f>
        <x:v>Fully attended</x:v>
      </x:c>
      <x:c r="I1236" t="str">
        <x:f>'Employee Attendance'!L413</x:f>
        <x:v>Yes</x:v>
      </x:c>
    </x:row>
    <x:row r="1237">
      <x:c r="A1237" t="str">
        <x:f>'Employee Attendance'!A413</x:f>
        <x:v>Teresiah Maina</x:v>
      </x:c>
      <x:c r="B1237" t="str">
        <x:f>'Employee Attendance'!B413</x:f>
        <x:v>Kenya</x:v>
      </x:c>
      <x:c r="C1237" t="str">
        <x:f>'Employee Attendance'!C413</x:f>
        <x:v>KE</x:v>
      </x:c>
      <x:c r="D1237" t="str">
        <x:f>'Employee Attendance'!D413</x:f>
        <x:v>teresiah.maina@pwc.com</x:v>
      </x:c>
      <x:c r="E1237" t="str">
        <x:f>"Combined"</x:f>
        <x:v>Combined</x:v>
      </x:c>
      <x:c r="F1237" s="14" t="n">
        <x:f>'Employee Attendance'!I413</x:f>
        <x:v>0.07309027777777778</x:v>
      </x:c>
      <x:c r="G1237" t="n">
        <x:f>F1237*86400</x:f>
        <x:v>6315</x:v>
      </x:c>
      <x:c r="H1237" t="str">
        <x:f>'Employee Attendance'!J413</x:f>
        <x:v>Fully attended</x:v>
      </x:c>
      <x:c r="I1237" t="str">
        <x:f>IF(OR('Employee Attendance'!K413="Yes",'Employee Attendance'!L413="Yes"),"Yes","No")</x:f>
        <x:v>Yes</x:v>
      </x:c>
    </x:row>
    <x:row r="1238">
      <x:c r="A1238" t="str">
        <x:f>'Employee Attendance'!A414</x:f>
        <x:v>Theresa Namakula</x:v>
      </x:c>
      <x:c r="B1238" t="str">
        <x:f>'Employee Attendance'!B414</x:f>
        <x:v>Uganda</x:v>
      </x:c>
      <x:c r="C1238" t="str">
        <x:f>'Employee Attendance'!C414</x:f>
        <x:v>UG</x:v>
      </x:c>
      <x:c r="D1238" t="str">
        <x:f>'Employee Attendance'!D414</x:f>
        <x:v>theresa.k.namakula@pwc.com</x:v>
      </x:c>
      <x:c r="E1238" t="str">
        <x:f>"Option 1"</x:f>
        <x:v>Option 1</x:v>
      </x:c>
      <x:c r="F1238" s="14" t="n">
        <x:f>'Employee Attendance'!E414</x:f>
        <x:v>0.0862962962962963</x:v>
      </x:c>
      <x:c r="G1238" t="n">
        <x:f>F1238*86400</x:f>
        <x:v>7456</x:v>
      </x:c>
      <x:c r="H1238" t="str">
        <x:f>'Employee Attendance'!F414</x:f>
        <x:v>Fully attended</x:v>
      </x:c>
      <x:c r="I1238" t="str">
        <x:f>'Employee Attendance'!K414</x:f>
        <x:v>Yes</x:v>
      </x:c>
    </x:row>
    <x:row r="1239">
      <x:c r="A1239" t="str">
        <x:f>'Employee Attendance'!A414</x:f>
        <x:v>Theresa Namakula</x:v>
      </x:c>
      <x:c r="B1239" t="str">
        <x:f>'Employee Attendance'!B414</x:f>
        <x:v>Uganda</x:v>
      </x:c>
      <x:c r="C1239" t="str">
        <x:f>'Employee Attendance'!C414</x:f>
        <x:v>UG</x:v>
      </x:c>
      <x:c r="D1239" t="str">
        <x:f>'Employee Attendance'!D414</x:f>
        <x:v>theresa.k.namakula@pwc.com</x:v>
      </x:c>
      <x:c r="E1239" t="str">
        <x:f>"Option 2"</x:f>
        <x:v>Option 2</x:v>
      </x:c>
      <x:c r="F1239" s="14" t="n">
        <x:f>'Employee Attendance'!G414</x:f>
        <x:v>0</x:v>
      </x:c>
      <x:c r="G1239" t="n">
        <x:f>F1239*86400</x:f>
        <x:v>0</x:v>
      </x:c>
      <x:c r="H1239" t="str">
        <x:f>'Employee Attendance'!H414</x:f>
        <x:v>Did not attend</x:v>
      </x:c>
      <x:c r="I1239" t="str">
        <x:f>'Employee Attendance'!L414</x:f>
        <x:v>No</x:v>
      </x:c>
    </x:row>
    <x:row r="1240">
      <x:c r="A1240" t="str">
        <x:f>'Employee Attendance'!A414</x:f>
        <x:v>Theresa Namakula</x:v>
      </x:c>
      <x:c r="B1240" t="str">
        <x:f>'Employee Attendance'!B414</x:f>
        <x:v>Uganda</x:v>
      </x:c>
      <x:c r="C1240" t="str">
        <x:f>'Employee Attendance'!C414</x:f>
        <x:v>UG</x:v>
      </x:c>
      <x:c r="D1240" t="str">
        <x:f>'Employee Attendance'!D414</x:f>
        <x:v>theresa.k.namakula@pwc.com</x:v>
      </x:c>
      <x:c r="E1240" t="str">
        <x:f>"Combined"</x:f>
        <x:v>Combined</x:v>
      </x:c>
      <x:c r="F1240" s="14" t="n">
        <x:f>'Employee Attendance'!I414</x:f>
        <x:v>0.0862962962962963</x:v>
      </x:c>
      <x:c r="G1240" t="n">
        <x:f>F1240*86400</x:f>
        <x:v>7456</x:v>
      </x:c>
      <x:c r="H1240" t="str">
        <x:f>'Employee Attendance'!J414</x:f>
        <x:v>Fully attended</x:v>
      </x:c>
      <x:c r="I1240" t="str">
        <x:f>IF(OR('Employee Attendance'!K414="Yes",'Employee Attendance'!L414="Yes"),"Yes","No")</x:f>
        <x:v>Yes</x:v>
      </x:c>
    </x:row>
    <x:row r="1241">
      <x:c r="A1241" t="str">
        <x:f>'Employee Attendance'!A415</x:f>
        <x:v>Titus Rotich</x:v>
      </x:c>
      <x:c r="B1241" t="str">
        <x:f>'Employee Attendance'!B415</x:f>
        <x:v>Kenya</x:v>
      </x:c>
      <x:c r="C1241" t="str">
        <x:f>'Employee Attendance'!C415</x:f>
        <x:v>KE</x:v>
      </x:c>
      <x:c r="D1241" t="str">
        <x:f>'Employee Attendance'!D415</x:f>
        <x:v>titus.rotich@pwc.com</x:v>
      </x:c>
      <x:c r="E1241" t="str">
        <x:f>"Option 1"</x:f>
        <x:v>Option 1</x:v>
      </x:c>
      <x:c r="F1241" s="14" t="n">
        <x:f>'Employee Attendance'!E415</x:f>
        <x:v>0</x:v>
      </x:c>
      <x:c r="G1241" t="n">
        <x:f>F1241*86400</x:f>
        <x:v>0</x:v>
      </x:c>
      <x:c r="H1241" t="str">
        <x:f>'Employee Attendance'!F415</x:f>
        <x:v>Did not attend</x:v>
      </x:c>
      <x:c r="I1241" t="str">
        <x:f>'Employee Attendance'!K415</x:f>
        <x:v>No</x:v>
      </x:c>
    </x:row>
    <x:row r="1242">
      <x:c r="A1242" t="str">
        <x:f>'Employee Attendance'!A415</x:f>
        <x:v>Titus Rotich</x:v>
      </x:c>
      <x:c r="B1242" t="str">
        <x:f>'Employee Attendance'!B415</x:f>
        <x:v>Kenya</x:v>
      </x:c>
      <x:c r="C1242" t="str">
        <x:f>'Employee Attendance'!C415</x:f>
        <x:v>KE</x:v>
      </x:c>
      <x:c r="D1242" t="str">
        <x:f>'Employee Attendance'!D415</x:f>
        <x:v>titus.rotich@pwc.com</x:v>
      </x:c>
      <x:c r="E1242" t="str">
        <x:f>"Option 2"</x:f>
        <x:v>Option 2</x:v>
      </x:c>
      <x:c r="F1242" s="14" t="n">
        <x:f>'Employee Attendance'!G415</x:f>
        <x:v>0.08765046296296296</x:v>
      </x:c>
      <x:c r="G1242" t="n">
        <x:f>F1242*86400</x:f>
        <x:v>7573</x:v>
      </x:c>
      <x:c r="H1242" t="str">
        <x:f>'Employee Attendance'!H415</x:f>
        <x:v>Fully attended</x:v>
      </x:c>
      <x:c r="I1242" t="str">
        <x:f>'Employee Attendance'!L415</x:f>
        <x:v>Yes</x:v>
      </x:c>
    </x:row>
    <x:row r="1243">
      <x:c r="A1243" t="str">
        <x:f>'Employee Attendance'!A415</x:f>
        <x:v>Titus Rotich</x:v>
      </x:c>
      <x:c r="B1243" t="str">
        <x:f>'Employee Attendance'!B415</x:f>
        <x:v>Kenya</x:v>
      </x:c>
      <x:c r="C1243" t="str">
        <x:f>'Employee Attendance'!C415</x:f>
        <x:v>KE</x:v>
      </x:c>
      <x:c r="D1243" t="str">
        <x:f>'Employee Attendance'!D415</x:f>
        <x:v>titus.rotich@pwc.com</x:v>
      </x:c>
      <x:c r="E1243" t="str">
        <x:f>"Combined"</x:f>
        <x:v>Combined</x:v>
      </x:c>
      <x:c r="F1243" s="14" t="n">
        <x:f>'Employee Attendance'!I415</x:f>
        <x:v>0.08765046296296296</x:v>
      </x:c>
      <x:c r="G1243" t="n">
        <x:f>F1243*86400</x:f>
        <x:v>7573</x:v>
      </x:c>
      <x:c r="H1243" t="str">
        <x:f>'Employee Attendance'!J415</x:f>
        <x:v>Fully attended</x:v>
      </x:c>
      <x:c r="I1243" t="str">
        <x:f>IF(OR('Employee Attendance'!K415="Yes",'Employee Attendance'!L415="Yes"),"Yes","No")</x:f>
        <x:v>Yes</x:v>
      </x:c>
    </x:row>
    <x:row r="1244">
      <x:c r="A1244" t="str">
        <x:f>'Employee Attendance'!A416</x:f>
        <x:v>Tonny Odindo</x:v>
      </x:c>
      <x:c r="B1244" t="str">
        <x:f>'Employee Attendance'!B416</x:f>
        <x:v>Kenya</x:v>
      </x:c>
      <x:c r="C1244" t="str">
        <x:f>'Employee Attendance'!C416</x:f>
        <x:v>KE</x:v>
      </x:c>
      <x:c r="D1244" t="str">
        <x:f>'Employee Attendance'!D416</x:f>
        <x:v>tonny.odindo@pwc.com</x:v>
      </x:c>
      <x:c r="E1244" t="str">
        <x:f>"Option 1"</x:f>
        <x:v>Option 1</x:v>
      </x:c>
      <x:c r="F1244" s="14" t="n">
        <x:f>'Employee Attendance'!E416</x:f>
        <x:v>0</x:v>
      </x:c>
      <x:c r="G1244" t="n">
        <x:f>F1244*86400</x:f>
        <x:v>0</x:v>
      </x:c>
      <x:c r="H1244" t="str">
        <x:f>'Employee Attendance'!F416</x:f>
        <x:v>Did not attend</x:v>
      </x:c>
      <x:c r="I1244" t="str">
        <x:f>'Employee Attendance'!K416</x:f>
        <x:v>No</x:v>
      </x:c>
    </x:row>
    <x:row r="1245">
      <x:c r="A1245" t="str">
        <x:f>'Employee Attendance'!A416</x:f>
        <x:v>Tonny Odindo</x:v>
      </x:c>
      <x:c r="B1245" t="str">
        <x:f>'Employee Attendance'!B416</x:f>
        <x:v>Kenya</x:v>
      </x:c>
      <x:c r="C1245" t="str">
        <x:f>'Employee Attendance'!C416</x:f>
        <x:v>KE</x:v>
      </x:c>
      <x:c r="D1245" t="str">
        <x:f>'Employee Attendance'!D416</x:f>
        <x:v>tonny.odindo@pwc.com</x:v>
      </x:c>
      <x:c r="E1245" t="str">
        <x:f>"Option 2"</x:f>
        <x:v>Option 2</x:v>
      </x:c>
      <x:c r="F1245" s="14" t="n">
        <x:f>'Employee Attendance'!G416</x:f>
        <x:v>0.07752314814814815</x:v>
      </x:c>
      <x:c r="G1245" t="n">
        <x:f>F1245*86400</x:f>
        <x:v>6698</x:v>
      </x:c>
      <x:c r="H1245" t="str">
        <x:f>'Employee Attendance'!H416</x:f>
        <x:v>Fully attended</x:v>
      </x:c>
      <x:c r="I1245" t="str">
        <x:f>'Employee Attendance'!L416</x:f>
        <x:v>Yes</x:v>
      </x:c>
    </x:row>
    <x:row r="1246">
      <x:c r="A1246" t="str">
        <x:f>'Employee Attendance'!A416</x:f>
        <x:v>Tonny Odindo</x:v>
      </x:c>
      <x:c r="B1246" t="str">
        <x:f>'Employee Attendance'!B416</x:f>
        <x:v>Kenya</x:v>
      </x:c>
      <x:c r="C1246" t="str">
        <x:f>'Employee Attendance'!C416</x:f>
        <x:v>KE</x:v>
      </x:c>
      <x:c r="D1246" t="str">
        <x:f>'Employee Attendance'!D416</x:f>
        <x:v>tonny.odindo@pwc.com</x:v>
      </x:c>
      <x:c r="E1246" t="str">
        <x:f>"Combined"</x:f>
        <x:v>Combined</x:v>
      </x:c>
      <x:c r="F1246" s="14" t="n">
        <x:f>'Employee Attendance'!I416</x:f>
        <x:v>0.07752314814814815</x:v>
      </x:c>
      <x:c r="G1246" t="n">
        <x:f>F1246*86400</x:f>
        <x:v>6698</x:v>
      </x:c>
      <x:c r="H1246" t="str">
        <x:f>'Employee Attendance'!J416</x:f>
        <x:v>Fully attended</x:v>
      </x:c>
      <x:c r="I1246" t="str">
        <x:f>IF(OR('Employee Attendance'!K416="Yes",'Employee Attendance'!L416="Yes"),"Yes","No")</x:f>
        <x:v>Yes</x:v>
      </x:c>
    </x:row>
    <x:row r="1247">
      <x:c r="A1247" t="str">
        <x:f>'Employee Attendance'!A417</x:f>
        <x:v>Trishtee Gopeechund</x:v>
      </x:c>
      <x:c r="B1247" t="str">
        <x:f>'Employee Attendance'!B417</x:f>
        <x:v>Mauritius</x:v>
      </x:c>
      <x:c r="C1247" t="str">
        <x:f>'Employee Attendance'!C417</x:f>
        <x:v>MU</x:v>
      </x:c>
      <x:c r="D1247" t="str">
        <x:f>'Employee Attendance'!D417</x:f>
        <x:v>trishtee.gopeechund@pwc.com</x:v>
      </x:c>
      <x:c r="E1247" t="str">
        <x:f>"Option 1"</x:f>
        <x:v>Option 1</x:v>
      </x:c>
      <x:c r="F1247" s="14" t="n">
        <x:f>'Employee Attendance'!E417</x:f>
        <x:v>0.07481481481481482</x:v>
      </x:c>
      <x:c r="G1247" t="n">
        <x:f>F1247*86400</x:f>
        <x:v>6464.000000000001</x:v>
      </x:c>
      <x:c r="H1247" t="str">
        <x:f>'Employee Attendance'!F417</x:f>
        <x:v>Fully attended</x:v>
      </x:c>
      <x:c r="I1247" t="str">
        <x:f>'Employee Attendance'!K417</x:f>
        <x:v>Yes</x:v>
      </x:c>
    </x:row>
    <x:row r="1248">
      <x:c r="A1248" t="str">
        <x:f>'Employee Attendance'!A417</x:f>
        <x:v>Trishtee Gopeechund</x:v>
      </x:c>
      <x:c r="B1248" t="str">
        <x:f>'Employee Attendance'!B417</x:f>
        <x:v>Mauritius</x:v>
      </x:c>
      <x:c r="C1248" t="str">
        <x:f>'Employee Attendance'!C417</x:f>
        <x:v>MU</x:v>
      </x:c>
      <x:c r="D1248" t="str">
        <x:f>'Employee Attendance'!D417</x:f>
        <x:v>trishtee.gopeechund@pwc.com</x:v>
      </x:c>
      <x:c r="E1248" t="str">
        <x:f>"Option 2"</x:f>
        <x:v>Option 2</x:v>
      </x:c>
      <x:c r="F1248" s="14" t="n">
        <x:f>'Employee Attendance'!G417</x:f>
        <x:v>0</x:v>
      </x:c>
      <x:c r="G1248" t="n">
        <x:f>F1248*86400</x:f>
        <x:v>0</x:v>
      </x:c>
      <x:c r="H1248" t="str">
        <x:f>'Employee Attendance'!H417</x:f>
        <x:v>Did not attend</x:v>
      </x:c>
      <x:c r="I1248" t="str">
        <x:f>'Employee Attendance'!L417</x:f>
        <x:v>No</x:v>
      </x:c>
    </x:row>
    <x:row r="1249">
      <x:c r="A1249" t="str">
        <x:f>'Employee Attendance'!A417</x:f>
        <x:v>Trishtee Gopeechund</x:v>
      </x:c>
      <x:c r="B1249" t="str">
        <x:f>'Employee Attendance'!B417</x:f>
        <x:v>Mauritius</x:v>
      </x:c>
      <x:c r="C1249" t="str">
        <x:f>'Employee Attendance'!C417</x:f>
        <x:v>MU</x:v>
      </x:c>
      <x:c r="D1249" t="str">
        <x:f>'Employee Attendance'!D417</x:f>
        <x:v>trishtee.gopeechund@pwc.com</x:v>
      </x:c>
      <x:c r="E1249" t="str">
        <x:f>"Combined"</x:f>
        <x:v>Combined</x:v>
      </x:c>
      <x:c r="F1249" s="14" t="n">
        <x:f>'Employee Attendance'!I417</x:f>
        <x:v>0.07481481481481482</x:v>
      </x:c>
      <x:c r="G1249" t="n">
        <x:f>F1249*86400</x:f>
        <x:v>6464.000000000001</x:v>
      </x:c>
      <x:c r="H1249" t="str">
        <x:f>'Employee Attendance'!J417</x:f>
        <x:v>Fully attended</x:v>
      </x:c>
      <x:c r="I1249" t="str">
        <x:f>IF(OR('Employee Attendance'!K417="Yes",'Employee Attendance'!L417="Yes"),"Yes","No")</x:f>
        <x:v>Yes</x:v>
      </x:c>
    </x:row>
    <x:row r="1250">
      <x:c r="A1250" t="str">
        <x:f>'Employee Attendance'!A418</x:f>
        <x:v>Trivedi Dabypersad</x:v>
      </x:c>
      <x:c r="B1250" t="str">
        <x:f>'Employee Attendance'!B418</x:f>
        <x:v>Mauritius</x:v>
      </x:c>
      <x:c r="C1250" t="str">
        <x:f>'Employee Attendance'!C418</x:f>
        <x:v>MU</x:v>
      </x:c>
      <x:c r="D1250" t="str">
        <x:f>'Employee Attendance'!D418</x:f>
        <x:v>trivedi.dabypersad@pwc.com</x:v>
      </x:c>
      <x:c r="E1250" t="str">
        <x:f>"Option 1"</x:f>
        <x:v>Option 1</x:v>
      </x:c>
      <x:c r="F1250" s="14" t="n">
        <x:f>'Employee Attendance'!E418</x:f>
        <x:v>0.0725462962962963</x:v>
      </x:c>
      <x:c r="G1250" t="n">
        <x:f>F1250*86400</x:f>
        <x:v>6268.000000000001</x:v>
      </x:c>
      <x:c r="H1250" t="str">
        <x:f>'Employee Attendance'!F418</x:f>
        <x:v>Fully attended</x:v>
      </x:c>
      <x:c r="I1250" t="str">
        <x:f>'Employee Attendance'!K418</x:f>
        <x:v>Yes</x:v>
      </x:c>
    </x:row>
    <x:row r="1251">
      <x:c r="A1251" t="str">
        <x:f>'Employee Attendance'!A418</x:f>
        <x:v>Trivedi Dabypersad</x:v>
      </x:c>
      <x:c r="B1251" t="str">
        <x:f>'Employee Attendance'!B418</x:f>
        <x:v>Mauritius</x:v>
      </x:c>
      <x:c r="C1251" t="str">
        <x:f>'Employee Attendance'!C418</x:f>
        <x:v>MU</x:v>
      </x:c>
      <x:c r="D1251" t="str">
        <x:f>'Employee Attendance'!D418</x:f>
        <x:v>trivedi.dabypersad@pwc.com</x:v>
      </x:c>
      <x:c r="E1251" t="str">
        <x:f>"Option 2"</x:f>
        <x:v>Option 2</x:v>
      </x:c>
      <x:c r="F1251" s="14" t="n">
        <x:f>'Employee Attendance'!G418</x:f>
        <x:v>0</x:v>
      </x:c>
      <x:c r="G1251" t="n">
        <x:f>F1251*86400</x:f>
        <x:v>0</x:v>
      </x:c>
      <x:c r="H1251" t="str">
        <x:f>'Employee Attendance'!H418</x:f>
        <x:v>Did not attend</x:v>
      </x:c>
      <x:c r="I1251" t="str">
        <x:f>'Employee Attendance'!L418</x:f>
        <x:v>No</x:v>
      </x:c>
    </x:row>
    <x:row r="1252">
      <x:c r="A1252" t="str">
        <x:f>'Employee Attendance'!A418</x:f>
        <x:v>Trivedi Dabypersad</x:v>
      </x:c>
      <x:c r="B1252" t="str">
        <x:f>'Employee Attendance'!B418</x:f>
        <x:v>Mauritius</x:v>
      </x:c>
      <x:c r="C1252" t="str">
        <x:f>'Employee Attendance'!C418</x:f>
        <x:v>MU</x:v>
      </x:c>
      <x:c r="D1252" t="str">
        <x:f>'Employee Attendance'!D418</x:f>
        <x:v>trivedi.dabypersad@pwc.com</x:v>
      </x:c>
      <x:c r="E1252" t="str">
        <x:f>"Combined"</x:f>
        <x:v>Combined</x:v>
      </x:c>
      <x:c r="F1252" s="14" t="n">
        <x:f>'Employee Attendance'!I418</x:f>
        <x:v>0.0725462962962963</x:v>
      </x:c>
      <x:c r="G1252" t="n">
        <x:f>F1252*86400</x:f>
        <x:v>6268.000000000001</x:v>
      </x:c>
      <x:c r="H1252" t="str">
        <x:f>'Employee Attendance'!J418</x:f>
        <x:v>Fully attended</x:v>
      </x:c>
      <x:c r="I1252" t="str">
        <x:f>IF(OR('Employee Attendance'!K418="Yes",'Employee Attendance'!L418="Yes"),"Yes","No")</x:f>
        <x:v>Yes</x:v>
      </x:c>
    </x:row>
    <x:row r="1253">
      <x:c r="A1253" t="str">
        <x:f>'Employee Attendance'!A419</x:f>
        <x:v>Twaambo Milimo</x:v>
      </x:c>
      <x:c r="B1253" t="str">
        <x:f>'Employee Attendance'!B419</x:f>
        <x:v>Zambia</x:v>
      </x:c>
      <x:c r="C1253" t="str">
        <x:f>'Employee Attendance'!C419</x:f>
        <x:v>ZM</x:v>
      </x:c>
      <x:c r="D1253" t="str">
        <x:f>'Employee Attendance'!D419</x:f>
        <x:v>twaambo.m.milimo@pwc.com</x:v>
      </x:c>
      <x:c r="E1253" t="str">
        <x:f>"Option 1"</x:f>
        <x:v>Option 1</x:v>
      </x:c>
      <x:c r="F1253" s="14" t="n">
        <x:f>'Employee Attendance'!E419</x:f>
        <x:v>0.08409722222222223</x:v>
      </x:c>
      <x:c r="G1253" t="n">
        <x:f>F1253*86400</x:f>
        <x:v>7266</x:v>
      </x:c>
      <x:c r="H1253" t="str">
        <x:f>'Employee Attendance'!F419</x:f>
        <x:v>Fully attended</x:v>
      </x:c>
      <x:c r="I1253" t="str">
        <x:f>'Employee Attendance'!K419</x:f>
        <x:v>Yes</x:v>
      </x:c>
    </x:row>
    <x:row r="1254">
      <x:c r="A1254" t="str">
        <x:f>'Employee Attendance'!A419</x:f>
        <x:v>Twaambo Milimo</x:v>
      </x:c>
      <x:c r="B1254" t="str">
        <x:f>'Employee Attendance'!B419</x:f>
        <x:v>Zambia</x:v>
      </x:c>
      <x:c r="C1254" t="str">
        <x:f>'Employee Attendance'!C419</x:f>
        <x:v>ZM</x:v>
      </x:c>
      <x:c r="D1254" t="str">
        <x:f>'Employee Attendance'!D419</x:f>
        <x:v>twaambo.m.milimo@pwc.com</x:v>
      </x:c>
      <x:c r="E1254" t="str">
        <x:f>"Option 2"</x:f>
        <x:v>Option 2</x:v>
      </x:c>
      <x:c r="F1254" s="14" t="n">
        <x:f>'Employee Attendance'!G419</x:f>
        <x:v>0</x:v>
      </x:c>
      <x:c r="G1254" t="n">
        <x:f>F1254*86400</x:f>
        <x:v>0</x:v>
      </x:c>
      <x:c r="H1254" t="str">
        <x:f>'Employee Attendance'!H419</x:f>
        <x:v>Did not attend</x:v>
      </x:c>
      <x:c r="I1254" t="str">
        <x:f>'Employee Attendance'!L419</x:f>
        <x:v>No</x:v>
      </x:c>
    </x:row>
    <x:row r="1255">
      <x:c r="A1255" t="str">
        <x:f>'Employee Attendance'!A419</x:f>
        <x:v>Twaambo Milimo</x:v>
      </x:c>
      <x:c r="B1255" t="str">
        <x:f>'Employee Attendance'!B419</x:f>
        <x:v>Zambia</x:v>
      </x:c>
      <x:c r="C1255" t="str">
        <x:f>'Employee Attendance'!C419</x:f>
        <x:v>ZM</x:v>
      </x:c>
      <x:c r="D1255" t="str">
        <x:f>'Employee Attendance'!D419</x:f>
        <x:v>twaambo.m.milimo@pwc.com</x:v>
      </x:c>
      <x:c r="E1255" t="str">
        <x:f>"Combined"</x:f>
        <x:v>Combined</x:v>
      </x:c>
      <x:c r="F1255" s="14" t="n">
        <x:f>'Employee Attendance'!I419</x:f>
        <x:v>0.08409722222222223</x:v>
      </x:c>
      <x:c r="G1255" t="n">
        <x:f>F1255*86400</x:f>
        <x:v>7266</x:v>
      </x:c>
      <x:c r="H1255" t="str">
        <x:f>'Employee Attendance'!J419</x:f>
        <x:v>Fully attended</x:v>
      </x:c>
      <x:c r="I1255" t="str">
        <x:f>IF(OR('Employee Attendance'!K419="Yes",'Employee Attendance'!L419="Yes"),"Yes","No")</x:f>
        <x:v>Yes</x:v>
      </x:c>
    </x:row>
    <x:row r="1256">
      <x:c r="A1256" t="str">
        <x:f>'Employee Attendance'!A420</x:f>
        <x:v>Twesha Nuckecheddy</x:v>
      </x:c>
      <x:c r="B1256" t="str">
        <x:f>'Employee Attendance'!B420</x:f>
        <x:v>Mauritius</x:v>
      </x:c>
      <x:c r="C1256" t="str">
        <x:f>'Employee Attendance'!C420</x:f>
        <x:v>MU</x:v>
      </x:c>
      <x:c r="D1256" t="str">
        <x:f>'Employee Attendance'!D420</x:f>
        <x:v>twesha.nuckecheddy@pwc.com</x:v>
      </x:c>
      <x:c r="E1256" t="str">
        <x:f>"Option 1"</x:f>
        <x:v>Option 1</x:v>
      </x:c>
      <x:c r="F1256" s="14" t="n">
        <x:f>'Employee Attendance'!E420</x:f>
        <x:v>0</x:v>
      </x:c>
      <x:c r="G1256" t="n">
        <x:f>F1256*86400</x:f>
        <x:v>0</x:v>
      </x:c>
      <x:c r="H1256" t="str">
        <x:f>'Employee Attendance'!F420</x:f>
        <x:v>Did not attend</x:v>
      </x:c>
      <x:c r="I1256" t="str">
        <x:f>'Employee Attendance'!K420</x:f>
        <x:v>No</x:v>
      </x:c>
    </x:row>
    <x:row r="1257">
      <x:c r="A1257" t="str">
        <x:f>'Employee Attendance'!A420</x:f>
        <x:v>Twesha Nuckecheddy</x:v>
      </x:c>
      <x:c r="B1257" t="str">
        <x:f>'Employee Attendance'!B420</x:f>
        <x:v>Mauritius</x:v>
      </x:c>
      <x:c r="C1257" t="str">
        <x:f>'Employee Attendance'!C420</x:f>
        <x:v>MU</x:v>
      </x:c>
      <x:c r="D1257" t="str">
        <x:f>'Employee Attendance'!D420</x:f>
        <x:v>twesha.nuckecheddy@pwc.com</x:v>
      </x:c>
      <x:c r="E1257" t="str">
        <x:f>"Option 2"</x:f>
        <x:v>Option 2</x:v>
      </x:c>
      <x:c r="F1257" s="14" t="n">
        <x:f>'Employee Attendance'!G420</x:f>
        <x:v>0.07378472222222222</x:v>
      </x:c>
      <x:c r="G1257" t="n">
        <x:f>F1257*86400</x:f>
        <x:v>6375</x:v>
      </x:c>
      <x:c r="H1257" t="str">
        <x:f>'Employee Attendance'!H420</x:f>
        <x:v>Fully attended</x:v>
      </x:c>
      <x:c r="I1257" t="str">
        <x:f>'Employee Attendance'!L420</x:f>
        <x:v>Yes</x:v>
      </x:c>
    </x:row>
    <x:row r="1258">
      <x:c r="A1258" t="str">
        <x:f>'Employee Attendance'!A420</x:f>
        <x:v>Twesha Nuckecheddy</x:v>
      </x:c>
      <x:c r="B1258" t="str">
        <x:f>'Employee Attendance'!B420</x:f>
        <x:v>Mauritius</x:v>
      </x:c>
      <x:c r="C1258" t="str">
        <x:f>'Employee Attendance'!C420</x:f>
        <x:v>MU</x:v>
      </x:c>
      <x:c r="D1258" t="str">
        <x:f>'Employee Attendance'!D420</x:f>
        <x:v>twesha.nuckecheddy@pwc.com</x:v>
      </x:c>
      <x:c r="E1258" t="str">
        <x:f>"Combined"</x:f>
        <x:v>Combined</x:v>
      </x:c>
      <x:c r="F1258" s="14" t="n">
        <x:f>'Employee Attendance'!I420</x:f>
        <x:v>0.07378472222222222</x:v>
      </x:c>
      <x:c r="G1258" t="n">
        <x:f>F1258*86400</x:f>
        <x:v>6375</x:v>
      </x:c>
      <x:c r="H1258" t="str">
        <x:f>'Employee Attendance'!J420</x:f>
        <x:v>Fully attended</x:v>
      </x:c>
      <x:c r="I1258" t="str">
        <x:f>IF(OR('Employee Attendance'!K420="Yes",'Employee Attendance'!L420="Yes"),"Yes","No")</x:f>
        <x:v>Yes</x:v>
      </x:c>
    </x:row>
    <x:row r="1259">
      <x:c r="A1259" t="str">
        <x:f>'Employee Attendance'!A421</x:f>
        <x:v>Ubaid Rasmally</x:v>
      </x:c>
      <x:c r="B1259" t="str">
        <x:f>'Employee Attendance'!B421</x:f>
        <x:v>Mauritius</x:v>
      </x:c>
      <x:c r="C1259" t="str">
        <x:f>'Employee Attendance'!C421</x:f>
        <x:v>MU</x:v>
      </x:c>
      <x:c r="D1259" t="str">
        <x:f>'Employee Attendance'!D421</x:f>
        <x:v>ubaidullah.r.rasmally@pwc.com</x:v>
      </x:c>
      <x:c r="E1259" t="str">
        <x:f>"Option 1"</x:f>
        <x:v>Option 1</x:v>
      </x:c>
      <x:c r="F1259" s="14" t="n">
        <x:f>'Employee Attendance'!E421</x:f>
        <x:v>0</x:v>
      </x:c>
      <x:c r="G1259" t="n">
        <x:f>F1259*86400</x:f>
        <x:v>0</x:v>
      </x:c>
      <x:c r="H1259" t="str">
        <x:f>'Employee Attendance'!F421</x:f>
        <x:v>Did not attend</x:v>
      </x:c>
      <x:c r="I1259" t="str">
        <x:f>'Employee Attendance'!K421</x:f>
        <x:v>No</x:v>
      </x:c>
    </x:row>
    <x:row r="1260">
      <x:c r="A1260" t="str">
        <x:f>'Employee Attendance'!A421</x:f>
        <x:v>Ubaid Rasmally</x:v>
      </x:c>
      <x:c r="B1260" t="str">
        <x:f>'Employee Attendance'!B421</x:f>
        <x:v>Mauritius</x:v>
      </x:c>
      <x:c r="C1260" t="str">
        <x:f>'Employee Attendance'!C421</x:f>
        <x:v>MU</x:v>
      </x:c>
      <x:c r="D1260" t="str">
        <x:f>'Employee Attendance'!D421</x:f>
        <x:v>ubaidullah.r.rasmally@pwc.com</x:v>
      </x:c>
      <x:c r="E1260" t="str">
        <x:f>"Option 2"</x:f>
        <x:v>Option 2</x:v>
      </x:c>
      <x:c r="F1260" s="14" t="n">
        <x:f>'Employee Attendance'!G421</x:f>
        <x:v>0.07125</x:v>
      </x:c>
      <x:c r="G1260" t="n">
        <x:f>F1260*86400</x:f>
        <x:v>6155.999999999999</x:v>
      </x:c>
      <x:c r="H1260" t="str">
        <x:f>'Employee Attendance'!H421</x:f>
        <x:v>Fully attended</x:v>
      </x:c>
      <x:c r="I1260" t="str">
        <x:f>'Employee Attendance'!L421</x:f>
        <x:v>Yes</x:v>
      </x:c>
    </x:row>
    <x:row r="1261">
      <x:c r="A1261" t="str">
        <x:f>'Employee Attendance'!A421</x:f>
        <x:v>Ubaid Rasmally</x:v>
      </x:c>
      <x:c r="B1261" t="str">
        <x:f>'Employee Attendance'!B421</x:f>
        <x:v>Mauritius</x:v>
      </x:c>
      <x:c r="C1261" t="str">
        <x:f>'Employee Attendance'!C421</x:f>
        <x:v>MU</x:v>
      </x:c>
      <x:c r="D1261" t="str">
        <x:f>'Employee Attendance'!D421</x:f>
        <x:v>ubaidullah.r.rasmally@pwc.com</x:v>
      </x:c>
      <x:c r="E1261" t="str">
        <x:f>"Combined"</x:f>
        <x:v>Combined</x:v>
      </x:c>
      <x:c r="F1261" s="14" t="n">
        <x:f>'Employee Attendance'!I421</x:f>
        <x:v>0.07125</x:v>
      </x:c>
      <x:c r="G1261" t="n">
        <x:f>F1261*86400</x:f>
        <x:v>6155.999999999999</x:v>
      </x:c>
      <x:c r="H1261" t="str">
        <x:f>'Employee Attendance'!J421</x:f>
        <x:v>Fully attended</x:v>
      </x:c>
      <x:c r="I1261" t="str">
        <x:f>IF(OR('Employee Attendance'!K421="Yes",'Employee Attendance'!L421="Yes"),"Yes","No")</x:f>
        <x:v>Yes</x:v>
      </x:c>
    </x:row>
    <x:row r="1262">
      <x:c r="A1262" t="str">
        <x:f>'Employee Attendance'!A422</x:f>
        <x:v>Umair Chaudhry</x:v>
      </x:c>
      <x:c r="B1262" t="str">
        <x:f>'Employee Attendance'!B422</x:f>
        <x:v>Kenya</x:v>
      </x:c>
      <x:c r="C1262" t="str">
        <x:f>'Employee Attendance'!C422</x:f>
        <x:v>KE</x:v>
      </x:c>
      <x:c r="D1262" t="str">
        <x:f>'Employee Attendance'!D422</x:f>
        <x:v>umair.chaudhry@pwc.com</x:v>
      </x:c>
      <x:c r="E1262" t="str">
        <x:f>"Option 1"</x:f>
        <x:v>Option 1</x:v>
      </x:c>
      <x:c r="F1262" s="14" t="n">
        <x:f>'Employee Attendance'!E422</x:f>
        <x:v>0</x:v>
      </x:c>
      <x:c r="G1262" t="n">
        <x:f>F1262*86400</x:f>
        <x:v>0</x:v>
      </x:c>
      <x:c r="H1262" t="str">
        <x:f>'Employee Attendance'!F422</x:f>
        <x:v>Did not attend</x:v>
      </x:c>
      <x:c r="I1262" t="str">
        <x:f>'Employee Attendance'!K422</x:f>
        <x:v>No</x:v>
      </x:c>
    </x:row>
    <x:row r="1263">
      <x:c r="A1263" t="str">
        <x:f>'Employee Attendance'!A422</x:f>
        <x:v>Umair Chaudhry</x:v>
      </x:c>
      <x:c r="B1263" t="str">
        <x:f>'Employee Attendance'!B422</x:f>
        <x:v>Kenya</x:v>
      </x:c>
      <x:c r="C1263" t="str">
        <x:f>'Employee Attendance'!C422</x:f>
        <x:v>KE</x:v>
      </x:c>
      <x:c r="D1263" t="str">
        <x:f>'Employee Attendance'!D422</x:f>
        <x:v>umair.chaudhry@pwc.com</x:v>
      </x:c>
      <x:c r="E1263" t="str">
        <x:f>"Option 2"</x:f>
        <x:v>Option 2</x:v>
      </x:c>
      <x:c r="F1263" s="14" t="n">
        <x:f>'Employee Attendance'!G422</x:f>
        <x:v>0.09329861111111111</x:v>
      </x:c>
      <x:c r="G1263" t="n">
        <x:f>F1263*86400</x:f>
        <x:v>8061</x:v>
      </x:c>
      <x:c r="H1263" t="str">
        <x:f>'Employee Attendance'!H422</x:f>
        <x:v>Fully attended</x:v>
      </x:c>
      <x:c r="I1263" t="str">
        <x:f>'Employee Attendance'!L422</x:f>
        <x:v>Yes</x:v>
      </x:c>
    </x:row>
    <x:row r="1264">
      <x:c r="A1264" t="str">
        <x:f>'Employee Attendance'!A422</x:f>
        <x:v>Umair Chaudhry</x:v>
      </x:c>
      <x:c r="B1264" t="str">
        <x:f>'Employee Attendance'!B422</x:f>
        <x:v>Kenya</x:v>
      </x:c>
      <x:c r="C1264" t="str">
        <x:f>'Employee Attendance'!C422</x:f>
        <x:v>KE</x:v>
      </x:c>
      <x:c r="D1264" t="str">
        <x:f>'Employee Attendance'!D422</x:f>
        <x:v>umair.chaudhry@pwc.com</x:v>
      </x:c>
      <x:c r="E1264" t="str">
        <x:f>"Combined"</x:f>
        <x:v>Combined</x:v>
      </x:c>
      <x:c r="F1264" s="14" t="n">
        <x:f>'Employee Attendance'!I422</x:f>
        <x:v>0.09329861111111111</x:v>
      </x:c>
      <x:c r="G1264" t="n">
        <x:f>F1264*86400</x:f>
        <x:v>8061</x:v>
      </x:c>
      <x:c r="H1264" t="str">
        <x:f>'Employee Attendance'!J422</x:f>
        <x:v>Fully attended</x:v>
      </x:c>
      <x:c r="I1264" t="str">
        <x:f>IF(OR('Employee Attendance'!K422="Yes",'Employee Attendance'!L422="Yes"),"Yes","No")</x:f>
        <x:v>Yes</x:v>
      </x:c>
    </x:row>
    <x:row r="1265">
      <x:c r="A1265" t="str">
        <x:f>'Employee Attendance'!A423</x:f>
        <x:v>Uthman Mayanja</x:v>
      </x:c>
      <x:c r="B1265" t="str">
        <x:f>'Employee Attendance'!B423</x:f>
        <x:v>Uganda</x:v>
      </x:c>
      <x:c r="C1265" t="str">
        <x:f>'Employee Attendance'!C423</x:f>
        <x:v>UG</x:v>
      </x:c>
      <x:c r="D1265" t="str">
        <x:f>'Employee Attendance'!D423</x:f>
        <x:v>uthman.mayanja@pwc.com</x:v>
      </x:c>
      <x:c r="E1265" t="str">
        <x:f>"Option 1"</x:f>
        <x:v>Option 1</x:v>
      </x:c>
      <x:c r="F1265" s="14" t="n">
        <x:f>'Employee Attendance'!E423</x:f>
        <x:v>0</x:v>
      </x:c>
      <x:c r="G1265" t="n">
        <x:f>F1265*86400</x:f>
        <x:v>0</x:v>
      </x:c>
      <x:c r="H1265" t="str">
        <x:f>'Employee Attendance'!F423</x:f>
        <x:v>Did not attend</x:v>
      </x:c>
      <x:c r="I1265" t="str">
        <x:f>'Employee Attendance'!K423</x:f>
        <x:v>No</x:v>
      </x:c>
    </x:row>
    <x:row r="1266">
      <x:c r="A1266" t="str">
        <x:f>'Employee Attendance'!A423</x:f>
        <x:v>Uthman Mayanja</x:v>
      </x:c>
      <x:c r="B1266" t="str">
        <x:f>'Employee Attendance'!B423</x:f>
        <x:v>Uganda</x:v>
      </x:c>
      <x:c r="C1266" t="str">
        <x:f>'Employee Attendance'!C423</x:f>
        <x:v>UG</x:v>
      </x:c>
      <x:c r="D1266" t="str">
        <x:f>'Employee Attendance'!D423</x:f>
        <x:v>uthman.mayanja@pwc.com</x:v>
      </x:c>
      <x:c r="E1266" t="str">
        <x:f>"Option 2"</x:f>
        <x:v>Option 2</x:v>
      </x:c>
      <x:c r="F1266" s="14" t="n">
        <x:f>'Employee Attendance'!G423</x:f>
        <x:v>0.10216435185185185</x:v>
      </x:c>
      <x:c r="G1266" t="n">
        <x:f>F1266*86400</x:f>
        <x:v>8827</x:v>
      </x:c>
      <x:c r="H1266" t="str">
        <x:f>'Employee Attendance'!H423</x:f>
        <x:v>Fully attended</x:v>
      </x:c>
      <x:c r="I1266" t="str">
        <x:f>'Employee Attendance'!L423</x:f>
        <x:v>Yes</x:v>
      </x:c>
    </x:row>
    <x:row r="1267">
      <x:c r="A1267" t="str">
        <x:f>'Employee Attendance'!A423</x:f>
        <x:v>Uthman Mayanja</x:v>
      </x:c>
      <x:c r="B1267" t="str">
        <x:f>'Employee Attendance'!B423</x:f>
        <x:v>Uganda</x:v>
      </x:c>
      <x:c r="C1267" t="str">
        <x:f>'Employee Attendance'!C423</x:f>
        <x:v>UG</x:v>
      </x:c>
      <x:c r="D1267" t="str">
        <x:f>'Employee Attendance'!D423</x:f>
        <x:v>uthman.mayanja@pwc.com</x:v>
      </x:c>
      <x:c r="E1267" t="str">
        <x:f>"Combined"</x:f>
        <x:v>Combined</x:v>
      </x:c>
      <x:c r="F1267" s="14" t="n">
        <x:f>'Employee Attendance'!I423</x:f>
        <x:v>0.10216435185185185</x:v>
      </x:c>
      <x:c r="G1267" t="n">
        <x:f>F1267*86400</x:f>
        <x:v>8827</x:v>
      </x:c>
      <x:c r="H1267" t="str">
        <x:f>'Employee Attendance'!J423</x:f>
        <x:v>Fully attended</x:v>
      </x:c>
      <x:c r="I1267" t="str">
        <x:f>IF(OR('Employee Attendance'!K423="Yes",'Employee Attendance'!L423="Yes"),"Yes","No")</x:f>
        <x:v>Yes</x:v>
      </x:c>
    </x:row>
    <x:row r="1268">
      <x:c r="A1268" t="str">
        <x:f>'Employee Attendance'!A424</x:f>
        <x:v>Vaishnavi Gungaram</x:v>
      </x:c>
      <x:c r="B1268" t="str">
        <x:f>'Employee Attendance'!B424</x:f>
        <x:v>Mauritius</x:v>
      </x:c>
      <x:c r="C1268" t="str">
        <x:f>'Employee Attendance'!C424</x:f>
        <x:v>MU</x:v>
      </x:c>
      <x:c r="D1268" t="str">
        <x:f>'Employee Attendance'!D424</x:f>
        <x:v>vaishnavi.gungaram@pwc.com</x:v>
      </x:c>
      <x:c r="E1268" t="str">
        <x:f>"Option 1"</x:f>
        <x:v>Option 1</x:v>
      </x:c>
      <x:c r="F1268" s="14" t="n">
        <x:f>'Employee Attendance'!E424</x:f>
        <x:v>0</x:v>
      </x:c>
      <x:c r="G1268" t="n">
        <x:f>F1268*86400</x:f>
        <x:v>0</x:v>
      </x:c>
      <x:c r="H1268" t="str">
        <x:f>'Employee Attendance'!F424</x:f>
        <x:v>Did not attend</x:v>
      </x:c>
      <x:c r="I1268" t="str">
        <x:f>'Employee Attendance'!K424</x:f>
        <x:v>No</x:v>
      </x:c>
    </x:row>
    <x:row r="1269">
      <x:c r="A1269" t="str">
        <x:f>'Employee Attendance'!A424</x:f>
        <x:v>Vaishnavi Gungaram</x:v>
      </x:c>
      <x:c r="B1269" t="str">
        <x:f>'Employee Attendance'!B424</x:f>
        <x:v>Mauritius</x:v>
      </x:c>
      <x:c r="C1269" t="str">
        <x:f>'Employee Attendance'!C424</x:f>
        <x:v>MU</x:v>
      </x:c>
      <x:c r="D1269" t="str">
        <x:f>'Employee Attendance'!D424</x:f>
        <x:v>vaishnavi.gungaram@pwc.com</x:v>
      </x:c>
      <x:c r="E1269" t="str">
        <x:f>"Option 2"</x:f>
        <x:v>Option 2</x:v>
      </x:c>
      <x:c r="F1269" s="14" t="n">
        <x:f>'Employee Attendance'!G424</x:f>
        <x:v>0.08337962962962962</x:v>
      </x:c>
      <x:c r="G1269" t="n">
        <x:f>F1269*86400</x:f>
        <x:v>7203.999999999999</x:v>
      </x:c>
      <x:c r="H1269" t="str">
        <x:f>'Employee Attendance'!H424</x:f>
        <x:v>Fully attended</x:v>
      </x:c>
      <x:c r="I1269" t="str">
        <x:f>'Employee Attendance'!L424</x:f>
        <x:v>Yes</x:v>
      </x:c>
    </x:row>
    <x:row r="1270">
      <x:c r="A1270" t="str">
        <x:f>'Employee Attendance'!A424</x:f>
        <x:v>Vaishnavi Gungaram</x:v>
      </x:c>
      <x:c r="B1270" t="str">
        <x:f>'Employee Attendance'!B424</x:f>
        <x:v>Mauritius</x:v>
      </x:c>
      <x:c r="C1270" t="str">
        <x:f>'Employee Attendance'!C424</x:f>
        <x:v>MU</x:v>
      </x:c>
      <x:c r="D1270" t="str">
        <x:f>'Employee Attendance'!D424</x:f>
        <x:v>vaishnavi.gungaram@pwc.com</x:v>
      </x:c>
      <x:c r="E1270" t="str">
        <x:f>"Combined"</x:f>
        <x:v>Combined</x:v>
      </x:c>
      <x:c r="F1270" s="14" t="n">
        <x:f>'Employee Attendance'!I424</x:f>
        <x:v>0.08337962962962962</x:v>
      </x:c>
      <x:c r="G1270" t="n">
        <x:f>F1270*86400</x:f>
        <x:v>7203.999999999999</x:v>
      </x:c>
      <x:c r="H1270" t="str">
        <x:f>'Employee Attendance'!J424</x:f>
        <x:v>Fully attended</x:v>
      </x:c>
      <x:c r="I1270" t="str">
        <x:f>IF(OR('Employee Attendance'!K424="Yes",'Employee Attendance'!L424="Yes"),"Yes","No")</x:f>
        <x:v>Yes</x:v>
      </x:c>
    </x:row>
    <x:row r="1271">
      <x:c r="A1271" t="str">
        <x:f>'Employee Attendance'!A425</x:f>
        <x:v>Valentine Njeri</x:v>
      </x:c>
      <x:c r="B1271" t="str">
        <x:f>'Employee Attendance'!B425</x:f>
        <x:v>Kenya</x:v>
      </x:c>
      <x:c r="C1271" t="str">
        <x:f>'Employee Attendance'!C425</x:f>
        <x:v>KE</x:v>
      </x:c>
      <x:c r="D1271" t="str">
        <x:f>'Employee Attendance'!D425</x:f>
        <x:v>valentine.n.njeri@pwc.com</x:v>
      </x:c>
      <x:c r="E1271" t="str">
        <x:f>"Option 1"</x:f>
        <x:v>Option 1</x:v>
      </x:c>
      <x:c r="F1271" s="14" t="n">
        <x:f>'Employee Attendance'!E425</x:f>
        <x:v>0</x:v>
      </x:c>
      <x:c r="G1271" t="n">
        <x:f>F1271*86400</x:f>
        <x:v>0</x:v>
      </x:c>
      <x:c r="H1271" t="str">
        <x:f>'Employee Attendance'!F425</x:f>
        <x:v>Did not attend</x:v>
      </x:c>
      <x:c r="I1271" t="str">
        <x:f>'Employee Attendance'!K425</x:f>
        <x:v>No</x:v>
      </x:c>
    </x:row>
    <x:row r="1272">
      <x:c r="A1272" t="str">
        <x:f>'Employee Attendance'!A425</x:f>
        <x:v>Valentine Njeri</x:v>
      </x:c>
      <x:c r="B1272" t="str">
        <x:f>'Employee Attendance'!B425</x:f>
        <x:v>Kenya</x:v>
      </x:c>
      <x:c r="C1272" t="str">
        <x:f>'Employee Attendance'!C425</x:f>
        <x:v>KE</x:v>
      </x:c>
      <x:c r="D1272" t="str">
        <x:f>'Employee Attendance'!D425</x:f>
        <x:v>valentine.n.njeri@pwc.com</x:v>
      </x:c>
      <x:c r="E1272" t="str">
        <x:f>"Option 2"</x:f>
        <x:v>Option 2</x:v>
      </x:c>
      <x:c r="F1272" s="14" t="n">
        <x:f>'Employee Attendance'!G425</x:f>
        <x:v>0.08694444444444445</x:v>
      </x:c>
      <x:c r="G1272" t="n">
        <x:f>F1272*86400</x:f>
        <x:v>7512</x:v>
      </x:c>
      <x:c r="H1272" t="str">
        <x:f>'Employee Attendance'!H425</x:f>
        <x:v>Fully attended</x:v>
      </x:c>
      <x:c r="I1272" t="str">
        <x:f>'Employee Attendance'!L425</x:f>
        <x:v>Yes</x:v>
      </x:c>
    </x:row>
    <x:row r="1273">
      <x:c r="A1273" t="str">
        <x:f>'Employee Attendance'!A425</x:f>
        <x:v>Valentine Njeri</x:v>
      </x:c>
      <x:c r="B1273" t="str">
        <x:f>'Employee Attendance'!B425</x:f>
        <x:v>Kenya</x:v>
      </x:c>
      <x:c r="C1273" t="str">
        <x:f>'Employee Attendance'!C425</x:f>
        <x:v>KE</x:v>
      </x:c>
      <x:c r="D1273" t="str">
        <x:f>'Employee Attendance'!D425</x:f>
        <x:v>valentine.n.njeri@pwc.com</x:v>
      </x:c>
      <x:c r="E1273" t="str">
        <x:f>"Combined"</x:f>
        <x:v>Combined</x:v>
      </x:c>
      <x:c r="F1273" s="14" t="n">
        <x:f>'Employee Attendance'!I425</x:f>
        <x:v>0.08694444444444445</x:v>
      </x:c>
      <x:c r="G1273" t="n">
        <x:f>F1273*86400</x:f>
        <x:v>7512</x:v>
      </x:c>
      <x:c r="H1273" t="str">
        <x:f>'Employee Attendance'!J425</x:f>
        <x:v>Fully attended</x:v>
      </x:c>
      <x:c r="I1273" t="str">
        <x:f>IF(OR('Employee Attendance'!K425="Yes",'Employee Attendance'!L425="Yes"),"Yes","No")</x:f>
        <x:v>Yes</x:v>
      </x:c>
    </x:row>
    <x:row r="1274">
      <x:c r="A1274" t="str">
        <x:f>'Employee Attendance'!A426</x:f>
        <x:v>Vanshika Akkooloo</x:v>
      </x:c>
      <x:c r="B1274" t="str">
        <x:f>'Employee Attendance'!B426</x:f>
        <x:v>Mauritius</x:v>
      </x:c>
      <x:c r="C1274" t="str">
        <x:f>'Employee Attendance'!C426</x:f>
        <x:v>MU</x:v>
      </x:c>
      <x:c r="D1274" t="str">
        <x:f>'Employee Attendance'!D426</x:f>
        <x:v>vanshika.akkooloo@pwc.com</x:v>
      </x:c>
      <x:c r="E1274" t="str">
        <x:f>"Option 1"</x:f>
        <x:v>Option 1</x:v>
      </x:c>
      <x:c r="F1274" s="14" t="n">
        <x:f>'Employee Attendance'!E426</x:f>
        <x:v>0.08418981481481481</x:v>
      </x:c>
      <x:c r="G1274" t="n">
        <x:f>F1274*86400</x:f>
        <x:v>7274</x:v>
      </x:c>
      <x:c r="H1274" t="str">
        <x:f>'Employee Attendance'!F426</x:f>
        <x:v>Fully attended</x:v>
      </x:c>
      <x:c r="I1274" t="str">
        <x:f>'Employee Attendance'!K426</x:f>
        <x:v>Yes</x:v>
      </x:c>
    </x:row>
    <x:row r="1275">
      <x:c r="A1275" t="str">
        <x:f>'Employee Attendance'!A426</x:f>
        <x:v>Vanshika Akkooloo</x:v>
      </x:c>
      <x:c r="B1275" t="str">
        <x:f>'Employee Attendance'!B426</x:f>
        <x:v>Mauritius</x:v>
      </x:c>
      <x:c r="C1275" t="str">
        <x:f>'Employee Attendance'!C426</x:f>
        <x:v>MU</x:v>
      </x:c>
      <x:c r="D1275" t="str">
        <x:f>'Employee Attendance'!D426</x:f>
        <x:v>vanshika.akkooloo@pwc.com</x:v>
      </x:c>
      <x:c r="E1275" t="str">
        <x:f>"Option 2"</x:f>
        <x:v>Option 2</x:v>
      </x:c>
      <x:c r="F1275" s="14" t="n">
        <x:f>'Employee Attendance'!G426</x:f>
        <x:v>0</x:v>
      </x:c>
      <x:c r="G1275" t="n">
        <x:f>F1275*86400</x:f>
        <x:v>0</x:v>
      </x:c>
      <x:c r="H1275" t="str">
        <x:f>'Employee Attendance'!H426</x:f>
        <x:v>Did not attend</x:v>
      </x:c>
      <x:c r="I1275" t="str">
        <x:f>'Employee Attendance'!L426</x:f>
        <x:v>No</x:v>
      </x:c>
    </x:row>
    <x:row r="1276">
      <x:c r="A1276" t="str">
        <x:f>'Employee Attendance'!A426</x:f>
        <x:v>Vanshika Akkooloo</x:v>
      </x:c>
      <x:c r="B1276" t="str">
        <x:f>'Employee Attendance'!B426</x:f>
        <x:v>Mauritius</x:v>
      </x:c>
      <x:c r="C1276" t="str">
        <x:f>'Employee Attendance'!C426</x:f>
        <x:v>MU</x:v>
      </x:c>
      <x:c r="D1276" t="str">
        <x:f>'Employee Attendance'!D426</x:f>
        <x:v>vanshika.akkooloo@pwc.com</x:v>
      </x:c>
      <x:c r="E1276" t="str">
        <x:f>"Combined"</x:f>
        <x:v>Combined</x:v>
      </x:c>
      <x:c r="F1276" s="14" t="n">
        <x:f>'Employee Attendance'!I426</x:f>
        <x:v>0.08418981481481481</x:v>
      </x:c>
      <x:c r="G1276" t="n">
        <x:f>F1276*86400</x:f>
        <x:v>7274</x:v>
      </x:c>
      <x:c r="H1276" t="str">
        <x:f>'Employee Attendance'!J426</x:f>
        <x:v>Fully attended</x:v>
      </x:c>
      <x:c r="I1276" t="str">
        <x:f>IF(OR('Employee Attendance'!K426="Yes",'Employee Attendance'!L426="Yes"),"Yes","No")</x:f>
        <x:v>Yes</x:v>
      </x:c>
    </x:row>
    <x:row r="1277">
      <x:c r="A1277" t="str">
        <x:f>'Employee Attendance'!A427</x:f>
        <x:v>Vasty Nkhoma</x:v>
      </x:c>
      <x:c r="B1277" t="str">
        <x:f>'Employee Attendance'!B427</x:f>
        <x:v>Zambia</x:v>
      </x:c>
      <x:c r="C1277" t="str">
        <x:f>'Employee Attendance'!C427</x:f>
        <x:v>ZM</x:v>
      </x:c>
      <x:c r="D1277" t="str">
        <x:f>'Employee Attendance'!D427</x:f>
        <x:v>vasty.nkhoma@pwc.com</x:v>
      </x:c>
      <x:c r="E1277" t="str">
        <x:f>"Option 1"</x:f>
        <x:v>Option 1</x:v>
      </x:c>
      <x:c r="F1277" s="14" t="n">
        <x:f>'Employee Attendance'!E427</x:f>
        <x:v>0.08001157407407407</x:v>
      </x:c>
      <x:c r="G1277" t="n">
        <x:f>F1277*86400</x:f>
        <x:v>6912.999999999999</x:v>
      </x:c>
      <x:c r="H1277" t="str">
        <x:f>'Employee Attendance'!F427</x:f>
        <x:v>Fully attended</x:v>
      </x:c>
      <x:c r="I1277" t="str">
        <x:f>'Employee Attendance'!K427</x:f>
        <x:v>Yes</x:v>
      </x:c>
    </x:row>
    <x:row r="1278">
      <x:c r="A1278" t="str">
        <x:f>'Employee Attendance'!A427</x:f>
        <x:v>Vasty Nkhoma</x:v>
      </x:c>
      <x:c r="B1278" t="str">
        <x:f>'Employee Attendance'!B427</x:f>
        <x:v>Zambia</x:v>
      </x:c>
      <x:c r="C1278" t="str">
        <x:f>'Employee Attendance'!C427</x:f>
        <x:v>ZM</x:v>
      </x:c>
      <x:c r="D1278" t="str">
        <x:f>'Employee Attendance'!D427</x:f>
        <x:v>vasty.nkhoma@pwc.com</x:v>
      </x:c>
      <x:c r="E1278" t="str">
        <x:f>"Option 2"</x:f>
        <x:v>Option 2</x:v>
      </x:c>
      <x:c r="F1278" s="14" t="n">
        <x:f>'Employee Attendance'!G427</x:f>
        <x:v>0</x:v>
      </x:c>
      <x:c r="G1278" t="n">
        <x:f>F1278*86400</x:f>
        <x:v>0</x:v>
      </x:c>
      <x:c r="H1278" t="str">
        <x:f>'Employee Attendance'!H427</x:f>
        <x:v>Did not attend</x:v>
      </x:c>
      <x:c r="I1278" t="str">
        <x:f>'Employee Attendance'!L427</x:f>
        <x:v>No</x:v>
      </x:c>
    </x:row>
    <x:row r="1279">
      <x:c r="A1279" t="str">
        <x:f>'Employee Attendance'!A427</x:f>
        <x:v>Vasty Nkhoma</x:v>
      </x:c>
      <x:c r="B1279" t="str">
        <x:f>'Employee Attendance'!B427</x:f>
        <x:v>Zambia</x:v>
      </x:c>
      <x:c r="C1279" t="str">
        <x:f>'Employee Attendance'!C427</x:f>
        <x:v>ZM</x:v>
      </x:c>
      <x:c r="D1279" t="str">
        <x:f>'Employee Attendance'!D427</x:f>
        <x:v>vasty.nkhoma@pwc.com</x:v>
      </x:c>
      <x:c r="E1279" t="str">
        <x:f>"Combined"</x:f>
        <x:v>Combined</x:v>
      </x:c>
      <x:c r="F1279" s="14" t="n">
        <x:f>'Employee Attendance'!I427</x:f>
        <x:v>0.08001157407407407</x:v>
      </x:c>
      <x:c r="G1279" t="n">
        <x:f>F1279*86400</x:f>
        <x:v>6912.999999999999</x:v>
      </x:c>
      <x:c r="H1279" t="str">
        <x:f>'Employee Attendance'!J427</x:f>
        <x:v>Fully attended</x:v>
      </x:c>
      <x:c r="I1279" t="str">
        <x:f>IF(OR('Employee Attendance'!K427="Yes",'Employee Attendance'!L427="Yes"),"Yes","No")</x:f>
        <x:v>Yes</x:v>
      </x:c>
    </x:row>
    <x:row r="1280">
      <x:c r="A1280" t="str">
        <x:f>'Employee Attendance'!A428</x:f>
        <x:v>Ved Bishundat</x:v>
      </x:c>
      <x:c r="B1280" t="str">
        <x:f>'Employee Attendance'!B428</x:f>
        <x:v>Mauritius</x:v>
      </x:c>
      <x:c r="C1280" t="str">
        <x:f>'Employee Attendance'!C428</x:f>
        <x:v>MU</x:v>
      </x:c>
      <x:c r="D1280" t="str">
        <x:f>'Employee Attendance'!D428</x:f>
        <x:v>ved.bishundat@pwc.com</x:v>
      </x:c>
      <x:c r="E1280" t="str">
        <x:f>"Option 1"</x:f>
        <x:v>Option 1</x:v>
      </x:c>
      <x:c r="F1280" s="14" t="n">
        <x:f>'Employee Attendance'!E428</x:f>
        <x:v>0</x:v>
      </x:c>
      <x:c r="G1280" t="n">
        <x:f>F1280*86400</x:f>
        <x:v>0</x:v>
      </x:c>
      <x:c r="H1280" t="str">
        <x:f>'Employee Attendance'!F428</x:f>
        <x:v>Did not attend</x:v>
      </x:c>
      <x:c r="I1280" t="str">
        <x:f>'Employee Attendance'!K428</x:f>
        <x:v>No</x:v>
      </x:c>
    </x:row>
    <x:row r="1281">
      <x:c r="A1281" t="str">
        <x:f>'Employee Attendance'!A428</x:f>
        <x:v>Ved Bishundat</x:v>
      </x:c>
      <x:c r="B1281" t="str">
        <x:f>'Employee Attendance'!B428</x:f>
        <x:v>Mauritius</x:v>
      </x:c>
      <x:c r="C1281" t="str">
        <x:f>'Employee Attendance'!C428</x:f>
        <x:v>MU</x:v>
      </x:c>
      <x:c r="D1281" t="str">
        <x:f>'Employee Attendance'!D428</x:f>
        <x:v>ved.bishundat@pwc.com</x:v>
      </x:c>
      <x:c r="E1281" t="str">
        <x:f>"Option 2"</x:f>
        <x:v>Option 2</x:v>
      </x:c>
      <x:c r="F1281" s="14" t="n">
        <x:f>'Employee Attendance'!G428</x:f>
        <x:v>0.026886574074074073</x:v>
      </x:c>
      <x:c r="G1281" t="n">
        <x:f>F1281*86400</x:f>
        <x:v>2323</x:v>
      </x:c>
      <x:c r="H1281" t="str">
        <x:f>'Employee Attendance'!H428</x:f>
        <x:v>Partially attended</x:v>
      </x:c>
      <x:c r="I1281" t="str">
        <x:f>'Employee Attendance'!L428</x:f>
        <x:v>Yes</x:v>
      </x:c>
    </x:row>
    <x:row r="1282">
      <x:c r="A1282" t="str">
        <x:f>'Employee Attendance'!A428</x:f>
        <x:v>Ved Bishundat</x:v>
      </x:c>
      <x:c r="B1282" t="str">
        <x:f>'Employee Attendance'!B428</x:f>
        <x:v>Mauritius</x:v>
      </x:c>
      <x:c r="C1282" t="str">
        <x:f>'Employee Attendance'!C428</x:f>
        <x:v>MU</x:v>
      </x:c>
      <x:c r="D1282" t="str">
        <x:f>'Employee Attendance'!D428</x:f>
        <x:v>ved.bishundat@pwc.com</x:v>
      </x:c>
      <x:c r="E1282" t="str">
        <x:f>"Combined"</x:f>
        <x:v>Combined</x:v>
      </x:c>
      <x:c r="F1282" s="14" t="n">
        <x:f>'Employee Attendance'!I428</x:f>
        <x:v>0.026886574074074073</x:v>
      </x:c>
      <x:c r="G1282" t="n">
        <x:f>F1282*86400</x:f>
        <x:v>2323</x:v>
      </x:c>
      <x:c r="H1282" t="str">
        <x:f>'Employee Attendance'!J428</x:f>
        <x:v>Partially attended</x:v>
      </x:c>
      <x:c r="I1282" t="str">
        <x:f>IF(OR('Employee Attendance'!K428="Yes",'Employee Attendance'!L428="Yes"),"Yes","No")</x:f>
        <x:v>Yes</x:v>
      </x:c>
    </x:row>
    <x:row r="1283">
      <x:c r="A1283" t="str">
        <x:f>'Employee Attendance'!A429</x:f>
        <x:v>Veeloshini Kisto</x:v>
      </x:c>
      <x:c r="B1283" t="str">
        <x:f>'Employee Attendance'!B429</x:f>
        <x:v>Mauritius</x:v>
      </x:c>
      <x:c r="C1283" t="str">
        <x:f>'Employee Attendance'!C429</x:f>
        <x:v>MU</x:v>
      </x:c>
      <x:c r="D1283" t="str">
        <x:f>'Employee Attendance'!D429</x:f>
        <x:v>veeloshini.kisto@pwc.com</x:v>
      </x:c>
      <x:c r="E1283" t="str">
        <x:f>"Option 1"</x:f>
        <x:v>Option 1</x:v>
      </x:c>
      <x:c r="F1283" s="14" t="n">
        <x:f>'Employee Attendance'!E429</x:f>
        <x:v>0</x:v>
      </x:c>
      <x:c r="G1283" t="n">
        <x:f>F1283*86400</x:f>
        <x:v>0</x:v>
      </x:c>
      <x:c r="H1283" t="str">
        <x:f>'Employee Attendance'!F429</x:f>
        <x:v>Did not attend</x:v>
      </x:c>
      <x:c r="I1283" t="str">
        <x:f>'Employee Attendance'!K429</x:f>
        <x:v>No</x:v>
      </x:c>
    </x:row>
    <x:row r="1284">
      <x:c r="A1284" t="str">
        <x:f>'Employee Attendance'!A429</x:f>
        <x:v>Veeloshini Kisto</x:v>
      </x:c>
      <x:c r="B1284" t="str">
        <x:f>'Employee Attendance'!B429</x:f>
        <x:v>Mauritius</x:v>
      </x:c>
      <x:c r="C1284" t="str">
        <x:f>'Employee Attendance'!C429</x:f>
        <x:v>MU</x:v>
      </x:c>
      <x:c r="D1284" t="str">
        <x:f>'Employee Attendance'!D429</x:f>
        <x:v>veeloshini.kisto@pwc.com</x:v>
      </x:c>
      <x:c r="E1284" t="str">
        <x:f>"Option 2"</x:f>
        <x:v>Option 2</x:v>
      </x:c>
      <x:c r="F1284" s="14" t="n">
        <x:f>'Employee Attendance'!G429</x:f>
        <x:v>0.08333333333333333</x:v>
      </x:c>
      <x:c r="G1284" t="n">
        <x:f>F1284*86400</x:f>
        <x:v>7200</x:v>
      </x:c>
      <x:c r="H1284" t="str">
        <x:f>'Employee Attendance'!H429</x:f>
        <x:v>Fully attended</x:v>
      </x:c>
      <x:c r="I1284" t="str">
        <x:f>'Employee Attendance'!L429</x:f>
        <x:v>Yes</x:v>
      </x:c>
    </x:row>
    <x:row r="1285">
      <x:c r="A1285" t="str">
        <x:f>'Employee Attendance'!A429</x:f>
        <x:v>Veeloshini Kisto</x:v>
      </x:c>
      <x:c r="B1285" t="str">
        <x:f>'Employee Attendance'!B429</x:f>
        <x:v>Mauritius</x:v>
      </x:c>
      <x:c r="C1285" t="str">
        <x:f>'Employee Attendance'!C429</x:f>
        <x:v>MU</x:v>
      </x:c>
      <x:c r="D1285" t="str">
        <x:f>'Employee Attendance'!D429</x:f>
        <x:v>veeloshini.kisto@pwc.com</x:v>
      </x:c>
      <x:c r="E1285" t="str">
        <x:f>"Combined"</x:f>
        <x:v>Combined</x:v>
      </x:c>
      <x:c r="F1285" s="14" t="n">
        <x:f>'Employee Attendance'!I429</x:f>
        <x:v>0.08333333333333333</x:v>
      </x:c>
      <x:c r="G1285" t="n">
        <x:f>F1285*86400</x:f>
        <x:v>7200</x:v>
      </x:c>
      <x:c r="H1285" t="str">
        <x:f>'Employee Attendance'!J429</x:f>
        <x:v>Fully attended</x:v>
      </x:c>
      <x:c r="I1285" t="str">
        <x:f>IF(OR('Employee Attendance'!K429="Yes",'Employee Attendance'!L429="Yes"),"Yes","No")</x:f>
        <x:v>Yes</x:v>
      </x:c>
    </x:row>
    <x:row r="1286">
      <x:c r="A1286" t="str">
        <x:f>'Employee Attendance'!A430</x:f>
        <x:v>Veronica Biswalo</x:v>
      </x:c>
      <x:c r="B1286" t="str">
        <x:f>'Employee Attendance'!B430</x:f>
        <x:v>Tanzania</x:v>
      </x:c>
      <x:c r="C1286" t="str">
        <x:f>'Employee Attendance'!C430</x:f>
        <x:v>TZ</x:v>
      </x:c>
      <x:c r="D1286" t="str">
        <x:f>'Employee Attendance'!D430</x:f>
        <x:v>veronica.biswalo@pwc.com</x:v>
      </x:c>
      <x:c r="E1286" t="str">
        <x:f>"Option 1"</x:f>
        <x:v>Option 1</x:v>
      </x:c>
      <x:c r="F1286" s="14" t="n">
        <x:f>'Employee Attendance'!E430</x:f>
        <x:v>0.07987268518518519</x:v>
      </x:c>
      <x:c r="G1286" t="n">
        <x:f>F1286*86400</x:f>
        <x:v>6901</x:v>
      </x:c>
      <x:c r="H1286" t="str">
        <x:f>'Employee Attendance'!F430</x:f>
        <x:v>Fully attended</x:v>
      </x:c>
      <x:c r="I1286" t="str">
        <x:f>'Employee Attendance'!K430</x:f>
        <x:v>Yes</x:v>
      </x:c>
    </x:row>
    <x:row r="1287">
      <x:c r="A1287" t="str">
        <x:f>'Employee Attendance'!A430</x:f>
        <x:v>Veronica Biswalo</x:v>
      </x:c>
      <x:c r="B1287" t="str">
        <x:f>'Employee Attendance'!B430</x:f>
        <x:v>Tanzania</x:v>
      </x:c>
      <x:c r="C1287" t="str">
        <x:f>'Employee Attendance'!C430</x:f>
        <x:v>TZ</x:v>
      </x:c>
      <x:c r="D1287" t="str">
        <x:f>'Employee Attendance'!D430</x:f>
        <x:v>veronica.biswalo@pwc.com</x:v>
      </x:c>
      <x:c r="E1287" t="str">
        <x:f>"Option 2"</x:f>
        <x:v>Option 2</x:v>
      </x:c>
      <x:c r="F1287" s="14" t="n">
        <x:f>'Employee Attendance'!G430</x:f>
        <x:v>0</x:v>
      </x:c>
      <x:c r="G1287" t="n">
        <x:f>F1287*86400</x:f>
        <x:v>0</x:v>
      </x:c>
      <x:c r="H1287" t="str">
        <x:f>'Employee Attendance'!H430</x:f>
        <x:v>Did not attend</x:v>
      </x:c>
      <x:c r="I1287" t="str">
        <x:f>'Employee Attendance'!L430</x:f>
        <x:v>No</x:v>
      </x:c>
    </x:row>
    <x:row r="1288">
      <x:c r="A1288" t="str">
        <x:f>'Employee Attendance'!A430</x:f>
        <x:v>Veronica Biswalo</x:v>
      </x:c>
      <x:c r="B1288" t="str">
        <x:f>'Employee Attendance'!B430</x:f>
        <x:v>Tanzania</x:v>
      </x:c>
      <x:c r="C1288" t="str">
        <x:f>'Employee Attendance'!C430</x:f>
        <x:v>TZ</x:v>
      </x:c>
      <x:c r="D1288" t="str">
        <x:f>'Employee Attendance'!D430</x:f>
        <x:v>veronica.biswalo@pwc.com</x:v>
      </x:c>
      <x:c r="E1288" t="str">
        <x:f>"Combined"</x:f>
        <x:v>Combined</x:v>
      </x:c>
      <x:c r="F1288" s="14" t="n">
        <x:f>'Employee Attendance'!I430</x:f>
        <x:v>0.07987268518518519</x:v>
      </x:c>
      <x:c r="G1288" t="n">
        <x:f>F1288*86400</x:f>
        <x:v>6901</x:v>
      </x:c>
      <x:c r="H1288" t="str">
        <x:f>'Employee Attendance'!J430</x:f>
        <x:v>Fully attended</x:v>
      </x:c>
      <x:c r="I1288" t="str">
        <x:f>IF(OR('Employee Attendance'!K430="Yes",'Employee Attendance'!L430="Yes"),"Yes","No")</x:f>
        <x:v>Yes</x:v>
      </x:c>
    </x:row>
    <x:row r="1289">
      <x:c r="A1289" t="str">
        <x:f>'Employee Attendance'!A431</x:f>
        <x:v>Victor Kibet</x:v>
      </x:c>
      <x:c r="B1289" t="str">
        <x:f>'Employee Attendance'!B431</x:f>
        <x:v>Kenya</x:v>
      </x:c>
      <x:c r="C1289" t="str">
        <x:f>'Employee Attendance'!C431</x:f>
        <x:v>KE</x:v>
      </x:c>
      <x:c r="D1289" t="str">
        <x:f>'Employee Attendance'!D431</x:f>
        <x:v>victor.kibet@pwc.com</x:v>
      </x:c>
      <x:c r="E1289" t="str">
        <x:f>"Option 1"</x:f>
        <x:v>Option 1</x:v>
      </x:c>
      <x:c r="F1289" s="14" t="n">
        <x:f>'Employee Attendance'!E431</x:f>
        <x:v>0.03615740740740741</x:v>
      </x:c>
      <x:c r="G1289" t="n">
        <x:f>F1289*86400</x:f>
        <x:v>3124</x:v>
      </x:c>
      <x:c r="H1289" t="str">
        <x:f>'Employee Attendance'!F431</x:f>
        <x:v>Partially attended</x:v>
      </x:c>
      <x:c r="I1289" t="str">
        <x:f>'Employee Attendance'!K431</x:f>
        <x:v>Yes</x:v>
      </x:c>
    </x:row>
    <x:row r="1290">
      <x:c r="A1290" t="str">
        <x:f>'Employee Attendance'!A431</x:f>
        <x:v>Victor Kibet</x:v>
      </x:c>
      <x:c r="B1290" t="str">
        <x:f>'Employee Attendance'!B431</x:f>
        <x:v>Kenya</x:v>
      </x:c>
      <x:c r="C1290" t="str">
        <x:f>'Employee Attendance'!C431</x:f>
        <x:v>KE</x:v>
      </x:c>
      <x:c r="D1290" t="str">
        <x:f>'Employee Attendance'!D431</x:f>
        <x:v>victor.kibet@pwc.com</x:v>
      </x:c>
      <x:c r="E1290" t="str">
        <x:f>"Option 2"</x:f>
        <x:v>Option 2</x:v>
      </x:c>
      <x:c r="F1290" s="14" t="n">
        <x:f>'Employee Attendance'!G431</x:f>
        <x:v>0</x:v>
      </x:c>
      <x:c r="G1290" t="n">
        <x:f>F1290*86400</x:f>
        <x:v>0</x:v>
      </x:c>
      <x:c r="H1290" t="str">
        <x:f>'Employee Attendance'!H431</x:f>
        <x:v>Did not attend</x:v>
      </x:c>
      <x:c r="I1290" t="str">
        <x:f>'Employee Attendance'!L431</x:f>
        <x:v>No</x:v>
      </x:c>
    </x:row>
    <x:row r="1291">
      <x:c r="A1291" t="str">
        <x:f>'Employee Attendance'!A431</x:f>
        <x:v>Victor Kibet</x:v>
      </x:c>
      <x:c r="B1291" t="str">
        <x:f>'Employee Attendance'!B431</x:f>
        <x:v>Kenya</x:v>
      </x:c>
      <x:c r="C1291" t="str">
        <x:f>'Employee Attendance'!C431</x:f>
        <x:v>KE</x:v>
      </x:c>
      <x:c r="D1291" t="str">
        <x:f>'Employee Attendance'!D431</x:f>
        <x:v>victor.kibet@pwc.com</x:v>
      </x:c>
      <x:c r="E1291" t="str">
        <x:f>"Combined"</x:f>
        <x:v>Combined</x:v>
      </x:c>
      <x:c r="F1291" s="14" t="n">
        <x:f>'Employee Attendance'!I431</x:f>
        <x:v>0.03615740740740741</x:v>
      </x:c>
      <x:c r="G1291" t="n">
        <x:f>F1291*86400</x:f>
        <x:v>3124</x:v>
      </x:c>
      <x:c r="H1291" t="str">
        <x:f>'Employee Attendance'!J431</x:f>
        <x:v>Partially attended</x:v>
      </x:c>
      <x:c r="I1291" t="str">
        <x:f>IF(OR('Employee Attendance'!K431="Yes",'Employee Attendance'!L431="Yes"),"Yes","No")</x:f>
        <x:v>Yes</x:v>
      </x:c>
    </x:row>
    <x:row r="1292">
      <x:c r="A1292" t="str">
        <x:f>'Employee Attendance'!A432</x:f>
        <x:v>Victor Rotich</x:v>
      </x:c>
      <x:c r="B1292" t="str">
        <x:f>'Employee Attendance'!B432</x:f>
        <x:v>Kenya</x:v>
      </x:c>
      <x:c r="C1292" t="str">
        <x:f>'Employee Attendance'!C432</x:f>
        <x:v>KE</x:v>
      </x:c>
      <x:c r="D1292" t="str">
        <x:f>'Employee Attendance'!D432</x:f>
        <x:v>victor.rotich@pwc.com</x:v>
      </x:c>
      <x:c r="E1292" t="str">
        <x:f>"Option 1"</x:f>
        <x:v>Option 1</x:v>
      </x:c>
      <x:c r="F1292" s="14" t="n">
        <x:f>'Employee Attendance'!E432</x:f>
        <x:v>0.11216435185185185</x:v>
      </x:c>
      <x:c r="G1292" t="n">
        <x:f>F1292*86400</x:f>
        <x:v>9691</x:v>
      </x:c>
      <x:c r="H1292" t="str">
        <x:f>'Employee Attendance'!F432</x:f>
        <x:v>Fully attended</x:v>
      </x:c>
      <x:c r="I1292" t="str">
        <x:f>'Employee Attendance'!K432</x:f>
        <x:v>Yes</x:v>
      </x:c>
    </x:row>
    <x:row r="1293">
      <x:c r="A1293" t="str">
        <x:f>'Employee Attendance'!A432</x:f>
        <x:v>Victor Rotich</x:v>
      </x:c>
      <x:c r="B1293" t="str">
        <x:f>'Employee Attendance'!B432</x:f>
        <x:v>Kenya</x:v>
      </x:c>
      <x:c r="C1293" t="str">
        <x:f>'Employee Attendance'!C432</x:f>
        <x:v>KE</x:v>
      </x:c>
      <x:c r="D1293" t="str">
        <x:f>'Employee Attendance'!D432</x:f>
        <x:v>victor.rotich@pwc.com</x:v>
      </x:c>
      <x:c r="E1293" t="str">
        <x:f>"Option 2"</x:f>
        <x:v>Option 2</x:v>
      </x:c>
      <x:c r="F1293" s="14" t="n">
        <x:f>'Employee Attendance'!G432</x:f>
        <x:v>0</x:v>
      </x:c>
      <x:c r="G1293" t="n">
        <x:f>F1293*86400</x:f>
        <x:v>0</x:v>
      </x:c>
      <x:c r="H1293" t="str">
        <x:f>'Employee Attendance'!H432</x:f>
        <x:v>Did not attend</x:v>
      </x:c>
      <x:c r="I1293" t="str">
        <x:f>'Employee Attendance'!L432</x:f>
        <x:v>No</x:v>
      </x:c>
    </x:row>
    <x:row r="1294">
      <x:c r="A1294" t="str">
        <x:f>'Employee Attendance'!A432</x:f>
        <x:v>Victor Rotich</x:v>
      </x:c>
      <x:c r="B1294" t="str">
        <x:f>'Employee Attendance'!B432</x:f>
        <x:v>Kenya</x:v>
      </x:c>
      <x:c r="C1294" t="str">
        <x:f>'Employee Attendance'!C432</x:f>
        <x:v>KE</x:v>
      </x:c>
      <x:c r="D1294" t="str">
        <x:f>'Employee Attendance'!D432</x:f>
        <x:v>victor.rotich@pwc.com</x:v>
      </x:c>
      <x:c r="E1294" t="str">
        <x:f>"Combined"</x:f>
        <x:v>Combined</x:v>
      </x:c>
      <x:c r="F1294" s="14" t="n">
        <x:f>'Employee Attendance'!I432</x:f>
        <x:v>0.11216435185185185</x:v>
      </x:c>
      <x:c r="G1294" t="n">
        <x:f>F1294*86400</x:f>
        <x:v>9691</x:v>
      </x:c>
      <x:c r="H1294" t="str">
        <x:f>'Employee Attendance'!J432</x:f>
        <x:v>Fully attended</x:v>
      </x:c>
      <x:c r="I1294" t="str">
        <x:f>IF(OR('Employee Attendance'!K432="Yes",'Employee Attendance'!L432="Yes"),"Yes","No")</x:f>
        <x:v>Yes</x:v>
      </x:c>
    </x:row>
    <x:row r="1295">
      <x:c r="A1295" t="str">
        <x:f>'Employee Attendance'!A433</x:f>
        <x:v>Victoria Makori</x:v>
      </x:c>
      <x:c r="B1295" t="str">
        <x:f>'Employee Attendance'!B433</x:f>
        <x:v>Kenya</x:v>
      </x:c>
      <x:c r="C1295" t="str">
        <x:f>'Employee Attendance'!C433</x:f>
        <x:v>KE</x:v>
      </x:c>
      <x:c r="D1295" t="str">
        <x:f>'Employee Attendance'!D433</x:f>
        <x:v>victoria.makori@pwc.com</x:v>
      </x:c>
      <x:c r="E1295" t="str">
        <x:f>"Option 1"</x:f>
        <x:v>Option 1</x:v>
      </x:c>
      <x:c r="F1295" s="14" t="n">
        <x:f>'Employee Attendance'!E433</x:f>
        <x:v>0.08606481481481482</x:v>
      </x:c>
      <x:c r="G1295" t="n">
        <x:f>F1295*86400</x:f>
        <x:v>7436</x:v>
      </x:c>
      <x:c r="H1295" t="str">
        <x:f>'Employee Attendance'!F433</x:f>
        <x:v>Fully attended</x:v>
      </x:c>
      <x:c r="I1295" t="str">
        <x:f>'Employee Attendance'!K433</x:f>
        <x:v>Yes</x:v>
      </x:c>
    </x:row>
    <x:row r="1296">
      <x:c r="A1296" t="str">
        <x:f>'Employee Attendance'!A433</x:f>
        <x:v>Victoria Makori</x:v>
      </x:c>
      <x:c r="B1296" t="str">
        <x:f>'Employee Attendance'!B433</x:f>
        <x:v>Kenya</x:v>
      </x:c>
      <x:c r="C1296" t="str">
        <x:f>'Employee Attendance'!C433</x:f>
        <x:v>KE</x:v>
      </x:c>
      <x:c r="D1296" t="str">
        <x:f>'Employee Attendance'!D433</x:f>
        <x:v>victoria.makori@pwc.com</x:v>
      </x:c>
      <x:c r="E1296" t="str">
        <x:f>"Option 2"</x:f>
        <x:v>Option 2</x:v>
      </x:c>
      <x:c r="F1296" s="14" t="n">
        <x:f>'Employee Attendance'!G433</x:f>
        <x:v>0</x:v>
      </x:c>
      <x:c r="G1296" t="n">
        <x:f>F1296*86400</x:f>
        <x:v>0</x:v>
      </x:c>
      <x:c r="H1296" t="str">
        <x:f>'Employee Attendance'!H433</x:f>
        <x:v>Did not attend</x:v>
      </x:c>
      <x:c r="I1296" t="str">
        <x:f>'Employee Attendance'!L433</x:f>
        <x:v>No</x:v>
      </x:c>
    </x:row>
    <x:row r="1297">
      <x:c r="A1297" t="str">
        <x:f>'Employee Attendance'!A433</x:f>
        <x:v>Victoria Makori</x:v>
      </x:c>
      <x:c r="B1297" t="str">
        <x:f>'Employee Attendance'!B433</x:f>
        <x:v>Kenya</x:v>
      </x:c>
      <x:c r="C1297" t="str">
        <x:f>'Employee Attendance'!C433</x:f>
        <x:v>KE</x:v>
      </x:c>
      <x:c r="D1297" t="str">
        <x:f>'Employee Attendance'!D433</x:f>
        <x:v>victoria.makori@pwc.com</x:v>
      </x:c>
      <x:c r="E1297" t="str">
        <x:f>"Combined"</x:f>
        <x:v>Combined</x:v>
      </x:c>
      <x:c r="F1297" s="14" t="n">
        <x:f>'Employee Attendance'!I433</x:f>
        <x:v>0.08606481481481482</x:v>
      </x:c>
      <x:c r="G1297" t="n">
        <x:f>F1297*86400</x:f>
        <x:v>7436</x:v>
      </x:c>
      <x:c r="H1297" t="str">
        <x:f>'Employee Attendance'!J433</x:f>
        <x:v>Fully attended</x:v>
      </x:c>
      <x:c r="I1297" t="str">
        <x:f>IF(OR('Employee Attendance'!K433="Yes",'Employee Attendance'!L433="Yes"),"Yes","No")</x:f>
        <x:v>Yes</x:v>
      </x:c>
    </x:row>
    <x:row r="1298">
      <x:c r="A1298" t="str">
        <x:f>'Employee Attendance'!A434</x:f>
        <x:v>Wandia Gitonga</x:v>
      </x:c>
      <x:c r="B1298" t="str">
        <x:f>'Employee Attendance'!B434</x:f>
        <x:v>Kenya</x:v>
      </x:c>
      <x:c r="C1298" t="str">
        <x:f>'Employee Attendance'!C434</x:f>
        <x:v>KE</x:v>
      </x:c>
      <x:c r="D1298" t="str">
        <x:f>'Employee Attendance'!D434</x:f>
        <x:v>wandia.gitonga@pwc.com</x:v>
      </x:c>
      <x:c r="E1298" t="str">
        <x:f>"Option 1"</x:f>
        <x:v>Option 1</x:v>
      </x:c>
      <x:c r="F1298" s="14" t="n">
        <x:f>'Employee Attendance'!E434</x:f>
        <x:v>0.08157407407407408</x:v>
      </x:c>
      <x:c r="G1298" t="n">
        <x:f>F1298*86400</x:f>
        <x:v>7048</x:v>
      </x:c>
      <x:c r="H1298" t="str">
        <x:f>'Employee Attendance'!F434</x:f>
        <x:v>Fully attended</x:v>
      </x:c>
      <x:c r="I1298" t="str">
        <x:f>'Employee Attendance'!K434</x:f>
        <x:v>Yes</x:v>
      </x:c>
    </x:row>
    <x:row r="1299">
      <x:c r="A1299" t="str">
        <x:f>'Employee Attendance'!A434</x:f>
        <x:v>Wandia Gitonga</x:v>
      </x:c>
      <x:c r="B1299" t="str">
        <x:f>'Employee Attendance'!B434</x:f>
        <x:v>Kenya</x:v>
      </x:c>
      <x:c r="C1299" t="str">
        <x:f>'Employee Attendance'!C434</x:f>
        <x:v>KE</x:v>
      </x:c>
      <x:c r="D1299" t="str">
        <x:f>'Employee Attendance'!D434</x:f>
        <x:v>wandia.gitonga@pwc.com</x:v>
      </x:c>
      <x:c r="E1299" t="str">
        <x:f>"Option 2"</x:f>
        <x:v>Option 2</x:v>
      </x:c>
      <x:c r="F1299" s="14" t="n">
        <x:f>'Employee Attendance'!G434</x:f>
        <x:v>0</x:v>
      </x:c>
      <x:c r="G1299" t="n">
        <x:f>F1299*86400</x:f>
        <x:v>0</x:v>
      </x:c>
      <x:c r="H1299" t="str">
        <x:f>'Employee Attendance'!H434</x:f>
        <x:v>Did not attend</x:v>
      </x:c>
      <x:c r="I1299" t="str">
        <x:f>'Employee Attendance'!L434</x:f>
        <x:v>No</x:v>
      </x:c>
    </x:row>
    <x:row r="1300">
      <x:c r="A1300" t="str">
        <x:f>'Employee Attendance'!A434</x:f>
        <x:v>Wandia Gitonga</x:v>
      </x:c>
      <x:c r="B1300" t="str">
        <x:f>'Employee Attendance'!B434</x:f>
        <x:v>Kenya</x:v>
      </x:c>
      <x:c r="C1300" t="str">
        <x:f>'Employee Attendance'!C434</x:f>
        <x:v>KE</x:v>
      </x:c>
      <x:c r="D1300" t="str">
        <x:f>'Employee Attendance'!D434</x:f>
        <x:v>wandia.gitonga@pwc.com</x:v>
      </x:c>
      <x:c r="E1300" t="str">
        <x:f>"Combined"</x:f>
        <x:v>Combined</x:v>
      </x:c>
      <x:c r="F1300" s="14" t="n">
        <x:f>'Employee Attendance'!I434</x:f>
        <x:v>0.08157407407407408</x:v>
      </x:c>
      <x:c r="G1300" t="n">
        <x:f>F1300*86400</x:f>
        <x:v>7048</x:v>
      </x:c>
      <x:c r="H1300" t="str">
        <x:f>'Employee Attendance'!J434</x:f>
        <x:v>Fully attended</x:v>
      </x:c>
      <x:c r="I1300" t="str">
        <x:f>IF(OR('Employee Attendance'!K434="Yes",'Employee Attendance'!L434="Yes"),"Yes","No")</x:f>
        <x:v>Yes</x:v>
      </x:c>
    </x:row>
    <x:row r="1301">
      <x:c r="A1301" t="str">
        <x:f>'Employee Attendance'!A435</x:f>
        <x:v>Warren Atugonza</x:v>
      </x:c>
      <x:c r="B1301" t="str">
        <x:f>'Employee Attendance'!B435</x:f>
        <x:v>Uganda</x:v>
      </x:c>
      <x:c r="C1301" t="str">
        <x:f>'Employee Attendance'!C435</x:f>
        <x:v>UG</x:v>
      </x:c>
      <x:c r="D1301" t="str">
        <x:f>'Employee Attendance'!D435</x:f>
        <x:v>warren.atugonza@pwc.com</x:v>
      </x:c>
      <x:c r="E1301" t="str">
        <x:f>"Option 1"</x:f>
        <x:v>Option 1</x:v>
      </x:c>
      <x:c r="F1301" s="14" t="n">
        <x:f>'Employee Attendance'!E435</x:f>
        <x:v>0.0859837962962963</x:v>
      </x:c>
      <x:c r="G1301" t="n">
        <x:f>F1301*86400</x:f>
        <x:v>7429</x:v>
      </x:c>
      <x:c r="H1301" t="str">
        <x:f>'Employee Attendance'!F435</x:f>
        <x:v>Fully attended</x:v>
      </x:c>
      <x:c r="I1301" t="str">
        <x:f>'Employee Attendance'!K435</x:f>
        <x:v>Yes</x:v>
      </x:c>
    </x:row>
    <x:row r="1302">
      <x:c r="A1302" t="str">
        <x:f>'Employee Attendance'!A435</x:f>
        <x:v>Warren Atugonza</x:v>
      </x:c>
      <x:c r="B1302" t="str">
        <x:f>'Employee Attendance'!B435</x:f>
        <x:v>Uganda</x:v>
      </x:c>
      <x:c r="C1302" t="str">
        <x:f>'Employee Attendance'!C435</x:f>
        <x:v>UG</x:v>
      </x:c>
      <x:c r="D1302" t="str">
        <x:f>'Employee Attendance'!D435</x:f>
        <x:v>warren.atugonza@pwc.com</x:v>
      </x:c>
      <x:c r="E1302" t="str">
        <x:f>"Option 2"</x:f>
        <x:v>Option 2</x:v>
      </x:c>
      <x:c r="F1302" s="14" t="n">
        <x:f>'Employee Attendance'!G435</x:f>
        <x:v>0</x:v>
      </x:c>
      <x:c r="G1302" t="n">
        <x:f>F1302*86400</x:f>
        <x:v>0</x:v>
      </x:c>
      <x:c r="H1302" t="str">
        <x:f>'Employee Attendance'!H435</x:f>
        <x:v>Did not attend</x:v>
      </x:c>
      <x:c r="I1302" t="str">
        <x:f>'Employee Attendance'!L435</x:f>
        <x:v>No</x:v>
      </x:c>
    </x:row>
    <x:row r="1303">
      <x:c r="A1303" t="str">
        <x:f>'Employee Attendance'!A435</x:f>
        <x:v>Warren Atugonza</x:v>
      </x:c>
      <x:c r="B1303" t="str">
        <x:f>'Employee Attendance'!B435</x:f>
        <x:v>Uganda</x:v>
      </x:c>
      <x:c r="C1303" t="str">
        <x:f>'Employee Attendance'!C435</x:f>
        <x:v>UG</x:v>
      </x:c>
      <x:c r="D1303" t="str">
        <x:f>'Employee Attendance'!D435</x:f>
        <x:v>warren.atugonza@pwc.com</x:v>
      </x:c>
      <x:c r="E1303" t="str">
        <x:f>"Combined"</x:f>
        <x:v>Combined</x:v>
      </x:c>
      <x:c r="F1303" s="14" t="n">
        <x:f>'Employee Attendance'!I435</x:f>
        <x:v>0.0859837962962963</x:v>
      </x:c>
      <x:c r="G1303" t="n">
        <x:f>F1303*86400</x:f>
        <x:v>7429</x:v>
      </x:c>
      <x:c r="H1303" t="str">
        <x:f>'Employee Attendance'!J435</x:f>
        <x:v>Fully attended</x:v>
      </x:c>
      <x:c r="I1303" t="str">
        <x:f>IF(OR('Employee Attendance'!K435="Yes",'Employee Attendance'!L435="Yes"),"Yes","No")</x:f>
        <x:v>Yes</x:v>
      </x:c>
    </x:row>
    <x:row r="1304">
      <x:c r="A1304" t="str">
        <x:f>'Employee Attendance'!A436</x:f>
        <x:v>Washington Ochako</x:v>
      </x:c>
      <x:c r="B1304" t="str">
        <x:f>'Employee Attendance'!B436</x:f>
        <x:v>Kenya</x:v>
      </x:c>
      <x:c r="C1304" t="str">
        <x:f>'Employee Attendance'!C436</x:f>
        <x:v>KE</x:v>
      </x:c>
      <x:c r="D1304" t="str">
        <x:f>'Employee Attendance'!D436</x:f>
        <x:v>washington.ochako@pwc.com</x:v>
      </x:c>
      <x:c r="E1304" t="str">
        <x:f>"Option 1"</x:f>
        <x:v>Option 1</x:v>
      </x:c>
      <x:c r="F1304" s="14" t="n">
        <x:f>'Employee Attendance'!E436</x:f>
        <x:v>0</x:v>
      </x:c>
      <x:c r="G1304" t="n">
        <x:f>F1304*86400</x:f>
        <x:v>0</x:v>
      </x:c>
      <x:c r="H1304" t="str">
        <x:f>'Employee Attendance'!F436</x:f>
        <x:v>Did not attend</x:v>
      </x:c>
      <x:c r="I1304" t="str">
        <x:f>'Employee Attendance'!K436</x:f>
        <x:v>No</x:v>
      </x:c>
    </x:row>
    <x:row r="1305">
      <x:c r="A1305" t="str">
        <x:f>'Employee Attendance'!A436</x:f>
        <x:v>Washington Ochako</x:v>
      </x:c>
      <x:c r="B1305" t="str">
        <x:f>'Employee Attendance'!B436</x:f>
        <x:v>Kenya</x:v>
      </x:c>
      <x:c r="C1305" t="str">
        <x:f>'Employee Attendance'!C436</x:f>
        <x:v>KE</x:v>
      </x:c>
      <x:c r="D1305" t="str">
        <x:f>'Employee Attendance'!D436</x:f>
        <x:v>washington.ochako@pwc.com</x:v>
      </x:c>
      <x:c r="E1305" t="str">
        <x:f>"Option 2"</x:f>
        <x:v>Option 2</x:v>
      </x:c>
      <x:c r="F1305" s="14" t="n">
        <x:f>'Employee Attendance'!G436</x:f>
        <x:v>0.03601851851851852</x:v>
      </x:c>
      <x:c r="G1305" t="n">
        <x:f>F1305*86400</x:f>
        <x:v>3112</x:v>
      </x:c>
      <x:c r="H1305" t="str">
        <x:f>'Employee Attendance'!H436</x:f>
        <x:v>Partially attended</x:v>
      </x:c>
      <x:c r="I1305" t="str">
        <x:f>'Employee Attendance'!L436</x:f>
        <x:v>Yes</x:v>
      </x:c>
    </x:row>
    <x:row r="1306">
      <x:c r="A1306" t="str">
        <x:f>'Employee Attendance'!A436</x:f>
        <x:v>Washington Ochako</x:v>
      </x:c>
      <x:c r="B1306" t="str">
        <x:f>'Employee Attendance'!B436</x:f>
        <x:v>Kenya</x:v>
      </x:c>
      <x:c r="C1306" t="str">
        <x:f>'Employee Attendance'!C436</x:f>
        <x:v>KE</x:v>
      </x:c>
      <x:c r="D1306" t="str">
        <x:f>'Employee Attendance'!D436</x:f>
        <x:v>washington.ochako@pwc.com</x:v>
      </x:c>
      <x:c r="E1306" t="str">
        <x:f>"Combined"</x:f>
        <x:v>Combined</x:v>
      </x:c>
      <x:c r="F1306" s="14" t="n">
        <x:f>'Employee Attendance'!I436</x:f>
        <x:v>0.03601851851851852</x:v>
      </x:c>
      <x:c r="G1306" t="n">
        <x:f>F1306*86400</x:f>
        <x:v>3112</x:v>
      </x:c>
      <x:c r="H1306" t="str">
        <x:f>'Employee Attendance'!J436</x:f>
        <x:v>Partially attended</x:v>
      </x:c>
      <x:c r="I1306" t="str">
        <x:f>IF(OR('Employee Attendance'!K436="Yes",'Employee Attendance'!L436="Yes"),"Yes","No")</x:f>
        <x:v>Yes</x:v>
      </x:c>
    </x:row>
    <x:row r="1307">
      <x:c r="A1307" t="str">
        <x:f>'Employee Attendance'!A437</x:f>
        <x:v>Wendy Mwiti</x:v>
      </x:c>
      <x:c r="B1307" t="str">
        <x:f>'Employee Attendance'!B437</x:f>
        <x:v>Kenya</x:v>
      </x:c>
      <x:c r="C1307" t="str">
        <x:f>'Employee Attendance'!C437</x:f>
        <x:v>KE</x:v>
      </x:c>
      <x:c r="D1307" t="str">
        <x:f>'Employee Attendance'!D437</x:f>
        <x:v>wendy.mwiti@pwc.com</x:v>
      </x:c>
      <x:c r="E1307" t="str">
        <x:f>"Option 1"</x:f>
        <x:v>Option 1</x:v>
      </x:c>
      <x:c r="F1307" s="14" t="n">
        <x:f>'Employee Attendance'!E437</x:f>
        <x:v>0.07704861111111111</x:v>
      </x:c>
      <x:c r="G1307" t="n">
        <x:f>F1307*86400</x:f>
        <x:v>6657</x:v>
      </x:c>
      <x:c r="H1307" t="str">
        <x:f>'Employee Attendance'!F437</x:f>
        <x:v>Fully attended</x:v>
      </x:c>
      <x:c r="I1307" t="str">
        <x:f>'Employee Attendance'!K437</x:f>
        <x:v>Yes</x:v>
      </x:c>
    </x:row>
    <x:row r="1308">
      <x:c r="A1308" t="str">
        <x:f>'Employee Attendance'!A437</x:f>
        <x:v>Wendy Mwiti</x:v>
      </x:c>
      <x:c r="B1308" t="str">
        <x:f>'Employee Attendance'!B437</x:f>
        <x:v>Kenya</x:v>
      </x:c>
      <x:c r="C1308" t="str">
        <x:f>'Employee Attendance'!C437</x:f>
        <x:v>KE</x:v>
      </x:c>
      <x:c r="D1308" t="str">
        <x:f>'Employee Attendance'!D437</x:f>
        <x:v>wendy.mwiti@pwc.com</x:v>
      </x:c>
      <x:c r="E1308" t="str">
        <x:f>"Option 2"</x:f>
        <x:v>Option 2</x:v>
      </x:c>
      <x:c r="F1308" s="14" t="n">
        <x:f>'Employee Attendance'!G437</x:f>
        <x:v>0</x:v>
      </x:c>
      <x:c r="G1308" t="n">
        <x:f>F1308*86400</x:f>
        <x:v>0</x:v>
      </x:c>
      <x:c r="H1308" t="str">
        <x:f>'Employee Attendance'!H437</x:f>
        <x:v>Did not attend</x:v>
      </x:c>
      <x:c r="I1308" t="str">
        <x:f>'Employee Attendance'!L437</x:f>
        <x:v>No</x:v>
      </x:c>
    </x:row>
    <x:row r="1309">
      <x:c r="A1309" t="str">
        <x:f>'Employee Attendance'!A437</x:f>
        <x:v>Wendy Mwiti</x:v>
      </x:c>
      <x:c r="B1309" t="str">
        <x:f>'Employee Attendance'!B437</x:f>
        <x:v>Kenya</x:v>
      </x:c>
      <x:c r="C1309" t="str">
        <x:f>'Employee Attendance'!C437</x:f>
        <x:v>KE</x:v>
      </x:c>
      <x:c r="D1309" t="str">
        <x:f>'Employee Attendance'!D437</x:f>
        <x:v>wendy.mwiti@pwc.com</x:v>
      </x:c>
      <x:c r="E1309" t="str">
        <x:f>"Combined"</x:f>
        <x:v>Combined</x:v>
      </x:c>
      <x:c r="F1309" s="14" t="n">
        <x:f>'Employee Attendance'!I437</x:f>
        <x:v>0.07704861111111111</x:v>
      </x:c>
      <x:c r="G1309" t="n">
        <x:f>F1309*86400</x:f>
        <x:v>6657</x:v>
      </x:c>
      <x:c r="H1309" t="str">
        <x:f>'Employee Attendance'!J437</x:f>
        <x:v>Fully attended</x:v>
      </x:c>
      <x:c r="I1309" t="str">
        <x:f>IF(OR('Employee Attendance'!K437="Yes",'Employee Attendance'!L437="Yes"),"Yes","No")</x:f>
        <x:v>Yes</x:v>
      </x:c>
    </x:row>
    <x:row r="1310">
      <x:c r="A1310" t="str">
        <x:f>'Employee Attendance'!A438</x:f>
        <x:v>Wezi Gondwe</x:v>
      </x:c>
      <x:c r="B1310" t="str">
        <x:f>'Employee Attendance'!B438</x:f>
        <x:v>Zambia</x:v>
      </x:c>
      <x:c r="C1310" t="str">
        <x:f>'Employee Attendance'!C438</x:f>
        <x:v>ZM</x:v>
      </x:c>
      <x:c r="D1310" t="str">
        <x:f>'Employee Attendance'!D438</x:f>
        <x:v>wezi.gondwe@pwc.com</x:v>
      </x:c>
      <x:c r="E1310" t="str">
        <x:f>"Option 1"</x:f>
        <x:v>Option 1</x:v>
      </x:c>
      <x:c r="F1310" s="14" t="n">
        <x:f>'Employee Attendance'!E438</x:f>
        <x:v>0</x:v>
      </x:c>
      <x:c r="G1310" t="n">
        <x:f>F1310*86400</x:f>
        <x:v>0</x:v>
      </x:c>
      <x:c r="H1310" t="str">
        <x:f>'Employee Attendance'!F438</x:f>
        <x:v>Did not attend</x:v>
      </x:c>
      <x:c r="I1310" t="str">
        <x:f>'Employee Attendance'!K438</x:f>
        <x:v>No</x:v>
      </x:c>
    </x:row>
    <x:row r="1311">
      <x:c r="A1311" t="str">
        <x:f>'Employee Attendance'!A438</x:f>
        <x:v>Wezi Gondwe</x:v>
      </x:c>
      <x:c r="B1311" t="str">
        <x:f>'Employee Attendance'!B438</x:f>
        <x:v>Zambia</x:v>
      </x:c>
      <x:c r="C1311" t="str">
        <x:f>'Employee Attendance'!C438</x:f>
        <x:v>ZM</x:v>
      </x:c>
      <x:c r="D1311" t="str">
        <x:f>'Employee Attendance'!D438</x:f>
        <x:v>wezi.gondwe@pwc.com</x:v>
      </x:c>
      <x:c r="E1311" t="str">
        <x:f>"Option 2"</x:f>
        <x:v>Option 2</x:v>
      </x:c>
      <x:c r="F1311" s="14" t="n">
        <x:f>'Employee Attendance'!G438</x:f>
        <x:v>0.022581018518518518</x:v>
      </x:c>
      <x:c r="G1311" t="n">
        <x:f>F1311*86400</x:f>
        <x:v>1951</x:v>
      </x:c>
      <x:c r="H1311" t="str">
        <x:f>'Employee Attendance'!H438</x:f>
        <x:v>Partially attended</x:v>
      </x:c>
      <x:c r="I1311" t="str">
        <x:f>'Employee Attendance'!L438</x:f>
        <x:v>Yes</x:v>
      </x:c>
    </x:row>
    <x:row r="1312">
      <x:c r="A1312" t="str">
        <x:f>'Employee Attendance'!A438</x:f>
        <x:v>Wezi Gondwe</x:v>
      </x:c>
      <x:c r="B1312" t="str">
        <x:f>'Employee Attendance'!B438</x:f>
        <x:v>Zambia</x:v>
      </x:c>
      <x:c r="C1312" t="str">
        <x:f>'Employee Attendance'!C438</x:f>
        <x:v>ZM</x:v>
      </x:c>
      <x:c r="D1312" t="str">
        <x:f>'Employee Attendance'!D438</x:f>
        <x:v>wezi.gondwe@pwc.com</x:v>
      </x:c>
      <x:c r="E1312" t="str">
        <x:f>"Combined"</x:f>
        <x:v>Combined</x:v>
      </x:c>
      <x:c r="F1312" s="14" t="n">
        <x:f>'Employee Attendance'!I438</x:f>
        <x:v>0.022581018518518518</x:v>
      </x:c>
      <x:c r="G1312" t="n">
        <x:f>F1312*86400</x:f>
        <x:v>1951</x:v>
      </x:c>
      <x:c r="H1312" t="str">
        <x:f>'Employee Attendance'!J438</x:f>
        <x:v>Partially attended</x:v>
      </x:c>
      <x:c r="I1312" t="str">
        <x:f>IF(OR('Employee Attendance'!K438="Yes",'Employee Attendance'!L438="Yes"),"Yes","No")</x:f>
        <x:v>Yes</x:v>
      </x:c>
    </x:row>
    <x:row r="1313">
      <x:c r="A1313" t="str">
        <x:f>'Employee Attendance'!A439</x:f>
        <x:v>Willie Kimaro</x:v>
      </x:c>
      <x:c r="B1313" t="str">
        <x:f>'Employee Attendance'!B439</x:f>
        <x:v>Tanzania</x:v>
      </x:c>
      <x:c r="C1313" t="str">
        <x:f>'Employee Attendance'!C439</x:f>
        <x:v>TZ</x:v>
      </x:c>
      <x:c r="D1313" t="str">
        <x:f>'Employee Attendance'!D439</x:f>
        <x:v>willie.w.kimaro@pwc.com</x:v>
      </x:c>
      <x:c r="E1313" t="str">
        <x:f>"Option 1"</x:f>
        <x:v>Option 1</x:v>
      </x:c>
      <x:c r="F1313" s="14" t="n">
        <x:f>'Employee Attendance'!E439</x:f>
        <x:v>0.0817361111111111</x:v>
      </x:c>
      <x:c r="G1313" t="n">
        <x:f>F1313*86400</x:f>
        <x:v>7062</x:v>
      </x:c>
      <x:c r="H1313" t="str">
        <x:f>'Employee Attendance'!F439</x:f>
        <x:v>Fully attended</x:v>
      </x:c>
      <x:c r="I1313" t="str">
        <x:f>'Employee Attendance'!K439</x:f>
        <x:v>Yes</x:v>
      </x:c>
    </x:row>
    <x:row r="1314">
      <x:c r="A1314" t="str">
        <x:f>'Employee Attendance'!A439</x:f>
        <x:v>Willie Kimaro</x:v>
      </x:c>
      <x:c r="B1314" t="str">
        <x:f>'Employee Attendance'!B439</x:f>
        <x:v>Tanzania</x:v>
      </x:c>
      <x:c r="C1314" t="str">
        <x:f>'Employee Attendance'!C439</x:f>
        <x:v>TZ</x:v>
      </x:c>
      <x:c r="D1314" t="str">
        <x:f>'Employee Attendance'!D439</x:f>
        <x:v>willie.w.kimaro@pwc.com</x:v>
      </x:c>
      <x:c r="E1314" t="str">
        <x:f>"Option 2"</x:f>
        <x:v>Option 2</x:v>
      </x:c>
      <x:c r="F1314" s="14" t="n">
        <x:f>'Employee Attendance'!G439</x:f>
        <x:v>0</x:v>
      </x:c>
      <x:c r="G1314" t="n">
        <x:f>F1314*86400</x:f>
        <x:v>0</x:v>
      </x:c>
      <x:c r="H1314" t="str">
        <x:f>'Employee Attendance'!H439</x:f>
        <x:v>Did not attend</x:v>
      </x:c>
      <x:c r="I1314" t="str">
        <x:f>'Employee Attendance'!L439</x:f>
        <x:v>No</x:v>
      </x:c>
    </x:row>
    <x:row r="1315">
      <x:c r="A1315" t="str">
        <x:f>'Employee Attendance'!A439</x:f>
        <x:v>Willie Kimaro</x:v>
      </x:c>
      <x:c r="B1315" t="str">
        <x:f>'Employee Attendance'!B439</x:f>
        <x:v>Tanzania</x:v>
      </x:c>
      <x:c r="C1315" t="str">
        <x:f>'Employee Attendance'!C439</x:f>
        <x:v>TZ</x:v>
      </x:c>
      <x:c r="D1315" t="str">
        <x:f>'Employee Attendance'!D439</x:f>
        <x:v>willie.w.kimaro@pwc.com</x:v>
      </x:c>
      <x:c r="E1315" t="str">
        <x:f>"Combined"</x:f>
        <x:v>Combined</x:v>
      </x:c>
      <x:c r="F1315" s="14" t="n">
        <x:f>'Employee Attendance'!I439</x:f>
        <x:v>0.0817361111111111</x:v>
      </x:c>
      <x:c r="G1315" t="n">
        <x:f>F1315*86400</x:f>
        <x:v>7062</x:v>
      </x:c>
      <x:c r="H1315" t="str">
        <x:f>'Employee Attendance'!J439</x:f>
        <x:v>Fully attended</x:v>
      </x:c>
      <x:c r="I1315" t="str">
        <x:f>IF(OR('Employee Attendance'!K439="Yes",'Employee Attendance'!L439="Yes"),"Yes","No")</x:f>
        <x:v>Yes</x:v>
      </x:c>
    </x:row>
    <x:row r="1316">
      <x:c r="A1316" t="str">
        <x:f>'Employee Attendance'!A440</x:f>
        <x:v>Yavish Yallappa</x:v>
      </x:c>
      <x:c r="B1316" t="str">
        <x:f>'Employee Attendance'!B440</x:f>
        <x:v>Mauritius</x:v>
      </x:c>
      <x:c r="C1316" t="str">
        <x:f>'Employee Attendance'!C440</x:f>
        <x:v>MU</x:v>
      </x:c>
      <x:c r="D1316" t="str">
        <x:f>'Employee Attendance'!D440</x:f>
        <x:v>yavish.yallappa@pwc.com</x:v>
      </x:c>
      <x:c r="E1316" t="str">
        <x:f>"Option 1"</x:f>
        <x:v>Option 1</x:v>
      </x:c>
      <x:c r="F1316" s="14" t="n">
        <x:f>'Employee Attendance'!E440</x:f>
        <x:v>0</x:v>
      </x:c>
      <x:c r="G1316" t="n">
        <x:f>F1316*86400</x:f>
        <x:v>0</x:v>
      </x:c>
      <x:c r="H1316" t="str">
        <x:f>'Employee Attendance'!F440</x:f>
        <x:v>Did not attend</x:v>
      </x:c>
      <x:c r="I1316" t="str">
        <x:f>'Employee Attendance'!K440</x:f>
        <x:v>No</x:v>
      </x:c>
    </x:row>
    <x:row r="1317">
      <x:c r="A1317" t="str">
        <x:f>'Employee Attendance'!A440</x:f>
        <x:v>Yavish Yallappa</x:v>
      </x:c>
      <x:c r="B1317" t="str">
        <x:f>'Employee Attendance'!B440</x:f>
        <x:v>Mauritius</x:v>
      </x:c>
      <x:c r="C1317" t="str">
        <x:f>'Employee Attendance'!C440</x:f>
        <x:v>MU</x:v>
      </x:c>
      <x:c r="D1317" t="str">
        <x:f>'Employee Attendance'!D440</x:f>
        <x:v>yavish.yallappa@pwc.com</x:v>
      </x:c>
      <x:c r="E1317" t="str">
        <x:f>"Option 2"</x:f>
        <x:v>Option 2</x:v>
      </x:c>
      <x:c r="F1317" s="14" t="n">
        <x:f>'Employee Attendance'!G440</x:f>
        <x:v>0.0712037037037037</x:v>
      </x:c>
      <x:c r="G1317" t="n">
        <x:f>F1317*86400</x:f>
        <x:v>6152</x:v>
      </x:c>
      <x:c r="H1317" t="str">
        <x:f>'Employee Attendance'!H440</x:f>
        <x:v>Fully attended</x:v>
      </x:c>
      <x:c r="I1317" t="str">
        <x:f>'Employee Attendance'!L440</x:f>
        <x:v>Yes</x:v>
      </x:c>
    </x:row>
    <x:row r="1318">
      <x:c r="A1318" t="str">
        <x:f>'Employee Attendance'!A440</x:f>
        <x:v>Yavish Yallappa</x:v>
      </x:c>
      <x:c r="B1318" t="str">
        <x:f>'Employee Attendance'!B440</x:f>
        <x:v>Mauritius</x:v>
      </x:c>
      <x:c r="C1318" t="str">
        <x:f>'Employee Attendance'!C440</x:f>
        <x:v>MU</x:v>
      </x:c>
      <x:c r="D1318" t="str">
        <x:f>'Employee Attendance'!D440</x:f>
        <x:v>yavish.yallappa@pwc.com</x:v>
      </x:c>
      <x:c r="E1318" t="str">
        <x:f>"Combined"</x:f>
        <x:v>Combined</x:v>
      </x:c>
      <x:c r="F1318" s="14" t="n">
        <x:f>'Employee Attendance'!I440</x:f>
        <x:v>0.0712037037037037</x:v>
      </x:c>
      <x:c r="G1318" t="n">
        <x:f>F1318*86400</x:f>
        <x:v>6152</x:v>
      </x:c>
      <x:c r="H1318" t="str">
        <x:f>'Employee Attendance'!J440</x:f>
        <x:v>Fully attended</x:v>
      </x:c>
      <x:c r="I1318" t="str">
        <x:f>IF(OR('Employee Attendance'!K440="Yes",'Employee Attendance'!L440="Yes"),"Yes","No")</x:f>
        <x:v>Yes</x:v>
      </x:c>
    </x:row>
    <x:row r="1319">
      <x:c r="A1319" t="str">
        <x:f>'Employee Attendance'!A441</x:f>
        <x:v>Yesha Dwarka</x:v>
      </x:c>
      <x:c r="B1319" t="str">
        <x:f>'Employee Attendance'!B441</x:f>
        <x:v>Mauritius</x:v>
      </x:c>
      <x:c r="C1319" t="str">
        <x:f>'Employee Attendance'!C441</x:f>
        <x:v>MU</x:v>
      </x:c>
      <x:c r="D1319" t="str">
        <x:f>'Employee Attendance'!D441</x:f>
        <x:v>yesha.dwarka@pwc.com</x:v>
      </x:c>
      <x:c r="E1319" t="str">
        <x:f>"Option 1"</x:f>
        <x:v>Option 1</x:v>
      </x:c>
      <x:c r="F1319" s="14" t="n">
        <x:f>'Employee Attendance'!E441</x:f>
        <x:v>0</x:v>
      </x:c>
      <x:c r="G1319" t="n">
        <x:f>F1319*86400</x:f>
        <x:v>0</x:v>
      </x:c>
      <x:c r="H1319" t="str">
        <x:f>'Employee Attendance'!F441</x:f>
        <x:v>Did not attend</x:v>
      </x:c>
      <x:c r="I1319" t="str">
        <x:f>'Employee Attendance'!K441</x:f>
        <x:v>No</x:v>
      </x:c>
    </x:row>
    <x:row r="1320">
      <x:c r="A1320" t="str">
        <x:f>'Employee Attendance'!A441</x:f>
        <x:v>Yesha Dwarka</x:v>
      </x:c>
      <x:c r="B1320" t="str">
        <x:f>'Employee Attendance'!B441</x:f>
        <x:v>Mauritius</x:v>
      </x:c>
      <x:c r="C1320" t="str">
        <x:f>'Employee Attendance'!C441</x:f>
        <x:v>MU</x:v>
      </x:c>
      <x:c r="D1320" t="str">
        <x:f>'Employee Attendance'!D441</x:f>
        <x:v>yesha.dwarka@pwc.com</x:v>
      </x:c>
      <x:c r="E1320" t="str">
        <x:f>"Option 2"</x:f>
        <x:v>Option 2</x:v>
      </x:c>
      <x:c r="F1320" s="14" t="n">
        <x:f>'Employee Attendance'!G441</x:f>
        <x:v>0.060405092592592594</x:v>
      </x:c>
      <x:c r="G1320" t="n">
        <x:f>F1320*86400</x:f>
        <x:v>5219</x:v>
      </x:c>
      <x:c r="H1320" t="str">
        <x:f>'Employee Attendance'!H441</x:f>
        <x:v>Partially attended</x:v>
      </x:c>
      <x:c r="I1320" t="str">
        <x:f>'Employee Attendance'!L441</x:f>
        <x:v>Yes</x:v>
      </x:c>
    </x:row>
    <x:row r="1321">
      <x:c r="A1321" t="str">
        <x:f>'Employee Attendance'!A441</x:f>
        <x:v>Yesha Dwarka</x:v>
      </x:c>
      <x:c r="B1321" t="str">
        <x:f>'Employee Attendance'!B441</x:f>
        <x:v>Mauritius</x:v>
      </x:c>
      <x:c r="C1321" t="str">
        <x:f>'Employee Attendance'!C441</x:f>
        <x:v>MU</x:v>
      </x:c>
      <x:c r="D1321" t="str">
        <x:f>'Employee Attendance'!D441</x:f>
        <x:v>yesha.dwarka@pwc.com</x:v>
      </x:c>
      <x:c r="E1321" t="str">
        <x:f>"Combined"</x:f>
        <x:v>Combined</x:v>
      </x:c>
      <x:c r="F1321" s="14" t="n">
        <x:f>'Employee Attendance'!I441</x:f>
        <x:v>0.060405092592592594</x:v>
      </x:c>
      <x:c r="G1321" t="n">
        <x:f>F1321*86400</x:f>
        <x:v>5219</x:v>
      </x:c>
      <x:c r="H1321" t="str">
        <x:f>'Employee Attendance'!J441</x:f>
        <x:v>Partially attended</x:v>
      </x:c>
      <x:c r="I1321" t="str">
        <x:f>IF(OR('Employee Attendance'!K441="Yes",'Employee Attendance'!L441="Yes"),"Yes","No")</x:f>
        <x:v>Yes</x:v>
      </x:c>
    </x:row>
    <x:row r="1322">
      <x:c r="A1322" t="str">
        <x:f>'Employee Attendance'!A442</x:f>
        <x:v>Yeshlin Govender</x:v>
      </x:c>
      <x:c r="B1322" t="str">
        <x:f>'Employee Attendance'!B442</x:f>
        <x:v>South Africa</x:v>
      </x:c>
      <x:c r="C1322" t="str">
        <x:f>'Employee Attendance'!C442</x:f>
        <x:v>ZA</x:v>
      </x:c>
      <x:c r="D1322" t="str">
        <x:f>'Employee Attendance'!D442</x:f>
        <x:v>yeshlin.govender@pwc.com</x:v>
      </x:c>
      <x:c r="E1322" t="str">
        <x:f>"Option 1"</x:f>
        <x:v>Option 1</x:v>
      </x:c>
      <x:c r="F1322" s="14" t="n">
        <x:f>'Employee Attendance'!E442</x:f>
        <x:v>0</x:v>
      </x:c>
      <x:c r="G1322" t="n">
        <x:f>F1322*86400</x:f>
        <x:v>0</x:v>
      </x:c>
      <x:c r="H1322" t="str">
        <x:f>'Employee Attendance'!F442</x:f>
        <x:v>Did not attend</x:v>
      </x:c>
      <x:c r="I1322" t="str">
        <x:f>'Employee Attendance'!K442</x:f>
        <x:v>No</x:v>
      </x:c>
    </x:row>
    <x:row r="1323">
      <x:c r="A1323" t="str">
        <x:f>'Employee Attendance'!A442</x:f>
        <x:v>Yeshlin Govender</x:v>
      </x:c>
      <x:c r="B1323" t="str">
        <x:f>'Employee Attendance'!B442</x:f>
        <x:v>South Africa</x:v>
      </x:c>
      <x:c r="C1323" t="str">
        <x:f>'Employee Attendance'!C442</x:f>
        <x:v>ZA</x:v>
      </x:c>
      <x:c r="D1323" t="str">
        <x:f>'Employee Attendance'!D442</x:f>
        <x:v>yeshlin.govender@pwc.com</x:v>
      </x:c>
      <x:c r="E1323" t="str">
        <x:f>"Option 2"</x:f>
        <x:v>Option 2</x:v>
      </x:c>
      <x:c r="F1323" s="14" t="n">
        <x:f>'Employee Attendance'!G442</x:f>
        <x:v>0.06163194444444445</x:v>
      </x:c>
      <x:c r="G1323" t="n">
        <x:f>F1323*86400</x:f>
        <x:v>5325</x:v>
      </x:c>
      <x:c r="H1323" t="str">
        <x:f>'Employee Attendance'!H442</x:f>
        <x:v>Partially attended</x:v>
      </x:c>
      <x:c r="I1323" t="str">
        <x:f>'Employee Attendance'!L442</x:f>
        <x:v>Yes</x:v>
      </x:c>
    </x:row>
    <x:row r="1324">
      <x:c r="A1324" t="str">
        <x:f>'Employee Attendance'!A442</x:f>
        <x:v>Yeshlin Govender</x:v>
      </x:c>
      <x:c r="B1324" t="str">
        <x:f>'Employee Attendance'!B442</x:f>
        <x:v>South Africa</x:v>
      </x:c>
      <x:c r="C1324" t="str">
        <x:f>'Employee Attendance'!C442</x:f>
        <x:v>ZA</x:v>
      </x:c>
      <x:c r="D1324" t="str">
        <x:f>'Employee Attendance'!D442</x:f>
        <x:v>yeshlin.govender@pwc.com</x:v>
      </x:c>
      <x:c r="E1324" t="str">
        <x:f>"Combined"</x:f>
        <x:v>Combined</x:v>
      </x:c>
      <x:c r="F1324" s="14" t="n">
        <x:f>'Employee Attendance'!I442</x:f>
        <x:v>0.06163194444444445</x:v>
      </x:c>
      <x:c r="G1324" t="n">
        <x:f>F1324*86400</x:f>
        <x:v>5325</x:v>
      </x:c>
      <x:c r="H1324" t="str">
        <x:f>'Employee Attendance'!J442</x:f>
        <x:v>Partially attended</x:v>
      </x:c>
      <x:c r="I1324" t="str">
        <x:f>IF(OR('Employee Attendance'!K442="Yes",'Employee Attendance'!L442="Yes"),"Yes","No")</x:f>
        <x:v>Yes</x:v>
      </x:c>
    </x:row>
    <x:row r="1325">
      <x:c r="A1325" t="str">
        <x:f>'Employee Attendance'!A443</x:f>
        <x:v>Yeshwant Seebaluck</x:v>
      </x:c>
      <x:c r="B1325" t="str">
        <x:f>'Employee Attendance'!B443</x:f>
        <x:v>Mauritius</x:v>
      </x:c>
      <x:c r="C1325" t="str">
        <x:f>'Employee Attendance'!C443</x:f>
        <x:v>MU</x:v>
      </x:c>
      <x:c r="D1325" t="str">
        <x:f>'Employee Attendance'!D443</x:f>
        <x:v>yeshwant.seebaluck@pwc.com</x:v>
      </x:c>
      <x:c r="E1325" t="str">
        <x:f>"Option 1"</x:f>
        <x:v>Option 1</x:v>
      </x:c>
      <x:c r="F1325" s="14" t="n">
        <x:f>'Employee Attendance'!E443</x:f>
        <x:v>0</x:v>
      </x:c>
      <x:c r="G1325" t="n">
        <x:f>F1325*86400</x:f>
        <x:v>0</x:v>
      </x:c>
      <x:c r="H1325" t="str">
        <x:f>'Employee Attendance'!F443</x:f>
        <x:v>Did not attend</x:v>
      </x:c>
      <x:c r="I1325" t="str">
        <x:f>'Employee Attendance'!K443</x:f>
        <x:v>No</x:v>
      </x:c>
    </x:row>
    <x:row r="1326">
      <x:c r="A1326" t="str">
        <x:f>'Employee Attendance'!A443</x:f>
        <x:v>Yeshwant Seebaluck</x:v>
      </x:c>
      <x:c r="B1326" t="str">
        <x:f>'Employee Attendance'!B443</x:f>
        <x:v>Mauritius</x:v>
      </x:c>
      <x:c r="C1326" t="str">
        <x:f>'Employee Attendance'!C443</x:f>
        <x:v>MU</x:v>
      </x:c>
      <x:c r="D1326" t="str">
        <x:f>'Employee Attendance'!D443</x:f>
        <x:v>yeshwant.seebaluck@pwc.com</x:v>
      </x:c>
      <x:c r="E1326" t="str">
        <x:f>"Option 2"</x:f>
        <x:v>Option 2</x:v>
      </x:c>
      <x:c r="F1326" s="14" t="n">
        <x:f>'Employee Attendance'!G443</x:f>
        <x:v>0.08282407407407408</x:v>
      </x:c>
      <x:c r="G1326" t="n">
        <x:f>F1326*86400</x:f>
        <x:v>7156</x:v>
      </x:c>
      <x:c r="H1326" t="str">
        <x:f>'Employee Attendance'!H443</x:f>
        <x:v>Fully attended</x:v>
      </x:c>
      <x:c r="I1326" t="str">
        <x:f>'Employee Attendance'!L443</x:f>
        <x:v>Yes</x:v>
      </x:c>
    </x:row>
    <x:row r="1327">
      <x:c r="A1327" t="str">
        <x:f>'Employee Attendance'!A443</x:f>
        <x:v>Yeshwant Seebaluck</x:v>
      </x:c>
      <x:c r="B1327" t="str">
        <x:f>'Employee Attendance'!B443</x:f>
        <x:v>Mauritius</x:v>
      </x:c>
      <x:c r="C1327" t="str">
        <x:f>'Employee Attendance'!C443</x:f>
        <x:v>MU</x:v>
      </x:c>
      <x:c r="D1327" t="str">
        <x:f>'Employee Attendance'!D443</x:f>
        <x:v>yeshwant.seebaluck@pwc.com</x:v>
      </x:c>
      <x:c r="E1327" t="str">
        <x:f>"Combined"</x:f>
        <x:v>Combined</x:v>
      </x:c>
      <x:c r="F1327" s="14" t="n">
        <x:f>'Employee Attendance'!I443</x:f>
        <x:v>0.08282407407407408</x:v>
      </x:c>
      <x:c r="G1327" t="n">
        <x:f>F1327*86400</x:f>
        <x:v>7156</x:v>
      </x:c>
      <x:c r="H1327" t="str">
        <x:f>'Employee Attendance'!J443</x:f>
        <x:v>Fully attended</x:v>
      </x:c>
      <x:c r="I1327" t="str">
        <x:f>IF(OR('Employee Attendance'!K443="Yes",'Employee Attendance'!L443="Yes"),"Yes","No")</x:f>
        <x:v>Yes</x:v>
      </x:c>
    </x:row>
    <x:row r="1328">
      <x:c r="A1328" t="str">
        <x:f>'Employee Attendance'!A444</x:f>
        <x:v>Zahrah Bocus</x:v>
      </x:c>
      <x:c r="B1328" t="str">
        <x:f>'Employee Attendance'!B444</x:f>
        <x:v>Mauritius</x:v>
      </x:c>
      <x:c r="C1328" t="str">
        <x:f>'Employee Attendance'!C444</x:f>
        <x:v>MU</x:v>
      </x:c>
      <x:c r="D1328" t="str">
        <x:f>'Employee Attendance'!D444</x:f>
        <x:v>zahrah.bocus@pwc.com</x:v>
      </x:c>
      <x:c r="E1328" t="str">
        <x:f>"Option 1"</x:f>
        <x:v>Option 1</x:v>
      </x:c>
      <x:c r="F1328" s="14" t="n">
        <x:f>'Employee Attendance'!E444</x:f>
        <x:v>0</x:v>
      </x:c>
      <x:c r="G1328" t="n">
        <x:f>F1328*86400</x:f>
        <x:v>0</x:v>
      </x:c>
      <x:c r="H1328" t="str">
        <x:f>'Employee Attendance'!F444</x:f>
        <x:v>Did not attend</x:v>
      </x:c>
      <x:c r="I1328" t="str">
        <x:f>'Employee Attendance'!K444</x:f>
        <x:v>No</x:v>
      </x:c>
    </x:row>
    <x:row r="1329">
      <x:c r="A1329" t="str">
        <x:f>'Employee Attendance'!A444</x:f>
        <x:v>Zahrah Bocus</x:v>
      </x:c>
      <x:c r="B1329" t="str">
        <x:f>'Employee Attendance'!B444</x:f>
        <x:v>Mauritius</x:v>
      </x:c>
      <x:c r="C1329" t="str">
        <x:f>'Employee Attendance'!C444</x:f>
        <x:v>MU</x:v>
      </x:c>
      <x:c r="D1329" t="str">
        <x:f>'Employee Attendance'!D444</x:f>
        <x:v>zahrah.bocus@pwc.com</x:v>
      </x:c>
      <x:c r="E1329" t="str">
        <x:f>"Option 2"</x:f>
        <x:v>Option 2</x:v>
      </x:c>
      <x:c r="F1329" s="14" t="n">
        <x:f>'Employee Attendance'!G444</x:f>
        <x:v>0</x:v>
      </x:c>
      <x:c r="G1329" t="n">
        <x:f>F1329*86400</x:f>
        <x:v>0</x:v>
      </x:c>
      <x:c r="H1329" t="str">
        <x:f>'Employee Attendance'!H444</x:f>
        <x:v>Did not attend</x:v>
      </x:c>
      <x:c r="I1329" t="str">
        <x:f>'Employee Attendance'!L444</x:f>
        <x:v>No</x:v>
      </x:c>
    </x:row>
    <x:row r="1330">
      <x:c r="A1330" t="str">
        <x:f>'Employee Attendance'!A444</x:f>
        <x:v>Zahrah Bocus</x:v>
      </x:c>
      <x:c r="B1330" t="str">
        <x:f>'Employee Attendance'!B444</x:f>
        <x:v>Mauritius</x:v>
      </x:c>
      <x:c r="C1330" t="str">
        <x:f>'Employee Attendance'!C444</x:f>
        <x:v>MU</x:v>
      </x:c>
      <x:c r="D1330" t="str">
        <x:f>'Employee Attendance'!D444</x:f>
        <x:v>zahrah.bocus@pwc.com</x:v>
      </x:c>
      <x:c r="E1330" t="str">
        <x:f>"Combined"</x:f>
        <x:v>Combined</x:v>
      </x:c>
      <x:c r="F1330" s="14" t="n">
        <x:f>'Employee Attendance'!I444</x:f>
        <x:v>0</x:v>
      </x:c>
      <x:c r="G1330" t="n">
        <x:f>F1330*86400</x:f>
        <x:v>0</x:v>
      </x:c>
      <x:c r="H1330" t="str">
        <x:f>'Employee Attendance'!J444</x:f>
        <x:v>Did not attend</x:v>
      </x:c>
      <x:c r="I1330" t="str">
        <x:f>IF(OR('Employee Attendance'!K444="Yes",'Employee Attendance'!L444="Yes"),"Yes","No")</x:f>
        <x:v>No</x:v>
      </x:c>
    </x:row>
    <x:row r="1331">
      <x:c r="A1331" t="str">
        <x:f>'Employee Attendance'!A445</x:f>
        <x:v>Zainab Msimbe</x:v>
      </x:c>
      <x:c r="B1331" t="str">
        <x:f>'Employee Attendance'!B445</x:f>
        <x:v>Tanzania</x:v>
      </x:c>
      <x:c r="C1331" t="str">
        <x:f>'Employee Attendance'!C445</x:f>
        <x:v>TZ</x:v>
      </x:c>
      <x:c r="D1331" t="str">
        <x:f>'Employee Attendance'!D445</x:f>
        <x:v>zainab.msimbe@pwc.com</x:v>
      </x:c>
      <x:c r="E1331" t="str">
        <x:f>"Option 1"</x:f>
        <x:v>Option 1</x:v>
      </x:c>
      <x:c r="F1331" s="14" t="n">
        <x:f>'Employee Attendance'!E445</x:f>
        <x:v>0</x:v>
      </x:c>
      <x:c r="G1331" t="n">
        <x:f>F1331*86400</x:f>
        <x:v>0</x:v>
      </x:c>
      <x:c r="H1331" t="str">
        <x:f>'Employee Attendance'!F445</x:f>
        <x:v>Did not attend</x:v>
      </x:c>
      <x:c r="I1331" t="str">
        <x:f>'Employee Attendance'!K445</x:f>
        <x:v>No</x:v>
      </x:c>
    </x:row>
    <x:row r="1332">
      <x:c r="A1332" t="str">
        <x:f>'Employee Attendance'!A445</x:f>
        <x:v>Zainab Msimbe</x:v>
      </x:c>
      <x:c r="B1332" t="str">
        <x:f>'Employee Attendance'!B445</x:f>
        <x:v>Tanzania</x:v>
      </x:c>
      <x:c r="C1332" t="str">
        <x:f>'Employee Attendance'!C445</x:f>
        <x:v>TZ</x:v>
      </x:c>
      <x:c r="D1332" t="str">
        <x:f>'Employee Attendance'!D445</x:f>
        <x:v>zainab.msimbe@pwc.com</x:v>
      </x:c>
      <x:c r="E1332" t="str">
        <x:f>"Option 2"</x:f>
        <x:v>Option 2</x:v>
      </x:c>
      <x:c r="F1332" s="14" t="n">
        <x:f>'Employee Attendance'!G445</x:f>
        <x:v>0</x:v>
      </x:c>
      <x:c r="G1332" t="n">
        <x:f>F1332*86400</x:f>
        <x:v>0</x:v>
      </x:c>
      <x:c r="H1332" t="str">
        <x:f>'Employee Attendance'!H445</x:f>
        <x:v>Did not attend</x:v>
      </x:c>
      <x:c r="I1332" t="str">
        <x:f>'Employee Attendance'!L445</x:f>
        <x:v>No</x:v>
      </x:c>
    </x:row>
    <x:row r="1333">
      <x:c r="A1333" t="str">
        <x:f>'Employee Attendance'!A445</x:f>
        <x:v>Zainab Msimbe</x:v>
      </x:c>
      <x:c r="B1333" t="str">
        <x:f>'Employee Attendance'!B445</x:f>
        <x:v>Tanzania</x:v>
      </x:c>
      <x:c r="C1333" t="str">
        <x:f>'Employee Attendance'!C445</x:f>
        <x:v>TZ</x:v>
      </x:c>
      <x:c r="D1333" t="str">
        <x:f>'Employee Attendance'!D445</x:f>
        <x:v>zainab.msimbe@pwc.com</x:v>
      </x:c>
      <x:c r="E1333" t="str">
        <x:f>"Combined"</x:f>
        <x:v>Combined</x:v>
      </x:c>
      <x:c r="F1333" s="14" t="n">
        <x:f>'Employee Attendance'!I445</x:f>
        <x:v>0</x:v>
      </x:c>
      <x:c r="G1333" t="n">
        <x:f>F1333*86400</x:f>
        <x:v>0</x:v>
      </x:c>
      <x:c r="H1333" t="str">
        <x:f>'Employee Attendance'!J445</x:f>
        <x:v>Did not attend</x:v>
      </x:c>
      <x:c r="I1333" t="str">
        <x:f>IF(OR('Employee Attendance'!K445="Yes",'Employee Attendance'!L445="Yes"),"Yes","No")</x:f>
        <x:v>No</x:v>
      </x:c>
    </x:row>
    <x:row r="1334">
      <x:c r="A1334" t="str">
        <x:f>'Employee Attendance'!A446</x:f>
        <x:v>Zuhura Mnyamuru</x:v>
      </x:c>
      <x:c r="B1334" t="str">
        <x:f>'Employee Attendance'!B446</x:f>
        <x:v>Tanzania</x:v>
      </x:c>
      <x:c r="C1334" t="str">
        <x:f>'Employee Attendance'!C446</x:f>
        <x:v>TZ</x:v>
      </x:c>
      <x:c r="D1334" t="str">
        <x:f>'Employee Attendance'!D446</x:f>
        <x:v>zuhura.z.mnyamuru@pwc.com</x:v>
      </x:c>
      <x:c r="E1334" t="str">
        <x:f>"Option 1"</x:f>
        <x:v>Option 1</x:v>
      </x:c>
      <x:c r="F1334" s="14" t="n">
        <x:f>'Employee Attendance'!E446</x:f>
        <x:v>0</x:v>
      </x:c>
      <x:c r="G1334" t="n">
        <x:f>F1334*86400</x:f>
        <x:v>0</x:v>
      </x:c>
      <x:c r="H1334" t="str">
        <x:f>'Employee Attendance'!F446</x:f>
        <x:v>Did not attend</x:v>
      </x:c>
      <x:c r="I1334" t="str">
        <x:f>'Employee Attendance'!K446</x:f>
        <x:v>No</x:v>
      </x:c>
    </x:row>
    <x:row r="1335">
      <x:c r="A1335" t="str">
        <x:f>'Employee Attendance'!A446</x:f>
        <x:v>Zuhura Mnyamuru</x:v>
      </x:c>
      <x:c r="B1335" t="str">
        <x:f>'Employee Attendance'!B446</x:f>
        <x:v>Tanzania</x:v>
      </x:c>
      <x:c r="C1335" t="str">
        <x:f>'Employee Attendance'!C446</x:f>
        <x:v>TZ</x:v>
      </x:c>
      <x:c r="D1335" t="str">
        <x:f>'Employee Attendance'!D446</x:f>
        <x:v>zuhura.z.mnyamuru@pwc.com</x:v>
      </x:c>
      <x:c r="E1335" t="str">
        <x:f>"Option 2"</x:f>
        <x:v>Option 2</x:v>
      </x:c>
      <x:c r="F1335" s="14" t="n">
        <x:f>'Employee Attendance'!G446</x:f>
        <x:v>0.08885416666666666</x:v>
      </x:c>
      <x:c r="G1335" t="n">
        <x:f>F1335*86400</x:f>
        <x:v>7677</x:v>
      </x:c>
      <x:c r="H1335" t="str">
        <x:f>'Employee Attendance'!H446</x:f>
        <x:v>Fully attended</x:v>
      </x:c>
      <x:c r="I1335" t="str">
        <x:f>'Employee Attendance'!L446</x:f>
        <x:v>Yes</x:v>
      </x:c>
    </x:row>
    <x:row r="1336">
      <x:c r="A1336" t="str">
        <x:f>'Employee Attendance'!A446</x:f>
        <x:v>Zuhura Mnyamuru</x:v>
      </x:c>
      <x:c r="B1336" t="str">
        <x:f>'Employee Attendance'!B446</x:f>
        <x:v>Tanzania</x:v>
      </x:c>
      <x:c r="C1336" t="str">
        <x:f>'Employee Attendance'!C446</x:f>
        <x:v>TZ</x:v>
      </x:c>
      <x:c r="D1336" t="str">
        <x:f>'Employee Attendance'!D446</x:f>
        <x:v>zuhura.z.mnyamuru@pwc.com</x:v>
      </x:c>
      <x:c r="E1336" t="str">
        <x:f>"Combined"</x:f>
        <x:v>Combined</x:v>
      </x:c>
      <x:c r="F1336" s="14" t="n">
        <x:f>'Employee Attendance'!I446</x:f>
        <x:v>0.08885416666666666</x:v>
      </x:c>
      <x:c r="G1336" t="n">
        <x:f>F1336*86400</x:f>
        <x:v>7677</x:v>
      </x:c>
      <x:c r="H1336" t="str">
        <x:f>'Employee Attendance'!J446</x:f>
        <x:v>Fully attended</x:v>
      </x:c>
      <x:c r="I1336" t="str">
        <x:f>IF(OR('Employee Attendance'!K446="Yes",'Employee Attendance'!L446="Yes"),"Yes","No")</x:f>
        <x:v>Yes</x:v>
      </x:c>
    </x:row>
    <x:row r="1337">
      <x:c r="A1337" t="str">
        <x:v>Abel Maiga</x:v>
      </x:c>
      <x:c r="B1337" t="str">
        <x:v>Tanzania</x:v>
      </x:c>
      <x:c r="C1337" t="str">
        <x:v>TZ</x:v>
      </x:c>
      <x:c r="D1337" t="str">
        <x:v>abel.maiga@pwc.com</x:v>
      </x:c>
      <x:c r="E1337" t="str">
        <x:v>Option 1</x:v>
      </x:c>
      <x:c r="F1337" t="n">
        <x:v>0.05291666666666667</x:v>
      </x:c>
      <x:c r="G1337" t="n">
        <x:v>4572</x:v>
      </x:c>
      <x:c r="H1337" t="str">
        <x:v>Partially attended</x:v>
      </x:c>
      <x:c r="I1337" t="str">
        <x:v>Yes</x:v>
      </x:c>
    </x:row>
    <x:row r="1338">
      <x:c r="A1338" t="str">
        <x:v>Abel Maiga</x:v>
      </x:c>
      <x:c r="B1338" t="str">
        <x:v>Tanzania</x:v>
      </x:c>
      <x:c r="C1338" t="str">
        <x:v>TZ</x:v>
      </x:c>
      <x:c r="D1338" t="str">
        <x:v>abel.maiga@pwc.com</x:v>
      </x:c>
      <x:c r="E1338" t="str">
        <x:v>Option 2</x:v>
      </x:c>
      <x:c r="F1338" t="n">
        <x:v>0</x:v>
      </x:c>
      <x:c r="G1338" t="n">
        <x:v>0</x:v>
      </x:c>
      <x:c r="H1338" t="str">
        <x:v>Did not attend</x:v>
      </x:c>
      <x:c r="I1338" t="str">
        <x:v>No</x:v>
      </x:c>
    </x:row>
    <x:row r="1339">
      <x:c r="A1339" t="str">
        <x:v>Abel Maiga</x:v>
      </x:c>
      <x:c r="B1339" t="str">
        <x:v>Tanzania</x:v>
      </x:c>
      <x:c r="C1339" t="str">
        <x:v>TZ</x:v>
      </x:c>
      <x:c r="D1339" t="str">
        <x:v>abel.maiga@pwc.com</x:v>
      </x:c>
      <x:c r="E1339" t="str">
        <x:v>Combined</x:v>
      </x:c>
      <x:c r="F1339" t="n">
        <x:v>0.05291666666666667</x:v>
      </x:c>
      <x:c r="G1339" t="n">
        <x:v>4572</x:v>
      </x:c>
      <x:c r="H1339" t="str">
        <x:v>Partially attended</x:v>
      </x:c>
      <x:c r="I1339" t="str">
        <x:v>Yes</x:v>
      </x:c>
    </x:row>
    <x:row r="1340">
      <x:c r="A1340" t="str">
        <x:v>Aderick Bajunana</x:v>
      </x:c>
      <x:c r="B1340" t="str">
        <x:v>Tanzania</x:v>
      </x:c>
      <x:c r="C1340" t="str">
        <x:v>TZ</x:v>
      </x:c>
      <x:c r="D1340" t="str">
        <x:v>aderick.bajunana@pwc.com</x:v>
      </x:c>
      <x:c r="E1340" t="str">
        <x:v>Option 1</x:v>
      </x:c>
      <x:c r="F1340" t="n">
        <x:v>0.06098379629629629</x:v>
      </x:c>
      <x:c r="G1340" t="n">
        <x:v>5269</x:v>
      </x:c>
      <x:c r="H1340" t="str">
        <x:v>Partially attended</x:v>
      </x:c>
      <x:c r="I1340" t="str">
        <x:v>Yes</x:v>
      </x:c>
    </x:row>
    <x:row r="1341">
      <x:c r="A1341" t="str">
        <x:v>Aderick Bajunana</x:v>
      </x:c>
      <x:c r="B1341" t="str">
        <x:v>Tanzania</x:v>
      </x:c>
      <x:c r="C1341" t="str">
        <x:v>TZ</x:v>
      </x:c>
      <x:c r="D1341" t="str">
        <x:v>aderick.bajunana@pwc.com</x:v>
      </x:c>
      <x:c r="E1341" t="str">
        <x:v>Option 2</x:v>
      </x:c>
      <x:c r="F1341" t="n">
        <x:v>0</x:v>
      </x:c>
      <x:c r="G1341" t="n">
        <x:v>0</x:v>
      </x:c>
      <x:c r="H1341" t="str">
        <x:v>Did not attend</x:v>
      </x:c>
      <x:c r="I1341" t="str">
        <x:v>No</x:v>
      </x:c>
    </x:row>
    <x:row r="1342">
      <x:c r="A1342" t="str">
        <x:v>Aderick Bajunana</x:v>
      </x:c>
      <x:c r="B1342" t="str">
        <x:v>Tanzania</x:v>
      </x:c>
      <x:c r="C1342" t="str">
        <x:v>TZ</x:v>
      </x:c>
      <x:c r="D1342" t="str">
        <x:v>aderick.bajunana@pwc.com</x:v>
      </x:c>
      <x:c r="E1342" t="str">
        <x:v>Combined</x:v>
      </x:c>
      <x:c r="F1342" t="n">
        <x:v>0.06098379629629629</x:v>
      </x:c>
      <x:c r="G1342" t="n">
        <x:v>5269</x:v>
      </x:c>
      <x:c r="H1342" t="str">
        <x:v>Partially attended</x:v>
      </x:c>
      <x:c r="I1342" t="str">
        <x:v>Yes</x:v>
      </x:c>
    </x:row>
    <x:row r="1343">
      <x:c r="A1343" t="str">
        <x:v>Ahmed Kayungilo</x:v>
      </x:c>
      <x:c r="B1343" t="str">
        <x:v>Tanzania</x:v>
      </x:c>
      <x:c r="C1343" t="str">
        <x:v>TZ</x:v>
      </x:c>
      <x:c r="D1343" t="str">
        <x:v>ahmed.kayungilo@pwc.com</x:v>
      </x:c>
      <x:c r="E1343" t="str">
        <x:v>Option 1</x:v>
      </x:c>
      <x:c r="F1343" t="n">
        <x:v>0.000625</x:v>
      </x:c>
      <x:c r="G1343" t="n">
        <x:v>54</x:v>
      </x:c>
      <x:c r="H1343" t="str">
        <x:v>Partially attended</x:v>
      </x:c>
      <x:c r="I1343" t="str">
        <x:v>Yes</x:v>
      </x:c>
    </x:row>
    <x:row r="1344">
      <x:c r="A1344" t="str">
        <x:v>Ahmed Kayungilo</x:v>
      </x:c>
      <x:c r="B1344" t="str">
        <x:v>Tanzania</x:v>
      </x:c>
      <x:c r="C1344" t="str">
        <x:v>TZ</x:v>
      </x:c>
      <x:c r="D1344" t="str">
        <x:v>ahmed.kayungilo@pwc.com</x:v>
      </x:c>
      <x:c r="E1344" t="str">
        <x:v>Option 2</x:v>
      </x:c>
      <x:c r="F1344" t="n">
        <x:v>0</x:v>
      </x:c>
      <x:c r="G1344" t="n">
        <x:v>0</x:v>
      </x:c>
      <x:c r="H1344" t="str">
        <x:v>Did not attend</x:v>
      </x:c>
      <x:c r="I1344" t="str">
        <x:v>No</x:v>
      </x:c>
    </x:row>
    <x:row r="1345">
      <x:c r="A1345" t="str">
        <x:v>Ahmed Kayungilo</x:v>
      </x:c>
      <x:c r="B1345" t="str">
        <x:v>Tanzania</x:v>
      </x:c>
      <x:c r="C1345" t="str">
        <x:v>TZ</x:v>
      </x:c>
      <x:c r="D1345" t="str">
        <x:v>ahmed.kayungilo@pwc.com</x:v>
      </x:c>
      <x:c r="E1345" t="str">
        <x:v>Combined</x:v>
      </x:c>
      <x:c r="F1345" t="n">
        <x:v>0.000625</x:v>
      </x:c>
      <x:c r="G1345" t="n">
        <x:v>54</x:v>
      </x:c>
      <x:c r="H1345" t="str">
        <x:v>Partially attended</x:v>
      </x:c>
      <x:c r="I1345" t="str">
        <x:v>Yes</x:v>
      </x:c>
    </x:row>
    <x:row r="1346">
      <x:c r="A1346" t="str">
        <x:v>Aisha Kilonda</x:v>
      </x:c>
      <x:c r="B1346" t="str">
        <x:v>Tanzania</x:v>
      </x:c>
      <x:c r="C1346" t="str">
        <x:v>TZ</x:v>
      </x:c>
      <x:c r="D1346" t="str">
        <x:v>aisha.kilonda@pwc.com</x:v>
      </x:c>
      <x:c r="E1346" t="str">
        <x:v>Option 1</x:v>
      </x:c>
      <x:c r="F1346" t="n">
        <x:v>0.10733796296296297</x:v>
      </x:c>
      <x:c r="G1346" t="n">
        <x:v>9274</x:v>
      </x:c>
      <x:c r="H1346" t="str">
        <x:v>Fully attended</x:v>
      </x:c>
      <x:c r="I1346" t="str">
        <x:v>Yes</x:v>
      </x:c>
    </x:row>
    <x:row r="1347">
      <x:c r="A1347" t="str">
        <x:v>Aisha Kilonda</x:v>
      </x:c>
      <x:c r="B1347" t="str">
        <x:v>Tanzania</x:v>
      </x:c>
      <x:c r="C1347" t="str">
        <x:v>TZ</x:v>
      </x:c>
      <x:c r="D1347" t="str">
        <x:v>aisha.kilonda@pwc.com</x:v>
      </x:c>
      <x:c r="E1347" t="str">
        <x:v>Option 2</x:v>
      </x:c>
      <x:c r="F1347" t="n">
        <x:v>0</x:v>
      </x:c>
      <x:c r="G1347" t="n">
        <x:v>0</x:v>
      </x:c>
      <x:c r="H1347" t="str">
        <x:v>Did not attend</x:v>
      </x:c>
      <x:c r="I1347" t="str">
        <x:v>No</x:v>
      </x:c>
    </x:row>
    <x:row r="1348">
      <x:c r="A1348" t="str">
        <x:v>Aisha Kilonda</x:v>
      </x:c>
      <x:c r="B1348" t="str">
        <x:v>Tanzania</x:v>
      </x:c>
      <x:c r="C1348" t="str">
        <x:v>TZ</x:v>
      </x:c>
      <x:c r="D1348" t="str">
        <x:v>aisha.kilonda@pwc.com</x:v>
      </x:c>
      <x:c r="E1348" t="str">
        <x:v>Combined</x:v>
      </x:c>
      <x:c r="F1348" t="n">
        <x:v>0.10733796296296297</x:v>
      </x:c>
      <x:c r="G1348" t="n">
        <x:v>9274</x:v>
      </x:c>
      <x:c r="H1348" t="str">
        <x:v>Fully attended</x:v>
      </x:c>
      <x:c r="I1348" t="str">
        <x:v>Yes</x:v>
      </x:c>
    </x:row>
    <x:row r="1349">
      <x:c r="A1349" t="str">
        <x:v>Amelie Fanfan</x:v>
      </x:c>
      <x:c r="B1349" t="str">
        <x:v>Mauritius</x:v>
      </x:c>
      <x:c r="C1349" t="str">
        <x:v>MU</x:v>
      </x:c>
      <x:c r="D1349" t="str">
        <x:v>amelie.fanfan@pwc.com</x:v>
      </x:c>
      <x:c r="E1349" t="str">
        <x:v>Option 1</x:v>
      </x:c>
      <x:c r="F1349" t="n">
        <x:v>0</x:v>
      </x:c>
      <x:c r="G1349" t="n">
        <x:v>0</x:v>
      </x:c>
      <x:c r="H1349" t="str">
        <x:v>Did not attend</x:v>
      </x:c>
      <x:c r="I1349" t="str">
        <x:v>No</x:v>
      </x:c>
    </x:row>
    <x:row r="1350">
      <x:c r="A1350" t="str">
        <x:v>Amelie Fanfan</x:v>
      </x:c>
      <x:c r="B1350" t="str">
        <x:v>Mauritius</x:v>
      </x:c>
      <x:c r="C1350" t="str">
        <x:v>MU</x:v>
      </x:c>
      <x:c r="D1350" t="str">
        <x:v>amelie.fanfan@pwc.com</x:v>
      </x:c>
      <x:c r="E1350" t="str">
        <x:v>Option 2</x:v>
      </x:c>
      <x:c r="F1350" t="n">
        <x:v>0.05550925925925926</x:v>
      </x:c>
      <x:c r="G1350" t="n">
        <x:v>4796</x:v>
      </x:c>
      <x:c r="H1350" t="str">
        <x:v>Partially attended</x:v>
      </x:c>
      <x:c r="I1350" t="str">
        <x:v>Yes</x:v>
      </x:c>
    </x:row>
    <x:row r="1351">
      <x:c r="A1351" t="str">
        <x:v>Amelie Fanfan</x:v>
      </x:c>
      <x:c r="B1351" t="str">
        <x:v>Mauritius</x:v>
      </x:c>
      <x:c r="C1351" t="str">
        <x:v>MU</x:v>
      </x:c>
      <x:c r="D1351" t="str">
        <x:v>amelie.fanfan@pwc.com</x:v>
      </x:c>
      <x:c r="E1351" t="str">
        <x:v>Combined</x:v>
      </x:c>
      <x:c r="F1351" t="n">
        <x:v>0.05550925925925926</x:v>
      </x:c>
      <x:c r="G1351" t="n">
        <x:v>4796</x:v>
      </x:c>
      <x:c r="H1351" t="str">
        <x:v>Partially attended</x:v>
      </x:c>
      <x:c r="I1351" t="str">
        <x:v>Yes</x:v>
      </x:c>
    </x:row>
    <x:row r="1352">
      <x:c r="A1352" t="str">
        <x:v>Amisha Gunputh</x:v>
      </x:c>
      <x:c r="B1352" t="str">
        <x:v>Mauritius</x:v>
      </x:c>
      <x:c r="C1352" t="str">
        <x:v>MU</x:v>
      </x:c>
      <x:c r="D1352" t="str">
        <x:v>amisha.gunputh@pwc.com</x:v>
      </x:c>
      <x:c r="E1352" t="str">
        <x:v>Option 1</x:v>
      </x:c>
      <x:c r="F1352" t="n">
        <x:v>0</x:v>
      </x:c>
      <x:c r="G1352" t="n">
        <x:v>0</x:v>
      </x:c>
      <x:c r="H1352" t="str">
        <x:v>Did not attend</x:v>
      </x:c>
      <x:c r="I1352" t="str">
        <x:v>No</x:v>
      </x:c>
    </x:row>
    <x:row r="1353">
      <x:c r="A1353" t="str">
        <x:v>Amisha Gunputh</x:v>
      </x:c>
      <x:c r="B1353" t="str">
        <x:v>Mauritius</x:v>
      </x:c>
      <x:c r="C1353" t="str">
        <x:v>MU</x:v>
      </x:c>
      <x:c r="D1353" t="str">
        <x:v>amisha.gunputh@pwc.com</x:v>
      </x:c>
      <x:c r="E1353" t="str">
        <x:v>Option 2</x:v>
      </x:c>
      <x:c r="F1353" t="n">
        <x:v>0.08627314814814815</x:v>
      </x:c>
      <x:c r="G1353" t="n">
        <x:v>7454</x:v>
      </x:c>
      <x:c r="H1353" t="str">
        <x:v>Fully attended</x:v>
      </x:c>
      <x:c r="I1353" t="str">
        <x:v>Yes</x:v>
      </x:c>
    </x:row>
    <x:row r="1354">
      <x:c r="A1354" t="str">
        <x:v>Amisha Gunputh</x:v>
      </x:c>
      <x:c r="B1354" t="str">
        <x:v>Mauritius</x:v>
      </x:c>
      <x:c r="C1354" t="str">
        <x:v>MU</x:v>
      </x:c>
      <x:c r="D1354" t="str">
        <x:v>amisha.gunputh@pwc.com</x:v>
      </x:c>
      <x:c r="E1354" t="str">
        <x:v>Combined</x:v>
      </x:c>
      <x:c r="F1354" t="n">
        <x:v>0.08627314814814815</x:v>
      </x:c>
      <x:c r="G1354" t="n">
        <x:v>7454</x:v>
      </x:c>
      <x:c r="H1354" t="str">
        <x:v>Fully attended</x:v>
      </x:c>
      <x:c r="I1354" t="str">
        <x:v>Yes</x:v>
      </x:c>
    </x:row>
    <x:row r="1355">
      <x:c r="A1355" t="str">
        <x:v>Ampumuza Mmukunda</x:v>
      </x:c>
      <x:c r="B1355" t="str">
        <x:v>Uganda</x:v>
      </x:c>
      <x:c r="C1355" t="str">
        <x:v>UG</x:v>
      </x:c>
      <x:c r="D1355" t="str">
        <x:v>ampumuza.mmukunda@pwc.com</x:v>
      </x:c>
      <x:c r="E1355" t="str">
        <x:v>Option 1</x:v>
      </x:c>
      <x:c r="F1355" t="n">
        <x:v>0</x:v>
      </x:c>
      <x:c r="G1355" t="n">
        <x:v>0</x:v>
      </x:c>
      <x:c r="H1355" t="str">
        <x:v>Did not attend</x:v>
      </x:c>
      <x:c r="I1355" t="str">
        <x:v>No</x:v>
      </x:c>
    </x:row>
    <x:row r="1356">
      <x:c r="A1356" t="str">
        <x:v>Ampumuza Mmukunda</x:v>
      </x:c>
      <x:c r="B1356" t="str">
        <x:v>Uganda</x:v>
      </x:c>
      <x:c r="C1356" t="str">
        <x:v>UG</x:v>
      </x:c>
      <x:c r="D1356" t="str">
        <x:v>ampumuza.mmukunda@pwc.com</x:v>
      </x:c>
      <x:c r="E1356" t="str">
        <x:v>Option 2</x:v>
      </x:c>
      <x:c r="F1356" t="n">
        <x:v>0.08368055555555555</x:v>
      </x:c>
      <x:c r="G1356" t="n">
        <x:v>7230</x:v>
      </x:c>
      <x:c r="H1356" t="str">
        <x:v>Fully attended</x:v>
      </x:c>
      <x:c r="I1356" t="str">
        <x:v>Yes</x:v>
      </x:c>
    </x:row>
    <x:row r="1357">
      <x:c r="A1357" t="str">
        <x:v>Ampumuza Mmukunda</x:v>
      </x:c>
      <x:c r="B1357" t="str">
        <x:v>Uganda</x:v>
      </x:c>
      <x:c r="C1357" t="str">
        <x:v>UG</x:v>
      </x:c>
      <x:c r="D1357" t="str">
        <x:v>ampumuza.mmukunda@pwc.com</x:v>
      </x:c>
      <x:c r="E1357" t="str">
        <x:v>Combined</x:v>
      </x:c>
      <x:c r="F1357" t="n">
        <x:v>0.08368055555555555</x:v>
      </x:c>
      <x:c r="G1357" t="n">
        <x:v>7230</x:v>
      </x:c>
      <x:c r="H1357" t="str">
        <x:v>Fully attended</x:v>
      </x:c>
      <x:c r="I1357" t="str">
        <x:v>Yes</x:v>
      </x:c>
    </x:row>
    <x:row r="1358">
      <x:c r="A1358" t="str">
        <x:v>Angel Kwaye</x:v>
      </x:c>
      <x:c r="B1358" t="str">
        <x:v>Tanzania</x:v>
      </x:c>
      <x:c r="C1358" t="str">
        <x:v>TZ</x:v>
      </x:c>
      <x:c r="D1358" t="str">
        <x:v>angel.kwaye@pwc.com</x:v>
      </x:c>
      <x:c r="E1358" t="str">
        <x:v>Option 1</x:v>
      </x:c>
      <x:c r="F1358" t="n">
        <x:v>0.07708333333333334</x:v>
      </x:c>
      <x:c r="G1358" t="n">
        <x:v>6660</x:v>
      </x:c>
      <x:c r="H1358" t="str">
        <x:v>Fully attended</x:v>
      </x:c>
      <x:c r="I1358" t="str">
        <x:v>Yes</x:v>
      </x:c>
    </x:row>
    <x:row r="1359">
      <x:c r="A1359" t="str">
        <x:v>Angel Kwaye</x:v>
      </x:c>
      <x:c r="B1359" t="str">
        <x:v>Tanzania</x:v>
      </x:c>
      <x:c r="C1359" t="str">
        <x:v>TZ</x:v>
      </x:c>
      <x:c r="D1359" t="str">
        <x:v>angel.kwaye@pwc.com</x:v>
      </x:c>
      <x:c r="E1359" t="str">
        <x:v>Option 2</x:v>
      </x:c>
      <x:c r="F1359" t="n">
        <x:v>0.010289351851851852</x:v>
      </x:c>
      <x:c r="G1359" t="n">
        <x:v>889</x:v>
      </x:c>
      <x:c r="H1359" t="str">
        <x:v>Partially attended</x:v>
      </x:c>
      <x:c r="I1359" t="str">
        <x:v>Yes</x:v>
      </x:c>
    </x:row>
    <x:row r="1360">
      <x:c r="A1360" t="str">
        <x:v>Angel Kwaye</x:v>
      </x:c>
      <x:c r="B1360" t="str">
        <x:v>Tanzania</x:v>
      </x:c>
      <x:c r="C1360" t="str">
        <x:v>TZ</x:v>
      </x:c>
      <x:c r="D1360" t="str">
        <x:v>angel.kwaye@pwc.com</x:v>
      </x:c>
      <x:c r="E1360" t="str">
        <x:v>Combined</x:v>
      </x:c>
      <x:c r="F1360" t="n">
        <x:v>0.08737268518518519</x:v>
      </x:c>
      <x:c r="G1360" t="n">
        <x:v>7549</x:v>
      </x:c>
      <x:c r="H1360" t="str">
        <x:v>Fully attended</x:v>
      </x:c>
      <x:c r="I1360" t="str">
        <x:v>Yes</x:v>
      </x:c>
    </x:row>
    <x:row r="1361">
      <x:c r="A1361" t="str">
        <x:v>Angelayeyoo Mosha</x:v>
      </x:c>
      <x:c r="B1361" t="str">
        <x:v>Tanzania</x:v>
      </x:c>
      <x:c r="C1361" t="str">
        <x:v>TZ</x:v>
      </x:c>
      <x:c r="D1361" t="str">
        <x:v>angelayeyoo.mosha@pwc.com</x:v>
      </x:c>
      <x:c r="E1361" t="str">
        <x:v>Option 1</x:v>
      </x:c>
      <x:c r="F1361" t="n">
        <x:v>0</x:v>
      </x:c>
      <x:c r="G1361" t="n">
        <x:v>0</x:v>
      </x:c>
      <x:c r="H1361" t="str">
        <x:v>Did not attend</x:v>
      </x:c>
      <x:c r="I1361" t="str">
        <x:v>No</x:v>
      </x:c>
    </x:row>
    <x:row r="1362">
      <x:c r="A1362" t="str">
        <x:v>Angelayeyoo Mosha</x:v>
      </x:c>
      <x:c r="B1362" t="str">
        <x:v>Tanzania</x:v>
      </x:c>
      <x:c r="C1362" t="str">
        <x:v>TZ</x:v>
      </x:c>
      <x:c r="D1362" t="str">
        <x:v>angelayeyoo.mosha@pwc.com</x:v>
      </x:c>
      <x:c r="E1362" t="str">
        <x:v>Option 2</x:v>
      </x:c>
      <x:c r="F1362" t="n">
        <x:v>0.07172453703703703</x:v>
      </x:c>
      <x:c r="G1362" t="n">
        <x:v>6197</x:v>
      </x:c>
      <x:c r="H1362" t="str">
        <x:v>Fully attended</x:v>
      </x:c>
      <x:c r="I1362" t="str">
        <x:v>Yes</x:v>
      </x:c>
    </x:row>
    <x:row r="1363">
      <x:c r="A1363" t="str">
        <x:v>Angelayeyoo Mosha</x:v>
      </x:c>
      <x:c r="B1363" t="str">
        <x:v>Tanzania</x:v>
      </x:c>
      <x:c r="C1363" t="str">
        <x:v>TZ</x:v>
      </x:c>
      <x:c r="D1363" t="str">
        <x:v>angelayeyoo.mosha@pwc.com</x:v>
      </x:c>
      <x:c r="E1363" t="str">
        <x:v>Combined</x:v>
      </x:c>
      <x:c r="F1363" t="n">
        <x:v>0.07172453703703703</x:v>
      </x:c>
      <x:c r="G1363" t="n">
        <x:v>6197</x:v>
      </x:c>
      <x:c r="H1363" t="str">
        <x:v>Fully attended</x:v>
      </x:c>
      <x:c r="I1363" t="str">
        <x:v>Yes</x:v>
      </x:c>
    </x:row>
    <x:row r="1364">
      <x:c r="A1364" t="str">
        <x:v>Angelique Mugwaneza</x:v>
      </x:c>
      <x:c r="B1364" t="str">
        <x:v>Rwanda</x:v>
      </x:c>
      <x:c r="C1364" t="str">
        <x:v>RW</x:v>
      </x:c>
      <x:c r="D1364" t="str">
        <x:v>angelique.mugwaneza@pwc.com</x:v>
      </x:c>
      <x:c r="E1364" t="str">
        <x:v>Option 1</x:v>
      </x:c>
      <x:c r="F1364" t="n">
        <x:v>0</x:v>
      </x:c>
      <x:c r="G1364" t="n">
        <x:v>0</x:v>
      </x:c>
      <x:c r="H1364" t="str">
        <x:v>Did not attend</x:v>
      </x:c>
      <x:c r="I1364" t="str">
        <x:v>No</x:v>
      </x:c>
    </x:row>
    <x:row r="1365">
      <x:c r="A1365" t="str">
        <x:v>Angelique Mugwaneza</x:v>
      </x:c>
      <x:c r="B1365" t="str">
        <x:v>Rwanda</x:v>
      </x:c>
      <x:c r="C1365" t="str">
        <x:v>RW</x:v>
      </x:c>
      <x:c r="D1365" t="str">
        <x:v>angelique.mugwaneza@pwc.com</x:v>
      </x:c>
      <x:c r="E1365" t="str">
        <x:v>Option 2</x:v>
      </x:c>
      <x:c r="F1365" t="n">
        <x:v>0.000462962962962963</x:v>
      </x:c>
      <x:c r="G1365" t="n">
        <x:v>40</x:v>
      </x:c>
      <x:c r="H1365" t="str">
        <x:v>Partially attended</x:v>
      </x:c>
      <x:c r="I1365" t="str">
        <x:v>Yes</x:v>
      </x:c>
    </x:row>
    <x:row r="1366">
      <x:c r="A1366" t="str">
        <x:v>Angelique Mugwaneza</x:v>
      </x:c>
      <x:c r="B1366" t="str">
        <x:v>Rwanda</x:v>
      </x:c>
      <x:c r="C1366" t="str">
        <x:v>RW</x:v>
      </x:c>
      <x:c r="D1366" t="str">
        <x:v>angelique.mugwaneza@pwc.com</x:v>
      </x:c>
      <x:c r="E1366" t="str">
        <x:v>Combined</x:v>
      </x:c>
      <x:c r="F1366" t="n">
        <x:v>0.000462962962962963</x:v>
      </x:c>
      <x:c r="G1366" t="n">
        <x:v>40</x:v>
      </x:c>
      <x:c r="H1366" t="str">
        <x:v>Partially attended</x:v>
      </x:c>
      <x:c r="I1366" t="str">
        <x:v>Yes</x:v>
      </x:c>
    </x:row>
    <x:row r="1367">
      <x:c r="A1367" t="str">
        <x:v>Anne Okwera</x:v>
      </x:c>
      <x:c r="B1367" t="str">
        <x:v>Kenya</x:v>
      </x:c>
      <x:c r="C1367" t="str">
        <x:v>KE</x:v>
      </x:c>
      <x:c r="D1367" t="str">
        <x:v>anne.okwera@pwc.com</x:v>
      </x:c>
      <x:c r="E1367" t="str">
        <x:v>Option 1</x:v>
      </x:c>
      <x:c r="F1367" t="n">
        <x:v>0.0802199074074074</x:v>
      </x:c>
      <x:c r="G1367" t="n">
        <x:v>6931</x:v>
      </x:c>
      <x:c r="H1367" t="str">
        <x:v>Fully attended</x:v>
      </x:c>
      <x:c r="I1367" t="str">
        <x:v>Yes</x:v>
      </x:c>
    </x:row>
    <x:row r="1368">
      <x:c r="A1368" t="str">
        <x:v>Anne Okwera</x:v>
      </x:c>
      <x:c r="B1368" t="str">
        <x:v>Kenya</x:v>
      </x:c>
      <x:c r="C1368" t="str">
        <x:v>KE</x:v>
      </x:c>
      <x:c r="D1368" t="str">
        <x:v>anne.okwera@pwc.com</x:v>
      </x:c>
      <x:c r="E1368" t="str">
        <x:v>Option 2</x:v>
      </x:c>
      <x:c r="F1368" t="n">
        <x:v>0</x:v>
      </x:c>
      <x:c r="G1368" t="n">
        <x:v>0</x:v>
      </x:c>
      <x:c r="H1368" t="str">
        <x:v>Did not attend</x:v>
      </x:c>
      <x:c r="I1368" t="str">
        <x:v>No</x:v>
      </x:c>
    </x:row>
    <x:row r="1369">
      <x:c r="A1369" t="str">
        <x:v>Anne Okwera</x:v>
      </x:c>
      <x:c r="B1369" t="str">
        <x:v>Kenya</x:v>
      </x:c>
      <x:c r="C1369" t="str">
        <x:v>KE</x:v>
      </x:c>
      <x:c r="D1369" t="str">
        <x:v>anne.okwera@pwc.com</x:v>
      </x:c>
      <x:c r="E1369" t="str">
        <x:v>Combined</x:v>
      </x:c>
      <x:c r="F1369" t="n">
        <x:v>0.0802199074074074</x:v>
      </x:c>
      <x:c r="G1369" t="n">
        <x:v>6931</x:v>
      </x:c>
      <x:c r="H1369" t="str">
        <x:v>Fully attended</x:v>
      </x:c>
      <x:c r="I1369" t="str">
        <x:v>Yes</x:v>
      </x:c>
    </x:row>
    <x:row r="1370">
      <x:c r="A1370" t="str">
        <x:v>Anold Ngoli</x:v>
      </x:c>
      <x:c r="B1370" t="str">
        <x:v>Tanzania</x:v>
      </x:c>
      <x:c r="C1370" t="str">
        <x:v>TZ</x:v>
      </x:c>
      <x:c r="D1370" t="str">
        <x:v>anold.ngoli@pwc.com</x:v>
      </x:c>
      <x:c r="E1370" t="str">
        <x:v>Option 1</x:v>
      </x:c>
      <x:c r="F1370" t="n">
        <x:v>0</x:v>
      </x:c>
      <x:c r="G1370" t="n">
        <x:v>0</x:v>
      </x:c>
      <x:c r="H1370" t="str">
        <x:v>Did not attend</x:v>
      </x:c>
      <x:c r="I1370" t="str">
        <x:v>No</x:v>
      </x:c>
    </x:row>
    <x:row r="1371">
      <x:c r="A1371" t="str">
        <x:v>Anold Ngoli</x:v>
      </x:c>
      <x:c r="B1371" t="str">
        <x:v>Tanzania</x:v>
      </x:c>
      <x:c r="C1371" t="str">
        <x:v>TZ</x:v>
      </x:c>
      <x:c r="D1371" t="str">
        <x:v>anold.ngoli@pwc.com</x:v>
      </x:c>
      <x:c r="E1371" t="str">
        <x:v>Option 2</x:v>
      </x:c>
      <x:c r="F1371" t="n">
        <x:v>0.03295138888888889</x:v>
      </x:c>
      <x:c r="G1371" t="n">
        <x:v>2847</x:v>
      </x:c>
      <x:c r="H1371" t="str">
        <x:v>Partially attended</x:v>
      </x:c>
      <x:c r="I1371" t="str">
        <x:v>Yes</x:v>
      </x:c>
    </x:row>
    <x:row r="1372">
      <x:c r="A1372" t="str">
        <x:v>Anold Ngoli</x:v>
      </x:c>
      <x:c r="B1372" t="str">
        <x:v>Tanzania</x:v>
      </x:c>
      <x:c r="C1372" t="str">
        <x:v>TZ</x:v>
      </x:c>
      <x:c r="D1372" t="str">
        <x:v>anold.ngoli@pwc.com</x:v>
      </x:c>
      <x:c r="E1372" t="str">
        <x:v>Combined</x:v>
      </x:c>
      <x:c r="F1372" t="n">
        <x:v>0.03295138888888889</x:v>
      </x:c>
      <x:c r="G1372" t="n">
        <x:v>2847</x:v>
      </x:c>
      <x:c r="H1372" t="str">
        <x:v>Partially attended</x:v>
      </x:c>
      <x:c r="I1372" t="str">
        <x:v>Yes</x:v>
      </x:c>
    </x:row>
    <x:row r="1373">
      <x:c r="A1373" t="str">
        <x:v>Asha Shekimweri</x:v>
      </x:c>
      <x:c r="B1373" t="str">
        <x:v>Tanzania</x:v>
      </x:c>
      <x:c r="C1373" t="str">
        <x:v>TZ</x:v>
      </x:c>
      <x:c r="D1373" t="str">
        <x:v>asha.shekimweri@pwc.com</x:v>
      </x:c>
      <x:c r="E1373" t="str">
        <x:v>Option 1</x:v>
      </x:c>
      <x:c r="F1373" t="n">
        <x:v>0</x:v>
      </x:c>
      <x:c r="G1373" t="n">
        <x:v>0</x:v>
      </x:c>
      <x:c r="H1373" t="str">
        <x:v>Did not attend</x:v>
      </x:c>
      <x:c r="I1373" t="str">
        <x:v>No</x:v>
      </x:c>
    </x:row>
    <x:row r="1374">
      <x:c r="A1374" t="str">
        <x:v>Asha Shekimweri</x:v>
      </x:c>
      <x:c r="B1374" t="str">
        <x:v>Tanzania</x:v>
      </x:c>
      <x:c r="C1374" t="str">
        <x:v>TZ</x:v>
      </x:c>
      <x:c r="D1374" t="str">
        <x:v>asha.shekimweri@pwc.com</x:v>
      </x:c>
      <x:c r="E1374" t="str">
        <x:v>Option 2</x:v>
      </x:c>
      <x:c r="F1374" t="n">
        <x:v>0.04335648148148148</x:v>
      </x:c>
      <x:c r="G1374" t="n">
        <x:v>3746</x:v>
      </x:c>
      <x:c r="H1374" t="str">
        <x:v>Partially attended</x:v>
      </x:c>
      <x:c r="I1374" t="str">
        <x:v>Yes</x:v>
      </x:c>
    </x:row>
    <x:row r="1375">
      <x:c r="A1375" t="str">
        <x:v>Asha Shekimweri</x:v>
      </x:c>
      <x:c r="B1375" t="str">
        <x:v>Tanzania</x:v>
      </x:c>
      <x:c r="C1375" t="str">
        <x:v>TZ</x:v>
      </x:c>
      <x:c r="D1375" t="str">
        <x:v>asha.shekimweri@pwc.com</x:v>
      </x:c>
      <x:c r="E1375" t="str">
        <x:v>Combined</x:v>
      </x:c>
      <x:c r="F1375" t="n">
        <x:v>0.04335648148148148</x:v>
      </x:c>
      <x:c r="G1375" t="n">
        <x:v>3746</x:v>
      </x:c>
      <x:c r="H1375" t="str">
        <x:v>Partially attended</x:v>
      </x:c>
      <x:c r="I1375" t="str">
        <x:v>Yes</x:v>
      </x:c>
    </x:row>
    <x:row r="1376">
      <x:c r="A1376" t="str">
        <x:v>Ashven Rayapen</x:v>
      </x:c>
      <x:c r="B1376" t="str">
        <x:v>Mauritius</x:v>
      </x:c>
      <x:c r="C1376" t="str">
        <x:v>MU</x:v>
      </x:c>
      <x:c r="D1376" t="str">
        <x:v>ashven.rayapen@pwc.com</x:v>
      </x:c>
      <x:c r="E1376" t="str">
        <x:v>Option 1</x:v>
      </x:c>
      <x:c r="F1376" t="n">
        <x:v>0</x:v>
      </x:c>
      <x:c r="G1376" t="n">
        <x:v>0</x:v>
      </x:c>
      <x:c r="H1376" t="str">
        <x:v>Did not attend</x:v>
      </x:c>
      <x:c r="I1376" t="str">
        <x:v>No</x:v>
      </x:c>
    </x:row>
    <x:row r="1377">
      <x:c r="A1377" t="str">
        <x:v>Ashven Rayapen</x:v>
      </x:c>
      <x:c r="B1377" t="str">
        <x:v>Mauritius</x:v>
      </x:c>
      <x:c r="C1377" t="str">
        <x:v>MU</x:v>
      </x:c>
      <x:c r="D1377" t="str">
        <x:v>ashven.rayapen@pwc.com</x:v>
      </x:c>
      <x:c r="E1377" t="str">
        <x:v>Option 2</x:v>
      </x:c>
      <x:c r="F1377" t="n">
        <x:v>0.08541666666666667</x:v>
      </x:c>
      <x:c r="G1377" t="n">
        <x:v>7380</x:v>
      </x:c>
      <x:c r="H1377" t="str">
        <x:v>Fully attended</x:v>
      </x:c>
      <x:c r="I1377" t="str">
        <x:v>Yes</x:v>
      </x:c>
    </x:row>
    <x:row r="1378">
      <x:c r="A1378" t="str">
        <x:v>Ashven Rayapen</x:v>
      </x:c>
      <x:c r="B1378" t="str">
        <x:v>Mauritius</x:v>
      </x:c>
      <x:c r="C1378" t="str">
        <x:v>MU</x:v>
      </x:c>
      <x:c r="D1378" t="str">
        <x:v>ashven.rayapen@pwc.com</x:v>
      </x:c>
      <x:c r="E1378" t="str">
        <x:v>Combined</x:v>
      </x:c>
      <x:c r="F1378" t="n">
        <x:v>0.08541666666666667</x:v>
      </x:c>
      <x:c r="G1378" t="n">
        <x:v>7380</x:v>
      </x:c>
      <x:c r="H1378" t="str">
        <x:v>Fully attended</x:v>
      </x:c>
      <x:c r="I1378" t="str">
        <x:v>Yes</x:v>
      </x:c>
    </x:row>
    <x:row r="1379">
      <x:c r="A1379" t="str">
        <x:v>Asmamaw Tamiru</x:v>
      </x:c>
      <x:c r="B1379" t="str">
        <x:v>Kenya</x:v>
      </x:c>
      <x:c r="C1379" t="str">
        <x:v>KE</x:v>
      </x:c>
      <x:c r="D1379" t="str">
        <x:v>asmamaw.tamiru@pwc.com</x:v>
      </x:c>
      <x:c r="E1379" t="str">
        <x:v>Option 1</x:v>
      </x:c>
      <x:c r="F1379" t="n">
        <x:v>0.09299768518518518</x:v>
      </x:c>
      <x:c r="G1379" t="n">
        <x:v>8035</x:v>
      </x:c>
      <x:c r="H1379" t="str">
        <x:v>Fully attended</x:v>
      </x:c>
      <x:c r="I1379" t="str">
        <x:v>Yes</x:v>
      </x:c>
    </x:row>
    <x:row r="1380">
      <x:c r="A1380" t="str">
        <x:v>Asmamaw Tamiru</x:v>
      </x:c>
      <x:c r="B1380" t="str">
        <x:v>Kenya</x:v>
      </x:c>
      <x:c r="C1380" t="str">
        <x:v>KE</x:v>
      </x:c>
      <x:c r="D1380" t="str">
        <x:v>asmamaw.tamiru@pwc.com</x:v>
      </x:c>
      <x:c r="E1380" t="str">
        <x:v>Option 2</x:v>
      </x:c>
      <x:c r="F1380" t="n">
        <x:v>0</x:v>
      </x:c>
      <x:c r="G1380" t="n">
        <x:v>0</x:v>
      </x:c>
      <x:c r="H1380" t="str">
        <x:v>Did not attend</x:v>
      </x:c>
      <x:c r="I1380" t="str">
        <x:v>No</x:v>
      </x:c>
    </x:row>
    <x:row r="1381">
      <x:c r="A1381" t="str">
        <x:v>Asmamaw Tamiru</x:v>
      </x:c>
      <x:c r="B1381" t="str">
        <x:v>Kenya</x:v>
      </x:c>
      <x:c r="C1381" t="str">
        <x:v>KE</x:v>
      </x:c>
      <x:c r="D1381" t="str">
        <x:v>asmamaw.tamiru@pwc.com</x:v>
      </x:c>
      <x:c r="E1381" t="str">
        <x:v>Combined</x:v>
      </x:c>
      <x:c r="F1381" t="n">
        <x:v>0.09299768518518518</x:v>
      </x:c>
      <x:c r="G1381" t="n">
        <x:v>8035</x:v>
      </x:c>
      <x:c r="H1381" t="str">
        <x:v>Fully attended</x:v>
      </x:c>
      <x:c r="I1381" t="str">
        <x:v>Yes</x:v>
      </x:c>
    </x:row>
    <x:row r="1382">
      <x:c r="A1382" t="str">
        <x:v>Avish Bhurtah</x:v>
      </x:c>
      <x:c r="B1382" t="str">
        <x:v>Mauritius</x:v>
      </x:c>
      <x:c r="C1382" t="str">
        <x:v>MU</x:v>
      </x:c>
      <x:c r="D1382" t="str">
        <x:v>avish.b.bhurtah@pwc.com</x:v>
      </x:c>
      <x:c r="E1382" t="str">
        <x:v>Option 1</x:v>
      </x:c>
      <x:c r="F1382" t="n">
        <x:v>0</x:v>
      </x:c>
      <x:c r="G1382" t="n">
        <x:v>0</x:v>
      </x:c>
      <x:c r="H1382" t="str">
        <x:v>Did not attend</x:v>
      </x:c>
      <x:c r="I1382" t="str">
        <x:v>No</x:v>
      </x:c>
    </x:row>
    <x:row r="1383">
      <x:c r="A1383" t="str">
        <x:v>Avish Bhurtah</x:v>
      </x:c>
      <x:c r="B1383" t="str">
        <x:v>Mauritius</x:v>
      </x:c>
      <x:c r="C1383" t="str">
        <x:v>MU</x:v>
      </x:c>
      <x:c r="D1383" t="str">
        <x:v>avish.b.bhurtah@pwc.com</x:v>
      </x:c>
      <x:c r="E1383" t="str">
        <x:v>Option 2</x:v>
      </x:c>
      <x:c r="F1383" t="n">
        <x:v>0.08202546296296297</x:v>
      </x:c>
      <x:c r="G1383" t="n">
        <x:v>7087</x:v>
      </x:c>
      <x:c r="H1383" t="str">
        <x:v>Fully attended</x:v>
      </x:c>
      <x:c r="I1383" t="str">
        <x:v>Yes</x:v>
      </x:c>
    </x:row>
    <x:row r="1384">
      <x:c r="A1384" t="str">
        <x:v>Avish Bhurtah</x:v>
      </x:c>
      <x:c r="B1384" t="str">
        <x:v>Mauritius</x:v>
      </x:c>
      <x:c r="C1384" t="str">
        <x:v>MU</x:v>
      </x:c>
      <x:c r="D1384" t="str">
        <x:v>avish.b.bhurtah@pwc.com</x:v>
      </x:c>
      <x:c r="E1384" t="str">
        <x:v>Combined</x:v>
      </x:c>
      <x:c r="F1384" t="n">
        <x:v>0.08202546296296297</x:v>
      </x:c>
      <x:c r="G1384" t="n">
        <x:v>7087</x:v>
      </x:c>
      <x:c r="H1384" t="str">
        <x:v>Fully attended</x:v>
      </x:c>
      <x:c r="I1384" t="str">
        <x:v>Yes</x:v>
      </x:c>
    </x:row>
    <x:row r="1385">
      <x:c r="A1385" t="str">
        <x:v>Barry Muindi</x:v>
      </x:c>
      <x:c r="B1385" t="str">
        <x:v>Kenya</x:v>
      </x:c>
      <x:c r="C1385" t="str">
        <x:v>KE</x:v>
      </x:c>
      <x:c r="D1385" t="str">
        <x:v>barry.muindi@pwc.com</x:v>
      </x:c>
      <x:c r="E1385" t="str">
        <x:v>Option 1</x:v>
      </x:c>
      <x:c r="F1385" t="n">
        <x:v>0.110625</x:v>
      </x:c>
      <x:c r="G1385" t="n">
        <x:v>9558</x:v>
      </x:c>
      <x:c r="H1385" t="str">
        <x:v>Fully attended</x:v>
      </x:c>
      <x:c r="I1385" t="str">
        <x:v>Yes</x:v>
      </x:c>
    </x:row>
    <x:row r="1386">
      <x:c r="A1386" t="str">
        <x:v>Barry Muindi</x:v>
      </x:c>
      <x:c r="B1386" t="str">
        <x:v>Kenya</x:v>
      </x:c>
      <x:c r="C1386" t="str">
        <x:v>KE</x:v>
      </x:c>
      <x:c r="D1386" t="str">
        <x:v>barry.muindi@pwc.com</x:v>
      </x:c>
      <x:c r="E1386" t="str">
        <x:v>Option 2</x:v>
      </x:c>
      <x:c r="F1386" t="n">
        <x:v>0</x:v>
      </x:c>
      <x:c r="G1386" t="n">
        <x:v>0</x:v>
      </x:c>
      <x:c r="H1386" t="str">
        <x:v>Did not attend</x:v>
      </x:c>
      <x:c r="I1386" t="str">
        <x:v>No</x:v>
      </x:c>
    </x:row>
    <x:row r="1387">
      <x:c r="A1387" t="str">
        <x:v>Barry Muindi</x:v>
      </x:c>
      <x:c r="B1387" t="str">
        <x:v>Kenya</x:v>
      </x:c>
      <x:c r="C1387" t="str">
        <x:v>KE</x:v>
      </x:c>
      <x:c r="D1387" t="str">
        <x:v>barry.muindi@pwc.com</x:v>
      </x:c>
      <x:c r="E1387" t="str">
        <x:v>Combined</x:v>
      </x:c>
      <x:c r="F1387" t="n">
        <x:v>0.110625</x:v>
      </x:c>
      <x:c r="G1387" t="n">
        <x:v>9558</x:v>
      </x:c>
      <x:c r="H1387" t="str">
        <x:v>Fully attended</x:v>
      </x:c>
      <x:c r="I1387" t="str">
        <x:v>Yes</x:v>
      </x:c>
    </x:row>
    <x:row r="1388">
      <x:c r="A1388" t="str">
        <x:v>Beatrice Owino</x:v>
      </x:c>
      <x:c r="B1388" t="str">
        <x:v>Kenya</x:v>
      </x:c>
      <x:c r="C1388" t="str">
        <x:v>KE</x:v>
      </x:c>
      <x:c r="D1388" t="str">
        <x:v>beatrice.owino@pwc.com</x:v>
      </x:c>
      <x:c r="E1388" t="str">
        <x:v>Option 1</x:v>
      </x:c>
      <x:c r="F1388" t="n">
        <x:v>0.06958333333333333</x:v>
      </x:c>
      <x:c r="G1388" t="n">
        <x:v>6012</x:v>
      </x:c>
      <x:c r="H1388" t="str">
        <x:v>Fully attended</x:v>
      </x:c>
      <x:c r="I1388" t="str">
        <x:v>Yes</x:v>
      </x:c>
    </x:row>
    <x:row r="1389">
      <x:c r="A1389" t="str">
        <x:v>Beatrice Owino</x:v>
      </x:c>
      <x:c r="B1389" t="str">
        <x:v>Kenya</x:v>
      </x:c>
      <x:c r="C1389" t="str">
        <x:v>KE</x:v>
      </x:c>
      <x:c r="D1389" t="str">
        <x:v>beatrice.owino@pwc.com</x:v>
      </x:c>
      <x:c r="E1389" t="str">
        <x:v>Option 2</x:v>
      </x:c>
      <x:c r="F1389" t="n">
        <x:v>0</x:v>
      </x:c>
      <x:c r="G1389" t="n">
        <x:v>0</x:v>
      </x:c>
      <x:c r="H1389" t="str">
        <x:v>Did not attend</x:v>
      </x:c>
      <x:c r="I1389" t="str">
        <x:v>No</x:v>
      </x:c>
    </x:row>
    <x:row r="1390">
      <x:c r="A1390" t="str">
        <x:v>Beatrice Owino</x:v>
      </x:c>
      <x:c r="B1390" t="str">
        <x:v>Kenya</x:v>
      </x:c>
      <x:c r="C1390" t="str">
        <x:v>KE</x:v>
      </x:c>
      <x:c r="D1390" t="str">
        <x:v>beatrice.owino@pwc.com</x:v>
      </x:c>
      <x:c r="E1390" t="str">
        <x:v>Combined</x:v>
      </x:c>
      <x:c r="F1390" t="n">
        <x:v>0.06958333333333333</x:v>
      </x:c>
      <x:c r="G1390" t="n">
        <x:v>6012</x:v>
      </x:c>
      <x:c r="H1390" t="str">
        <x:v>Fully attended</x:v>
      </x:c>
      <x:c r="I1390" t="str">
        <x:v>Yes</x:v>
      </x:c>
    </x:row>
    <x:row r="1391">
      <x:c r="A1391" t="str">
        <x:v>Belinda Ngowo</x:v>
      </x:c>
      <x:c r="B1391" t="str">
        <x:v>Tanzania</x:v>
      </x:c>
      <x:c r="C1391" t="str">
        <x:v>TZ</x:v>
      </x:c>
      <x:c r="D1391" t="str">
        <x:v>belinda.ngowo@pwc.com</x:v>
      </x:c>
      <x:c r="E1391" t="str">
        <x:v>Option 1</x:v>
      </x:c>
      <x:c r="F1391" t="n">
        <x:v>0.0809375</x:v>
      </x:c>
      <x:c r="G1391" t="n">
        <x:v>6993</x:v>
      </x:c>
      <x:c r="H1391" t="str">
        <x:v>Fully attended</x:v>
      </x:c>
      <x:c r="I1391" t="str">
        <x:v>Yes</x:v>
      </x:c>
    </x:row>
    <x:row r="1392">
      <x:c r="A1392" t="str">
        <x:v>Belinda Ngowo</x:v>
      </x:c>
      <x:c r="B1392" t="str">
        <x:v>Tanzania</x:v>
      </x:c>
      <x:c r="C1392" t="str">
        <x:v>TZ</x:v>
      </x:c>
      <x:c r="D1392" t="str">
        <x:v>belinda.ngowo@pwc.com</x:v>
      </x:c>
      <x:c r="E1392" t="str">
        <x:v>Option 2</x:v>
      </x:c>
      <x:c r="F1392" t="n">
        <x:v>0</x:v>
      </x:c>
      <x:c r="G1392" t="n">
        <x:v>0</x:v>
      </x:c>
      <x:c r="H1392" t="str">
        <x:v>Did not attend</x:v>
      </x:c>
      <x:c r="I1392" t="str">
        <x:v>No</x:v>
      </x:c>
    </x:row>
    <x:row r="1393">
      <x:c r="A1393" t="str">
        <x:v>Belinda Ngowo</x:v>
      </x:c>
      <x:c r="B1393" t="str">
        <x:v>Tanzania</x:v>
      </x:c>
      <x:c r="C1393" t="str">
        <x:v>TZ</x:v>
      </x:c>
      <x:c r="D1393" t="str">
        <x:v>belinda.ngowo@pwc.com</x:v>
      </x:c>
      <x:c r="E1393" t="str">
        <x:v>Combined</x:v>
      </x:c>
      <x:c r="F1393" t="n">
        <x:v>0.0809375</x:v>
      </x:c>
      <x:c r="G1393" t="n">
        <x:v>6993</x:v>
      </x:c>
      <x:c r="H1393" t="str">
        <x:v>Fully attended</x:v>
      </x:c>
      <x:c r="I1393" t="str">
        <x:v>Yes</x:v>
      </x:c>
    </x:row>
    <x:row r="1394">
      <x:c r="A1394" t="str">
        <x:v>Benita Ndakebuka</x:v>
      </x:c>
      <x:c r="B1394" t="str">
        <x:v>Rwanda</x:v>
      </x:c>
      <x:c r="C1394" t="str">
        <x:v>RW</x:v>
      </x:c>
      <x:c r="D1394" t="str">
        <x:v>benita.ndakebuka@pwc.com</x:v>
      </x:c>
      <x:c r="E1394" t="str">
        <x:v>Option 1</x:v>
      </x:c>
      <x:c r="F1394" t="n">
        <x:v>0.04293981481481481</x:v>
      </x:c>
      <x:c r="G1394" t="n">
        <x:v>3710</x:v>
      </x:c>
      <x:c r="H1394" t="str">
        <x:v>Partially attended</x:v>
      </x:c>
      <x:c r="I1394" t="str">
        <x:v>Yes</x:v>
      </x:c>
    </x:row>
    <x:row r="1395">
      <x:c r="A1395" t="str">
        <x:v>Benita Ndakebuka</x:v>
      </x:c>
      <x:c r="B1395" t="str">
        <x:v>Rwanda</x:v>
      </x:c>
      <x:c r="C1395" t="str">
        <x:v>RW</x:v>
      </x:c>
      <x:c r="D1395" t="str">
        <x:v>benita.ndakebuka@pwc.com</x:v>
      </x:c>
      <x:c r="E1395" t="str">
        <x:v>Option 2</x:v>
      </x:c>
      <x:c r="F1395" t="n">
        <x:v>0</x:v>
      </x:c>
      <x:c r="G1395" t="n">
        <x:v>0</x:v>
      </x:c>
      <x:c r="H1395" t="str">
        <x:v>Did not attend</x:v>
      </x:c>
      <x:c r="I1395" t="str">
        <x:v>No</x:v>
      </x:c>
    </x:row>
    <x:row r="1396">
      <x:c r="A1396" t="str">
        <x:v>Benita Ndakebuka</x:v>
      </x:c>
      <x:c r="B1396" t="str">
        <x:v>Rwanda</x:v>
      </x:c>
      <x:c r="C1396" t="str">
        <x:v>RW</x:v>
      </x:c>
      <x:c r="D1396" t="str">
        <x:v>benita.ndakebuka@pwc.com</x:v>
      </x:c>
      <x:c r="E1396" t="str">
        <x:v>Combined</x:v>
      </x:c>
      <x:c r="F1396" t="n">
        <x:v>0.04293981481481481</x:v>
      </x:c>
      <x:c r="G1396" t="n">
        <x:v>3710</x:v>
      </x:c>
      <x:c r="H1396" t="str">
        <x:v>Partially attended</x:v>
      </x:c>
      <x:c r="I1396" t="str">
        <x:v>Yes</x:v>
      </x:c>
    </x:row>
    <x:row r="1397">
      <x:c r="A1397" t="str">
        <x:v>Bertha Chenga</x:v>
      </x:c>
      <x:c r="B1397" t="str">
        <x:v>Tanzania</x:v>
      </x:c>
      <x:c r="C1397" t="str">
        <x:v>TZ</x:v>
      </x:c>
      <x:c r="D1397" t="str">
        <x:v>bertha.chenga@pwc.com</x:v>
      </x:c>
      <x:c r="E1397" t="str">
        <x:v>Option 1</x:v>
      </x:c>
      <x:c r="F1397" t="n">
        <x:v>0.07333333333333333</x:v>
      </x:c>
      <x:c r="G1397" t="n">
        <x:v>6336</x:v>
      </x:c>
      <x:c r="H1397" t="str">
        <x:v>Fully attended</x:v>
      </x:c>
      <x:c r="I1397" t="str">
        <x:v>Yes</x:v>
      </x:c>
    </x:row>
    <x:row r="1398">
      <x:c r="A1398" t="str">
        <x:v>Bertha Chenga</x:v>
      </x:c>
      <x:c r="B1398" t="str">
        <x:v>Tanzania</x:v>
      </x:c>
      <x:c r="C1398" t="str">
        <x:v>TZ</x:v>
      </x:c>
      <x:c r="D1398" t="str">
        <x:v>bertha.chenga@pwc.com</x:v>
      </x:c>
      <x:c r="E1398" t="str">
        <x:v>Option 2</x:v>
      </x:c>
      <x:c r="F1398" t="n">
        <x:v>0</x:v>
      </x:c>
      <x:c r="G1398" t="n">
        <x:v>0</x:v>
      </x:c>
      <x:c r="H1398" t="str">
        <x:v>Did not attend</x:v>
      </x:c>
      <x:c r="I1398" t="str">
        <x:v>No</x:v>
      </x:c>
    </x:row>
    <x:row r="1399">
      <x:c r="A1399" t="str">
        <x:v>Bertha Chenga</x:v>
      </x:c>
      <x:c r="B1399" t="str">
        <x:v>Tanzania</x:v>
      </x:c>
      <x:c r="C1399" t="str">
        <x:v>TZ</x:v>
      </x:c>
      <x:c r="D1399" t="str">
        <x:v>bertha.chenga@pwc.com</x:v>
      </x:c>
      <x:c r="E1399" t="str">
        <x:v>Combined</x:v>
      </x:c>
      <x:c r="F1399" t="n">
        <x:v>0.07333333333333333</x:v>
      </x:c>
      <x:c r="G1399" t="n">
        <x:v>6336</x:v>
      </x:c>
      <x:c r="H1399" t="str">
        <x:v>Fully attended</x:v>
      </x:c>
      <x:c r="I1399" t="str">
        <x:v>Yes</x:v>
      </x:c>
    </x:row>
    <x:row r="1400">
      <x:c r="A1400" t="str">
        <x:v>Bhavish Bhunjun</x:v>
      </x:c>
      <x:c r="B1400" t="str">
        <x:v>Mauritius</x:v>
      </x:c>
      <x:c r="C1400" t="str">
        <x:v>MU</x:v>
      </x:c>
      <x:c r="D1400" t="str">
        <x:v>bhavish.bhunjun@pwc.com</x:v>
      </x:c>
      <x:c r="E1400" t="str">
        <x:v>Option 1</x:v>
      </x:c>
      <x:c r="F1400" t="n">
        <x:v>0.03591435185185185</x:v>
      </x:c>
      <x:c r="G1400" t="n">
        <x:v>3103</x:v>
      </x:c>
      <x:c r="H1400" t="str">
        <x:v>Partially attended</x:v>
      </x:c>
      <x:c r="I1400" t="str">
        <x:v>Yes</x:v>
      </x:c>
    </x:row>
    <x:row r="1401">
      <x:c r="A1401" t="str">
        <x:v>Bhavish Bhunjun</x:v>
      </x:c>
      <x:c r="B1401" t="str">
        <x:v>Mauritius</x:v>
      </x:c>
      <x:c r="C1401" t="str">
        <x:v>MU</x:v>
      </x:c>
      <x:c r="D1401" t="str">
        <x:v>bhavish.bhunjun@pwc.com</x:v>
      </x:c>
      <x:c r="E1401" t="str">
        <x:v>Option 2</x:v>
      </x:c>
      <x:c r="F1401" t="n">
        <x:v>0</x:v>
      </x:c>
      <x:c r="G1401" t="n">
        <x:v>0</x:v>
      </x:c>
      <x:c r="H1401" t="str">
        <x:v>Did not attend</x:v>
      </x:c>
      <x:c r="I1401" t="str">
        <x:v>No</x:v>
      </x:c>
    </x:row>
    <x:row r="1402">
      <x:c r="A1402" t="str">
        <x:v>Bhavish Bhunjun</x:v>
      </x:c>
      <x:c r="B1402" t="str">
        <x:v>Mauritius</x:v>
      </x:c>
      <x:c r="C1402" t="str">
        <x:v>MU</x:v>
      </x:c>
      <x:c r="D1402" t="str">
        <x:v>bhavish.bhunjun@pwc.com</x:v>
      </x:c>
      <x:c r="E1402" t="str">
        <x:v>Combined</x:v>
      </x:c>
      <x:c r="F1402" t="n">
        <x:v>0.03591435185185185</x:v>
      </x:c>
      <x:c r="G1402" t="n">
        <x:v>3103</x:v>
      </x:c>
      <x:c r="H1402" t="str">
        <x:v>Partially attended</x:v>
      </x:c>
      <x:c r="I1402" t="str">
        <x:v>Yes</x:v>
      </x:c>
    </x:row>
    <x:row r="1403">
      <x:c r="A1403" t="str">
        <x:v>Blessed Moinket</x:v>
      </x:c>
      <x:c r="B1403" t="str">
        <x:v>Kenya</x:v>
      </x:c>
      <x:c r="C1403" t="str">
        <x:v>KE</x:v>
      </x:c>
      <x:c r="D1403" t="str">
        <x:v>blessed.moinket@pwc.com</x:v>
      </x:c>
      <x:c r="E1403" t="str">
        <x:v>Option 1</x:v>
      </x:c>
      <x:c r="F1403" t="n">
        <x:v>0</x:v>
      </x:c>
      <x:c r="G1403" t="n">
        <x:v>0</x:v>
      </x:c>
      <x:c r="H1403" t="str">
        <x:v>Did not attend</x:v>
      </x:c>
      <x:c r="I1403" t="str">
        <x:v>No</x:v>
      </x:c>
    </x:row>
    <x:row r="1404">
      <x:c r="A1404" t="str">
        <x:v>Blessed Moinket</x:v>
      </x:c>
      <x:c r="B1404" t="str">
        <x:v>Kenya</x:v>
      </x:c>
      <x:c r="C1404" t="str">
        <x:v>KE</x:v>
      </x:c>
      <x:c r="D1404" t="str">
        <x:v>blessed.moinket@pwc.com</x:v>
      </x:c>
      <x:c r="E1404" t="str">
        <x:v>Option 2</x:v>
      </x:c>
      <x:c r="F1404" t="n">
        <x:v>0.028668981481481483</x:v>
      </x:c>
      <x:c r="G1404" t="n">
        <x:v>2477</x:v>
      </x:c>
      <x:c r="H1404" t="str">
        <x:v>Partially attended</x:v>
      </x:c>
      <x:c r="I1404" t="str">
        <x:v>Yes</x:v>
      </x:c>
    </x:row>
    <x:row r="1405">
      <x:c r="A1405" t="str">
        <x:v>Blessed Moinket</x:v>
      </x:c>
      <x:c r="B1405" t="str">
        <x:v>Kenya</x:v>
      </x:c>
      <x:c r="C1405" t="str">
        <x:v>KE</x:v>
      </x:c>
      <x:c r="D1405" t="str">
        <x:v>blessed.moinket@pwc.com</x:v>
      </x:c>
      <x:c r="E1405" t="str">
        <x:v>Combined</x:v>
      </x:c>
      <x:c r="F1405" t="n">
        <x:v>0.028668981481481483</x:v>
      </x:c>
      <x:c r="G1405" t="n">
        <x:v>2477</x:v>
      </x:c>
      <x:c r="H1405" t="str">
        <x:v>Partially attended</x:v>
      </x:c>
      <x:c r="I1405" t="str">
        <x:v>Yes</x:v>
      </x:c>
    </x:row>
    <x:row r="1406">
      <x:c r="A1406" t="str">
        <x:v>Bonita Kilama</x:v>
      </x:c>
      <x:c r="B1406" t="str">
        <x:v>Tanzania</x:v>
      </x:c>
      <x:c r="C1406" t="str">
        <x:v>TZ</x:v>
      </x:c>
      <x:c r="D1406" t="str">
        <x:v>bonita.kilama@pwc.com</x:v>
      </x:c>
      <x:c r="E1406" t="str">
        <x:v>Option 1</x:v>
      </x:c>
      <x:c r="F1406" t="n">
        <x:v>0</x:v>
      </x:c>
      <x:c r="G1406" t="n">
        <x:v>0</x:v>
      </x:c>
      <x:c r="H1406" t="str">
        <x:v>Did not attend</x:v>
      </x:c>
      <x:c r="I1406" t="str">
        <x:v>No</x:v>
      </x:c>
    </x:row>
    <x:row r="1407">
      <x:c r="A1407" t="str">
        <x:v>Bonita Kilama</x:v>
      </x:c>
      <x:c r="B1407" t="str">
        <x:v>Tanzania</x:v>
      </x:c>
      <x:c r="C1407" t="str">
        <x:v>TZ</x:v>
      </x:c>
      <x:c r="D1407" t="str">
        <x:v>bonita.kilama@pwc.com</x:v>
      </x:c>
      <x:c r="E1407" t="str">
        <x:v>Option 2</x:v>
      </x:c>
      <x:c r="F1407" t="n">
        <x:v>0.08866898148148149</x:v>
      </x:c>
      <x:c r="G1407" t="n">
        <x:v>7661</x:v>
      </x:c>
      <x:c r="H1407" t="str">
        <x:v>Fully attended</x:v>
      </x:c>
      <x:c r="I1407" t="str">
        <x:v>Yes</x:v>
      </x:c>
    </x:row>
    <x:row r="1408">
      <x:c r="A1408" t="str">
        <x:v>Bonita Kilama</x:v>
      </x:c>
      <x:c r="B1408" t="str">
        <x:v>Tanzania</x:v>
      </x:c>
      <x:c r="C1408" t="str">
        <x:v>TZ</x:v>
      </x:c>
      <x:c r="D1408" t="str">
        <x:v>bonita.kilama@pwc.com</x:v>
      </x:c>
      <x:c r="E1408" t="str">
        <x:v>Combined</x:v>
      </x:c>
      <x:c r="F1408" t="n">
        <x:v>0.08866898148148149</x:v>
      </x:c>
      <x:c r="G1408" t="n">
        <x:v>7661</x:v>
      </x:c>
      <x:c r="H1408" t="str">
        <x:v>Fully attended</x:v>
      </x:c>
      <x:c r="I1408" t="str">
        <x:v>Yes</x:v>
      </x:c>
    </x:row>
    <x:row r="1409">
      <x:c r="A1409" t="str">
        <x:v>Brenda Awuor</x:v>
      </x:c>
      <x:c r="B1409" t="str">
        <x:v>Kenya</x:v>
      </x:c>
      <x:c r="C1409" t="str">
        <x:v>KE</x:v>
      </x:c>
      <x:c r="D1409" t="str">
        <x:v>brenda.awuor@pwc.com</x:v>
      </x:c>
      <x:c r="E1409" t="str">
        <x:v>Option 1</x:v>
      </x:c>
      <x:c r="F1409" t="n">
        <x:v>0</x:v>
      </x:c>
      <x:c r="G1409" t="n">
        <x:v>0</x:v>
      </x:c>
      <x:c r="H1409" t="str">
        <x:v>Did not attend</x:v>
      </x:c>
      <x:c r="I1409" t="str">
        <x:v>No</x:v>
      </x:c>
    </x:row>
    <x:row r="1410">
      <x:c r="A1410" t="str">
        <x:v>Brenda Awuor</x:v>
      </x:c>
      <x:c r="B1410" t="str">
        <x:v>Kenya</x:v>
      </x:c>
      <x:c r="C1410" t="str">
        <x:v>KE</x:v>
      </x:c>
      <x:c r="D1410" t="str">
        <x:v>brenda.awuor@pwc.com</x:v>
      </x:c>
      <x:c r="E1410" t="str">
        <x:v>Option 2</x:v>
      </x:c>
      <x:c r="F1410" t="n">
        <x:v>0.07947916666666667</x:v>
      </x:c>
      <x:c r="G1410" t="n">
        <x:v>6867</x:v>
      </x:c>
      <x:c r="H1410" t="str">
        <x:v>Fully attended</x:v>
      </x:c>
      <x:c r="I1410" t="str">
        <x:v>Yes</x:v>
      </x:c>
    </x:row>
    <x:row r="1411">
      <x:c r="A1411" t="str">
        <x:v>Brenda Awuor</x:v>
      </x:c>
      <x:c r="B1411" t="str">
        <x:v>Kenya</x:v>
      </x:c>
      <x:c r="C1411" t="str">
        <x:v>KE</x:v>
      </x:c>
      <x:c r="D1411" t="str">
        <x:v>brenda.awuor@pwc.com</x:v>
      </x:c>
      <x:c r="E1411" t="str">
        <x:v>Combined</x:v>
      </x:c>
      <x:c r="F1411" t="n">
        <x:v>0.07947916666666667</x:v>
      </x:c>
      <x:c r="G1411" t="n">
        <x:v>6867</x:v>
      </x:c>
      <x:c r="H1411" t="str">
        <x:v>Fully attended</x:v>
      </x:c>
      <x:c r="I1411" t="str">
        <x:v>Yes</x:v>
      </x:c>
    </x:row>
    <x:row r="1412">
      <x:c r="A1412" t="str">
        <x:v>Brenda Nabatanzi</x:v>
      </x:c>
      <x:c r="B1412" t="str">
        <x:v>Uganda</x:v>
      </x:c>
      <x:c r="C1412" t="str">
        <x:v>UG</x:v>
      </x:c>
      <x:c r="D1412" t="str">
        <x:v>brenda.nabatanzi@pwc.com</x:v>
      </x:c>
      <x:c r="E1412" t="str">
        <x:v>Option 1</x:v>
      </x:c>
      <x:c r="F1412" t="n">
        <x:v>0</x:v>
      </x:c>
      <x:c r="G1412" t="n">
        <x:v>0</x:v>
      </x:c>
      <x:c r="H1412" t="str">
        <x:v>Did not attend</x:v>
      </x:c>
      <x:c r="I1412" t="str">
        <x:v>No</x:v>
      </x:c>
    </x:row>
    <x:row r="1413">
      <x:c r="A1413" t="str">
        <x:v>Brenda Nabatanzi</x:v>
      </x:c>
      <x:c r="B1413" t="str">
        <x:v>Uganda</x:v>
      </x:c>
      <x:c r="C1413" t="str">
        <x:v>UG</x:v>
      </x:c>
      <x:c r="D1413" t="str">
        <x:v>brenda.nabatanzi@pwc.com</x:v>
      </x:c>
      <x:c r="E1413" t="str">
        <x:v>Option 2</x:v>
      </x:c>
      <x:c r="F1413" t="n">
        <x:v>0.08515046296296297</x:v>
      </x:c>
      <x:c r="G1413" t="n">
        <x:v>7357</x:v>
      </x:c>
      <x:c r="H1413" t="str">
        <x:v>Fully attended</x:v>
      </x:c>
      <x:c r="I1413" t="str">
        <x:v>Yes</x:v>
      </x:c>
    </x:row>
    <x:row r="1414">
      <x:c r="A1414" t="str">
        <x:v>Brenda Nabatanzi</x:v>
      </x:c>
      <x:c r="B1414" t="str">
        <x:v>Uganda</x:v>
      </x:c>
      <x:c r="C1414" t="str">
        <x:v>UG</x:v>
      </x:c>
      <x:c r="D1414" t="str">
        <x:v>brenda.nabatanzi@pwc.com</x:v>
      </x:c>
      <x:c r="E1414" t="str">
        <x:v>Combined</x:v>
      </x:c>
      <x:c r="F1414" t="n">
        <x:v>0.08515046296296297</x:v>
      </x:c>
      <x:c r="G1414" t="n">
        <x:v>7357</x:v>
      </x:c>
      <x:c r="H1414" t="str">
        <x:v>Fully attended</x:v>
      </x:c>
      <x:c r="I1414" t="str">
        <x:v>Yes</x:v>
      </x:c>
    </x:row>
    <x:row r="1415">
      <x:c r="A1415" t="str">
        <x:v>Candy Kida</x:v>
      </x:c>
      <x:c r="B1415" t="str">
        <x:v>Tanzania</x:v>
      </x:c>
      <x:c r="C1415" t="str">
        <x:v>TZ</x:v>
      </x:c>
      <x:c r="D1415" t="str">
        <x:v>candy.kida@pwc.com</x:v>
      </x:c>
      <x:c r="E1415" t="str">
        <x:v>Option 1</x:v>
      </x:c>
      <x:c r="F1415" t="n">
        <x:v>0.08623842592592593</x:v>
      </x:c>
      <x:c r="G1415" t="n">
        <x:v>7451</x:v>
      </x:c>
      <x:c r="H1415" t="str">
        <x:v>Fully attended</x:v>
      </x:c>
      <x:c r="I1415" t="str">
        <x:v>Yes</x:v>
      </x:c>
    </x:row>
    <x:row r="1416">
      <x:c r="A1416" t="str">
        <x:v>Candy Kida</x:v>
      </x:c>
      <x:c r="B1416" t="str">
        <x:v>Tanzania</x:v>
      </x:c>
      <x:c r="C1416" t="str">
        <x:v>TZ</x:v>
      </x:c>
      <x:c r="D1416" t="str">
        <x:v>candy.kida@pwc.com</x:v>
      </x:c>
      <x:c r="E1416" t="str">
        <x:v>Option 2</x:v>
      </x:c>
      <x:c r="F1416" t="n">
        <x:v>0.03788194444444445</x:v>
      </x:c>
      <x:c r="G1416" t="n">
        <x:v>3273</x:v>
      </x:c>
      <x:c r="H1416" t="str">
        <x:v>Partially attended</x:v>
      </x:c>
      <x:c r="I1416" t="str">
        <x:v>Yes</x:v>
      </x:c>
    </x:row>
    <x:row r="1417">
      <x:c r="A1417" t="str">
        <x:v>Candy Kida</x:v>
      </x:c>
      <x:c r="B1417" t="str">
        <x:v>Tanzania</x:v>
      </x:c>
      <x:c r="C1417" t="str">
        <x:v>TZ</x:v>
      </x:c>
      <x:c r="D1417" t="str">
        <x:v>candy.kida@pwc.com</x:v>
      </x:c>
      <x:c r="E1417" t="str">
        <x:v>Combined</x:v>
      </x:c>
      <x:c r="F1417" t="n">
        <x:v>0.12412037037037038</x:v>
      </x:c>
      <x:c r="G1417" t="n">
        <x:v>10724</x:v>
      </x:c>
      <x:c r="H1417" t="str">
        <x:v>Fully attended</x:v>
      </x:c>
      <x:c r="I1417" t="str">
        <x:v>Yes</x:v>
      </x:c>
    </x:row>
    <x:row r="1418">
      <x:c r="A1418" t="str">
        <x:v>Careen Mndolwa</x:v>
      </x:c>
      <x:c r="B1418" t="str">
        <x:v>Tanzania</x:v>
      </x:c>
      <x:c r="C1418" t="str">
        <x:v>TZ</x:v>
      </x:c>
      <x:c r="D1418" t="str">
        <x:v>careen.mndolwa@pwc.com</x:v>
      </x:c>
      <x:c r="E1418" t="str">
        <x:v>Option 1</x:v>
      </x:c>
      <x:c r="F1418" t="n">
        <x:v>0.011400462962962963</x:v>
      </x:c>
      <x:c r="G1418" t="n">
        <x:v>985</x:v>
      </x:c>
      <x:c r="H1418" t="str">
        <x:v>Partially attended</x:v>
      </x:c>
      <x:c r="I1418" t="str">
        <x:v>Yes</x:v>
      </x:c>
    </x:row>
    <x:row r="1419">
      <x:c r="A1419" t="str">
        <x:v>Careen Mndolwa</x:v>
      </x:c>
      <x:c r="B1419" t="str">
        <x:v>Tanzania</x:v>
      </x:c>
      <x:c r="C1419" t="str">
        <x:v>TZ</x:v>
      </x:c>
      <x:c r="D1419" t="str">
        <x:v>careen.mndolwa@pwc.com</x:v>
      </x:c>
      <x:c r="E1419" t="str">
        <x:v>Option 2</x:v>
      </x:c>
      <x:c r="F1419" t="n">
        <x:v>0</x:v>
      </x:c>
      <x:c r="G1419" t="n">
        <x:v>0</x:v>
      </x:c>
      <x:c r="H1419" t="str">
        <x:v>Did not attend</x:v>
      </x:c>
      <x:c r="I1419" t="str">
        <x:v>No</x:v>
      </x:c>
    </x:row>
    <x:row r="1420">
      <x:c r="A1420" t="str">
        <x:v>Careen Mndolwa</x:v>
      </x:c>
      <x:c r="B1420" t="str">
        <x:v>Tanzania</x:v>
      </x:c>
      <x:c r="C1420" t="str">
        <x:v>TZ</x:v>
      </x:c>
      <x:c r="D1420" t="str">
        <x:v>careen.mndolwa@pwc.com</x:v>
      </x:c>
      <x:c r="E1420" t="str">
        <x:v>Combined</x:v>
      </x:c>
      <x:c r="F1420" t="n">
        <x:v>0.011400462962962963</x:v>
      </x:c>
      <x:c r="G1420" t="n">
        <x:v>985</x:v>
      </x:c>
      <x:c r="H1420" t="str">
        <x:v>Partially attended</x:v>
      </x:c>
      <x:c r="I1420" t="str">
        <x:v>Yes</x:v>
      </x:c>
    </x:row>
    <x:row r="1421">
      <x:c r="A1421" t="str">
        <x:v>Catherine Hyagila</x:v>
      </x:c>
      <x:c r="B1421" t="str">
        <x:v>Tanzania</x:v>
      </x:c>
      <x:c r="C1421" t="str">
        <x:v>TZ</x:v>
      </x:c>
      <x:c r="D1421" t="str">
        <x:v>catherine.hyagila@pwc.com</x:v>
      </x:c>
      <x:c r="E1421" t="str">
        <x:v>Option 1</x:v>
      </x:c>
      <x:c r="F1421" t="n">
        <x:v>0</x:v>
      </x:c>
      <x:c r="G1421" t="n">
        <x:v>0</x:v>
      </x:c>
      <x:c r="H1421" t="str">
        <x:v>Did not attend</x:v>
      </x:c>
      <x:c r="I1421" t="str">
        <x:v>No</x:v>
      </x:c>
    </x:row>
    <x:row r="1422">
      <x:c r="A1422" t="str">
        <x:v>Catherine Hyagila</x:v>
      </x:c>
      <x:c r="B1422" t="str">
        <x:v>Tanzania</x:v>
      </x:c>
      <x:c r="C1422" t="str">
        <x:v>TZ</x:v>
      </x:c>
      <x:c r="D1422" t="str">
        <x:v>catherine.hyagila@pwc.com</x:v>
      </x:c>
      <x:c r="E1422" t="str">
        <x:v>Option 2</x:v>
      </x:c>
      <x:c r="F1422" t="n">
        <x:v>0.05193287037037037</x:v>
      </x:c>
      <x:c r="G1422" t="n">
        <x:v>4487</x:v>
      </x:c>
      <x:c r="H1422" t="str">
        <x:v>Partially attended</x:v>
      </x:c>
      <x:c r="I1422" t="str">
        <x:v>Yes</x:v>
      </x:c>
    </x:row>
    <x:row r="1423">
      <x:c r="A1423" t="str">
        <x:v>Catherine Hyagila</x:v>
      </x:c>
      <x:c r="B1423" t="str">
        <x:v>Tanzania</x:v>
      </x:c>
      <x:c r="C1423" t="str">
        <x:v>TZ</x:v>
      </x:c>
      <x:c r="D1423" t="str">
        <x:v>catherine.hyagila@pwc.com</x:v>
      </x:c>
      <x:c r="E1423" t="str">
        <x:v>Combined</x:v>
      </x:c>
      <x:c r="F1423" t="n">
        <x:v>0.05193287037037037</x:v>
      </x:c>
      <x:c r="G1423" t="n">
        <x:v>4487</x:v>
      </x:c>
      <x:c r="H1423" t="str">
        <x:v>Partially attended</x:v>
      </x:c>
      <x:c r="I1423" t="str">
        <x:v>Yes</x:v>
      </x:c>
    </x:row>
    <x:row r="1424">
      <x:c r="A1424" t="str">
        <x:v>Chali Ngulube</x:v>
      </x:c>
      <x:c r="B1424" t="str">
        <x:v>Zambia</x:v>
      </x:c>
      <x:c r="C1424" t="str">
        <x:v>ZM</x:v>
      </x:c>
      <x:c r="D1424" t="str">
        <x:v>chali.ngulube@pwc.com</x:v>
      </x:c>
      <x:c r="E1424" t="str">
        <x:v>Option 1</x:v>
      </x:c>
      <x:c r="F1424" t="n">
        <x:v>0.01474537037037037</x:v>
      </x:c>
      <x:c r="G1424" t="n">
        <x:v>1274</x:v>
      </x:c>
      <x:c r="H1424" t="str">
        <x:v>Partially attended</x:v>
      </x:c>
      <x:c r="I1424" t="str">
        <x:v>Yes</x:v>
      </x:c>
    </x:row>
    <x:row r="1425">
      <x:c r="A1425" t="str">
        <x:v>Chali Ngulube</x:v>
      </x:c>
      <x:c r="B1425" t="str">
        <x:v>Zambia</x:v>
      </x:c>
      <x:c r="C1425" t="str">
        <x:v>ZM</x:v>
      </x:c>
      <x:c r="D1425" t="str">
        <x:v>chali.ngulube@pwc.com</x:v>
      </x:c>
      <x:c r="E1425" t="str">
        <x:v>Option 2</x:v>
      </x:c>
      <x:c r="F1425" t="n">
        <x:v>0.08042824074074074</x:v>
      </x:c>
      <x:c r="G1425" t="n">
        <x:v>6949</x:v>
      </x:c>
      <x:c r="H1425" t="str">
        <x:v>Fully attended</x:v>
      </x:c>
      <x:c r="I1425" t="str">
        <x:v>Yes</x:v>
      </x:c>
    </x:row>
    <x:row r="1426">
      <x:c r="A1426" t="str">
        <x:v>Chali Ngulube</x:v>
      </x:c>
      <x:c r="B1426" t="str">
        <x:v>Zambia</x:v>
      </x:c>
      <x:c r="C1426" t="str">
        <x:v>ZM</x:v>
      </x:c>
      <x:c r="D1426" t="str">
        <x:v>chali.ngulube@pwc.com</x:v>
      </x:c>
      <x:c r="E1426" t="str">
        <x:v>Combined</x:v>
      </x:c>
      <x:c r="F1426" t="n">
        <x:v>0.09517361111111111</x:v>
      </x:c>
      <x:c r="G1426" t="n">
        <x:v>8223</x:v>
      </x:c>
      <x:c r="H1426" t="str">
        <x:v>Fully attended</x:v>
      </x:c>
      <x:c r="I1426" t="str">
        <x:v>Yes</x:v>
      </x:c>
    </x:row>
    <x:row r="1427">
      <x:c r="A1427" t="str">
        <x:v>Charvi Dowtal</x:v>
      </x:c>
      <x:c r="B1427" t="str">
        <x:v>Mauritius</x:v>
      </x:c>
      <x:c r="C1427" t="str">
        <x:v>MU</x:v>
      </x:c>
      <x:c r="D1427" t="str">
        <x:v>charvi.dowtal@pwc.com</x:v>
      </x:c>
      <x:c r="E1427" t="str">
        <x:v>Option 1</x:v>
      </x:c>
      <x:c r="F1427" t="n">
        <x:v>0</x:v>
      </x:c>
      <x:c r="G1427" t="n">
        <x:v>0</x:v>
      </x:c>
      <x:c r="H1427" t="str">
        <x:v>Did not attend</x:v>
      </x:c>
      <x:c r="I1427" t="str">
        <x:v>No</x:v>
      </x:c>
    </x:row>
    <x:row r="1428">
      <x:c r="A1428" t="str">
        <x:v>Charvi Dowtal</x:v>
      </x:c>
      <x:c r="B1428" t="str">
        <x:v>Mauritius</x:v>
      </x:c>
      <x:c r="C1428" t="str">
        <x:v>MU</x:v>
      </x:c>
      <x:c r="D1428" t="str">
        <x:v>charvi.dowtal@pwc.com</x:v>
      </x:c>
      <x:c r="E1428" t="str">
        <x:v>Option 2</x:v>
      </x:c>
      <x:c r="F1428" t="n">
        <x:v>0.0600462962962963</x:v>
      </x:c>
      <x:c r="G1428" t="n">
        <x:v>5188</x:v>
      </x:c>
      <x:c r="H1428" t="str">
        <x:v>Partially attended</x:v>
      </x:c>
      <x:c r="I1428" t="str">
        <x:v>Yes</x:v>
      </x:c>
    </x:row>
    <x:row r="1429">
      <x:c r="A1429" t="str">
        <x:v>Charvi Dowtal</x:v>
      </x:c>
      <x:c r="B1429" t="str">
        <x:v>Mauritius</x:v>
      </x:c>
      <x:c r="C1429" t="str">
        <x:v>MU</x:v>
      </x:c>
      <x:c r="D1429" t="str">
        <x:v>charvi.dowtal@pwc.com</x:v>
      </x:c>
      <x:c r="E1429" t="str">
        <x:v>Combined</x:v>
      </x:c>
      <x:c r="F1429" t="n">
        <x:v>0.0600462962962963</x:v>
      </x:c>
      <x:c r="G1429" t="n">
        <x:v>5188</x:v>
      </x:c>
      <x:c r="H1429" t="str">
        <x:v>Partially attended</x:v>
      </x:c>
      <x:c r="I1429" t="str">
        <x:v>Yes</x:v>
      </x:c>
    </x:row>
    <x:row r="1430">
      <x:c r="A1430" t="str">
        <x:v>Chengetai Choopa</x:v>
      </x:c>
      <x:c r="B1430" t="str">
        <x:v>Zambia</x:v>
      </x:c>
      <x:c r="C1430" t="str">
        <x:v>ZM</x:v>
      </x:c>
      <x:c r="D1430" t="str">
        <x:v>chengetai.choopa@pwc.com</x:v>
      </x:c>
      <x:c r="E1430" t="str">
        <x:v>Option 1</x:v>
      </x:c>
      <x:c r="F1430" t="n">
        <x:v>0.037395833333333336</x:v>
      </x:c>
      <x:c r="G1430" t="n">
        <x:v>3231</x:v>
      </x:c>
      <x:c r="H1430" t="str">
        <x:v>Partially attended</x:v>
      </x:c>
      <x:c r="I1430" t="str">
        <x:v>Yes</x:v>
      </x:c>
    </x:row>
    <x:row r="1431">
      <x:c r="A1431" t="str">
        <x:v>Chengetai Choopa</x:v>
      </x:c>
      <x:c r="B1431" t="str">
        <x:v>Zambia</x:v>
      </x:c>
      <x:c r="C1431" t="str">
        <x:v>ZM</x:v>
      </x:c>
      <x:c r="D1431" t="str">
        <x:v>chengetai.choopa@pwc.com</x:v>
      </x:c>
      <x:c r="E1431" t="str">
        <x:v>Option 2</x:v>
      </x:c>
      <x:c r="F1431" t="n">
        <x:v>0</x:v>
      </x:c>
      <x:c r="G1431" t="n">
        <x:v>0</x:v>
      </x:c>
      <x:c r="H1431" t="str">
        <x:v>Did not attend</x:v>
      </x:c>
      <x:c r="I1431" t="str">
        <x:v>No</x:v>
      </x:c>
    </x:row>
    <x:row r="1432">
      <x:c r="A1432" t="str">
        <x:v>Chengetai Choopa</x:v>
      </x:c>
      <x:c r="B1432" t="str">
        <x:v>Zambia</x:v>
      </x:c>
      <x:c r="C1432" t="str">
        <x:v>ZM</x:v>
      </x:c>
      <x:c r="D1432" t="str">
        <x:v>chengetai.choopa@pwc.com</x:v>
      </x:c>
      <x:c r="E1432" t="str">
        <x:v>Combined</x:v>
      </x:c>
      <x:c r="F1432" t="n">
        <x:v>0.037395833333333336</x:v>
      </x:c>
      <x:c r="G1432" t="n">
        <x:v>3231</x:v>
      </x:c>
      <x:c r="H1432" t="str">
        <x:v>Partially attended</x:v>
      </x:c>
      <x:c r="I1432" t="str">
        <x:v>Yes</x:v>
      </x:c>
    </x:row>
    <x:row r="1433">
      <x:c r="A1433" t="str">
        <x:v>Cheshta Nothoo</x:v>
      </x:c>
      <x:c r="B1433" t="str">
        <x:v>Mauritius</x:v>
      </x:c>
      <x:c r="C1433" t="str">
        <x:v>MU</x:v>
      </x:c>
      <x:c r="D1433" t="str">
        <x:v>cheshta.nothoo@pwc.com</x:v>
      </x:c>
      <x:c r="E1433" t="str">
        <x:v>Option 1</x:v>
      </x:c>
      <x:c r="F1433" t="n">
        <x:v>0</x:v>
      </x:c>
      <x:c r="G1433" t="n">
        <x:v>0</x:v>
      </x:c>
      <x:c r="H1433" t="str">
        <x:v>Did not attend</x:v>
      </x:c>
      <x:c r="I1433" t="str">
        <x:v>No</x:v>
      </x:c>
    </x:row>
    <x:row r="1434">
      <x:c r="A1434" t="str">
        <x:v>Cheshta Nothoo</x:v>
      </x:c>
      <x:c r="B1434" t="str">
        <x:v>Mauritius</x:v>
      </x:c>
      <x:c r="C1434" t="str">
        <x:v>MU</x:v>
      </x:c>
      <x:c r="D1434" t="str">
        <x:v>cheshta.nothoo@pwc.com</x:v>
      </x:c>
      <x:c r="E1434" t="str">
        <x:v>Option 2</x:v>
      </x:c>
      <x:c r="F1434" t="n">
        <x:v>0.08175925925925925</x:v>
      </x:c>
      <x:c r="G1434" t="n">
        <x:v>7064</x:v>
      </x:c>
      <x:c r="H1434" t="str">
        <x:v>Fully attended</x:v>
      </x:c>
      <x:c r="I1434" t="str">
        <x:v>Yes</x:v>
      </x:c>
    </x:row>
    <x:row r="1435">
      <x:c r="A1435" t="str">
        <x:v>Cheshta Nothoo</x:v>
      </x:c>
      <x:c r="B1435" t="str">
        <x:v>Mauritius</x:v>
      </x:c>
      <x:c r="C1435" t="str">
        <x:v>MU</x:v>
      </x:c>
      <x:c r="D1435" t="str">
        <x:v>cheshta.nothoo@pwc.com</x:v>
      </x:c>
      <x:c r="E1435" t="str">
        <x:v>Combined</x:v>
      </x:c>
      <x:c r="F1435" t="n">
        <x:v>0.08175925925925925</x:v>
      </x:c>
      <x:c r="G1435" t="n">
        <x:v>7064</x:v>
      </x:c>
      <x:c r="H1435" t="str">
        <x:v>Fully attended</x:v>
      </x:c>
      <x:c r="I1435" t="str">
        <x:v>Yes</x:v>
      </x:c>
    </x:row>
    <x:row r="1436">
      <x:c r="A1436" t="str">
        <x:v>Chiteta Katungu</x:v>
      </x:c>
      <x:c r="B1436" t="str">
        <x:v>Zambia</x:v>
      </x:c>
      <x:c r="C1436" t="str">
        <x:v>ZM</x:v>
      </x:c>
      <x:c r="D1436" t="str">
        <x:v>chiteta.katungu@pwc.com</x:v>
      </x:c>
      <x:c r="E1436" t="str">
        <x:v>Option 1</x:v>
      </x:c>
      <x:c r="F1436" t="n">
        <x:v>0</x:v>
      </x:c>
      <x:c r="G1436" t="n">
        <x:v>0</x:v>
      </x:c>
      <x:c r="H1436" t="str">
        <x:v>Did not attend</x:v>
      </x:c>
      <x:c r="I1436" t="str">
        <x:v>No</x:v>
      </x:c>
    </x:row>
    <x:row r="1437">
      <x:c r="A1437" t="str">
        <x:v>Chiteta Katungu</x:v>
      </x:c>
      <x:c r="B1437" t="str">
        <x:v>Zambia</x:v>
      </x:c>
      <x:c r="C1437" t="str">
        <x:v>ZM</x:v>
      </x:c>
      <x:c r="D1437" t="str">
        <x:v>chiteta.katungu@pwc.com</x:v>
      </x:c>
      <x:c r="E1437" t="str">
        <x:v>Option 2</x:v>
      </x:c>
      <x:c r="F1437" t="n">
        <x:v>0.04311342592592592</x:v>
      </x:c>
      <x:c r="G1437" t="n">
        <x:v>3725</x:v>
      </x:c>
      <x:c r="H1437" t="str">
        <x:v>Partially attended</x:v>
      </x:c>
      <x:c r="I1437" t="str">
        <x:v>Yes</x:v>
      </x:c>
    </x:row>
    <x:row r="1438">
      <x:c r="A1438" t="str">
        <x:v>Chiteta Katungu</x:v>
      </x:c>
      <x:c r="B1438" t="str">
        <x:v>Zambia</x:v>
      </x:c>
      <x:c r="C1438" t="str">
        <x:v>ZM</x:v>
      </x:c>
      <x:c r="D1438" t="str">
        <x:v>chiteta.katungu@pwc.com</x:v>
      </x:c>
      <x:c r="E1438" t="str">
        <x:v>Combined</x:v>
      </x:c>
      <x:c r="F1438" t="n">
        <x:v>0.04311342592592592</x:v>
      </x:c>
      <x:c r="G1438" t="n">
        <x:v>3725</x:v>
      </x:c>
      <x:c r="H1438" t="str">
        <x:v>Partially attended</x:v>
      </x:c>
      <x:c r="I1438" t="str">
        <x:v>Yes</x:v>
      </x:c>
    </x:row>
    <x:row r="1439">
      <x:c r="A1439" t="str">
        <x:v>Christina Dinala</x:v>
      </x:c>
      <x:c r="B1439" t="str">
        <x:v>Zambia</x:v>
      </x:c>
      <x:c r="C1439" t="str">
        <x:v>ZM</x:v>
      </x:c>
      <x:c r="D1439" t="str">
        <x:v>christina.dinala@pwc.com</x:v>
      </x:c>
      <x:c r="E1439" t="str">
        <x:v>Option 1</x:v>
      </x:c>
      <x:c r="F1439" t="n">
        <x:v>0</x:v>
      </x:c>
      <x:c r="G1439" t="n">
        <x:v>0</x:v>
      </x:c>
      <x:c r="H1439" t="str">
        <x:v>Did not attend</x:v>
      </x:c>
      <x:c r="I1439" t="str">
        <x:v>No</x:v>
      </x:c>
    </x:row>
    <x:row r="1440">
      <x:c r="A1440" t="str">
        <x:v>Christina Dinala</x:v>
      </x:c>
      <x:c r="B1440" t="str">
        <x:v>Zambia</x:v>
      </x:c>
      <x:c r="C1440" t="str">
        <x:v>ZM</x:v>
      </x:c>
      <x:c r="D1440" t="str">
        <x:v>christina.dinala@pwc.com</x:v>
      </x:c>
      <x:c r="E1440" t="str">
        <x:v>Option 2</x:v>
      </x:c>
      <x:c r="F1440" t="n">
        <x:v>0.036828703703703704</x:v>
      </x:c>
      <x:c r="G1440" t="n">
        <x:v>3182</x:v>
      </x:c>
      <x:c r="H1440" t="str">
        <x:v>Partially attended</x:v>
      </x:c>
      <x:c r="I1440" t="str">
        <x:v>Yes</x:v>
      </x:c>
    </x:row>
    <x:row r="1441">
      <x:c r="A1441" t="str">
        <x:v>Christina Dinala</x:v>
      </x:c>
      <x:c r="B1441" t="str">
        <x:v>Zambia</x:v>
      </x:c>
      <x:c r="C1441" t="str">
        <x:v>ZM</x:v>
      </x:c>
      <x:c r="D1441" t="str">
        <x:v>christina.dinala@pwc.com</x:v>
      </x:c>
      <x:c r="E1441" t="str">
        <x:v>Combined</x:v>
      </x:c>
      <x:c r="F1441" t="n">
        <x:v>0.036828703703703704</x:v>
      </x:c>
      <x:c r="G1441" t="n">
        <x:v>3182</x:v>
      </x:c>
      <x:c r="H1441" t="str">
        <x:v>Partially attended</x:v>
      </x:c>
      <x:c r="I1441" t="str">
        <x:v>Yes</x:v>
      </x:c>
    </x:row>
    <x:row r="1442">
      <x:c r="A1442" t="str">
        <x:v>Christophe Fok King</x:v>
      </x:c>
      <x:c r="B1442" t="str">
        <x:v>Mauritius</x:v>
      </x:c>
      <x:c r="C1442" t="str">
        <x:v>MU</x:v>
      </x:c>
      <x:c r="D1442" t="str">
        <x:v>christophe.fok.king@pwc.com</x:v>
      </x:c>
      <x:c r="E1442" t="str">
        <x:v>Option 1</x:v>
      </x:c>
      <x:c r="F1442" t="n">
        <x:v>0</x:v>
      </x:c>
      <x:c r="G1442" t="n">
        <x:v>0</x:v>
      </x:c>
      <x:c r="H1442" t="str">
        <x:v>Did not attend</x:v>
      </x:c>
      <x:c r="I1442" t="str">
        <x:v>No</x:v>
      </x:c>
    </x:row>
    <x:row r="1443">
      <x:c r="A1443" t="str">
        <x:v>Christophe Fok King</x:v>
      </x:c>
      <x:c r="B1443" t="str">
        <x:v>Mauritius</x:v>
      </x:c>
      <x:c r="C1443" t="str">
        <x:v>MU</x:v>
      </x:c>
      <x:c r="D1443" t="str">
        <x:v>christophe.fok.king@pwc.com</x:v>
      </x:c>
      <x:c r="E1443" t="str">
        <x:v>Option 2</x:v>
      </x:c>
      <x:c r="F1443" t="n">
        <x:v>0.08457175925925926</x:v>
      </x:c>
      <x:c r="G1443" t="n">
        <x:v>7307</x:v>
      </x:c>
      <x:c r="H1443" t="str">
        <x:v>Fully attended</x:v>
      </x:c>
      <x:c r="I1443" t="str">
        <x:v>Yes</x:v>
      </x:c>
    </x:row>
    <x:row r="1444">
      <x:c r="A1444" t="str">
        <x:v>Christophe Fok King</x:v>
      </x:c>
      <x:c r="B1444" t="str">
        <x:v>Mauritius</x:v>
      </x:c>
      <x:c r="C1444" t="str">
        <x:v>MU</x:v>
      </x:c>
      <x:c r="D1444" t="str">
        <x:v>christophe.fok.king@pwc.com</x:v>
      </x:c>
      <x:c r="E1444" t="str">
        <x:v>Combined</x:v>
      </x:c>
      <x:c r="F1444" t="n">
        <x:v>0.08457175925925926</x:v>
      </x:c>
      <x:c r="G1444" t="n">
        <x:v>7307</x:v>
      </x:c>
      <x:c r="H1444" t="str">
        <x:v>Fully attended</x:v>
      </x:c>
      <x:c r="I1444" t="str">
        <x:v>Yes</x:v>
      </x:c>
    </x:row>
    <x:row r="1445">
      <x:c r="A1445" t="str">
        <x:v>Christopher Ng'angala</x:v>
      </x:c>
      <x:c r="B1445" t="str">
        <x:v>Tanzania</x:v>
      </x:c>
      <x:c r="C1445" t="str">
        <x:v>TZ</x:v>
      </x:c>
      <x:c r="D1445" t="str">
        <x:v>christopher.ngangala@pwc.com</x:v>
      </x:c>
      <x:c r="E1445" t="str">
        <x:v>Option 1</x:v>
      </x:c>
      <x:c r="F1445" t="n">
        <x:v>0.08060185185185186</x:v>
      </x:c>
      <x:c r="G1445" t="n">
        <x:v>6964</x:v>
      </x:c>
      <x:c r="H1445" t="str">
        <x:v>Fully attended</x:v>
      </x:c>
      <x:c r="I1445" t="str">
        <x:v>Yes</x:v>
      </x:c>
    </x:row>
    <x:row r="1446">
      <x:c r="A1446" t="str">
        <x:v>Christopher Ng'angala</x:v>
      </x:c>
      <x:c r="B1446" t="str">
        <x:v>Tanzania</x:v>
      </x:c>
      <x:c r="C1446" t="str">
        <x:v>TZ</x:v>
      </x:c>
      <x:c r="D1446" t="str">
        <x:v>christopher.ngangala@pwc.com</x:v>
      </x:c>
      <x:c r="E1446" t="str">
        <x:v>Option 2</x:v>
      </x:c>
      <x:c r="F1446" t="n">
        <x:v>0</x:v>
      </x:c>
      <x:c r="G1446" t="n">
        <x:v>0</x:v>
      </x:c>
      <x:c r="H1446" t="str">
        <x:v>Did not attend</x:v>
      </x:c>
      <x:c r="I1446" t="str">
        <x:v>No</x:v>
      </x:c>
    </x:row>
    <x:row r="1447">
      <x:c r="A1447" t="str">
        <x:v>Christopher Ng'angala</x:v>
      </x:c>
      <x:c r="B1447" t="str">
        <x:v>Tanzania</x:v>
      </x:c>
      <x:c r="C1447" t="str">
        <x:v>TZ</x:v>
      </x:c>
      <x:c r="D1447" t="str">
        <x:v>christopher.ngangala@pwc.com</x:v>
      </x:c>
      <x:c r="E1447" t="str">
        <x:v>Combined</x:v>
      </x:c>
      <x:c r="F1447" t="n">
        <x:v>0.08060185185185186</x:v>
      </x:c>
      <x:c r="G1447" t="n">
        <x:v>6964</x:v>
      </x:c>
      <x:c r="H1447" t="str">
        <x:v>Fully attended</x:v>
      </x:c>
      <x:c r="I1447" t="str">
        <x:v>Yes</x:v>
      </x:c>
    </x:row>
    <x:row r="1448">
      <x:c r="A1448" t="str">
        <x:v>Cynthia Waithaka</x:v>
      </x:c>
      <x:c r="B1448" t="str">
        <x:v>Kenya</x:v>
      </x:c>
      <x:c r="C1448" t="str">
        <x:v>KE</x:v>
      </x:c>
      <x:c r="D1448" t="str">
        <x:v>cynthia.waithaka@pwc.com</x:v>
      </x:c>
      <x:c r="E1448" t="str">
        <x:v>Option 1</x:v>
      </x:c>
      <x:c r="F1448" t="n">
        <x:v>0</x:v>
      </x:c>
      <x:c r="G1448" t="n">
        <x:v>0</x:v>
      </x:c>
      <x:c r="H1448" t="str">
        <x:v>Did not attend</x:v>
      </x:c>
      <x:c r="I1448" t="str">
        <x:v>No</x:v>
      </x:c>
    </x:row>
    <x:row r="1449">
      <x:c r="A1449" t="str">
        <x:v>Cynthia Waithaka</x:v>
      </x:c>
      <x:c r="B1449" t="str">
        <x:v>Kenya</x:v>
      </x:c>
      <x:c r="C1449" t="str">
        <x:v>KE</x:v>
      </x:c>
      <x:c r="D1449" t="str">
        <x:v>cynthia.waithaka@pwc.com</x:v>
      </x:c>
      <x:c r="E1449" t="str">
        <x:v>Option 2</x:v>
      </x:c>
      <x:c r="F1449" t="n">
        <x:v>0.04721064814814815</x:v>
      </x:c>
      <x:c r="G1449" t="n">
        <x:v>4079</x:v>
      </x:c>
      <x:c r="H1449" t="str">
        <x:v>Partially attended</x:v>
      </x:c>
      <x:c r="I1449" t="str">
        <x:v>Yes</x:v>
      </x:c>
    </x:row>
    <x:row r="1450">
      <x:c r="A1450" t="str">
        <x:v>Cynthia Waithaka</x:v>
      </x:c>
      <x:c r="B1450" t="str">
        <x:v>Kenya</x:v>
      </x:c>
      <x:c r="C1450" t="str">
        <x:v>KE</x:v>
      </x:c>
      <x:c r="D1450" t="str">
        <x:v>cynthia.waithaka@pwc.com</x:v>
      </x:c>
      <x:c r="E1450" t="str">
        <x:v>Combined</x:v>
      </x:c>
      <x:c r="F1450" t="n">
        <x:v>0.04721064814814815</x:v>
      </x:c>
      <x:c r="G1450" t="n">
        <x:v>4079</x:v>
      </x:c>
      <x:c r="H1450" t="str">
        <x:v>Partially attended</x:v>
      </x:c>
      <x:c r="I1450" t="str">
        <x:v>Yes</x:v>
      </x:c>
    </x:row>
    <x:row r="1451">
      <x:c r="A1451" t="str">
        <x:v>Dabria Ringo</x:v>
      </x:c>
      <x:c r="B1451" t="str">
        <x:v>Tanzania</x:v>
      </x:c>
      <x:c r="C1451" t="str">
        <x:v>TZ</x:v>
      </x:c>
      <x:c r="D1451" t="str">
        <x:v>dabria.ringo@pwc.com</x:v>
      </x:c>
      <x:c r="E1451" t="str">
        <x:v>Option 1</x:v>
      </x:c>
      <x:c r="F1451" t="n">
        <x:v>0.06482638888888889</x:v>
      </x:c>
      <x:c r="G1451" t="n">
        <x:v>5601</x:v>
      </x:c>
      <x:c r="H1451" t="str">
        <x:v>Fully attended</x:v>
      </x:c>
      <x:c r="I1451" t="str">
        <x:v>Yes</x:v>
      </x:c>
    </x:row>
    <x:row r="1452">
      <x:c r="A1452" t="str">
        <x:v>Dabria Ringo</x:v>
      </x:c>
      <x:c r="B1452" t="str">
        <x:v>Tanzania</x:v>
      </x:c>
      <x:c r="C1452" t="str">
        <x:v>TZ</x:v>
      </x:c>
      <x:c r="D1452" t="str">
        <x:v>dabria.ringo@pwc.com</x:v>
      </x:c>
      <x:c r="E1452" t="str">
        <x:v>Option 2</x:v>
      </x:c>
      <x:c r="F1452" t="n">
        <x:v>0</x:v>
      </x:c>
      <x:c r="G1452" t="n">
        <x:v>0</x:v>
      </x:c>
      <x:c r="H1452" t="str">
        <x:v>Did not attend</x:v>
      </x:c>
      <x:c r="I1452" t="str">
        <x:v>No</x:v>
      </x:c>
    </x:row>
    <x:row r="1453">
      <x:c r="A1453" t="str">
        <x:v>Dabria Ringo</x:v>
      </x:c>
      <x:c r="B1453" t="str">
        <x:v>Tanzania</x:v>
      </x:c>
      <x:c r="C1453" t="str">
        <x:v>TZ</x:v>
      </x:c>
      <x:c r="D1453" t="str">
        <x:v>dabria.ringo@pwc.com</x:v>
      </x:c>
      <x:c r="E1453" t="str">
        <x:v>Combined</x:v>
      </x:c>
      <x:c r="F1453" t="n">
        <x:v>0.06482638888888889</x:v>
      </x:c>
      <x:c r="G1453" t="n">
        <x:v>5601</x:v>
      </x:c>
      <x:c r="H1453" t="str">
        <x:v>Fully attended</x:v>
      </x:c>
      <x:c r="I1453" t="str">
        <x:v>Yes</x:v>
      </x:c>
    </x:row>
    <x:row r="1454">
      <x:c r="A1454" t="str">
        <x:v>Daniella Sardes</x:v>
      </x:c>
      <x:c r="B1454" t="str">
        <x:v>Mauritius</x:v>
      </x:c>
      <x:c r="C1454" t="str">
        <x:v>MU</x:v>
      </x:c>
      <x:c r="D1454" t="str">
        <x:v>perday.sardes@pwc.com</x:v>
      </x:c>
      <x:c r="E1454" t="str">
        <x:v>Option 1</x:v>
      </x:c>
      <x:c r="F1454" t="n">
        <x:v>0</x:v>
      </x:c>
      <x:c r="G1454" t="n">
        <x:v>0</x:v>
      </x:c>
      <x:c r="H1454" t="str">
        <x:v>Did not attend</x:v>
      </x:c>
      <x:c r="I1454" t="str">
        <x:v>No</x:v>
      </x:c>
    </x:row>
    <x:row r="1455">
      <x:c r="A1455" t="str">
        <x:v>Daniella Sardes</x:v>
      </x:c>
      <x:c r="B1455" t="str">
        <x:v>Mauritius</x:v>
      </x:c>
      <x:c r="C1455" t="str">
        <x:v>MU</x:v>
      </x:c>
      <x:c r="D1455" t="str">
        <x:v>perday.sardes@pwc.com</x:v>
      </x:c>
      <x:c r="E1455" t="str">
        <x:v>Option 2</x:v>
      </x:c>
      <x:c r="F1455" t="n">
        <x:v>0.03365740740740741</x:v>
      </x:c>
      <x:c r="G1455" t="n">
        <x:v>2908</x:v>
      </x:c>
      <x:c r="H1455" t="str">
        <x:v>Partially attended</x:v>
      </x:c>
      <x:c r="I1455" t="str">
        <x:v>Yes</x:v>
      </x:c>
    </x:row>
    <x:row r="1456">
      <x:c r="A1456" t="str">
        <x:v>Daniella Sardes</x:v>
      </x:c>
      <x:c r="B1456" t="str">
        <x:v>Mauritius</x:v>
      </x:c>
      <x:c r="C1456" t="str">
        <x:v>MU</x:v>
      </x:c>
      <x:c r="D1456" t="str">
        <x:v>perday.sardes@pwc.com</x:v>
      </x:c>
      <x:c r="E1456" t="str">
        <x:v>Combined</x:v>
      </x:c>
      <x:c r="F1456" t="n">
        <x:v>0.03365740740740741</x:v>
      </x:c>
      <x:c r="G1456" t="n">
        <x:v>2908</x:v>
      </x:c>
      <x:c r="H1456" t="str">
        <x:v>Partially attended</x:v>
      </x:c>
      <x:c r="I1456" t="str">
        <x:v>Yes</x:v>
      </x:c>
    </x:row>
    <x:row r="1457">
      <x:c r="A1457" t="str">
        <x:v>David Kalumbu</x:v>
      </x:c>
      <x:c r="B1457" t="str">
        <x:v>Zambia</x:v>
      </x:c>
      <x:c r="C1457" t="str">
        <x:v>ZM</x:v>
      </x:c>
      <x:c r="D1457" t="str">
        <x:v>david.kalumbu@pwc.com</x:v>
      </x:c>
      <x:c r="E1457" t="str">
        <x:v>Option 1</x:v>
      </x:c>
      <x:c r="F1457" t="n">
        <x:v>0</x:v>
      </x:c>
      <x:c r="G1457" t="n">
        <x:v>0</x:v>
      </x:c>
      <x:c r="H1457" t="str">
        <x:v>Did not attend</x:v>
      </x:c>
      <x:c r="I1457" t="str">
        <x:v>No</x:v>
      </x:c>
    </x:row>
    <x:row r="1458">
      <x:c r="A1458" t="str">
        <x:v>David Kalumbu</x:v>
      </x:c>
      <x:c r="B1458" t="str">
        <x:v>Zambia</x:v>
      </x:c>
      <x:c r="C1458" t="str">
        <x:v>ZM</x:v>
      </x:c>
      <x:c r="D1458" t="str">
        <x:v>david.kalumbu@pwc.com</x:v>
      </x:c>
      <x:c r="E1458" t="str">
        <x:v>Option 2</x:v>
      </x:c>
      <x:c r="F1458" t="n">
        <x:v>0.06119212962962963</x:v>
      </x:c>
      <x:c r="G1458" t="n">
        <x:v>5287</x:v>
      </x:c>
      <x:c r="H1458" t="str">
        <x:v>Partially attended</x:v>
      </x:c>
      <x:c r="I1458" t="str">
        <x:v>Yes</x:v>
      </x:c>
    </x:row>
    <x:row r="1459">
      <x:c r="A1459" t="str">
        <x:v>David Kalumbu</x:v>
      </x:c>
      <x:c r="B1459" t="str">
        <x:v>Zambia</x:v>
      </x:c>
      <x:c r="C1459" t="str">
        <x:v>ZM</x:v>
      </x:c>
      <x:c r="D1459" t="str">
        <x:v>david.kalumbu@pwc.com</x:v>
      </x:c>
      <x:c r="E1459" t="str">
        <x:v>Combined</x:v>
      </x:c>
      <x:c r="F1459" t="n">
        <x:v>0.06119212962962963</x:v>
      </x:c>
      <x:c r="G1459" t="n">
        <x:v>5287</x:v>
      </x:c>
      <x:c r="H1459" t="str">
        <x:v>Partially attended</x:v>
      </x:c>
      <x:c r="I1459" t="str">
        <x:v>Yes</x:v>
      </x:c>
    </x:row>
    <x:row r="1460">
      <x:c r="A1460" t="str">
        <x:v>Dennis Ongeri</x:v>
      </x:c>
      <x:c r="B1460" t="str">
        <x:v>Kenya</x:v>
      </x:c>
      <x:c r="C1460" t="str">
        <x:v>KE</x:v>
      </x:c>
      <x:c r="D1460" t="str">
        <x:v>dennis.ongeri@pwc.com</x:v>
      </x:c>
      <x:c r="E1460" t="str">
        <x:v>Option 1</x:v>
      </x:c>
      <x:c r="F1460" t="n">
        <x:v>0</x:v>
      </x:c>
      <x:c r="G1460" t="n">
        <x:v>0</x:v>
      </x:c>
      <x:c r="H1460" t="str">
        <x:v>Did not attend</x:v>
      </x:c>
      <x:c r="I1460" t="str">
        <x:v>No</x:v>
      </x:c>
    </x:row>
    <x:row r="1461">
      <x:c r="A1461" t="str">
        <x:v>Dennis Ongeri</x:v>
      </x:c>
      <x:c r="B1461" t="str">
        <x:v>Kenya</x:v>
      </x:c>
      <x:c r="C1461" t="str">
        <x:v>KE</x:v>
      </x:c>
      <x:c r="D1461" t="str">
        <x:v>dennis.ongeri@pwc.com</x:v>
      </x:c>
      <x:c r="E1461" t="str">
        <x:v>Option 2</x:v>
      </x:c>
      <x:c r="F1461" t="n">
        <x:v>0.07693287037037037</x:v>
      </x:c>
      <x:c r="G1461" t="n">
        <x:v>6647</x:v>
      </x:c>
      <x:c r="H1461" t="str">
        <x:v>Fully attended</x:v>
      </x:c>
      <x:c r="I1461" t="str">
        <x:v>Yes</x:v>
      </x:c>
    </x:row>
    <x:row r="1462">
      <x:c r="A1462" t="str">
        <x:v>Dennis Ongeri</x:v>
      </x:c>
      <x:c r="B1462" t="str">
        <x:v>Kenya</x:v>
      </x:c>
      <x:c r="C1462" t="str">
        <x:v>KE</x:v>
      </x:c>
      <x:c r="D1462" t="str">
        <x:v>dennis.ongeri@pwc.com</x:v>
      </x:c>
      <x:c r="E1462" t="str">
        <x:v>Combined</x:v>
      </x:c>
      <x:c r="F1462" t="n">
        <x:v>0.07693287037037037</x:v>
      </x:c>
      <x:c r="G1462" t="n">
        <x:v>6647</x:v>
      </x:c>
      <x:c r="H1462" t="str">
        <x:v>Fully attended</x:v>
      </x:c>
      <x:c r="I1462" t="str">
        <x:v>Yes</x:v>
      </x:c>
    </x:row>
    <x:row r="1463">
      <x:c r="A1463" t="str">
        <x:v>Derrick Muhire</x:v>
      </x:c>
      <x:c r="B1463" t="str">
        <x:v>Rwanda</x:v>
      </x:c>
      <x:c r="C1463" t="str">
        <x:v>RW</x:v>
      </x:c>
      <x:c r="D1463" t="str">
        <x:v>derick.muhire@pwc.com</x:v>
      </x:c>
      <x:c r="E1463" t="str">
        <x:v>Option 1</x:v>
      </x:c>
      <x:c r="F1463" t="n">
        <x:v>0.04590277777777778</x:v>
      </x:c>
      <x:c r="G1463" t="n">
        <x:v>3966</x:v>
      </x:c>
      <x:c r="H1463" t="str">
        <x:v>Partially attended</x:v>
      </x:c>
      <x:c r="I1463" t="str">
        <x:v>Yes</x:v>
      </x:c>
    </x:row>
    <x:row r="1464">
      <x:c r="A1464" t="str">
        <x:v>Derrick Muhire</x:v>
      </x:c>
      <x:c r="B1464" t="str">
        <x:v>Rwanda</x:v>
      </x:c>
      <x:c r="C1464" t="str">
        <x:v>RW</x:v>
      </x:c>
      <x:c r="D1464" t="str">
        <x:v>derick.muhire@pwc.com</x:v>
      </x:c>
      <x:c r="E1464" t="str">
        <x:v>Option 2</x:v>
      </x:c>
      <x:c r="F1464" t="n">
        <x:v>0</x:v>
      </x:c>
      <x:c r="G1464" t="n">
        <x:v>0</x:v>
      </x:c>
      <x:c r="H1464" t="str">
        <x:v>Did not attend</x:v>
      </x:c>
      <x:c r="I1464" t="str">
        <x:v>No</x:v>
      </x:c>
    </x:row>
    <x:row r="1465">
      <x:c r="A1465" t="str">
        <x:v>Derrick Muhire</x:v>
      </x:c>
      <x:c r="B1465" t="str">
        <x:v>Rwanda</x:v>
      </x:c>
      <x:c r="C1465" t="str">
        <x:v>RW</x:v>
      </x:c>
      <x:c r="D1465" t="str">
        <x:v>derick.muhire@pwc.com</x:v>
      </x:c>
      <x:c r="E1465" t="str">
        <x:v>Combined</x:v>
      </x:c>
      <x:c r="F1465" t="n">
        <x:v>0.04590277777777778</x:v>
      </x:c>
      <x:c r="G1465" t="n">
        <x:v>3966</x:v>
      </x:c>
      <x:c r="H1465" t="str">
        <x:v>Partially attended</x:v>
      </x:c>
      <x:c r="I1465" t="str">
        <x:v>Yes</x:v>
      </x:c>
    </x:row>
    <x:row r="1466">
      <x:c r="A1466" t="str">
        <x:v>Diana Chege</x:v>
      </x:c>
      <x:c r="B1466" t="str">
        <x:v>Rwanda</x:v>
      </x:c>
      <x:c r="C1466" t="str">
        <x:v>RW</x:v>
      </x:c>
      <x:c r="D1466" t="str">
        <x:v>diana.c.chege@pwc.com</x:v>
      </x:c>
      <x:c r="E1466" t="str">
        <x:v>Option 1</x:v>
      </x:c>
      <x:c r="F1466" t="n">
        <x:v>0.015694444444444445</x:v>
      </x:c>
      <x:c r="G1466" t="n">
        <x:v>1356</x:v>
      </x:c>
      <x:c r="H1466" t="str">
        <x:v>Partially attended</x:v>
      </x:c>
      <x:c r="I1466" t="str">
        <x:v>Yes</x:v>
      </x:c>
    </x:row>
    <x:row r="1467">
      <x:c r="A1467" t="str">
        <x:v>Diana Chege</x:v>
      </x:c>
      <x:c r="B1467" t="str">
        <x:v>Rwanda</x:v>
      </x:c>
      <x:c r="C1467" t="str">
        <x:v>RW</x:v>
      </x:c>
      <x:c r="D1467" t="str">
        <x:v>diana.c.chege@pwc.com</x:v>
      </x:c>
      <x:c r="E1467" t="str">
        <x:v>Option 2</x:v>
      </x:c>
      <x:c r="F1467" t="n">
        <x:v>0</x:v>
      </x:c>
      <x:c r="G1467" t="n">
        <x:v>0</x:v>
      </x:c>
      <x:c r="H1467" t="str">
        <x:v>Did not attend</x:v>
      </x:c>
      <x:c r="I1467" t="str">
        <x:v>No</x:v>
      </x:c>
    </x:row>
    <x:row r="1468">
      <x:c r="A1468" t="str">
        <x:v>Diana Chege</x:v>
      </x:c>
      <x:c r="B1468" t="str">
        <x:v>Rwanda</x:v>
      </x:c>
      <x:c r="C1468" t="str">
        <x:v>RW</x:v>
      </x:c>
      <x:c r="D1468" t="str">
        <x:v>diana.c.chege@pwc.com</x:v>
      </x:c>
      <x:c r="E1468" t="str">
        <x:v>Combined</x:v>
      </x:c>
      <x:c r="F1468" t="n">
        <x:v>0.015694444444444445</x:v>
      </x:c>
      <x:c r="G1468" t="n">
        <x:v>1356</x:v>
      </x:c>
      <x:c r="H1468" t="str">
        <x:v>Partially attended</x:v>
      </x:c>
      <x:c r="I1468" t="str">
        <x:v>Yes</x:v>
      </x:c>
    </x:row>
    <x:row r="1469">
      <x:c r="A1469" t="str">
        <x:v>Dickson Banda</x:v>
      </x:c>
      <x:c r="B1469" t="str">
        <x:v>Zambia</x:v>
      </x:c>
      <x:c r="C1469" t="str">
        <x:v>ZM</x:v>
      </x:c>
      <x:c r="D1469" t="str">
        <x:v>dickson.banda@pwc.com</x:v>
      </x:c>
      <x:c r="E1469" t="str">
        <x:v>Option 1</x:v>
      </x:c>
      <x:c r="F1469" t="n">
        <x:v>0</x:v>
      </x:c>
      <x:c r="G1469" t="n">
        <x:v>0</x:v>
      </x:c>
      <x:c r="H1469" t="str">
        <x:v>Did not attend</x:v>
      </x:c>
      <x:c r="I1469" t="str">
        <x:v>No</x:v>
      </x:c>
    </x:row>
    <x:row r="1470">
      <x:c r="A1470" t="str">
        <x:v>Dickson Banda</x:v>
      </x:c>
      <x:c r="B1470" t="str">
        <x:v>Zambia</x:v>
      </x:c>
      <x:c r="C1470" t="str">
        <x:v>ZM</x:v>
      </x:c>
      <x:c r="D1470" t="str">
        <x:v>dickson.banda@pwc.com</x:v>
      </x:c>
      <x:c r="E1470" t="str">
        <x:v>Option 2</x:v>
      </x:c>
      <x:c r="F1470" t="n">
        <x:v>0.005208333333333333</x:v>
      </x:c>
      <x:c r="G1470" t="n">
        <x:v>450</x:v>
      </x:c>
      <x:c r="H1470" t="str">
        <x:v>Partially attended</x:v>
      </x:c>
      <x:c r="I1470" t="str">
        <x:v>Yes</x:v>
      </x:c>
    </x:row>
    <x:row r="1471">
      <x:c r="A1471" t="str">
        <x:v>Dickson Banda</x:v>
      </x:c>
      <x:c r="B1471" t="str">
        <x:v>Zambia</x:v>
      </x:c>
      <x:c r="C1471" t="str">
        <x:v>ZM</x:v>
      </x:c>
      <x:c r="D1471" t="str">
        <x:v>dickson.banda@pwc.com</x:v>
      </x:c>
      <x:c r="E1471" t="str">
        <x:v>Combined</x:v>
      </x:c>
      <x:c r="F1471" t="n">
        <x:v>0.005208333333333333</x:v>
      </x:c>
      <x:c r="G1471" t="n">
        <x:v>450</x:v>
      </x:c>
      <x:c r="H1471" t="str">
        <x:v>Partially attended</x:v>
      </x:c>
      <x:c r="I1471" t="str">
        <x:v>Yes</x:v>
      </x:c>
    </x:row>
    <x:row r="1472">
      <x:c r="A1472" t="str">
        <x:v>Doroth Mushi</x:v>
      </x:c>
      <x:c r="B1472" t="str">
        <x:v>Tanzania</x:v>
      </x:c>
      <x:c r="C1472" t="str">
        <x:v>TZ</x:v>
      </x:c>
      <x:c r="D1472" t="str">
        <x:v>doroth.mushi@pwc.com</x:v>
      </x:c>
      <x:c r="E1472" t="str">
        <x:v>Option 1</x:v>
      </x:c>
      <x:c r="F1472" t="n">
        <x:v>0.014050925925925927</x:v>
      </x:c>
      <x:c r="G1472" t="n">
        <x:v>1214</x:v>
      </x:c>
      <x:c r="H1472" t="str">
        <x:v>Partially attended</x:v>
      </x:c>
      <x:c r="I1472" t="str">
        <x:v>Yes</x:v>
      </x:c>
    </x:row>
    <x:row r="1473">
      <x:c r="A1473" t="str">
        <x:v>Doroth Mushi</x:v>
      </x:c>
      <x:c r="B1473" t="str">
        <x:v>Tanzania</x:v>
      </x:c>
      <x:c r="C1473" t="str">
        <x:v>TZ</x:v>
      </x:c>
      <x:c r="D1473" t="str">
        <x:v>doroth.mushi@pwc.com</x:v>
      </x:c>
      <x:c r="E1473" t="str">
        <x:v>Option 2</x:v>
      </x:c>
      <x:c r="F1473" t="n">
        <x:v>0</x:v>
      </x:c>
      <x:c r="G1473" t="n">
        <x:v>0</x:v>
      </x:c>
      <x:c r="H1473" t="str">
        <x:v>Did not attend</x:v>
      </x:c>
      <x:c r="I1473" t="str">
        <x:v>No</x:v>
      </x:c>
    </x:row>
    <x:row r="1474">
      <x:c r="A1474" t="str">
        <x:v>Doroth Mushi</x:v>
      </x:c>
      <x:c r="B1474" t="str">
        <x:v>Tanzania</x:v>
      </x:c>
      <x:c r="C1474" t="str">
        <x:v>TZ</x:v>
      </x:c>
      <x:c r="D1474" t="str">
        <x:v>doroth.mushi@pwc.com</x:v>
      </x:c>
      <x:c r="E1474" t="str">
        <x:v>Combined</x:v>
      </x:c>
      <x:c r="F1474" t="n">
        <x:v>0.014050925925925927</x:v>
      </x:c>
      <x:c r="G1474" t="n">
        <x:v>1214</x:v>
      </x:c>
      <x:c r="H1474" t="str">
        <x:v>Partially attended</x:v>
      </x:c>
      <x:c r="I1474" t="str">
        <x:v>Yes</x:v>
      </x:c>
    </x:row>
    <x:row r="1475">
      <x:c r="A1475" t="str">
        <x:v>Douglas Kunda</x:v>
      </x:c>
      <x:c r="B1475" t="str">
        <x:v>Zambia</x:v>
      </x:c>
      <x:c r="C1475" t="str">
        <x:v>ZM</x:v>
      </x:c>
      <x:c r="D1475" t="str">
        <x:v>douglas.kunda@pwc.com</x:v>
      </x:c>
      <x:c r="E1475" t="str">
        <x:v>Option 1</x:v>
      </x:c>
      <x:c r="F1475" t="n">
        <x:v>0</x:v>
      </x:c>
      <x:c r="G1475" t="n">
        <x:v>0</x:v>
      </x:c>
      <x:c r="H1475" t="str">
        <x:v>Did not attend</x:v>
      </x:c>
      <x:c r="I1475" t="str">
        <x:v>No</x:v>
      </x:c>
    </x:row>
    <x:row r="1476">
      <x:c r="A1476" t="str">
        <x:v>Douglas Kunda</x:v>
      </x:c>
      <x:c r="B1476" t="str">
        <x:v>Zambia</x:v>
      </x:c>
      <x:c r="C1476" t="str">
        <x:v>ZM</x:v>
      </x:c>
      <x:c r="D1476" t="str">
        <x:v>douglas.kunda@pwc.com</x:v>
      </x:c>
      <x:c r="E1476" t="str">
        <x:v>Option 2</x:v>
      </x:c>
      <x:c r="F1476" t="n">
        <x:v>0.008888888888888889</x:v>
      </x:c>
      <x:c r="G1476" t="n">
        <x:v>768</x:v>
      </x:c>
      <x:c r="H1476" t="str">
        <x:v>Partially attended</x:v>
      </x:c>
      <x:c r="I1476" t="str">
        <x:v>Yes</x:v>
      </x:c>
    </x:row>
    <x:row r="1477">
      <x:c r="A1477" t="str">
        <x:v>Douglas Kunda</x:v>
      </x:c>
      <x:c r="B1477" t="str">
        <x:v>Zambia</x:v>
      </x:c>
      <x:c r="C1477" t="str">
        <x:v>ZM</x:v>
      </x:c>
      <x:c r="D1477" t="str">
        <x:v>douglas.kunda@pwc.com</x:v>
      </x:c>
      <x:c r="E1477" t="str">
        <x:v>Combined</x:v>
      </x:c>
      <x:c r="F1477" t="n">
        <x:v>0.008888888888888889</x:v>
      </x:c>
      <x:c r="G1477" t="n">
        <x:v>768</x:v>
      </x:c>
      <x:c r="H1477" t="str">
        <x:v>Partially attended</x:v>
      </x:c>
      <x:c r="I1477" t="str">
        <x:v>Yes</x:v>
      </x:c>
    </x:row>
    <x:row r="1478">
      <x:c r="A1478" t="str">
        <x:v>Dylan How Nee Hee Hafee</x:v>
      </x:c>
      <x:c r="B1478" t="str">
        <x:v>Mauritius</x:v>
      </x:c>
      <x:c r="C1478" t="str">
        <x:v>MU</x:v>
      </x:c>
      <x:c r="D1478" t="str">
        <x:v>dylan.how.nee.hee.hafee@pwc.com</x:v>
      </x:c>
      <x:c r="E1478" t="str">
        <x:v>Option 1</x:v>
      </x:c>
      <x:c r="F1478" t="n">
        <x:v>0</x:v>
      </x:c>
      <x:c r="G1478" t="n">
        <x:v>0</x:v>
      </x:c>
      <x:c r="H1478" t="str">
        <x:v>Did not attend</x:v>
      </x:c>
      <x:c r="I1478" t="str">
        <x:v>No</x:v>
      </x:c>
    </x:row>
    <x:row r="1479">
      <x:c r="A1479" t="str">
        <x:v>Dylan How Nee Hee Hafee</x:v>
      </x:c>
      <x:c r="B1479" t="str">
        <x:v>Mauritius</x:v>
      </x:c>
      <x:c r="C1479" t="str">
        <x:v>MU</x:v>
      </x:c>
      <x:c r="D1479" t="str">
        <x:v>dylan.how.nee.hee.hafee@pwc.com</x:v>
      </x:c>
      <x:c r="E1479" t="str">
        <x:v>Option 2</x:v>
      </x:c>
      <x:c r="F1479" t="n">
        <x:v>0.04693287037037037</x:v>
      </x:c>
      <x:c r="G1479" t="n">
        <x:v>4055</x:v>
      </x:c>
      <x:c r="H1479" t="str">
        <x:v>Partially attended</x:v>
      </x:c>
      <x:c r="I1479" t="str">
        <x:v>Yes</x:v>
      </x:c>
    </x:row>
    <x:row r="1480">
      <x:c r="A1480" t="str">
        <x:v>Dylan How Nee Hee Hafee</x:v>
      </x:c>
      <x:c r="B1480" t="str">
        <x:v>Mauritius</x:v>
      </x:c>
      <x:c r="C1480" t="str">
        <x:v>MU</x:v>
      </x:c>
      <x:c r="D1480" t="str">
        <x:v>dylan.how.nee.hee.hafee@pwc.com</x:v>
      </x:c>
      <x:c r="E1480" t="str">
        <x:v>Combined</x:v>
      </x:c>
      <x:c r="F1480" t="n">
        <x:v>0.04693287037037037</x:v>
      </x:c>
      <x:c r="G1480" t="n">
        <x:v>4055</x:v>
      </x:c>
      <x:c r="H1480" t="str">
        <x:v>Partially attended</x:v>
      </x:c>
      <x:c r="I1480" t="str">
        <x:v>Yes</x:v>
      </x:c>
    </x:row>
    <x:row r="1481">
      <x:c r="A1481" t="str">
        <x:v>Ebby Syombua</x:v>
      </x:c>
      <x:c r="B1481" t="str">
        <x:v>Kenya</x:v>
      </x:c>
      <x:c r="C1481" t="str">
        <x:v>KE</x:v>
      </x:c>
      <x:c r="D1481" t="str">
        <x:v>ebby.syombua@pwc.com</x:v>
      </x:c>
      <x:c r="E1481" t="str">
        <x:v>Option 1</x:v>
      </x:c>
      <x:c r="F1481" t="n">
        <x:v>0</x:v>
      </x:c>
      <x:c r="G1481" t="n">
        <x:v>0</x:v>
      </x:c>
      <x:c r="H1481" t="str">
        <x:v>Did not attend</x:v>
      </x:c>
      <x:c r="I1481" t="str">
        <x:v>No</x:v>
      </x:c>
    </x:row>
    <x:row r="1482">
      <x:c r="A1482" t="str">
        <x:v>Ebby Syombua</x:v>
      </x:c>
      <x:c r="B1482" t="str">
        <x:v>Kenya</x:v>
      </x:c>
      <x:c r="C1482" t="str">
        <x:v>KE</x:v>
      </x:c>
      <x:c r="D1482" t="str">
        <x:v>ebby.syombua@pwc.com</x:v>
      </x:c>
      <x:c r="E1482" t="str">
        <x:v>Option 2</x:v>
      </x:c>
      <x:c r="F1482" t="n">
        <x:v>0.0019560185185185184</x:v>
      </x:c>
      <x:c r="G1482" t="n">
        <x:v>169</x:v>
      </x:c>
      <x:c r="H1482" t="str">
        <x:v>Partially attended</x:v>
      </x:c>
      <x:c r="I1482" t="str">
        <x:v>Yes</x:v>
      </x:c>
    </x:row>
    <x:row r="1483">
      <x:c r="A1483" t="str">
        <x:v>Ebby Syombua</x:v>
      </x:c>
      <x:c r="B1483" t="str">
        <x:v>Kenya</x:v>
      </x:c>
      <x:c r="C1483" t="str">
        <x:v>KE</x:v>
      </x:c>
      <x:c r="D1483" t="str">
        <x:v>ebby.syombua@pwc.com</x:v>
      </x:c>
      <x:c r="E1483" t="str">
        <x:v>Combined</x:v>
      </x:c>
      <x:c r="F1483" t="n">
        <x:v>0.0019560185185185184</x:v>
      </x:c>
      <x:c r="G1483" t="n">
        <x:v>169</x:v>
      </x:c>
      <x:c r="H1483" t="str">
        <x:v>Partially attended</x:v>
      </x:c>
      <x:c r="I1483" t="str">
        <x:v>Yes</x:v>
      </x:c>
    </x:row>
    <x:row r="1484">
      <x:c r="A1484" t="str">
        <x:v>Eddie Wachira</x:v>
      </x:c>
      <x:c r="B1484" t="str">
        <x:v>Kenya</x:v>
      </x:c>
      <x:c r="C1484" t="str">
        <x:v>KE</x:v>
      </x:c>
      <x:c r="D1484" t="str">
        <x:v>eddie.wachira@pwc.com</x:v>
      </x:c>
      <x:c r="E1484" t="str">
        <x:v>Option 1</x:v>
      </x:c>
      <x:c r="F1484" t="n">
        <x:v>0.0427662037037037</x:v>
      </x:c>
      <x:c r="G1484" t="n">
        <x:v>3695</x:v>
      </x:c>
      <x:c r="H1484" t="str">
        <x:v>Partially attended</x:v>
      </x:c>
      <x:c r="I1484" t="str">
        <x:v>Yes</x:v>
      </x:c>
    </x:row>
    <x:row r="1485">
      <x:c r="A1485" t="str">
        <x:v>Eddie Wachira</x:v>
      </x:c>
      <x:c r="B1485" t="str">
        <x:v>Kenya</x:v>
      </x:c>
      <x:c r="C1485" t="str">
        <x:v>KE</x:v>
      </x:c>
      <x:c r="D1485" t="str">
        <x:v>eddie.wachira@pwc.com</x:v>
      </x:c>
      <x:c r="E1485" t="str">
        <x:v>Option 2</x:v>
      </x:c>
      <x:c r="F1485" t="n">
        <x:v>0</x:v>
      </x:c>
      <x:c r="G1485" t="n">
        <x:v>0</x:v>
      </x:c>
      <x:c r="H1485" t="str">
        <x:v>Did not attend</x:v>
      </x:c>
      <x:c r="I1485" t="str">
        <x:v>No</x:v>
      </x:c>
    </x:row>
    <x:row r="1486">
      <x:c r="A1486" t="str">
        <x:v>Eddie Wachira</x:v>
      </x:c>
      <x:c r="B1486" t="str">
        <x:v>Kenya</x:v>
      </x:c>
      <x:c r="C1486" t="str">
        <x:v>KE</x:v>
      </x:c>
      <x:c r="D1486" t="str">
        <x:v>eddie.wachira@pwc.com</x:v>
      </x:c>
      <x:c r="E1486" t="str">
        <x:v>Combined</x:v>
      </x:c>
      <x:c r="F1486" t="n">
        <x:v>0.0427662037037037</x:v>
      </x:c>
      <x:c r="G1486" t="n">
        <x:v>3695</x:v>
      </x:c>
      <x:c r="H1486" t="str">
        <x:v>Partially attended</x:v>
      </x:c>
      <x:c r="I1486" t="str">
        <x:v>Yes</x:v>
      </x:c>
    </x:row>
    <x:row r="1487">
      <x:c r="A1487" t="str">
        <x:v>Edmond Oluoch</x:v>
      </x:c>
      <x:c r="B1487" t="str">
        <x:v>Kenya</x:v>
      </x:c>
      <x:c r="C1487" t="str">
        <x:v>KE</x:v>
      </x:c>
      <x:c r="D1487" t="str">
        <x:v>edmond.oluoch@pwc.com</x:v>
      </x:c>
      <x:c r="E1487" t="str">
        <x:v>Option 1</x:v>
      </x:c>
      <x:c r="F1487" t="n">
        <x:v>0</x:v>
      </x:c>
      <x:c r="G1487" t="n">
        <x:v>0</x:v>
      </x:c>
      <x:c r="H1487" t="str">
        <x:v>Did not attend</x:v>
      </x:c>
      <x:c r="I1487" t="str">
        <x:v>No</x:v>
      </x:c>
    </x:row>
    <x:row r="1488">
      <x:c r="A1488" t="str">
        <x:v>Edmond Oluoch</x:v>
      </x:c>
      <x:c r="B1488" t="str">
        <x:v>Kenya</x:v>
      </x:c>
      <x:c r="C1488" t="str">
        <x:v>KE</x:v>
      </x:c>
      <x:c r="D1488" t="str">
        <x:v>edmond.oluoch@pwc.com</x:v>
      </x:c>
      <x:c r="E1488" t="str">
        <x:v>Option 2</x:v>
      </x:c>
      <x:c r="F1488" t="n">
        <x:v>0.0378125</x:v>
      </x:c>
      <x:c r="G1488" t="n">
        <x:v>3267</x:v>
      </x:c>
      <x:c r="H1488" t="str">
        <x:v>Partially attended</x:v>
      </x:c>
      <x:c r="I1488" t="str">
        <x:v>Yes</x:v>
      </x:c>
    </x:row>
    <x:row r="1489">
      <x:c r="A1489" t="str">
        <x:v>Edmond Oluoch</x:v>
      </x:c>
      <x:c r="B1489" t="str">
        <x:v>Kenya</x:v>
      </x:c>
      <x:c r="C1489" t="str">
        <x:v>KE</x:v>
      </x:c>
      <x:c r="D1489" t="str">
        <x:v>edmond.oluoch@pwc.com</x:v>
      </x:c>
      <x:c r="E1489" t="str">
        <x:v>Combined</x:v>
      </x:c>
      <x:c r="F1489" t="n">
        <x:v>0.0378125</x:v>
      </x:c>
      <x:c r="G1489" t="n">
        <x:v>3267</x:v>
      </x:c>
      <x:c r="H1489" t="str">
        <x:v>Partially attended</x:v>
      </x:c>
      <x:c r="I1489" t="str">
        <x:v>Yes</x:v>
      </x:c>
    </x:row>
    <x:row r="1490">
      <x:c r="A1490" t="str">
        <x:v>Edna Kimenju</x:v>
      </x:c>
      <x:c r="B1490" t="str">
        <x:v>Kenya</x:v>
      </x:c>
      <x:c r="C1490" t="str">
        <x:v>KE</x:v>
      </x:c>
      <x:c r="D1490" t="str">
        <x:v>edna.kimenju@pwc.com</x:v>
      </x:c>
      <x:c r="E1490" t="str">
        <x:v>Option 1</x:v>
      </x:c>
      <x:c r="F1490" t="n">
        <x:v>0.08136574074074074</x:v>
      </x:c>
      <x:c r="G1490" t="n">
        <x:v>7030</x:v>
      </x:c>
      <x:c r="H1490" t="str">
        <x:v>Fully attended</x:v>
      </x:c>
      <x:c r="I1490" t="str">
        <x:v>Yes</x:v>
      </x:c>
    </x:row>
    <x:row r="1491">
      <x:c r="A1491" t="str">
        <x:v>Edna Kimenju</x:v>
      </x:c>
      <x:c r="B1491" t="str">
        <x:v>Kenya</x:v>
      </x:c>
      <x:c r="C1491" t="str">
        <x:v>KE</x:v>
      </x:c>
      <x:c r="D1491" t="str">
        <x:v>edna.kimenju@pwc.com</x:v>
      </x:c>
      <x:c r="E1491" t="str">
        <x:v>Option 2</x:v>
      </x:c>
      <x:c r="F1491" t="n">
        <x:v>0</x:v>
      </x:c>
      <x:c r="G1491" t="n">
        <x:v>0</x:v>
      </x:c>
      <x:c r="H1491" t="str">
        <x:v>Did not attend</x:v>
      </x:c>
      <x:c r="I1491" t="str">
        <x:v>No</x:v>
      </x:c>
    </x:row>
    <x:row r="1492">
      <x:c r="A1492" t="str">
        <x:v>Edna Kimenju</x:v>
      </x:c>
      <x:c r="B1492" t="str">
        <x:v>Kenya</x:v>
      </x:c>
      <x:c r="C1492" t="str">
        <x:v>KE</x:v>
      </x:c>
      <x:c r="D1492" t="str">
        <x:v>edna.kimenju@pwc.com</x:v>
      </x:c>
      <x:c r="E1492" t="str">
        <x:v>Combined</x:v>
      </x:c>
      <x:c r="F1492" t="n">
        <x:v>0.08136574074074074</x:v>
      </x:c>
      <x:c r="G1492" t="n">
        <x:v>7030</x:v>
      </x:c>
      <x:c r="H1492" t="str">
        <x:v>Fully attended</x:v>
      </x:c>
      <x:c r="I1492" t="str">
        <x:v>Yes</x:v>
      </x:c>
    </x:row>
    <x:row r="1493">
      <x:c r="A1493" t="str">
        <x:v>Elisha Jairo</x:v>
      </x:c>
      <x:c r="B1493" t="str">
        <x:v>Tanzania</x:v>
      </x:c>
      <x:c r="C1493" t="str">
        <x:v>TZ</x:v>
      </x:c>
      <x:c r="D1493" t="str">
        <x:v>elisha.jairo@pwc.com</x:v>
      </x:c>
      <x:c r="E1493" t="str">
        <x:v>Option 1</x:v>
      </x:c>
      <x:c r="F1493" t="n">
        <x:v>0</x:v>
      </x:c>
      <x:c r="G1493" t="n">
        <x:v>0</x:v>
      </x:c>
      <x:c r="H1493" t="str">
        <x:v>Did not attend</x:v>
      </x:c>
      <x:c r="I1493" t="str">
        <x:v>No</x:v>
      </x:c>
    </x:row>
    <x:row r="1494">
      <x:c r="A1494" t="str">
        <x:v>Elisha Jairo</x:v>
      </x:c>
      <x:c r="B1494" t="str">
        <x:v>Tanzania</x:v>
      </x:c>
      <x:c r="C1494" t="str">
        <x:v>TZ</x:v>
      </x:c>
      <x:c r="D1494" t="str">
        <x:v>elisha.jairo@pwc.com</x:v>
      </x:c>
      <x:c r="E1494" t="str">
        <x:v>Option 2</x:v>
      </x:c>
      <x:c r="F1494" t="n">
        <x:v>0.08057870370370371</x:v>
      </x:c>
      <x:c r="G1494" t="n">
        <x:v>6962</x:v>
      </x:c>
      <x:c r="H1494" t="str">
        <x:v>Fully attended</x:v>
      </x:c>
      <x:c r="I1494" t="str">
        <x:v>Yes</x:v>
      </x:c>
    </x:row>
    <x:row r="1495">
      <x:c r="A1495" t="str">
        <x:v>Elisha Jairo</x:v>
      </x:c>
      <x:c r="B1495" t="str">
        <x:v>Tanzania</x:v>
      </x:c>
      <x:c r="C1495" t="str">
        <x:v>TZ</x:v>
      </x:c>
      <x:c r="D1495" t="str">
        <x:v>elisha.jairo@pwc.com</x:v>
      </x:c>
      <x:c r="E1495" t="str">
        <x:v>Combined</x:v>
      </x:c>
      <x:c r="F1495" t="n">
        <x:v>0.08057870370370371</x:v>
      </x:c>
      <x:c r="G1495" t="n">
        <x:v>6962</x:v>
      </x:c>
      <x:c r="H1495" t="str">
        <x:v>Fully attended</x:v>
      </x:c>
      <x:c r="I1495" t="str">
        <x:v>Yes</x:v>
      </x:c>
    </x:row>
    <x:row r="1496">
      <x:c r="A1496" t="str">
        <x:v>Elizabeth Monga</x:v>
      </x:c>
      <x:c r="B1496" t="str">
        <x:v>Zambia</x:v>
      </x:c>
      <x:c r="C1496" t="str">
        <x:v>ZM</x:v>
      </x:c>
      <x:c r="D1496" t="str">
        <x:v>elizabeth.m.monga@pwc.com</x:v>
      </x:c>
      <x:c r="E1496" t="str">
        <x:v>Option 1</x:v>
      </x:c>
      <x:c r="F1496" t="n">
        <x:v>0.07791666666666666</x:v>
      </x:c>
      <x:c r="G1496" t="n">
        <x:v>6732</x:v>
      </x:c>
      <x:c r="H1496" t="str">
        <x:v>Fully attended</x:v>
      </x:c>
      <x:c r="I1496" t="str">
        <x:v>Yes</x:v>
      </x:c>
    </x:row>
    <x:row r="1497">
      <x:c r="A1497" t="str">
        <x:v>Elizabeth Monga</x:v>
      </x:c>
      <x:c r="B1497" t="str">
        <x:v>Zambia</x:v>
      </x:c>
      <x:c r="C1497" t="str">
        <x:v>ZM</x:v>
      </x:c>
      <x:c r="D1497" t="str">
        <x:v>elizabeth.m.monga@pwc.com</x:v>
      </x:c>
      <x:c r="E1497" t="str">
        <x:v>Option 2</x:v>
      </x:c>
      <x:c r="F1497" t="n">
        <x:v>0</x:v>
      </x:c>
      <x:c r="G1497" t="n">
        <x:v>0</x:v>
      </x:c>
      <x:c r="H1497" t="str">
        <x:v>Did not attend</x:v>
      </x:c>
      <x:c r="I1497" t="str">
        <x:v>No</x:v>
      </x:c>
    </x:row>
    <x:row r="1498">
      <x:c r="A1498" t="str">
        <x:v>Elizabeth Monga</x:v>
      </x:c>
      <x:c r="B1498" t="str">
        <x:v>Zambia</x:v>
      </x:c>
      <x:c r="C1498" t="str">
        <x:v>ZM</x:v>
      </x:c>
      <x:c r="D1498" t="str">
        <x:v>elizabeth.m.monga@pwc.com</x:v>
      </x:c>
      <x:c r="E1498" t="str">
        <x:v>Combined</x:v>
      </x:c>
      <x:c r="F1498" t="n">
        <x:v>0.07791666666666666</x:v>
      </x:c>
      <x:c r="G1498" t="n">
        <x:v>6732</x:v>
      </x:c>
      <x:c r="H1498" t="str">
        <x:v>Fully attended</x:v>
      </x:c>
      <x:c r="I1498" t="str">
        <x:v>Yes</x:v>
      </x:c>
    </x:row>
    <x:row r="1499">
      <x:c r="A1499" t="str">
        <x:v>Elvin Isaiah Nuwagaba</x:v>
      </x:c>
      <x:c r="B1499" t="str">
        <x:v>Uganda</x:v>
      </x:c>
      <x:c r="C1499" t="str">
        <x:v>UG</x:v>
      </x:c>
      <x:c r="D1499" t="str">
        <x:v>isaiah.nuwagaba@pwc.com</x:v>
      </x:c>
      <x:c r="E1499" t="str">
        <x:v>Option 1</x:v>
      </x:c>
      <x:c r="F1499" t="n">
        <x:v>0</x:v>
      </x:c>
      <x:c r="G1499" t="n">
        <x:v>0</x:v>
      </x:c>
      <x:c r="H1499" t="str">
        <x:v>Did not attend</x:v>
      </x:c>
      <x:c r="I1499" t="str">
        <x:v>No</x:v>
      </x:c>
    </x:row>
    <x:row r="1500">
      <x:c r="A1500" t="str">
        <x:v>Elvin Isaiah Nuwagaba</x:v>
      </x:c>
      <x:c r="B1500" t="str">
        <x:v>Uganda</x:v>
      </x:c>
      <x:c r="C1500" t="str">
        <x:v>UG</x:v>
      </x:c>
      <x:c r="D1500" t="str">
        <x:v>isaiah.nuwagaba@pwc.com</x:v>
      </x:c>
      <x:c r="E1500" t="str">
        <x:v>Option 2</x:v>
      </x:c>
      <x:c r="F1500" t="n">
        <x:v>0.0787962962962963</x:v>
      </x:c>
      <x:c r="G1500" t="n">
        <x:v>6808</x:v>
      </x:c>
      <x:c r="H1500" t="str">
        <x:v>Fully attended</x:v>
      </x:c>
      <x:c r="I1500" t="str">
        <x:v>Yes</x:v>
      </x:c>
    </x:row>
    <x:row r="1501">
      <x:c r="A1501" t="str">
        <x:v>Elvin Isaiah Nuwagaba</x:v>
      </x:c>
      <x:c r="B1501" t="str">
        <x:v>Uganda</x:v>
      </x:c>
      <x:c r="C1501" t="str">
        <x:v>UG</x:v>
      </x:c>
      <x:c r="D1501" t="str">
        <x:v>isaiah.nuwagaba@pwc.com</x:v>
      </x:c>
      <x:c r="E1501" t="str">
        <x:v>Combined</x:v>
      </x:c>
      <x:c r="F1501" t="n">
        <x:v>0.0787962962962963</x:v>
      </x:c>
      <x:c r="G1501" t="n">
        <x:v>6808</x:v>
      </x:c>
      <x:c r="H1501" t="str">
        <x:v>Fully attended</x:v>
      </x:c>
      <x:c r="I1501" t="str">
        <x:v>Yes</x:v>
      </x:c>
    </x:row>
    <x:row r="1502">
      <x:c r="A1502" t="str">
        <x:v>Elvin Julius</x:v>
      </x:c>
      <x:c r="B1502" t="str">
        <x:v>Tanzania</x:v>
      </x:c>
      <x:c r="C1502" t="str">
        <x:v>TZ</x:v>
      </x:c>
      <x:c r="D1502" t="str">
        <x:v>elvin.julius@pwc.com</x:v>
      </x:c>
      <x:c r="E1502" t="str">
        <x:v>Option 1</x:v>
      </x:c>
      <x:c r="F1502" t="n">
        <x:v>0</x:v>
      </x:c>
      <x:c r="G1502" t="n">
        <x:v>0</x:v>
      </x:c>
      <x:c r="H1502" t="str">
        <x:v>Did not attend</x:v>
      </x:c>
      <x:c r="I1502" t="str">
        <x:v>No</x:v>
      </x:c>
    </x:row>
    <x:row r="1503">
      <x:c r="A1503" t="str">
        <x:v>Elvin Julius</x:v>
      </x:c>
      <x:c r="B1503" t="str">
        <x:v>Tanzania</x:v>
      </x:c>
      <x:c r="C1503" t="str">
        <x:v>TZ</x:v>
      </x:c>
      <x:c r="D1503" t="str">
        <x:v>elvin.julius@pwc.com</x:v>
      </x:c>
      <x:c r="E1503" t="str">
        <x:v>Option 2</x:v>
      </x:c>
      <x:c r="F1503" t="n">
        <x:v>0.015289351851851853</x:v>
      </x:c>
      <x:c r="G1503" t="n">
        <x:v>1321</x:v>
      </x:c>
      <x:c r="H1503" t="str">
        <x:v>Partially attended</x:v>
      </x:c>
      <x:c r="I1503" t="str">
        <x:v>Yes</x:v>
      </x:c>
    </x:row>
    <x:row r="1504">
      <x:c r="A1504" t="str">
        <x:v>Elvin Julius</x:v>
      </x:c>
      <x:c r="B1504" t="str">
        <x:v>Tanzania</x:v>
      </x:c>
      <x:c r="C1504" t="str">
        <x:v>TZ</x:v>
      </x:c>
      <x:c r="D1504" t="str">
        <x:v>elvin.julius@pwc.com</x:v>
      </x:c>
      <x:c r="E1504" t="str">
        <x:v>Combined</x:v>
      </x:c>
      <x:c r="F1504" t="n">
        <x:v>0.015289351851851853</x:v>
      </x:c>
      <x:c r="G1504" t="n">
        <x:v>1321</x:v>
      </x:c>
      <x:c r="H1504" t="str">
        <x:v>Partially attended</x:v>
      </x:c>
      <x:c r="I1504" t="str">
        <x:v>Yes</x:v>
      </x:c>
    </x:row>
    <x:row r="1505">
      <x:c r="A1505" t="str">
        <x:v>Emmanuel Lema</x:v>
      </x:c>
      <x:c r="B1505" t="str">
        <x:v>Tanzania</x:v>
      </x:c>
      <x:c r="C1505" t="str">
        <x:v>TZ</x:v>
      </x:c>
      <x:c r="D1505" t="str">
        <x:v>emmanuel.lema@pwc.com</x:v>
      </x:c>
      <x:c r="E1505" t="str">
        <x:v>Option 1</x:v>
      </x:c>
      <x:c r="F1505" t="n">
        <x:v>0.06674768518518519</x:v>
      </x:c>
      <x:c r="G1505" t="n">
        <x:v>5767</x:v>
      </x:c>
      <x:c r="H1505" t="str">
        <x:v>Fully attended</x:v>
      </x:c>
      <x:c r="I1505" t="str">
        <x:v>Yes</x:v>
      </x:c>
    </x:row>
    <x:row r="1506">
      <x:c r="A1506" t="str">
        <x:v>Emmanuel Lema</x:v>
      </x:c>
      <x:c r="B1506" t="str">
        <x:v>Tanzania</x:v>
      </x:c>
      <x:c r="C1506" t="str">
        <x:v>TZ</x:v>
      </x:c>
      <x:c r="D1506" t="str">
        <x:v>emmanuel.lema@pwc.com</x:v>
      </x:c>
      <x:c r="E1506" t="str">
        <x:v>Option 2</x:v>
      </x:c>
      <x:c r="F1506" t="n">
        <x:v>0</x:v>
      </x:c>
      <x:c r="G1506" t="n">
        <x:v>0</x:v>
      </x:c>
      <x:c r="H1506" t="str">
        <x:v>Did not attend</x:v>
      </x:c>
      <x:c r="I1506" t="str">
        <x:v>No</x:v>
      </x:c>
    </x:row>
    <x:row r="1507">
      <x:c r="A1507" t="str">
        <x:v>Emmanuel Lema</x:v>
      </x:c>
      <x:c r="B1507" t="str">
        <x:v>Tanzania</x:v>
      </x:c>
      <x:c r="C1507" t="str">
        <x:v>TZ</x:v>
      </x:c>
      <x:c r="D1507" t="str">
        <x:v>emmanuel.lema@pwc.com</x:v>
      </x:c>
      <x:c r="E1507" t="str">
        <x:v>Combined</x:v>
      </x:c>
      <x:c r="F1507" t="n">
        <x:v>0.06674768518518519</x:v>
      </x:c>
      <x:c r="G1507" t="n">
        <x:v>5767</x:v>
      </x:c>
      <x:c r="H1507" t="str">
        <x:v>Fully attended</x:v>
      </x:c>
      <x:c r="I1507" t="str">
        <x:v>Yes</x:v>
      </x:c>
    </x:row>
    <x:row r="1508">
      <x:c r="A1508" t="str">
        <x:v>Emmanuel Shoo</x:v>
      </x:c>
      <x:c r="B1508" t="str">
        <x:v>Tanzania</x:v>
      </x:c>
      <x:c r="C1508" t="str">
        <x:v>TZ</x:v>
      </x:c>
      <x:c r="D1508" t="str">
        <x:v>emmanuel.shoo@pwc.com</x:v>
      </x:c>
      <x:c r="E1508" t="str">
        <x:v>Option 1</x:v>
      </x:c>
      <x:c r="F1508" t="n">
        <x:v>0</x:v>
      </x:c>
      <x:c r="G1508" t="n">
        <x:v>0</x:v>
      </x:c>
      <x:c r="H1508" t="str">
        <x:v>Did not attend</x:v>
      </x:c>
      <x:c r="I1508" t="str">
        <x:v>No</x:v>
      </x:c>
    </x:row>
    <x:row r="1509">
      <x:c r="A1509" t="str">
        <x:v>Emmanuel Shoo</x:v>
      </x:c>
      <x:c r="B1509" t="str">
        <x:v>Tanzania</x:v>
      </x:c>
      <x:c r="C1509" t="str">
        <x:v>TZ</x:v>
      </x:c>
      <x:c r="D1509" t="str">
        <x:v>emmanuel.shoo@pwc.com</x:v>
      </x:c>
      <x:c r="E1509" t="str">
        <x:v>Option 2</x:v>
      </x:c>
      <x:c r="F1509" t="n">
        <x:v>0.0688425925925926</x:v>
      </x:c>
      <x:c r="G1509" t="n">
        <x:v>5948</x:v>
      </x:c>
      <x:c r="H1509" t="str">
        <x:v>Fully attended</x:v>
      </x:c>
      <x:c r="I1509" t="str">
        <x:v>Yes</x:v>
      </x:c>
    </x:row>
    <x:row r="1510">
      <x:c r="A1510" t="str">
        <x:v>Emmanuel Shoo</x:v>
      </x:c>
      <x:c r="B1510" t="str">
        <x:v>Tanzania</x:v>
      </x:c>
      <x:c r="C1510" t="str">
        <x:v>TZ</x:v>
      </x:c>
      <x:c r="D1510" t="str">
        <x:v>emmanuel.shoo@pwc.com</x:v>
      </x:c>
      <x:c r="E1510" t="str">
        <x:v>Combined</x:v>
      </x:c>
      <x:c r="F1510" t="n">
        <x:v>0.0688425925925926</x:v>
      </x:c>
      <x:c r="G1510" t="n">
        <x:v>5948</x:v>
      </x:c>
      <x:c r="H1510" t="str">
        <x:v>Fully attended</x:v>
      </x:c>
      <x:c r="I1510" t="str">
        <x:v>Yes</x:v>
      </x:c>
    </x:row>
    <x:row r="1511">
      <x:c r="A1511" t="str">
        <x:v>Enock Muywanga</x:v>
      </x:c>
      <x:c r="B1511" t="str">
        <x:v>Tanzania</x:v>
      </x:c>
      <x:c r="C1511" t="str">
        <x:v>TZ</x:v>
      </x:c>
      <x:c r="D1511" t="str">
        <x:v>enock.muywanga@pwc.com</x:v>
      </x:c>
      <x:c r="E1511" t="str">
        <x:v>Option 1</x:v>
      </x:c>
      <x:c r="F1511" t="n">
        <x:v>0.1171875</x:v>
      </x:c>
      <x:c r="G1511" t="n">
        <x:v>10125</x:v>
      </x:c>
      <x:c r="H1511" t="str">
        <x:v>Fully attended</x:v>
      </x:c>
      <x:c r="I1511" t="str">
        <x:v>Yes</x:v>
      </x:c>
    </x:row>
    <x:row r="1512">
      <x:c r="A1512" t="str">
        <x:v>Enock Muywanga</x:v>
      </x:c>
      <x:c r="B1512" t="str">
        <x:v>Tanzania</x:v>
      </x:c>
      <x:c r="C1512" t="str">
        <x:v>TZ</x:v>
      </x:c>
      <x:c r="D1512" t="str">
        <x:v>enock.muywanga@pwc.com</x:v>
      </x:c>
      <x:c r="E1512" t="str">
        <x:v>Option 2</x:v>
      </x:c>
      <x:c r="F1512" t="n">
        <x:v>0</x:v>
      </x:c>
      <x:c r="G1512" t="n">
        <x:v>0</x:v>
      </x:c>
      <x:c r="H1512" t="str">
        <x:v>Did not attend</x:v>
      </x:c>
      <x:c r="I1512" t="str">
        <x:v>No</x:v>
      </x:c>
    </x:row>
    <x:row r="1513">
      <x:c r="A1513" t="str">
        <x:v>Enock Muywanga</x:v>
      </x:c>
      <x:c r="B1513" t="str">
        <x:v>Tanzania</x:v>
      </x:c>
      <x:c r="C1513" t="str">
        <x:v>TZ</x:v>
      </x:c>
      <x:c r="D1513" t="str">
        <x:v>enock.muywanga@pwc.com</x:v>
      </x:c>
      <x:c r="E1513" t="str">
        <x:v>Combined</x:v>
      </x:c>
      <x:c r="F1513" t="n">
        <x:v>0.1171875</x:v>
      </x:c>
      <x:c r="G1513" t="n">
        <x:v>10125</x:v>
      </x:c>
      <x:c r="H1513" t="str">
        <x:v>Fully attended</x:v>
      </x:c>
      <x:c r="I1513" t="str">
        <x:v>Yes</x:v>
      </x:c>
    </x:row>
    <x:row r="1514">
      <x:c r="A1514" t="str">
        <x:v>Eric Shumbusha</x:v>
      </x:c>
      <x:c r="B1514" t="str">
        <x:v>Rwanda</x:v>
      </x:c>
      <x:c r="C1514" t="str">
        <x:v>RW</x:v>
      </x:c>
      <x:c r="D1514" t="str">
        <x:v>eric.shumbusha@pwc.com</x:v>
      </x:c>
      <x:c r="E1514" t="str">
        <x:v>Option 1</x:v>
      </x:c>
      <x:c r="F1514" t="n">
        <x:v>0.02232638888888889</x:v>
      </x:c>
      <x:c r="G1514" t="n">
        <x:v>1929</x:v>
      </x:c>
      <x:c r="H1514" t="str">
        <x:v>Partially attended</x:v>
      </x:c>
      <x:c r="I1514" t="str">
        <x:v>Yes</x:v>
      </x:c>
    </x:row>
    <x:row r="1515">
      <x:c r="A1515" t="str">
        <x:v>Eric Shumbusha</x:v>
      </x:c>
      <x:c r="B1515" t="str">
        <x:v>Rwanda</x:v>
      </x:c>
      <x:c r="C1515" t="str">
        <x:v>RW</x:v>
      </x:c>
      <x:c r="D1515" t="str">
        <x:v>eric.shumbusha@pwc.com</x:v>
      </x:c>
      <x:c r="E1515" t="str">
        <x:v>Option 2</x:v>
      </x:c>
      <x:c r="F1515" t="n">
        <x:v>0</x:v>
      </x:c>
      <x:c r="G1515" t="n">
        <x:v>0</x:v>
      </x:c>
      <x:c r="H1515" t="str">
        <x:v>Did not attend</x:v>
      </x:c>
      <x:c r="I1515" t="str">
        <x:v>No</x:v>
      </x:c>
    </x:row>
    <x:row r="1516">
      <x:c r="A1516" t="str">
        <x:v>Eric Shumbusha</x:v>
      </x:c>
      <x:c r="B1516" t="str">
        <x:v>Rwanda</x:v>
      </x:c>
      <x:c r="C1516" t="str">
        <x:v>RW</x:v>
      </x:c>
      <x:c r="D1516" t="str">
        <x:v>eric.shumbusha@pwc.com</x:v>
      </x:c>
      <x:c r="E1516" t="str">
        <x:v>Combined</x:v>
      </x:c>
      <x:c r="F1516" t="n">
        <x:v>0.02232638888888889</x:v>
      </x:c>
      <x:c r="G1516" t="n">
        <x:v>1929</x:v>
      </x:c>
      <x:c r="H1516" t="str">
        <x:v>Partially attended</x:v>
      </x:c>
      <x:c r="I1516" t="str">
        <x:v>Yes</x:v>
      </x:c>
    </x:row>
    <x:row r="1517">
      <x:c r="A1517" t="str">
        <x:v>Erick Mdaki</x:v>
      </x:c>
      <x:c r="B1517" t="str">
        <x:v>Tanzania</x:v>
      </x:c>
      <x:c r="C1517" t="str">
        <x:v>TZ</x:v>
      </x:c>
      <x:c r="D1517" t="str">
        <x:v>erick.mdaki@pwc.com</x:v>
      </x:c>
      <x:c r="E1517" t="str">
        <x:v>Option 1</x:v>
      </x:c>
      <x:c r="F1517" t="n">
        <x:v>0.06962962962962962</x:v>
      </x:c>
      <x:c r="G1517" t="n">
        <x:v>6016</x:v>
      </x:c>
      <x:c r="H1517" t="str">
        <x:v>Fully attended</x:v>
      </x:c>
      <x:c r="I1517" t="str">
        <x:v>Yes</x:v>
      </x:c>
    </x:row>
    <x:row r="1518">
      <x:c r="A1518" t="str">
        <x:v>Erick Mdaki</x:v>
      </x:c>
      <x:c r="B1518" t="str">
        <x:v>Tanzania</x:v>
      </x:c>
      <x:c r="C1518" t="str">
        <x:v>TZ</x:v>
      </x:c>
      <x:c r="D1518" t="str">
        <x:v>erick.mdaki@pwc.com</x:v>
      </x:c>
      <x:c r="E1518" t="str">
        <x:v>Option 2</x:v>
      </x:c>
      <x:c r="F1518" t="n">
        <x:v>0</x:v>
      </x:c>
      <x:c r="G1518" t="n">
        <x:v>0</x:v>
      </x:c>
      <x:c r="H1518" t="str">
        <x:v>Did not attend</x:v>
      </x:c>
      <x:c r="I1518" t="str">
        <x:v>No</x:v>
      </x:c>
    </x:row>
    <x:row r="1519">
      <x:c r="A1519" t="str">
        <x:v>Erick Mdaki</x:v>
      </x:c>
      <x:c r="B1519" t="str">
        <x:v>Tanzania</x:v>
      </x:c>
      <x:c r="C1519" t="str">
        <x:v>TZ</x:v>
      </x:c>
      <x:c r="D1519" t="str">
        <x:v>erick.mdaki@pwc.com</x:v>
      </x:c>
      <x:c r="E1519" t="str">
        <x:v>Combined</x:v>
      </x:c>
      <x:c r="F1519" t="n">
        <x:v>0.06962962962962962</x:v>
      </x:c>
      <x:c r="G1519" t="n">
        <x:v>6016</x:v>
      </x:c>
      <x:c r="H1519" t="str">
        <x:v>Fully attended</x:v>
      </x:c>
      <x:c r="I1519" t="str">
        <x:v>Yes</x:v>
      </x:c>
    </x:row>
    <x:row r="1520">
      <x:c r="A1520" t="str">
        <x:v>Esther Mulaisho</x:v>
      </x:c>
      <x:c r="B1520" t="str">
        <x:v>Zambia</x:v>
      </x:c>
      <x:c r="C1520" t="str">
        <x:v>ZM</x:v>
      </x:c>
      <x:c r="D1520" t="str">
        <x:v>esther.mulaisho@pwc.com</x:v>
      </x:c>
      <x:c r="E1520" t="str">
        <x:v>Option 1</x:v>
      </x:c>
      <x:c r="F1520" t="n">
        <x:v>0.052037037037037034</x:v>
      </x:c>
      <x:c r="G1520" t="n">
        <x:v>4496</x:v>
      </x:c>
      <x:c r="H1520" t="str">
        <x:v>Partially attended</x:v>
      </x:c>
      <x:c r="I1520" t="str">
        <x:v>Yes</x:v>
      </x:c>
    </x:row>
    <x:row r="1521">
      <x:c r="A1521" t="str">
        <x:v>Esther Mulaisho</x:v>
      </x:c>
      <x:c r="B1521" t="str">
        <x:v>Zambia</x:v>
      </x:c>
      <x:c r="C1521" t="str">
        <x:v>ZM</x:v>
      </x:c>
      <x:c r="D1521" t="str">
        <x:v>esther.mulaisho@pwc.com</x:v>
      </x:c>
      <x:c r="E1521" t="str">
        <x:v>Option 2</x:v>
      </x:c>
      <x:c r="F1521" t="n">
        <x:v>0</x:v>
      </x:c>
      <x:c r="G1521" t="n">
        <x:v>0</x:v>
      </x:c>
      <x:c r="H1521" t="str">
        <x:v>Did not attend</x:v>
      </x:c>
      <x:c r="I1521" t="str">
        <x:v>No</x:v>
      </x:c>
    </x:row>
    <x:row r="1522">
      <x:c r="A1522" t="str">
        <x:v>Esther Mulaisho</x:v>
      </x:c>
      <x:c r="B1522" t="str">
        <x:v>Zambia</x:v>
      </x:c>
      <x:c r="C1522" t="str">
        <x:v>ZM</x:v>
      </x:c>
      <x:c r="D1522" t="str">
        <x:v>esther.mulaisho@pwc.com</x:v>
      </x:c>
      <x:c r="E1522" t="str">
        <x:v>Combined</x:v>
      </x:c>
      <x:c r="F1522" t="n">
        <x:v>0.052037037037037034</x:v>
      </x:c>
      <x:c r="G1522" t="n">
        <x:v>4496</x:v>
      </x:c>
      <x:c r="H1522" t="str">
        <x:v>Partially attended</x:v>
      </x:c>
      <x:c r="I1522" t="str">
        <x:v>Yes</x:v>
      </x:c>
    </x:row>
    <x:row r="1523">
      <x:c r="A1523" t="str">
        <x:v>Etase Nyirenda</x:v>
      </x:c>
      <x:c r="B1523" t="str">
        <x:v>Zambia</x:v>
      </x:c>
      <x:c r="C1523" t="str">
        <x:v>ZM</x:v>
      </x:c>
      <x:c r="D1523" t="str">
        <x:v>etase.nyirenda@pwc.com</x:v>
      </x:c>
      <x:c r="E1523" t="str">
        <x:v>Option 1</x:v>
      </x:c>
      <x:c r="F1523" t="n">
        <x:v>0.0749537037037037</x:v>
      </x:c>
      <x:c r="G1523" t="n">
        <x:v>6476</x:v>
      </x:c>
      <x:c r="H1523" t="str">
        <x:v>Fully attended</x:v>
      </x:c>
      <x:c r="I1523" t="str">
        <x:v>Yes</x:v>
      </x:c>
    </x:row>
    <x:row r="1524">
      <x:c r="A1524" t="str">
        <x:v>Etase Nyirenda</x:v>
      </x:c>
      <x:c r="B1524" t="str">
        <x:v>Zambia</x:v>
      </x:c>
      <x:c r="C1524" t="str">
        <x:v>ZM</x:v>
      </x:c>
      <x:c r="D1524" t="str">
        <x:v>etase.nyirenda@pwc.com</x:v>
      </x:c>
      <x:c r="E1524" t="str">
        <x:v>Option 2</x:v>
      </x:c>
      <x:c r="F1524" t="n">
        <x:v>0</x:v>
      </x:c>
      <x:c r="G1524" t="n">
        <x:v>0</x:v>
      </x:c>
      <x:c r="H1524" t="str">
        <x:v>Did not attend</x:v>
      </x:c>
      <x:c r="I1524" t="str">
        <x:v>No</x:v>
      </x:c>
    </x:row>
    <x:row r="1525">
      <x:c r="A1525" t="str">
        <x:v>Etase Nyirenda</x:v>
      </x:c>
      <x:c r="B1525" t="str">
        <x:v>Zambia</x:v>
      </x:c>
      <x:c r="C1525" t="str">
        <x:v>ZM</x:v>
      </x:c>
      <x:c r="D1525" t="str">
        <x:v>etase.nyirenda@pwc.com</x:v>
      </x:c>
      <x:c r="E1525" t="str">
        <x:v>Combined</x:v>
      </x:c>
      <x:c r="F1525" t="n">
        <x:v>0.0749537037037037</x:v>
      </x:c>
      <x:c r="G1525" t="n">
        <x:v>6476</x:v>
      </x:c>
      <x:c r="H1525" t="str">
        <x:v>Fully attended</x:v>
      </x:c>
      <x:c r="I1525" t="str">
        <x:v>Yes</x:v>
      </x:c>
    </x:row>
    <x:row r="1526">
      <x:c r="A1526" t="str">
        <x:v>Evans Makumba</x:v>
      </x:c>
      <x:c r="B1526" t="str">
        <x:v>Rwanda</x:v>
      </x:c>
      <x:c r="C1526" t="str">
        <x:v>RW</x:v>
      </x:c>
      <x:c r="D1526" t="str">
        <x:v>evans.makumba@pwc.com</x:v>
      </x:c>
      <x:c r="E1526" t="str">
        <x:v>Option 1</x:v>
      </x:c>
      <x:c r="F1526" t="n">
        <x:v>0</x:v>
      </x:c>
      <x:c r="G1526" t="n">
        <x:v>0</x:v>
      </x:c>
      <x:c r="H1526" t="str">
        <x:v>Did not attend</x:v>
      </x:c>
      <x:c r="I1526" t="str">
        <x:v>No</x:v>
      </x:c>
    </x:row>
    <x:row r="1527">
      <x:c r="A1527" t="str">
        <x:v>Evans Makumba</x:v>
      </x:c>
      <x:c r="B1527" t="str">
        <x:v>Rwanda</x:v>
      </x:c>
      <x:c r="C1527" t="str">
        <x:v>RW</x:v>
      </x:c>
      <x:c r="D1527" t="str">
        <x:v>evans.makumba@pwc.com</x:v>
      </x:c>
      <x:c r="E1527" t="str">
        <x:v>Option 2</x:v>
      </x:c>
      <x:c r="F1527" t="n">
        <x:v>0.0875462962962963</x:v>
      </x:c>
      <x:c r="G1527" t="n">
        <x:v>7564</x:v>
      </x:c>
      <x:c r="H1527" t="str">
        <x:v>Fully attended</x:v>
      </x:c>
      <x:c r="I1527" t="str">
        <x:v>Yes</x:v>
      </x:c>
    </x:row>
    <x:row r="1528">
      <x:c r="A1528" t="str">
        <x:v>Evans Makumba</x:v>
      </x:c>
      <x:c r="B1528" t="str">
        <x:v>Rwanda</x:v>
      </x:c>
      <x:c r="C1528" t="str">
        <x:v>RW</x:v>
      </x:c>
      <x:c r="D1528" t="str">
        <x:v>evans.makumba@pwc.com</x:v>
      </x:c>
      <x:c r="E1528" t="str">
        <x:v>Combined</x:v>
      </x:c>
      <x:c r="F1528" t="n">
        <x:v>0.0875462962962963</x:v>
      </x:c>
      <x:c r="G1528" t="n">
        <x:v>7564</x:v>
      </x:c>
      <x:c r="H1528" t="str">
        <x:v>Fully attended</x:v>
      </x:c>
      <x:c r="I1528" t="str">
        <x:v>Yes</x:v>
      </x:c>
    </x:row>
    <x:row r="1529">
      <x:c r="A1529" t="str">
        <x:v>Eyosias Sahlu</x:v>
      </x:c>
      <x:c r="B1529" t="str">
        <x:v>Kenya</x:v>
      </x:c>
      <x:c r="C1529" t="str">
        <x:v>KE</x:v>
      </x:c>
      <x:c r="D1529" t="str">
        <x:v>eyosisas.sahlu@pwc.com</x:v>
      </x:c>
      <x:c r="E1529" t="str">
        <x:v>Option 1</x:v>
      </x:c>
      <x:c r="F1529" t="n">
        <x:v>0</x:v>
      </x:c>
      <x:c r="G1529" t="n">
        <x:v>0</x:v>
      </x:c>
      <x:c r="H1529" t="str">
        <x:v>Did not attend</x:v>
      </x:c>
      <x:c r="I1529" t="str">
        <x:v>No</x:v>
      </x:c>
    </x:row>
    <x:row r="1530">
      <x:c r="A1530" t="str">
        <x:v>Eyosias Sahlu</x:v>
      </x:c>
      <x:c r="B1530" t="str">
        <x:v>Kenya</x:v>
      </x:c>
      <x:c r="C1530" t="str">
        <x:v>KE</x:v>
      </x:c>
      <x:c r="D1530" t="str">
        <x:v>eyosisas.sahlu@pwc.com</x:v>
      </x:c>
      <x:c r="E1530" t="str">
        <x:v>Option 2</x:v>
      </x:c>
      <x:c r="F1530" t="n">
        <x:v>0.022824074074074073</x:v>
      </x:c>
      <x:c r="G1530" t="n">
        <x:v>1972</x:v>
      </x:c>
      <x:c r="H1530" t="str">
        <x:v>Partially attended</x:v>
      </x:c>
      <x:c r="I1530" t="str">
        <x:v>Yes</x:v>
      </x:c>
    </x:row>
    <x:row r="1531">
      <x:c r="A1531" t="str">
        <x:v>Eyosias Sahlu</x:v>
      </x:c>
      <x:c r="B1531" t="str">
        <x:v>Kenya</x:v>
      </x:c>
      <x:c r="C1531" t="str">
        <x:v>KE</x:v>
      </x:c>
      <x:c r="D1531" t="str">
        <x:v>eyosisas.sahlu@pwc.com</x:v>
      </x:c>
      <x:c r="E1531" t="str">
        <x:v>Combined</x:v>
      </x:c>
      <x:c r="F1531" t="n">
        <x:v>0.022824074074074073</x:v>
      </x:c>
      <x:c r="G1531" t="n">
        <x:v>1972</x:v>
      </x:c>
      <x:c r="H1531" t="str">
        <x:v>Partially attended</x:v>
      </x:c>
      <x:c r="I1531" t="str">
        <x:v>Yes</x:v>
      </x:c>
    </x:row>
    <x:row r="1532">
      <x:c r="A1532" t="str">
        <x:v>Fabrice Irabizi</x:v>
      </x:c>
      <x:c r="B1532" t="str">
        <x:v>Rwanda</x:v>
      </x:c>
      <x:c r="C1532" t="str">
        <x:v>RW</x:v>
      </x:c>
      <x:c r="D1532" t="str">
        <x:v>fabrice.irabizi@pwc.com</x:v>
      </x:c>
      <x:c r="E1532" t="str">
        <x:v>Option 1</x:v>
      </x:c>
      <x:c r="F1532" t="n">
        <x:v>0.08636574074074074</x:v>
      </x:c>
      <x:c r="G1532" t="n">
        <x:v>7462</x:v>
      </x:c>
      <x:c r="H1532" t="str">
        <x:v>Fully attended</x:v>
      </x:c>
      <x:c r="I1532" t="str">
        <x:v>Yes</x:v>
      </x:c>
    </x:row>
    <x:row r="1533">
      <x:c r="A1533" t="str">
        <x:v>Fabrice Irabizi</x:v>
      </x:c>
      <x:c r="B1533" t="str">
        <x:v>Rwanda</x:v>
      </x:c>
      <x:c r="C1533" t="str">
        <x:v>RW</x:v>
      </x:c>
      <x:c r="D1533" t="str">
        <x:v>fabrice.irabizi@pwc.com</x:v>
      </x:c>
      <x:c r="E1533" t="str">
        <x:v>Option 2</x:v>
      </x:c>
      <x:c r="F1533" t="n">
        <x:v>0</x:v>
      </x:c>
      <x:c r="G1533" t="n">
        <x:v>0</x:v>
      </x:c>
      <x:c r="H1533" t="str">
        <x:v>Did not attend</x:v>
      </x:c>
      <x:c r="I1533" t="str">
        <x:v>No</x:v>
      </x:c>
    </x:row>
    <x:row r="1534">
      <x:c r="A1534" t="str">
        <x:v>Fabrice Irabizi</x:v>
      </x:c>
      <x:c r="B1534" t="str">
        <x:v>Rwanda</x:v>
      </x:c>
      <x:c r="C1534" t="str">
        <x:v>RW</x:v>
      </x:c>
      <x:c r="D1534" t="str">
        <x:v>fabrice.irabizi@pwc.com</x:v>
      </x:c>
      <x:c r="E1534" t="str">
        <x:v>Combined</x:v>
      </x:c>
      <x:c r="F1534" t="n">
        <x:v>0.08636574074074074</x:v>
      </x:c>
      <x:c r="G1534" t="n">
        <x:v>7462</x:v>
      </x:c>
      <x:c r="H1534" t="str">
        <x:v>Fully attended</x:v>
      </x:c>
      <x:c r="I1534" t="str">
        <x:v>Yes</x:v>
      </x:c>
    </x:row>
    <x:row r="1535">
      <x:c r="A1535" t="str">
        <x:v>Faheem Ammeer</x:v>
      </x:c>
      <x:c r="B1535" t="str">
        <x:v>Mauritius</x:v>
      </x:c>
      <x:c r="C1535" t="str">
        <x:v>MU</x:v>
      </x:c>
      <x:c r="D1535" t="str">
        <x:v>faheem.ammeer@pwc.com</x:v>
      </x:c>
      <x:c r="E1535" t="str">
        <x:v>Option 1</x:v>
      </x:c>
      <x:c r="F1535" t="n">
        <x:v>0.0296875</x:v>
      </x:c>
      <x:c r="G1535" t="n">
        <x:v>2565</x:v>
      </x:c>
      <x:c r="H1535" t="str">
        <x:v>Partially attended</x:v>
      </x:c>
      <x:c r="I1535" t="str">
        <x:v>Yes</x:v>
      </x:c>
    </x:row>
    <x:row r="1536">
      <x:c r="A1536" t="str">
        <x:v>Faheem Ammeer</x:v>
      </x:c>
      <x:c r="B1536" t="str">
        <x:v>Mauritius</x:v>
      </x:c>
      <x:c r="C1536" t="str">
        <x:v>MU</x:v>
      </x:c>
      <x:c r="D1536" t="str">
        <x:v>faheem.ammeer@pwc.com</x:v>
      </x:c>
      <x:c r="E1536" t="str">
        <x:v>Option 2</x:v>
      </x:c>
      <x:c r="F1536" t="n">
        <x:v>0.0884837962962963</x:v>
      </x:c>
      <x:c r="G1536" t="n">
        <x:v>7645</x:v>
      </x:c>
      <x:c r="H1536" t="str">
        <x:v>Fully attended</x:v>
      </x:c>
      <x:c r="I1536" t="str">
        <x:v>Yes</x:v>
      </x:c>
    </x:row>
    <x:row r="1537">
      <x:c r="A1537" t="str">
        <x:v>Faheem Ammeer</x:v>
      </x:c>
      <x:c r="B1537" t="str">
        <x:v>Mauritius</x:v>
      </x:c>
      <x:c r="C1537" t="str">
        <x:v>MU</x:v>
      </x:c>
      <x:c r="D1537" t="str">
        <x:v>faheem.ammeer@pwc.com</x:v>
      </x:c>
      <x:c r="E1537" t="str">
        <x:v>Combined</x:v>
      </x:c>
      <x:c r="F1537" t="n">
        <x:v>0.1181712962962963</x:v>
      </x:c>
      <x:c r="G1537" t="n">
        <x:v>10210</x:v>
      </x:c>
      <x:c r="H1537" t="str">
        <x:v>Fully attended</x:v>
      </x:c>
      <x:c r="I1537" t="str">
        <x:v>Yes</x:v>
      </x:c>
    </x:row>
    <x:row r="1538">
      <x:c r="A1538" t="str">
        <x:v>Faheem Auliar</x:v>
      </x:c>
      <x:c r="B1538" t="str">
        <x:v>Mauritius</x:v>
      </x:c>
      <x:c r="C1538" t="str">
        <x:v>MU</x:v>
      </x:c>
      <x:c r="D1538" t="str">
        <x:v>faheem.auliar@pwc.com</x:v>
      </x:c>
      <x:c r="E1538" t="str">
        <x:v>Option 1</x:v>
      </x:c>
      <x:c r="F1538" t="n">
        <x:v>0</x:v>
      </x:c>
      <x:c r="G1538" t="n">
        <x:v>0</x:v>
      </x:c>
      <x:c r="H1538" t="str">
        <x:v>Did not attend</x:v>
      </x:c>
      <x:c r="I1538" t="str">
        <x:v>No</x:v>
      </x:c>
    </x:row>
    <x:row r="1539">
      <x:c r="A1539" t="str">
        <x:v>Faheem Auliar</x:v>
      </x:c>
      <x:c r="B1539" t="str">
        <x:v>Mauritius</x:v>
      </x:c>
      <x:c r="C1539" t="str">
        <x:v>MU</x:v>
      </x:c>
      <x:c r="D1539" t="str">
        <x:v>faheem.auliar@pwc.com</x:v>
      </x:c>
      <x:c r="E1539" t="str">
        <x:v>Option 2</x:v>
      </x:c>
      <x:c r="F1539" t="n">
        <x:v>0.0810300925925926</x:v>
      </x:c>
      <x:c r="G1539" t="n">
        <x:v>7001</x:v>
      </x:c>
      <x:c r="H1539" t="str">
        <x:v>Fully attended</x:v>
      </x:c>
      <x:c r="I1539" t="str">
        <x:v>Yes</x:v>
      </x:c>
    </x:row>
    <x:row r="1540">
      <x:c r="A1540" t="str">
        <x:v>Faheem Auliar</x:v>
      </x:c>
      <x:c r="B1540" t="str">
        <x:v>Mauritius</x:v>
      </x:c>
      <x:c r="C1540" t="str">
        <x:v>MU</x:v>
      </x:c>
      <x:c r="D1540" t="str">
        <x:v>faheem.auliar@pwc.com</x:v>
      </x:c>
      <x:c r="E1540" t="str">
        <x:v>Combined</x:v>
      </x:c>
      <x:c r="F1540" t="n">
        <x:v>0.0810300925925926</x:v>
      </x:c>
      <x:c r="G1540" t="n">
        <x:v>7001</x:v>
      </x:c>
      <x:c r="H1540" t="str">
        <x:v>Fully attended</x:v>
      </x:c>
      <x:c r="I1540" t="str">
        <x:v>Yes</x:v>
      </x:c>
    </x:row>
    <x:row r="1541">
      <x:c r="A1541" t="str">
        <x:v>Faith Edeni</x:v>
      </x:c>
      <x:c r="B1541" t="str">
        <x:v>Uganda</x:v>
      </x:c>
      <x:c r="C1541" t="str">
        <x:v>UG</x:v>
      </x:c>
      <x:c r="D1541" t="str">
        <x:v>faith.edeni@pwc.com</x:v>
      </x:c>
      <x:c r="E1541" t="str">
        <x:v>Option 1</x:v>
      </x:c>
      <x:c r="F1541" t="n">
        <x:v>0</x:v>
      </x:c>
      <x:c r="G1541" t="n">
        <x:v>0</x:v>
      </x:c>
      <x:c r="H1541" t="str">
        <x:v>Did not attend</x:v>
      </x:c>
      <x:c r="I1541" t="str">
        <x:v>No</x:v>
      </x:c>
    </x:row>
    <x:row r="1542">
      <x:c r="A1542" t="str">
        <x:v>Faith Edeni</x:v>
      </x:c>
      <x:c r="B1542" t="str">
        <x:v>Uganda</x:v>
      </x:c>
      <x:c r="C1542" t="str">
        <x:v>UG</x:v>
      </x:c>
      <x:c r="D1542" t="str">
        <x:v>faith.edeni@pwc.com</x:v>
      </x:c>
      <x:c r="E1542" t="str">
        <x:v>Option 2</x:v>
      </x:c>
      <x:c r="F1542" t="n">
        <x:v>0.06008101851851852</x:v>
      </x:c>
      <x:c r="G1542" t="n">
        <x:v>5191</x:v>
      </x:c>
      <x:c r="H1542" t="str">
        <x:v>Partially attended</x:v>
      </x:c>
      <x:c r="I1542" t="str">
        <x:v>Yes</x:v>
      </x:c>
    </x:row>
    <x:row r="1543">
      <x:c r="A1543" t="str">
        <x:v>Faith Edeni</x:v>
      </x:c>
      <x:c r="B1543" t="str">
        <x:v>Uganda</x:v>
      </x:c>
      <x:c r="C1543" t="str">
        <x:v>UG</x:v>
      </x:c>
      <x:c r="D1543" t="str">
        <x:v>faith.edeni@pwc.com</x:v>
      </x:c>
      <x:c r="E1543" t="str">
        <x:v>Combined</x:v>
      </x:c>
      <x:c r="F1543" t="n">
        <x:v>0.06008101851851852</x:v>
      </x:c>
      <x:c r="G1543" t="n">
        <x:v>5191</x:v>
      </x:c>
      <x:c r="H1543" t="str">
        <x:v>Partially attended</x:v>
      </x:c>
      <x:c r="I1543" t="str">
        <x:v>Yes</x:v>
      </x:c>
    </x:row>
    <x:row r="1544">
      <x:c r="A1544" t="str">
        <x:v>Faith Kessy</x:v>
      </x:c>
      <x:c r="B1544" t="str">
        <x:v>Tanzania</x:v>
      </x:c>
      <x:c r="C1544" t="str">
        <x:v>TZ</x:v>
      </x:c>
      <x:c r="D1544" t="str">
        <x:v>faith.kessy@pwc.com</x:v>
      </x:c>
      <x:c r="E1544" t="str">
        <x:v>Option 1</x:v>
      </x:c>
      <x:c r="F1544" t="n">
        <x:v>0.05042824074074074</x:v>
      </x:c>
      <x:c r="G1544" t="n">
        <x:v>4357</x:v>
      </x:c>
      <x:c r="H1544" t="str">
        <x:v>Partially attended</x:v>
      </x:c>
      <x:c r="I1544" t="str">
        <x:v>Yes</x:v>
      </x:c>
    </x:row>
    <x:row r="1545">
      <x:c r="A1545" t="str">
        <x:v>Faith Kessy</x:v>
      </x:c>
      <x:c r="B1545" t="str">
        <x:v>Tanzania</x:v>
      </x:c>
      <x:c r="C1545" t="str">
        <x:v>TZ</x:v>
      </x:c>
      <x:c r="D1545" t="str">
        <x:v>faith.kessy@pwc.com</x:v>
      </x:c>
      <x:c r="E1545" t="str">
        <x:v>Option 2</x:v>
      </x:c>
      <x:c r="F1545" t="n">
        <x:v>0.09101851851851851</x:v>
      </x:c>
      <x:c r="G1545" t="n">
        <x:v>7864</x:v>
      </x:c>
      <x:c r="H1545" t="str">
        <x:v>Fully attended</x:v>
      </x:c>
      <x:c r="I1545" t="str">
        <x:v>Yes</x:v>
      </x:c>
    </x:row>
    <x:row r="1546">
      <x:c r="A1546" t="str">
        <x:v>Faith Kessy</x:v>
      </x:c>
      <x:c r="B1546" t="str">
        <x:v>Tanzania</x:v>
      </x:c>
      <x:c r="C1546" t="str">
        <x:v>TZ</x:v>
      </x:c>
      <x:c r="D1546" t="str">
        <x:v>faith.kessy@pwc.com</x:v>
      </x:c>
      <x:c r="E1546" t="str">
        <x:v>Combined</x:v>
      </x:c>
      <x:c r="F1546" t="n">
        <x:v>0.14144675925925926</x:v>
      </x:c>
      <x:c r="G1546" t="n">
        <x:v>12221</x:v>
      </x:c>
      <x:c r="H1546" t="str">
        <x:v>Fully attended</x:v>
      </x:c>
      <x:c r="I1546" t="str">
        <x:v>Yes</x:v>
      </x:c>
    </x:row>
    <x:row r="1547">
      <x:c r="A1547" t="str">
        <x:v>Farida Mohamed</x:v>
      </x:c>
      <x:c r="B1547" t="str">
        <x:v>Tanzania</x:v>
      </x:c>
      <x:c r="C1547" t="str">
        <x:v>TZ</x:v>
      </x:c>
      <x:c r="D1547" t="str">
        <x:v>farida.mohamed@pwc.com</x:v>
      </x:c>
      <x:c r="E1547" t="str">
        <x:v>Option 1</x:v>
      </x:c>
      <x:c r="F1547" t="n">
        <x:v>0</x:v>
      </x:c>
      <x:c r="G1547" t="n">
        <x:v>0</x:v>
      </x:c>
      <x:c r="H1547" t="str">
        <x:v>Did not attend</x:v>
      </x:c>
      <x:c r="I1547" t="str">
        <x:v>No</x:v>
      </x:c>
    </x:row>
    <x:row r="1548">
      <x:c r="A1548" t="str">
        <x:v>Farida Mohamed</x:v>
      </x:c>
      <x:c r="B1548" t="str">
        <x:v>Tanzania</x:v>
      </x:c>
      <x:c r="C1548" t="str">
        <x:v>TZ</x:v>
      </x:c>
      <x:c r="D1548" t="str">
        <x:v>farida.mohamed@pwc.com</x:v>
      </x:c>
      <x:c r="E1548" t="str">
        <x:v>Option 2</x:v>
      </x:c>
      <x:c r="F1548" t="n">
        <x:v>0.08444444444444445</x:v>
      </x:c>
      <x:c r="G1548" t="n">
        <x:v>7296</x:v>
      </x:c>
      <x:c r="H1548" t="str">
        <x:v>Fully attended</x:v>
      </x:c>
      <x:c r="I1548" t="str">
        <x:v>Yes</x:v>
      </x:c>
    </x:row>
    <x:row r="1549">
      <x:c r="A1549" t="str">
        <x:v>Farida Mohamed</x:v>
      </x:c>
      <x:c r="B1549" t="str">
        <x:v>Tanzania</x:v>
      </x:c>
      <x:c r="C1549" t="str">
        <x:v>TZ</x:v>
      </x:c>
      <x:c r="D1549" t="str">
        <x:v>farida.mohamed@pwc.com</x:v>
      </x:c>
      <x:c r="E1549" t="str">
        <x:v>Combined</x:v>
      </x:c>
      <x:c r="F1549" t="n">
        <x:v>0.08444444444444445</x:v>
      </x:c>
      <x:c r="G1549" t="n">
        <x:v>7296</x:v>
      </x:c>
      <x:c r="H1549" t="str">
        <x:v>Fully attended</x:v>
      </x:c>
      <x:c r="I1549" t="str">
        <x:v>Yes</x:v>
      </x:c>
    </x:row>
    <x:row r="1550">
      <x:c r="A1550" t="str">
        <x:v>Fatimah Junggee</x:v>
      </x:c>
      <x:c r="B1550" t="str">
        <x:v>Mauritius</x:v>
      </x:c>
      <x:c r="C1550" t="str">
        <x:v>MU</x:v>
      </x:c>
      <x:c r="D1550" t="str">
        <x:v>fatimah.j.junggee@pwc.com</x:v>
      </x:c>
      <x:c r="E1550" t="str">
        <x:v>Option 1</x:v>
      </x:c>
      <x:c r="F1550" t="n">
        <x:v>0</x:v>
      </x:c>
      <x:c r="G1550" t="n">
        <x:v>0</x:v>
      </x:c>
      <x:c r="H1550" t="str">
        <x:v>Did not attend</x:v>
      </x:c>
      <x:c r="I1550" t="str">
        <x:v>No</x:v>
      </x:c>
    </x:row>
    <x:row r="1551">
      <x:c r="A1551" t="str">
        <x:v>Fatimah Junggee</x:v>
      </x:c>
      <x:c r="B1551" t="str">
        <x:v>Mauritius</x:v>
      </x:c>
      <x:c r="C1551" t="str">
        <x:v>MU</x:v>
      </x:c>
      <x:c r="D1551" t="str">
        <x:v>fatimah.j.junggee@pwc.com</x:v>
      </x:c>
      <x:c r="E1551" t="str">
        <x:v>Option 2</x:v>
      </x:c>
      <x:c r="F1551" t="n">
        <x:v>0.053391203703703705</x:v>
      </x:c>
      <x:c r="G1551" t="n">
        <x:v>4613</x:v>
      </x:c>
      <x:c r="H1551" t="str">
        <x:v>Partially attended</x:v>
      </x:c>
      <x:c r="I1551" t="str">
        <x:v>Yes</x:v>
      </x:c>
    </x:row>
    <x:row r="1552">
      <x:c r="A1552" t="str">
        <x:v>Fatimah Junggee</x:v>
      </x:c>
      <x:c r="B1552" t="str">
        <x:v>Mauritius</x:v>
      </x:c>
      <x:c r="C1552" t="str">
        <x:v>MU</x:v>
      </x:c>
      <x:c r="D1552" t="str">
        <x:v>fatimah.j.junggee@pwc.com</x:v>
      </x:c>
      <x:c r="E1552" t="str">
        <x:v>Combined</x:v>
      </x:c>
      <x:c r="F1552" t="n">
        <x:v>0.053391203703703705</x:v>
      </x:c>
      <x:c r="G1552" t="n">
        <x:v>4613</x:v>
      </x:c>
      <x:c r="H1552" t="str">
        <x:v>Partially attended</x:v>
      </x:c>
      <x:c r="I1552" t="str">
        <x:v>Yes</x:v>
      </x:c>
    </x:row>
    <x:row r="1553">
      <x:c r="A1553" t="str">
        <x:v>Feliciano Fevrier</x:v>
      </x:c>
      <x:c r="B1553" t="str">
        <x:v>Mauritius</x:v>
      </x:c>
      <x:c r="C1553" t="str">
        <x:v>MU</x:v>
      </x:c>
      <x:c r="D1553" t="str">
        <x:v>feliciano.fevrier@pwc.com</x:v>
      </x:c>
      <x:c r="E1553" t="str">
        <x:v>Option 1</x:v>
      </x:c>
      <x:c r="F1553" t="n">
        <x:v>0</x:v>
      </x:c>
      <x:c r="G1553" t="n">
        <x:v>0</x:v>
      </x:c>
      <x:c r="H1553" t="str">
        <x:v>Did not attend</x:v>
      </x:c>
      <x:c r="I1553" t="str">
        <x:v>No</x:v>
      </x:c>
    </x:row>
    <x:row r="1554">
      <x:c r="A1554" t="str">
        <x:v>Feliciano Fevrier</x:v>
      </x:c>
      <x:c r="B1554" t="str">
        <x:v>Mauritius</x:v>
      </x:c>
      <x:c r="C1554" t="str">
        <x:v>MU</x:v>
      </x:c>
      <x:c r="D1554" t="str">
        <x:v>feliciano.fevrier@pwc.com</x:v>
      </x:c>
      <x:c r="E1554" t="str">
        <x:v>Option 2</x:v>
      </x:c>
      <x:c r="F1554" t="n">
        <x:v>0.07138888888888889</x:v>
      </x:c>
      <x:c r="G1554" t="n">
        <x:v>6168</x:v>
      </x:c>
      <x:c r="H1554" t="str">
        <x:v>Fully attended</x:v>
      </x:c>
      <x:c r="I1554" t="str">
        <x:v>Yes</x:v>
      </x:c>
    </x:row>
    <x:row r="1555">
      <x:c r="A1555" t="str">
        <x:v>Feliciano Fevrier</x:v>
      </x:c>
      <x:c r="B1555" t="str">
        <x:v>Mauritius</x:v>
      </x:c>
      <x:c r="C1555" t="str">
        <x:v>MU</x:v>
      </x:c>
      <x:c r="D1555" t="str">
        <x:v>feliciano.fevrier@pwc.com</x:v>
      </x:c>
      <x:c r="E1555" t="str">
        <x:v>Combined</x:v>
      </x:c>
      <x:c r="F1555" t="n">
        <x:v>0.07138888888888889</x:v>
      </x:c>
      <x:c r="G1555" t="n">
        <x:v>6168</x:v>
      </x:c>
      <x:c r="H1555" t="str">
        <x:v>Fully attended</x:v>
      </x:c>
      <x:c r="I1555" t="str">
        <x:v>Yes</x:v>
      </x:c>
    </x:row>
    <x:row r="1556">
      <x:c r="A1556" t="str">
        <x:v>Felix Katongo</x:v>
      </x:c>
      <x:c r="B1556" t="str">
        <x:v>Zambia</x:v>
      </x:c>
      <x:c r="C1556" t="str">
        <x:v>ZM</x:v>
      </x:c>
      <x:c r="D1556" t="str">
        <x:v>felix.katongo@pwc.com</x:v>
      </x:c>
      <x:c r="E1556" t="str">
        <x:v>Option 1</x:v>
      </x:c>
      <x:c r="F1556" t="n">
        <x:v>0</x:v>
      </x:c>
      <x:c r="G1556" t="n">
        <x:v>0</x:v>
      </x:c>
      <x:c r="H1556" t="str">
        <x:v>Did not attend</x:v>
      </x:c>
      <x:c r="I1556" t="str">
        <x:v>No</x:v>
      </x:c>
    </x:row>
    <x:row r="1557">
      <x:c r="A1557" t="str">
        <x:v>Felix Katongo</x:v>
      </x:c>
      <x:c r="B1557" t="str">
        <x:v>Zambia</x:v>
      </x:c>
      <x:c r="C1557" t="str">
        <x:v>ZM</x:v>
      </x:c>
      <x:c r="D1557" t="str">
        <x:v>felix.katongo@pwc.com</x:v>
      </x:c>
      <x:c r="E1557" t="str">
        <x:v>Option 2</x:v>
      </x:c>
      <x:c r="F1557" t="n">
        <x:v>0.02673611111111111</x:v>
      </x:c>
      <x:c r="G1557" t="n">
        <x:v>2310</x:v>
      </x:c>
      <x:c r="H1557" t="str">
        <x:v>Partially attended</x:v>
      </x:c>
      <x:c r="I1557" t="str">
        <x:v>Yes</x:v>
      </x:c>
    </x:row>
    <x:row r="1558">
      <x:c r="A1558" t="str">
        <x:v>Felix Katongo</x:v>
      </x:c>
      <x:c r="B1558" t="str">
        <x:v>Zambia</x:v>
      </x:c>
      <x:c r="C1558" t="str">
        <x:v>ZM</x:v>
      </x:c>
      <x:c r="D1558" t="str">
        <x:v>felix.katongo@pwc.com</x:v>
      </x:c>
      <x:c r="E1558" t="str">
        <x:v>Combined</x:v>
      </x:c>
      <x:c r="F1558" t="n">
        <x:v>0.02673611111111111</x:v>
      </x:c>
      <x:c r="G1558" t="n">
        <x:v>2310</x:v>
      </x:c>
      <x:c r="H1558" t="str">
        <x:v>Partially attended</x:v>
      </x:c>
      <x:c r="I1558" t="str">
        <x:v>Yes</x:v>
      </x:c>
    </x:row>
    <x:row r="1559">
      <x:c r="A1559" t="str">
        <x:v>Fikraddis Cheru</x:v>
      </x:c>
      <x:c r="B1559" t="str">
        <x:v>Kenya</x:v>
      </x:c>
      <x:c r="C1559" t="str">
        <x:v>KE</x:v>
      </x:c>
      <x:c r="D1559" t="str">
        <x:v>fikraddis.cheru@pwc.com</x:v>
      </x:c>
      <x:c r="E1559" t="str">
        <x:v>Option 1</x:v>
      </x:c>
      <x:c r="F1559" t="n">
        <x:v>0.03259259259259259</x:v>
      </x:c>
      <x:c r="G1559" t="n">
        <x:v>2816</x:v>
      </x:c>
      <x:c r="H1559" t="str">
        <x:v>Partially attended</x:v>
      </x:c>
      <x:c r="I1559" t="str">
        <x:v>Yes</x:v>
      </x:c>
    </x:row>
    <x:row r="1560">
      <x:c r="A1560" t="str">
        <x:v>Fikraddis Cheru</x:v>
      </x:c>
      <x:c r="B1560" t="str">
        <x:v>Kenya</x:v>
      </x:c>
      <x:c r="C1560" t="str">
        <x:v>KE</x:v>
      </x:c>
      <x:c r="D1560" t="str">
        <x:v>fikraddis.cheru@pwc.com</x:v>
      </x:c>
      <x:c r="E1560" t="str">
        <x:v>Option 2</x:v>
      </x:c>
      <x:c r="F1560" t="n">
        <x:v>0</x:v>
      </x:c>
      <x:c r="G1560" t="n">
        <x:v>0</x:v>
      </x:c>
      <x:c r="H1560" t="str">
        <x:v>Did not attend</x:v>
      </x:c>
      <x:c r="I1560" t="str">
        <x:v>No</x:v>
      </x:c>
    </x:row>
    <x:row r="1561">
      <x:c r="A1561" t="str">
        <x:v>Fikraddis Cheru</x:v>
      </x:c>
      <x:c r="B1561" t="str">
        <x:v>Kenya</x:v>
      </x:c>
      <x:c r="C1561" t="str">
        <x:v>KE</x:v>
      </x:c>
      <x:c r="D1561" t="str">
        <x:v>fikraddis.cheru@pwc.com</x:v>
      </x:c>
      <x:c r="E1561" t="str">
        <x:v>Combined</x:v>
      </x:c>
      <x:c r="F1561" t="n">
        <x:v>0.03259259259259259</x:v>
      </x:c>
      <x:c r="G1561" t="n">
        <x:v>2816</x:v>
      </x:c>
      <x:c r="H1561" t="str">
        <x:v>Partially attended</x:v>
      </x:c>
      <x:c r="I1561" t="str">
        <x:v>Yes</x:v>
      </x:c>
    </x:row>
    <x:row r="1562">
      <x:c r="A1562" t="str">
        <x:v>Flavian Atieno</x:v>
      </x:c>
      <x:c r="B1562" t="str">
        <x:v>Kenya</x:v>
      </x:c>
      <x:c r="C1562" t="str">
        <x:v>KE</x:v>
      </x:c>
      <x:c r="D1562" t="str">
        <x:v>flavian.atieno@pwc.com</x:v>
      </x:c>
      <x:c r="E1562" t="str">
        <x:v>Option 1</x:v>
      </x:c>
      <x:c r="F1562" t="n">
        <x:v>0</x:v>
      </x:c>
      <x:c r="G1562" t="n">
        <x:v>0</x:v>
      </x:c>
      <x:c r="H1562" t="str">
        <x:v>Did not attend</x:v>
      </x:c>
      <x:c r="I1562" t="str">
        <x:v>No</x:v>
      </x:c>
    </x:row>
    <x:row r="1563">
      <x:c r="A1563" t="str">
        <x:v>Flavian Atieno</x:v>
      </x:c>
      <x:c r="B1563" t="str">
        <x:v>Kenya</x:v>
      </x:c>
      <x:c r="C1563" t="str">
        <x:v>KE</x:v>
      </x:c>
      <x:c r="D1563" t="str">
        <x:v>flavian.atieno@pwc.com</x:v>
      </x:c>
      <x:c r="E1563" t="str">
        <x:v>Option 2</x:v>
      </x:c>
      <x:c r="F1563" t="n">
        <x:v>0.08362268518518519</x:v>
      </x:c>
      <x:c r="G1563" t="n">
        <x:v>7225</x:v>
      </x:c>
      <x:c r="H1563" t="str">
        <x:v>Fully attended</x:v>
      </x:c>
      <x:c r="I1563" t="str">
        <x:v>Yes</x:v>
      </x:c>
    </x:row>
    <x:row r="1564">
      <x:c r="A1564" t="str">
        <x:v>Flavian Atieno</x:v>
      </x:c>
      <x:c r="B1564" t="str">
        <x:v>Kenya</x:v>
      </x:c>
      <x:c r="C1564" t="str">
        <x:v>KE</x:v>
      </x:c>
      <x:c r="D1564" t="str">
        <x:v>flavian.atieno@pwc.com</x:v>
      </x:c>
      <x:c r="E1564" t="str">
        <x:v>Combined</x:v>
      </x:c>
      <x:c r="F1564" t="n">
        <x:v>0.08362268518518519</x:v>
      </x:c>
      <x:c r="G1564" t="n">
        <x:v>7225</x:v>
      </x:c>
      <x:c r="H1564" t="str">
        <x:v>Fully attended</x:v>
      </x:c>
      <x:c r="I1564" t="str">
        <x:v>Yes</x:v>
      </x:c>
    </x:row>
    <x:row r="1565">
      <x:c r="A1565" t="str">
        <x:v>Francisco Mulwana</x:v>
      </x:c>
      <x:c r="B1565" t="str">
        <x:v>Uganda</x:v>
      </x:c>
      <x:c r="C1565" t="str">
        <x:v>UG</x:v>
      </x:c>
      <x:c r="D1565" t="str">
        <x:v>francisco.mulwana@pwc.com</x:v>
      </x:c>
      <x:c r="E1565" t="str">
        <x:v>Option 1</x:v>
      </x:c>
      <x:c r="F1565" t="n">
        <x:v>0</x:v>
      </x:c>
      <x:c r="G1565" t="n">
        <x:v>0</x:v>
      </x:c>
      <x:c r="H1565" t="str">
        <x:v>Did not attend</x:v>
      </x:c>
      <x:c r="I1565" t="str">
        <x:v>No</x:v>
      </x:c>
    </x:row>
    <x:row r="1566">
      <x:c r="A1566" t="str">
        <x:v>Francisco Mulwana</x:v>
      </x:c>
      <x:c r="B1566" t="str">
        <x:v>Uganda</x:v>
      </x:c>
      <x:c r="C1566" t="str">
        <x:v>UG</x:v>
      </x:c>
      <x:c r="D1566" t="str">
        <x:v>francisco.mulwana@pwc.com</x:v>
      </x:c>
      <x:c r="E1566" t="str">
        <x:v>Option 2</x:v>
      </x:c>
      <x:c r="F1566" t="n">
        <x:v>0.08527777777777777</x:v>
      </x:c>
      <x:c r="G1566" t="n">
        <x:v>7368</x:v>
      </x:c>
      <x:c r="H1566" t="str">
        <x:v>Fully attended</x:v>
      </x:c>
      <x:c r="I1566" t="str">
        <x:v>Yes</x:v>
      </x:c>
    </x:row>
    <x:row r="1567">
      <x:c r="A1567" t="str">
        <x:v>Francisco Mulwana</x:v>
      </x:c>
      <x:c r="B1567" t="str">
        <x:v>Uganda</x:v>
      </x:c>
      <x:c r="C1567" t="str">
        <x:v>UG</x:v>
      </x:c>
      <x:c r="D1567" t="str">
        <x:v>francisco.mulwana@pwc.com</x:v>
      </x:c>
      <x:c r="E1567" t="str">
        <x:v>Combined</x:v>
      </x:c>
      <x:c r="F1567" t="n">
        <x:v>0.08527777777777777</x:v>
      </x:c>
      <x:c r="G1567" t="n">
        <x:v>7368</x:v>
      </x:c>
      <x:c r="H1567" t="str">
        <x:v>Fully attended</x:v>
      </x:c>
      <x:c r="I1567" t="str">
        <x:v>Yes</x:v>
      </x:c>
    </x:row>
    <x:row r="1568">
      <x:c r="A1568" t="str">
        <x:v>Gavin Thirakaluthy</x:v>
      </x:c>
      <x:c r="B1568" t="str">
        <x:v>Mauritius</x:v>
      </x:c>
      <x:c r="C1568" t="str">
        <x:v>MU</x:v>
      </x:c>
      <x:c r="D1568" t="str">
        <x:v>gavin.x.thirakaluthy@pwc.com</x:v>
      </x:c>
      <x:c r="E1568" t="str">
        <x:v>Option 1</x:v>
      </x:c>
      <x:c r="F1568" t="n">
        <x:v>0</x:v>
      </x:c>
      <x:c r="G1568" t="n">
        <x:v>0</x:v>
      </x:c>
      <x:c r="H1568" t="str">
        <x:v>Did not attend</x:v>
      </x:c>
      <x:c r="I1568" t="str">
        <x:v>No</x:v>
      </x:c>
    </x:row>
    <x:row r="1569">
      <x:c r="A1569" t="str">
        <x:v>Gavin Thirakaluthy</x:v>
      </x:c>
      <x:c r="B1569" t="str">
        <x:v>Mauritius</x:v>
      </x:c>
      <x:c r="C1569" t="str">
        <x:v>MU</x:v>
      </x:c>
      <x:c r="D1569" t="str">
        <x:v>gavin.x.thirakaluthy@pwc.com</x:v>
      </x:c>
      <x:c r="E1569" t="str">
        <x:v>Option 2</x:v>
      </x:c>
      <x:c r="F1569" t="n">
        <x:v>0.08798611111111111</x:v>
      </x:c>
      <x:c r="G1569" t="n">
        <x:v>7602</x:v>
      </x:c>
      <x:c r="H1569" t="str">
        <x:v>Fully attended</x:v>
      </x:c>
      <x:c r="I1569" t="str">
        <x:v>Yes</x:v>
      </x:c>
    </x:row>
    <x:row r="1570">
      <x:c r="A1570" t="str">
        <x:v>Gavin Thirakaluthy</x:v>
      </x:c>
      <x:c r="B1570" t="str">
        <x:v>Mauritius</x:v>
      </x:c>
      <x:c r="C1570" t="str">
        <x:v>MU</x:v>
      </x:c>
      <x:c r="D1570" t="str">
        <x:v>gavin.x.thirakaluthy@pwc.com</x:v>
      </x:c>
      <x:c r="E1570" t="str">
        <x:v>Combined</x:v>
      </x:c>
      <x:c r="F1570" t="n">
        <x:v>0.08798611111111111</x:v>
      </x:c>
      <x:c r="G1570" t="n">
        <x:v>7602</x:v>
      </x:c>
      <x:c r="H1570" t="str">
        <x:v>Fully attended</x:v>
      </x:c>
      <x:c r="I1570" t="str">
        <x:v>Yes</x:v>
      </x:c>
    </x:row>
    <x:row r="1571">
      <x:c r="A1571" t="str">
        <x:v>Geofrey Bukyana</x:v>
      </x:c>
      <x:c r="B1571" t="str">
        <x:v>Uganda</x:v>
      </x:c>
      <x:c r="C1571" t="str">
        <x:v>UG</x:v>
      </x:c>
      <x:c r="D1571" t="str">
        <x:v>geofrey.bukyana@pwc.com</x:v>
      </x:c>
      <x:c r="E1571" t="str">
        <x:v>Option 1</x:v>
      </x:c>
      <x:c r="F1571" t="n">
        <x:v>0</x:v>
      </x:c>
      <x:c r="G1571" t="n">
        <x:v>0</x:v>
      </x:c>
      <x:c r="H1571" t="str">
        <x:v>Did not attend</x:v>
      </x:c>
      <x:c r="I1571" t="str">
        <x:v>No</x:v>
      </x:c>
    </x:row>
    <x:row r="1572">
      <x:c r="A1572" t="str">
        <x:v>Geofrey Bukyana</x:v>
      </x:c>
      <x:c r="B1572" t="str">
        <x:v>Uganda</x:v>
      </x:c>
      <x:c r="C1572" t="str">
        <x:v>UG</x:v>
      </x:c>
      <x:c r="D1572" t="str">
        <x:v>geofrey.bukyana@pwc.com</x:v>
      </x:c>
      <x:c r="E1572" t="str">
        <x:v>Option 2</x:v>
      </x:c>
      <x:c r="F1572" t="n">
        <x:v>0.07030092592592592</x:v>
      </x:c>
      <x:c r="G1572" t="n">
        <x:v>6074</x:v>
      </x:c>
      <x:c r="H1572" t="str">
        <x:v>Fully attended</x:v>
      </x:c>
      <x:c r="I1572" t="str">
        <x:v>Yes</x:v>
      </x:c>
    </x:row>
    <x:row r="1573">
      <x:c r="A1573" t="str">
        <x:v>Geofrey Bukyana</x:v>
      </x:c>
      <x:c r="B1573" t="str">
        <x:v>Uganda</x:v>
      </x:c>
      <x:c r="C1573" t="str">
        <x:v>UG</x:v>
      </x:c>
      <x:c r="D1573" t="str">
        <x:v>geofrey.bukyana@pwc.com</x:v>
      </x:c>
      <x:c r="E1573" t="str">
        <x:v>Combined</x:v>
      </x:c>
      <x:c r="F1573" t="n">
        <x:v>0.07030092592592592</x:v>
      </x:c>
      <x:c r="G1573" t="n">
        <x:v>6074</x:v>
      </x:c>
      <x:c r="H1573" t="str">
        <x:v>Fully attended</x:v>
      </x:c>
      <x:c r="I1573" t="str">
        <x:v>Yes</x:v>
      </x:c>
    </x:row>
    <x:row r="1574">
      <x:c r="A1574" t="str">
        <x:v>Georginah Ayebare</x:v>
      </x:c>
      <x:c r="B1574" t="str">
        <x:v>Tanzania</x:v>
      </x:c>
      <x:c r="C1574" t="str">
        <x:v>TZ</x:v>
      </x:c>
      <x:c r="D1574" t="str">
        <x:v>georginah.ayebare@pwc.com</x:v>
      </x:c>
      <x:c r="E1574" t="str">
        <x:v>Option 1</x:v>
      </x:c>
      <x:c r="F1574" t="n">
        <x:v>0.051284722222222225</x:v>
      </x:c>
      <x:c r="G1574" t="n">
        <x:v>4431</x:v>
      </x:c>
      <x:c r="H1574" t="str">
        <x:v>Partially attended</x:v>
      </x:c>
      <x:c r="I1574" t="str">
        <x:v>Yes</x:v>
      </x:c>
    </x:row>
    <x:row r="1575">
      <x:c r="A1575" t="str">
        <x:v>Georginah Ayebare</x:v>
      </x:c>
      <x:c r="B1575" t="str">
        <x:v>Tanzania</x:v>
      </x:c>
      <x:c r="C1575" t="str">
        <x:v>TZ</x:v>
      </x:c>
      <x:c r="D1575" t="str">
        <x:v>georginah.ayebare@pwc.com</x:v>
      </x:c>
      <x:c r="E1575" t="str">
        <x:v>Option 2</x:v>
      </x:c>
      <x:c r="F1575" t="n">
        <x:v>0.0780787037037037</x:v>
      </x:c>
      <x:c r="G1575" t="n">
        <x:v>6746</x:v>
      </x:c>
      <x:c r="H1575" t="str">
        <x:v>Fully attended</x:v>
      </x:c>
      <x:c r="I1575" t="str">
        <x:v>Yes</x:v>
      </x:c>
    </x:row>
    <x:row r="1576">
      <x:c r="A1576" t="str">
        <x:v>Georginah Ayebare</x:v>
      </x:c>
      <x:c r="B1576" t="str">
        <x:v>Tanzania</x:v>
      </x:c>
      <x:c r="C1576" t="str">
        <x:v>TZ</x:v>
      </x:c>
      <x:c r="D1576" t="str">
        <x:v>georginah.ayebare@pwc.com</x:v>
      </x:c>
      <x:c r="E1576" t="str">
        <x:v>Combined</x:v>
      </x:c>
      <x:c r="F1576" t="n">
        <x:v>0.12936342592592592</x:v>
      </x:c>
      <x:c r="G1576" t="n">
        <x:v>11177</x:v>
      </x:c>
      <x:c r="H1576" t="str">
        <x:v>Fully attended</x:v>
      </x:c>
      <x:c r="I1576" t="str">
        <x:v>Yes</x:v>
      </x:c>
    </x:row>
    <x:row r="1577">
      <x:c r="A1577" t="str">
        <x:v>Gladness Ngowi</x:v>
      </x:c>
      <x:c r="B1577" t="str">
        <x:v>Tanzania</x:v>
      </x:c>
      <x:c r="C1577" t="str">
        <x:v>TZ</x:v>
      </x:c>
      <x:c r="D1577" t="str">
        <x:v>gladness.ngowi@pwc.com</x:v>
      </x:c>
      <x:c r="E1577" t="str">
        <x:v>Option 1</x:v>
      </x:c>
      <x:c r="F1577" t="n">
        <x:v>0</x:v>
      </x:c>
      <x:c r="G1577" t="n">
        <x:v>0</x:v>
      </x:c>
      <x:c r="H1577" t="str">
        <x:v>Did not attend</x:v>
      </x:c>
      <x:c r="I1577" t="str">
        <x:v>No</x:v>
      </x:c>
    </x:row>
    <x:row r="1578">
      <x:c r="A1578" t="str">
        <x:v>Gladness Ngowi</x:v>
      </x:c>
      <x:c r="B1578" t="str">
        <x:v>Tanzania</x:v>
      </x:c>
      <x:c r="C1578" t="str">
        <x:v>TZ</x:v>
      </x:c>
      <x:c r="D1578" t="str">
        <x:v>gladness.ngowi@pwc.com</x:v>
      </x:c>
      <x:c r="E1578" t="str">
        <x:v>Option 2</x:v>
      </x:c>
      <x:c r="F1578" t="n">
        <x:v>0.0884375</x:v>
      </x:c>
      <x:c r="G1578" t="n">
        <x:v>7641</x:v>
      </x:c>
      <x:c r="H1578" t="str">
        <x:v>Fully attended</x:v>
      </x:c>
      <x:c r="I1578" t="str">
        <x:v>Yes</x:v>
      </x:c>
    </x:row>
    <x:row r="1579">
      <x:c r="A1579" t="str">
        <x:v>Gladness Ngowi</x:v>
      </x:c>
      <x:c r="B1579" t="str">
        <x:v>Tanzania</x:v>
      </x:c>
      <x:c r="C1579" t="str">
        <x:v>TZ</x:v>
      </x:c>
      <x:c r="D1579" t="str">
        <x:v>gladness.ngowi@pwc.com</x:v>
      </x:c>
      <x:c r="E1579" t="str">
        <x:v>Combined</x:v>
      </x:c>
      <x:c r="F1579" t="n">
        <x:v>0.0884375</x:v>
      </x:c>
      <x:c r="G1579" t="n">
        <x:v>7641</x:v>
      </x:c>
      <x:c r="H1579" t="str">
        <x:v>Fully attended</x:v>
      </x:c>
      <x:c r="I1579" t="str">
        <x:v>Yes</x:v>
      </x:c>
    </x:row>
    <x:row r="1580">
      <x:c r="A1580" t="str">
        <x:v>Gloria Aheebwa</x:v>
      </x:c>
      <x:c r="B1580" t="str">
        <x:v>Uganda</x:v>
      </x:c>
      <x:c r="C1580" t="str">
        <x:v>UG</x:v>
      </x:c>
      <x:c r="D1580" t="str">
        <x:v>gloria.aheebwa@pwc.com</x:v>
      </x:c>
      <x:c r="E1580" t="str">
        <x:v>Option 1</x:v>
      </x:c>
      <x:c r="F1580" t="n">
        <x:v>0.06809027777777778</x:v>
      </x:c>
      <x:c r="G1580" t="n">
        <x:v>5883</x:v>
      </x:c>
      <x:c r="H1580" t="str">
        <x:v>Fully attended</x:v>
      </x:c>
      <x:c r="I1580" t="str">
        <x:v>Yes</x:v>
      </x:c>
    </x:row>
    <x:row r="1581">
      <x:c r="A1581" t="str">
        <x:v>Gloria Aheebwa</x:v>
      </x:c>
      <x:c r="B1581" t="str">
        <x:v>Uganda</x:v>
      </x:c>
      <x:c r="C1581" t="str">
        <x:v>UG</x:v>
      </x:c>
      <x:c r="D1581" t="str">
        <x:v>gloria.aheebwa@pwc.com</x:v>
      </x:c>
      <x:c r="E1581" t="str">
        <x:v>Option 2</x:v>
      </x:c>
      <x:c r="F1581" t="n">
        <x:v>0</x:v>
      </x:c>
      <x:c r="G1581" t="n">
        <x:v>0</x:v>
      </x:c>
      <x:c r="H1581" t="str">
        <x:v>Did not attend</x:v>
      </x:c>
      <x:c r="I1581" t="str">
        <x:v>No</x:v>
      </x:c>
    </x:row>
    <x:row r="1582">
      <x:c r="A1582" t="str">
        <x:v>Gloria Aheebwa</x:v>
      </x:c>
      <x:c r="B1582" t="str">
        <x:v>Uganda</x:v>
      </x:c>
      <x:c r="C1582" t="str">
        <x:v>UG</x:v>
      </x:c>
      <x:c r="D1582" t="str">
        <x:v>gloria.aheebwa@pwc.com</x:v>
      </x:c>
      <x:c r="E1582" t="str">
        <x:v>Combined</x:v>
      </x:c>
      <x:c r="F1582" t="n">
        <x:v>0.06809027777777778</x:v>
      </x:c>
      <x:c r="G1582" t="n">
        <x:v>5883</x:v>
      </x:c>
      <x:c r="H1582" t="str">
        <x:v>Fully attended</x:v>
      </x:c>
      <x:c r="I1582" t="str">
        <x:v>Yes</x:v>
      </x:c>
    </x:row>
    <x:row r="1583">
      <x:c r="A1583" t="str">
        <x:v>Gloria Kirungi</x:v>
      </x:c>
      <x:c r="B1583" t="str">
        <x:v>Uganda</x:v>
      </x:c>
      <x:c r="C1583" t="str">
        <x:v>UG</x:v>
      </x:c>
      <x:c r="D1583" t="str">
        <x:v>gloria.kirungi@pwc.com</x:v>
      </x:c>
      <x:c r="E1583" t="str">
        <x:v>Option 1</x:v>
      </x:c>
      <x:c r="F1583" t="n">
        <x:v>0</x:v>
      </x:c>
      <x:c r="G1583" t="n">
        <x:v>0</x:v>
      </x:c>
      <x:c r="H1583" t="str">
        <x:v>Did not attend</x:v>
      </x:c>
      <x:c r="I1583" t="str">
        <x:v>No</x:v>
      </x:c>
    </x:row>
    <x:row r="1584">
      <x:c r="A1584" t="str">
        <x:v>Gloria Kirungi</x:v>
      </x:c>
      <x:c r="B1584" t="str">
        <x:v>Uganda</x:v>
      </x:c>
      <x:c r="C1584" t="str">
        <x:v>UG</x:v>
      </x:c>
      <x:c r="D1584" t="str">
        <x:v>gloria.kirungi@pwc.com</x:v>
      </x:c>
      <x:c r="E1584" t="str">
        <x:v>Option 2</x:v>
      </x:c>
      <x:c r="F1584" t="n">
        <x:v>0.0856712962962963</x:v>
      </x:c>
      <x:c r="G1584" t="n">
        <x:v>7402</x:v>
      </x:c>
      <x:c r="H1584" t="str">
        <x:v>Fully attended</x:v>
      </x:c>
      <x:c r="I1584" t="str">
        <x:v>Yes</x:v>
      </x:c>
    </x:row>
    <x:row r="1585">
      <x:c r="A1585" t="str">
        <x:v>Gloria Kirungi</x:v>
      </x:c>
      <x:c r="B1585" t="str">
        <x:v>Uganda</x:v>
      </x:c>
      <x:c r="C1585" t="str">
        <x:v>UG</x:v>
      </x:c>
      <x:c r="D1585" t="str">
        <x:v>gloria.kirungi@pwc.com</x:v>
      </x:c>
      <x:c r="E1585" t="str">
        <x:v>Combined</x:v>
      </x:c>
      <x:c r="F1585" t="n">
        <x:v>0.0856712962962963</x:v>
      </x:c>
      <x:c r="G1585" t="n">
        <x:v>7402</x:v>
      </x:c>
      <x:c r="H1585" t="str">
        <x:v>Fully attended</x:v>
      </x:c>
      <x:c r="I1585" t="str">
        <x:v>Yes</x:v>
      </x:c>
    </x:row>
    <x:row r="1586">
      <x:c r="A1586" t="str">
        <x:v>Glory Madunda</x:v>
      </x:c>
      <x:c r="B1586" t="str">
        <x:v>Tanzania</x:v>
      </x:c>
      <x:c r="C1586" t="str">
        <x:v>TZ</x:v>
      </x:c>
      <x:c r="D1586" t="str">
        <x:v>glory.madunda@pwc.com</x:v>
      </x:c>
      <x:c r="E1586" t="str">
        <x:v>Option 1</x:v>
      </x:c>
      <x:c r="F1586" t="n">
        <x:v>0</x:v>
      </x:c>
      <x:c r="G1586" t="n">
        <x:v>0</x:v>
      </x:c>
      <x:c r="H1586" t="str">
        <x:v>Did not attend</x:v>
      </x:c>
      <x:c r="I1586" t="str">
        <x:v>No</x:v>
      </x:c>
    </x:row>
    <x:row r="1587">
      <x:c r="A1587" t="str">
        <x:v>Glory Madunda</x:v>
      </x:c>
      <x:c r="B1587" t="str">
        <x:v>Tanzania</x:v>
      </x:c>
      <x:c r="C1587" t="str">
        <x:v>TZ</x:v>
      </x:c>
      <x:c r="D1587" t="str">
        <x:v>glory.madunda@pwc.com</x:v>
      </x:c>
      <x:c r="E1587" t="str">
        <x:v>Option 2</x:v>
      </x:c>
      <x:c r="F1587" t="n">
        <x:v>0.06201388888888889</x:v>
      </x:c>
      <x:c r="G1587" t="n">
        <x:v>5358</x:v>
      </x:c>
      <x:c r="H1587" t="str">
        <x:v>Partially attended</x:v>
      </x:c>
      <x:c r="I1587" t="str">
        <x:v>Yes</x:v>
      </x:c>
    </x:row>
    <x:row r="1588">
      <x:c r="A1588" t="str">
        <x:v>Glory Madunda</x:v>
      </x:c>
      <x:c r="B1588" t="str">
        <x:v>Tanzania</x:v>
      </x:c>
      <x:c r="C1588" t="str">
        <x:v>TZ</x:v>
      </x:c>
      <x:c r="D1588" t="str">
        <x:v>glory.madunda@pwc.com</x:v>
      </x:c>
      <x:c r="E1588" t="str">
        <x:v>Combined</x:v>
      </x:c>
      <x:c r="F1588" t="n">
        <x:v>0.06201388888888889</x:v>
      </x:c>
      <x:c r="G1588" t="n">
        <x:v>5358</x:v>
      </x:c>
      <x:c r="H1588" t="str">
        <x:v>Partially attended</x:v>
      </x:c>
      <x:c r="I1588" t="str">
        <x:v>Yes</x:v>
      </x:c>
    </x:row>
    <x:row r="1589">
      <x:c r="A1589" t="str">
        <x:v>Glory Nnko</x:v>
      </x:c>
      <x:c r="B1589" t="str">
        <x:v>Tanzania</x:v>
      </x:c>
      <x:c r="C1589" t="str">
        <x:v>TZ</x:v>
      </x:c>
      <x:c r="D1589" t="str">
        <x:v>glory.nnko@pwc.com</x:v>
      </x:c>
      <x:c r="E1589" t="str">
        <x:v>Option 1</x:v>
      </x:c>
      <x:c r="F1589" t="n">
        <x:v>0</x:v>
      </x:c>
      <x:c r="G1589" t="n">
        <x:v>0</x:v>
      </x:c>
      <x:c r="H1589" t="str">
        <x:v>Did not attend</x:v>
      </x:c>
      <x:c r="I1589" t="str">
        <x:v>No</x:v>
      </x:c>
    </x:row>
    <x:row r="1590">
      <x:c r="A1590" t="str">
        <x:v>Glory Nnko</x:v>
      </x:c>
      <x:c r="B1590" t="str">
        <x:v>Tanzania</x:v>
      </x:c>
      <x:c r="C1590" t="str">
        <x:v>TZ</x:v>
      </x:c>
      <x:c r="D1590" t="str">
        <x:v>glory.nnko@pwc.com</x:v>
      </x:c>
      <x:c r="E1590" t="str">
        <x:v>Option 2</x:v>
      </x:c>
      <x:c r="F1590" t="n">
        <x:v>0.08875</x:v>
      </x:c>
      <x:c r="G1590" t="n">
        <x:v>7668</x:v>
      </x:c>
      <x:c r="H1590" t="str">
        <x:v>Fully attended</x:v>
      </x:c>
      <x:c r="I1590" t="str">
        <x:v>Yes</x:v>
      </x:c>
    </x:row>
    <x:row r="1591">
      <x:c r="A1591" t="str">
        <x:v>Glory Nnko</x:v>
      </x:c>
      <x:c r="B1591" t="str">
        <x:v>Tanzania</x:v>
      </x:c>
      <x:c r="C1591" t="str">
        <x:v>TZ</x:v>
      </x:c>
      <x:c r="D1591" t="str">
        <x:v>glory.nnko@pwc.com</x:v>
      </x:c>
      <x:c r="E1591" t="str">
        <x:v>Combined</x:v>
      </x:c>
      <x:c r="F1591" t="n">
        <x:v>0.08875</x:v>
      </x:c>
      <x:c r="G1591" t="n">
        <x:v>7668</x:v>
      </x:c>
      <x:c r="H1591" t="str">
        <x:v>Fully attended</x:v>
      </x:c>
      <x:c r="I1591" t="str">
        <x:v>Yes</x:v>
      </x:c>
    </x:row>
    <x:row r="1592">
      <x:c r="A1592" t="str">
        <x:v>Hadassah Phiri</x:v>
      </x:c>
      <x:c r="B1592" t="str">
        <x:v>Zambia</x:v>
      </x:c>
      <x:c r="C1592" t="str">
        <x:v>ZM</x:v>
      </x:c>
      <x:c r="D1592" t="str">
        <x:v>hadassah.phiri@pwc.com</x:v>
      </x:c>
      <x:c r="E1592" t="str">
        <x:v>Option 1</x:v>
      </x:c>
      <x:c r="F1592" t="n">
        <x:v>0</x:v>
      </x:c>
      <x:c r="G1592" t="n">
        <x:v>0</x:v>
      </x:c>
      <x:c r="H1592" t="str">
        <x:v>Did not attend</x:v>
      </x:c>
      <x:c r="I1592" t="str">
        <x:v>No</x:v>
      </x:c>
    </x:row>
    <x:row r="1593">
      <x:c r="A1593" t="str">
        <x:v>Hadassah Phiri</x:v>
      </x:c>
      <x:c r="B1593" t="str">
        <x:v>Zambia</x:v>
      </x:c>
      <x:c r="C1593" t="str">
        <x:v>ZM</x:v>
      </x:c>
      <x:c r="D1593" t="str">
        <x:v>hadassah.phiri@pwc.com</x:v>
      </x:c>
      <x:c r="E1593" t="str">
        <x:v>Option 2</x:v>
      </x:c>
      <x:c r="F1593" t="n">
        <x:v>0.07016203703703704</x:v>
      </x:c>
      <x:c r="G1593" t="n">
        <x:v>6062</x:v>
      </x:c>
      <x:c r="H1593" t="str">
        <x:v>Fully attended</x:v>
      </x:c>
      <x:c r="I1593" t="str">
        <x:v>Yes</x:v>
      </x:c>
    </x:row>
    <x:row r="1594">
      <x:c r="A1594" t="str">
        <x:v>Hadassah Phiri</x:v>
      </x:c>
      <x:c r="B1594" t="str">
        <x:v>Zambia</x:v>
      </x:c>
      <x:c r="C1594" t="str">
        <x:v>ZM</x:v>
      </x:c>
      <x:c r="D1594" t="str">
        <x:v>hadassah.phiri@pwc.com</x:v>
      </x:c>
      <x:c r="E1594" t="str">
        <x:v>Combined</x:v>
      </x:c>
      <x:c r="F1594" t="n">
        <x:v>0.07016203703703704</x:v>
      </x:c>
      <x:c r="G1594" t="n">
        <x:v>6062</x:v>
      </x:c>
      <x:c r="H1594" t="str">
        <x:v>Fully attended</x:v>
      </x:c>
      <x:c r="I1594" t="str">
        <x:v>Yes</x:v>
      </x:c>
    </x:row>
    <x:row r="1595">
      <x:c r="A1595" t="str">
        <x:v>Hans Lutchmanen</x:v>
      </x:c>
      <x:c r="B1595" t="str">
        <x:v>Mauritius</x:v>
      </x:c>
      <x:c r="C1595" t="str">
        <x:v>MU</x:v>
      </x:c>
      <x:c r="D1595" t="str">
        <x:v>hans.l.lutchmanen@pwc.com</x:v>
      </x:c>
      <x:c r="E1595" t="str">
        <x:v>Option 1</x:v>
      </x:c>
      <x:c r="F1595" t="n">
        <x:v>0.07634259259259259</x:v>
      </x:c>
      <x:c r="G1595" t="n">
        <x:v>6596</x:v>
      </x:c>
      <x:c r="H1595" t="str">
        <x:v>Fully attended</x:v>
      </x:c>
      <x:c r="I1595" t="str">
        <x:v>Yes</x:v>
      </x:c>
    </x:row>
    <x:row r="1596">
      <x:c r="A1596" t="str">
        <x:v>Hans Lutchmanen</x:v>
      </x:c>
      <x:c r="B1596" t="str">
        <x:v>Mauritius</x:v>
      </x:c>
      <x:c r="C1596" t="str">
        <x:v>MU</x:v>
      </x:c>
      <x:c r="D1596" t="str">
        <x:v>hans.l.lutchmanen@pwc.com</x:v>
      </x:c>
      <x:c r="E1596" t="str">
        <x:v>Option 2</x:v>
      </x:c>
      <x:c r="F1596" t="n">
        <x:v>0</x:v>
      </x:c>
      <x:c r="G1596" t="n">
        <x:v>0</x:v>
      </x:c>
      <x:c r="H1596" t="str">
        <x:v>Did not attend</x:v>
      </x:c>
      <x:c r="I1596" t="str">
        <x:v>No</x:v>
      </x:c>
    </x:row>
    <x:row r="1597">
      <x:c r="A1597" t="str">
        <x:v>Hans Lutchmanen</x:v>
      </x:c>
      <x:c r="B1597" t="str">
        <x:v>Mauritius</x:v>
      </x:c>
      <x:c r="C1597" t="str">
        <x:v>MU</x:v>
      </x:c>
      <x:c r="D1597" t="str">
        <x:v>hans.l.lutchmanen@pwc.com</x:v>
      </x:c>
      <x:c r="E1597" t="str">
        <x:v>Combined</x:v>
      </x:c>
      <x:c r="F1597" t="n">
        <x:v>0.07634259259259259</x:v>
      </x:c>
      <x:c r="G1597" t="n">
        <x:v>6596</x:v>
      </x:c>
      <x:c r="H1597" t="str">
        <x:v>Fully attended</x:v>
      </x:c>
      <x:c r="I1597" t="str">
        <x:v>Yes</x:v>
      </x:c>
    </x:row>
    <x:row r="1598">
      <x:c r="A1598" t="str">
        <x:v>Harshini Suroopjeet</x:v>
      </x:c>
      <x:c r="B1598" t="str">
        <x:v>Mauritius</x:v>
      </x:c>
      <x:c r="C1598" t="str">
        <x:v>MU</x:v>
      </x:c>
      <x:c r="D1598" t="str">
        <x:v>harshini.suroopjeet@pwc.com</x:v>
      </x:c>
      <x:c r="E1598" t="str">
        <x:v>Option 1</x:v>
      </x:c>
      <x:c r="F1598" t="n">
        <x:v>0.07943287037037038</x:v>
      </x:c>
      <x:c r="G1598" t="n">
        <x:v>6863</x:v>
      </x:c>
      <x:c r="H1598" t="str">
        <x:v>Fully attended</x:v>
      </x:c>
      <x:c r="I1598" t="str">
        <x:v>Yes</x:v>
      </x:c>
    </x:row>
    <x:row r="1599">
      <x:c r="A1599" t="str">
        <x:v>Harshini Suroopjeet</x:v>
      </x:c>
      <x:c r="B1599" t="str">
        <x:v>Mauritius</x:v>
      </x:c>
      <x:c r="C1599" t="str">
        <x:v>MU</x:v>
      </x:c>
      <x:c r="D1599" t="str">
        <x:v>harshini.suroopjeet@pwc.com</x:v>
      </x:c>
      <x:c r="E1599" t="str">
        <x:v>Option 2</x:v>
      </x:c>
      <x:c r="F1599" t="n">
        <x:v>0</x:v>
      </x:c>
      <x:c r="G1599" t="n">
        <x:v>0</x:v>
      </x:c>
      <x:c r="H1599" t="str">
        <x:v>Did not attend</x:v>
      </x:c>
      <x:c r="I1599" t="str">
        <x:v>No</x:v>
      </x:c>
    </x:row>
    <x:row r="1600">
      <x:c r="A1600" t="str">
        <x:v>Harshini Suroopjeet</x:v>
      </x:c>
      <x:c r="B1600" t="str">
        <x:v>Mauritius</x:v>
      </x:c>
      <x:c r="C1600" t="str">
        <x:v>MU</x:v>
      </x:c>
      <x:c r="D1600" t="str">
        <x:v>harshini.suroopjeet@pwc.com</x:v>
      </x:c>
      <x:c r="E1600" t="str">
        <x:v>Combined</x:v>
      </x:c>
      <x:c r="F1600" t="n">
        <x:v>0.07943287037037038</x:v>
      </x:c>
      <x:c r="G1600" t="n">
        <x:v>6863</x:v>
      </x:c>
      <x:c r="H1600" t="str">
        <x:v>Fully attended</x:v>
      </x:c>
      <x:c r="I1600" t="str">
        <x:v>Yes</x:v>
      </x:c>
    </x:row>
    <x:row r="1601">
      <x:c r="A1601" t="str">
        <x:v>Heather Tirikwel</x:v>
      </x:c>
      <x:c r="B1601" t="str">
        <x:v>Kenya</x:v>
      </x:c>
      <x:c r="C1601" t="str">
        <x:v>KE</x:v>
      </x:c>
      <x:c r="D1601" t="str">
        <x:v>heather.tirikwel@pwc.com</x:v>
      </x:c>
      <x:c r="E1601" t="str">
        <x:v>Option 1</x:v>
      </x:c>
      <x:c r="F1601" t="n">
        <x:v>0</x:v>
      </x:c>
      <x:c r="G1601" t="n">
        <x:v>0</x:v>
      </x:c>
      <x:c r="H1601" t="str">
        <x:v>Did not attend</x:v>
      </x:c>
      <x:c r="I1601" t="str">
        <x:v>No</x:v>
      </x:c>
    </x:row>
    <x:row r="1602">
      <x:c r="A1602" t="str">
        <x:v>Heather Tirikwel</x:v>
      </x:c>
      <x:c r="B1602" t="str">
        <x:v>Kenya</x:v>
      </x:c>
      <x:c r="C1602" t="str">
        <x:v>KE</x:v>
      </x:c>
      <x:c r="D1602" t="str">
        <x:v>heather.tirikwel@pwc.com</x:v>
      </x:c>
      <x:c r="E1602" t="str">
        <x:v>Option 2</x:v>
      </x:c>
      <x:c r="F1602" t="n">
        <x:v>0.048483796296296296</x:v>
      </x:c>
      <x:c r="G1602" t="n">
        <x:v>4189</x:v>
      </x:c>
      <x:c r="H1602" t="str">
        <x:v>Partially attended</x:v>
      </x:c>
      <x:c r="I1602" t="str">
        <x:v>Yes</x:v>
      </x:c>
    </x:row>
    <x:row r="1603">
      <x:c r="A1603" t="str">
        <x:v>Heather Tirikwel</x:v>
      </x:c>
      <x:c r="B1603" t="str">
        <x:v>Kenya</x:v>
      </x:c>
      <x:c r="C1603" t="str">
        <x:v>KE</x:v>
      </x:c>
      <x:c r="D1603" t="str">
        <x:v>heather.tirikwel@pwc.com</x:v>
      </x:c>
      <x:c r="E1603" t="str">
        <x:v>Combined</x:v>
      </x:c>
      <x:c r="F1603" t="n">
        <x:v>0.048483796296296296</x:v>
      </x:c>
      <x:c r="G1603" t="n">
        <x:v>4189</x:v>
      </x:c>
      <x:c r="H1603" t="str">
        <x:v>Partially attended</x:v>
      </x:c>
      <x:c r="I1603" t="str">
        <x:v>Yes</x:v>
      </x:c>
    </x:row>
    <x:row r="1604">
      <x:c r="A1604" t="str">
        <x:v>Helen Nganila</x:v>
      </x:c>
      <x:c r="B1604" t="str">
        <x:v>Tanzania</x:v>
      </x:c>
      <x:c r="C1604" t="str">
        <x:v>TZ</x:v>
      </x:c>
      <x:c r="D1604" t="str">
        <x:v>helen.nganila@pwc.com</x:v>
      </x:c>
      <x:c r="E1604" t="str">
        <x:v>Option 1</x:v>
      </x:c>
      <x:c r="F1604" t="n">
        <x:v>0</x:v>
      </x:c>
      <x:c r="G1604" t="n">
        <x:v>0</x:v>
      </x:c>
      <x:c r="H1604" t="str">
        <x:v>Did not attend</x:v>
      </x:c>
      <x:c r="I1604" t="str">
        <x:v>No</x:v>
      </x:c>
    </x:row>
    <x:row r="1605">
      <x:c r="A1605" t="str">
        <x:v>Helen Nganila</x:v>
      </x:c>
      <x:c r="B1605" t="str">
        <x:v>Tanzania</x:v>
      </x:c>
      <x:c r="C1605" t="str">
        <x:v>TZ</x:v>
      </x:c>
      <x:c r="D1605" t="str">
        <x:v>helen.nganila@pwc.com</x:v>
      </x:c>
      <x:c r="E1605" t="str">
        <x:v>Option 2</x:v>
      </x:c>
      <x:c r="F1605" t="n">
        <x:v>0.09273148148148148</x:v>
      </x:c>
      <x:c r="G1605" t="n">
        <x:v>8012</x:v>
      </x:c>
      <x:c r="H1605" t="str">
        <x:v>Fully attended</x:v>
      </x:c>
      <x:c r="I1605" t="str">
        <x:v>Yes</x:v>
      </x:c>
    </x:row>
    <x:row r="1606">
      <x:c r="A1606" t="str">
        <x:v>Helen Nganila</x:v>
      </x:c>
      <x:c r="B1606" t="str">
        <x:v>Tanzania</x:v>
      </x:c>
      <x:c r="C1606" t="str">
        <x:v>TZ</x:v>
      </x:c>
      <x:c r="D1606" t="str">
        <x:v>helen.nganila@pwc.com</x:v>
      </x:c>
      <x:c r="E1606" t="str">
        <x:v>Combined</x:v>
      </x:c>
      <x:c r="F1606" t="n">
        <x:v>0.09273148148148148</x:v>
      </x:c>
      <x:c r="G1606" t="n">
        <x:v>8012</x:v>
      </x:c>
      <x:c r="H1606" t="str">
        <x:v>Fully attended</x:v>
      </x:c>
      <x:c r="I1606" t="str">
        <x:v>Yes</x:v>
      </x:c>
    </x:row>
    <x:row r="1607">
      <x:c r="A1607" t="str">
        <x:v>Honorine Ihimbazwe</x:v>
      </x:c>
      <x:c r="B1607" t="str">
        <x:v>Rwanda</x:v>
      </x:c>
      <x:c r="C1607" t="str">
        <x:v>RW</x:v>
      </x:c>
      <x:c r="D1607" t="str">
        <x:v>honorine.i.ihimbazwe@pwc.com</x:v>
      </x:c>
      <x:c r="E1607" t="str">
        <x:v>Option 1</x:v>
      </x:c>
      <x:c r="F1607" t="n">
        <x:v>0.07427083333333333</x:v>
      </x:c>
      <x:c r="G1607" t="n">
        <x:v>6417</x:v>
      </x:c>
      <x:c r="H1607" t="str">
        <x:v>Fully attended</x:v>
      </x:c>
      <x:c r="I1607" t="str">
        <x:v>Yes</x:v>
      </x:c>
    </x:row>
    <x:row r="1608">
      <x:c r="A1608" t="str">
        <x:v>Honorine Ihimbazwe</x:v>
      </x:c>
      <x:c r="B1608" t="str">
        <x:v>Rwanda</x:v>
      </x:c>
      <x:c r="C1608" t="str">
        <x:v>RW</x:v>
      </x:c>
      <x:c r="D1608" t="str">
        <x:v>honorine.i.ihimbazwe@pwc.com</x:v>
      </x:c>
      <x:c r="E1608" t="str">
        <x:v>Option 2</x:v>
      </x:c>
      <x:c r="F1608" t="n">
        <x:v>0</x:v>
      </x:c>
      <x:c r="G1608" t="n">
        <x:v>0</x:v>
      </x:c>
      <x:c r="H1608" t="str">
        <x:v>Did not attend</x:v>
      </x:c>
      <x:c r="I1608" t="str">
        <x:v>No</x:v>
      </x:c>
    </x:row>
    <x:row r="1609">
      <x:c r="A1609" t="str">
        <x:v>Honorine Ihimbazwe</x:v>
      </x:c>
      <x:c r="B1609" t="str">
        <x:v>Rwanda</x:v>
      </x:c>
      <x:c r="C1609" t="str">
        <x:v>RW</x:v>
      </x:c>
      <x:c r="D1609" t="str">
        <x:v>honorine.i.ihimbazwe@pwc.com</x:v>
      </x:c>
      <x:c r="E1609" t="str">
        <x:v>Combined</x:v>
      </x:c>
      <x:c r="F1609" t="n">
        <x:v>0.07427083333333333</x:v>
      </x:c>
      <x:c r="G1609" t="n">
        <x:v>6417</x:v>
      </x:c>
      <x:c r="H1609" t="str">
        <x:v>Fully attended</x:v>
      </x:c>
      <x:c r="I1609" t="str">
        <x:v>Yes</x:v>
      </x:c>
    </x:row>
    <x:row r="1610">
      <x:c r="A1610" t="str">
        <x:v>Hudah Naluwembe</x:v>
      </x:c>
      <x:c r="B1610" t="str">
        <x:v>Uganda</x:v>
      </x:c>
      <x:c r="C1610" t="str">
        <x:v>UG</x:v>
      </x:c>
      <x:c r="D1610" t="str">
        <x:v>hudah.naluwembe@pwc.com</x:v>
      </x:c>
      <x:c r="E1610" t="str">
        <x:v>Option 1</x:v>
      </x:c>
      <x:c r="F1610" t="n">
        <x:v>0.07221064814814815</x:v>
      </x:c>
      <x:c r="G1610" t="n">
        <x:v>6239</x:v>
      </x:c>
      <x:c r="H1610" t="str">
        <x:v>Fully attended</x:v>
      </x:c>
      <x:c r="I1610" t="str">
        <x:v>Yes</x:v>
      </x:c>
    </x:row>
    <x:row r="1611">
      <x:c r="A1611" t="str">
        <x:v>Hudah Naluwembe</x:v>
      </x:c>
      <x:c r="B1611" t="str">
        <x:v>Uganda</x:v>
      </x:c>
      <x:c r="C1611" t="str">
        <x:v>UG</x:v>
      </x:c>
      <x:c r="D1611" t="str">
        <x:v>hudah.naluwembe@pwc.com</x:v>
      </x:c>
      <x:c r="E1611" t="str">
        <x:v>Option 2</x:v>
      </x:c>
      <x:c r="F1611" t="n">
        <x:v>0</x:v>
      </x:c>
      <x:c r="G1611" t="n">
        <x:v>0</x:v>
      </x:c>
      <x:c r="H1611" t="str">
        <x:v>Did not attend</x:v>
      </x:c>
      <x:c r="I1611" t="str">
        <x:v>No</x:v>
      </x:c>
    </x:row>
    <x:row r="1612">
      <x:c r="A1612" t="str">
        <x:v>Hudah Naluwembe</x:v>
      </x:c>
      <x:c r="B1612" t="str">
        <x:v>Uganda</x:v>
      </x:c>
      <x:c r="C1612" t="str">
        <x:v>UG</x:v>
      </x:c>
      <x:c r="D1612" t="str">
        <x:v>hudah.naluwembe@pwc.com</x:v>
      </x:c>
      <x:c r="E1612" t="str">
        <x:v>Combined</x:v>
      </x:c>
      <x:c r="F1612" t="n">
        <x:v>0.07221064814814815</x:v>
      </x:c>
      <x:c r="G1612" t="n">
        <x:v>6239</x:v>
      </x:c>
      <x:c r="H1612" t="str">
        <x:v>Fully attended</x:v>
      </x:c>
      <x:c r="I1612" t="str">
        <x:v>Yes</x:v>
      </x:c>
    </x:row>
    <x:row r="1613">
      <x:c r="A1613" t="str">
        <x:v>Hussain Mustun</x:v>
      </x:c>
      <x:c r="B1613" t="str">
        <x:v>Mauritius</x:v>
      </x:c>
      <x:c r="C1613" t="str">
        <x:v>MU</x:v>
      </x:c>
      <x:c r="D1613" t="str">
        <x:v>hussain.mustun@pwc.com</x:v>
      </x:c>
      <x:c r="E1613" t="str">
        <x:v>Option 1</x:v>
      </x:c>
      <x:c r="F1613" t="n">
        <x:v>0</x:v>
      </x:c>
      <x:c r="G1613" t="n">
        <x:v>0</x:v>
      </x:c>
      <x:c r="H1613" t="str">
        <x:v>Did not attend</x:v>
      </x:c>
      <x:c r="I1613" t="str">
        <x:v>No</x:v>
      </x:c>
    </x:row>
    <x:row r="1614">
      <x:c r="A1614" t="str">
        <x:v>Hussain Mustun</x:v>
      </x:c>
      <x:c r="B1614" t="str">
        <x:v>Mauritius</x:v>
      </x:c>
      <x:c r="C1614" t="str">
        <x:v>MU</x:v>
      </x:c>
      <x:c r="D1614" t="str">
        <x:v>hussain.mustun@pwc.com</x:v>
      </x:c>
      <x:c r="E1614" t="str">
        <x:v>Option 2</x:v>
      </x:c>
      <x:c r="F1614" t="n">
        <x:v>0.07076388888888889</x:v>
      </x:c>
      <x:c r="G1614" t="n">
        <x:v>6114</x:v>
      </x:c>
      <x:c r="H1614" t="str">
        <x:v>Fully attended</x:v>
      </x:c>
      <x:c r="I1614" t="str">
        <x:v>Yes</x:v>
      </x:c>
    </x:row>
    <x:row r="1615">
      <x:c r="A1615" t="str">
        <x:v>Hussain Mustun</x:v>
      </x:c>
      <x:c r="B1615" t="str">
        <x:v>Mauritius</x:v>
      </x:c>
      <x:c r="C1615" t="str">
        <x:v>MU</x:v>
      </x:c>
      <x:c r="D1615" t="str">
        <x:v>hussain.mustun@pwc.com</x:v>
      </x:c>
      <x:c r="E1615" t="str">
        <x:v>Combined</x:v>
      </x:c>
      <x:c r="F1615" t="n">
        <x:v>0.07076388888888889</x:v>
      </x:c>
      <x:c r="G1615" t="n">
        <x:v>6114</x:v>
      </x:c>
      <x:c r="H1615" t="str">
        <x:v>Fully attended</x:v>
      </x:c>
      <x:c r="I1615" t="str">
        <x:v>Yes</x:v>
      </x:c>
    </x:row>
    <x:row r="1616">
      <x:c r="A1616" t="str">
        <x:v>Ian Aruasa</x:v>
      </x:c>
      <x:c r="B1616" t="str">
        <x:v>Kenya</x:v>
      </x:c>
      <x:c r="C1616" t="str">
        <x:v>KE</x:v>
      </x:c>
      <x:c r="D1616" t="str">
        <x:v>ian.aruasa@pwc.com</x:v>
      </x:c>
      <x:c r="E1616" t="str">
        <x:v>Option 1</x:v>
      </x:c>
      <x:c r="F1616" t="n">
        <x:v>0.07298611111111111</x:v>
      </x:c>
      <x:c r="G1616" t="n">
        <x:v>6306</x:v>
      </x:c>
      <x:c r="H1616" t="str">
        <x:v>Fully attended</x:v>
      </x:c>
      <x:c r="I1616" t="str">
        <x:v>Yes</x:v>
      </x:c>
    </x:row>
    <x:row r="1617">
      <x:c r="A1617" t="str">
        <x:v>Ian Aruasa</x:v>
      </x:c>
      <x:c r="B1617" t="str">
        <x:v>Kenya</x:v>
      </x:c>
      <x:c r="C1617" t="str">
        <x:v>KE</x:v>
      </x:c>
      <x:c r="D1617" t="str">
        <x:v>ian.aruasa@pwc.com</x:v>
      </x:c>
      <x:c r="E1617" t="str">
        <x:v>Option 2</x:v>
      </x:c>
      <x:c r="F1617" t="n">
        <x:v>0</x:v>
      </x:c>
      <x:c r="G1617" t="n">
        <x:v>0</x:v>
      </x:c>
      <x:c r="H1617" t="str">
        <x:v>Did not attend</x:v>
      </x:c>
      <x:c r="I1617" t="str">
        <x:v>No</x:v>
      </x:c>
    </x:row>
    <x:row r="1618">
      <x:c r="A1618" t="str">
        <x:v>Ian Aruasa</x:v>
      </x:c>
      <x:c r="B1618" t="str">
        <x:v>Kenya</x:v>
      </x:c>
      <x:c r="C1618" t="str">
        <x:v>KE</x:v>
      </x:c>
      <x:c r="D1618" t="str">
        <x:v>ian.aruasa@pwc.com</x:v>
      </x:c>
      <x:c r="E1618" t="str">
        <x:v>Combined</x:v>
      </x:c>
      <x:c r="F1618" t="n">
        <x:v>0.07298611111111111</x:v>
      </x:c>
      <x:c r="G1618" t="n">
        <x:v>6306</x:v>
      </x:c>
      <x:c r="H1618" t="str">
        <x:v>Fully attended</x:v>
      </x:c>
      <x:c r="I1618" t="str">
        <x:v>Yes</x:v>
      </x:c>
    </x:row>
    <x:row r="1619">
      <x:c r="A1619" t="str">
        <x:v>Irene Mtebe</x:v>
      </x:c>
      <x:c r="B1619" t="str">
        <x:v>Tanzania</x:v>
      </x:c>
      <x:c r="C1619" t="str">
        <x:v>TZ</x:v>
      </x:c>
      <x:c r="D1619" t="str">
        <x:v>irene.m.mtebe@pwc.com</x:v>
      </x:c>
      <x:c r="E1619" t="str">
        <x:v>Option 1</x:v>
      </x:c>
      <x:c r="F1619" t="n">
        <x:v>0.050972222222222224</x:v>
      </x:c>
      <x:c r="G1619" t="n">
        <x:v>4404</x:v>
      </x:c>
      <x:c r="H1619" t="str">
        <x:v>Partially attended</x:v>
      </x:c>
      <x:c r="I1619" t="str">
        <x:v>Yes</x:v>
      </x:c>
    </x:row>
    <x:row r="1620">
      <x:c r="A1620" t="str">
        <x:v>Irene Mtebe</x:v>
      </x:c>
      <x:c r="B1620" t="str">
        <x:v>Tanzania</x:v>
      </x:c>
      <x:c r="C1620" t="str">
        <x:v>TZ</x:v>
      </x:c>
      <x:c r="D1620" t="str">
        <x:v>irene.m.mtebe@pwc.com</x:v>
      </x:c>
      <x:c r="E1620" t="str">
        <x:v>Option 2</x:v>
      </x:c>
      <x:c r="F1620" t="n">
        <x:v>0.0006828703703703704</x:v>
      </x:c>
      <x:c r="G1620" t="n">
        <x:v>59</x:v>
      </x:c>
      <x:c r="H1620" t="str">
        <x:v>Partially attended</x:v>
      </x:c>
      <x:c r="I1620" t="str">
        <x:v>Yes</x:v>
      </x:c>
    </x:row>
    <x:row r="1621">
      <x:c r="A1621" t="str">
        <x:v>Irene Mtebe</x:v>
      </x:c>
      <x:c r="B1621" t="str">
        <x:v>Tanzania</x:v>
      </x:c>
      <x:c r="C1621" t="str">
        <x:v>TZ</x:v>
      </x:c>
      <x:c r="D1621" t="str">
        <x:v>irene.m.mtebe@pwc.com</x:v>
      </x:c>
      <x:c r="E1621" t="str">
        <x:v>Combined</x:v>
      </x:c>
      <x:c r="F1621" t="n">
        <x:v>0.05165509259259259</x:v>
      </x:c>
      <x:c r="G1621" t="n">
        <x:v>4463</x:v>
      </x:c>
      <x:c r="H1621" t="str">
        <x:v>Partially attended</x:v>
      </x:c>
      <x:c r="I1621" t="str">
        <x:v>Yes</x:v>
      </x:c>
    </x:row>
    <x:row r="1622">
      <x:c r="A1622" t="str">
        <x:v>Ivy Deborah Naggayi</x:v>
      </x:c>
      <x:c r="B1622" t="str">
        <x:v>Uganda</x:v>
      </x:c>
      <x:c r="C1622" t="str">
        <x:v>UG</x:v>
      </x:c>
      <x:c r="D1622" t="str">
        <x:v>ivy.naggayi@pwc.com</x:v>
      </x:c>
      <x:c r="E1622" t="str">
        <x:v>Option 1</x:v>
      </x:c>
      <x:c r="F1622" t="n">
        <x:v>0</x:v>
      </x:c>
      <x:c r="G1622" t="n">
        <x:v>0</x:v>
      </x:c>
      <x:c r="H1622" t="str">
        <x:v>Did not attend</x:v>
      </x:c>
      <x:c r="I1622" t="str">
        <x:v>No</x:v>
      </x:c>
    </x:row>
    <x:row r="1623">
      <x:c r="A1623" t="str">
        <x:v>Ivy Deborah Naggayi</x:v>
      </x:c>
      <x:c r="B1623" t="str">
        <x:v>Uganda</x:v>
      </x:c>
      <x:c r="C1623" t="str">
        <x:v>UG</x:v>
      </x:c>
      <x:c r="D1623" t="str">
        <x:v>ivy.naggayi@pwc.com</x:v>
      </x:c>
      <x:c r="E1623" t="str">
        <x:v>Option 2</x:v>
      </x:c>
      <x:c r="F1623" t="n">
        <x:v>0.05748842592592593</x:v>
      </x:c>
      <x:c r="G1623" t="n">
        <x:v>4967</x:v>
      </x:c>
      <x:c r="H1623" t="str">
        <x:v>Partially attended</x:v>
      </x:c>
      <x:c r="I1623" t="str">
        <x:v>Yes</x:v>
      </x:c>
    </x:row>
    <x:row r="1624">
      <x:c r="A1624" t="str">
        <x:v>Ivy Deborah Naggayi</x:v>
      </x:c>
      <x:c r="B1624" t="str">
        <x:v>Uganda</x:v>
      </x:c>
      <x:c r="C1624" t="str">
        <x:v>UG</x:v>
      </x:c>
      <x:c r="D1624" t="str">
        <x:v>ivy.naggayi@pwc.com</x:v>
      </x:c>
      <x:c r="E1624" t="str">
        <x:v>Combined</x:v>
      </x:c>
      <x:c r="F1624" t="n">
        <x:v>0.05748842592592593</x:v>
      </x:c>
      <x:c r="G1624" t="n">
        <x:v>4967</x:v>
      </x:c>
      <x:c r="H1624" t="str">
        <x:v>Partially attended</x:v>
      </x:c>
      <x:c r="I1624" t="str">
        <x:v>Yes</x:v>
      </x:c>
    </x:row>
    <x:row r="1625">
      <x:c r="A1625" t="str">
        <x:v>Jackline Mollel</x:v>
      </x:c>
      <x:c r="B1625" t="str">
        <x:v>Tanzania</x:v>
      </x:c>
      <x:c r="C1625" t="str">
        <x:v>TZ</x:v>
      </x:c>
      <x:c r="D1625" t="str">
        <x:v>jackline.mollel@pwc.com</x:v>
      </x:c>
      <x:c r="E1625" t="str">
        <x:v>Option 1</x:v>
      </x:c>
      <x:c r="F1625" t="n">
        <x:v>0</x:v>
      </x:c>
      <x:c r="G1625" t="n">
        <x:v>0</x:v>
      </x:c>
      <x:c r="H1625" t="str">
        <x:v>Did not attend</x:v>
      </x:c>
      <x:c r="I1625" t="str">
        <x:v>No</x:v>
      </x:c>
    </x:row>
    <x:row r="1626">
      <x:c r="A1626" t="str">
        <x:v>Jackline Mollel</x:v>
      </x:c>
      <x:c r="B1626" t="str">
        <x:v>Tanzania</x:v>
      </x:c>
      <x:c r="C1626" t="str">
        <x:v>TZ</x:v>
      </x:c>
      <x:c r="D1626" t="str">
        <x:v>jackline.mollel@pwc.com</x:v>
      </x:c>
      <x:c r="E1626" t="str">
        <x:v>Option 2</x:v>
      </x:c>
      <x:c r="F1626" t="n">
        <x:v>0.06344907407407407</x:v>
      </x:c>
      <x:c r="G1626" t="n">
        <x:v>5482</x:v>
      </x:c>
      <x:c r="H1626" t="str">
        <x:v>Fully attended</x:v>
      </x:c>
      <x:c r="I1626" t="str">
        <x:v>Yes</x:v>
      </x:c>
    </x:row>
    <x:row r="1627">
      <x:c r="A1627" t="str">
        <x:v>Jackline Mollel</x:v>
      </x:c>
      <x:c r="B1627" t="str">
        <x:v>Tanzania</x:v>
      </x:c>
      <x:c r="C1627" t="str">
        <x:v>TZ</x:v>
      </x:c>
      <x:c r="D1627" t="str">
        <x:v>jackline.mollel@pwc.com</x:v>
      </x:c>
      <x:c r="E1627" t="str">
        <x:v>Combined</x:v>
      </x:c>
      <x:c r="F1627" t="n">
        <x:v>0.06344907407407407</x:v>
      </x:c>
      <x:c r="G1627" t="n">
        <x:v>5482</x:v>
      </x:c>
      <x:c r="H1627" t="str">
        <x:v>Fully attended</x:v>
      </x:c>
      <x:c r="I1627" t="str">
        <x:v>Yes</x:v>
      </x:c>
    </x:row>
    <x:row r="1628">
      <x:c r="A1628" t="str">
        <x:v>Jacob Ndemirio</x:v>
      </x:c>
      <x:c r="B1628" t="str">
        <x:v>Tanzania</x:v>
      </x:c>
      <x:c r="C1628" t="str">
        <x:v>TZ</x:v>
      </x:c>
      <x:c r="D1628" t="str">
        <x:v>jacob.ndemirio@pwc.com</x:v>
      </x:c>
      <x:c r="E1628" t="str">
        <x:v>Option 1</x:v>
      </x:c>
      <x:c r="F1628" t="n">
        <x:v>0.08543981481481482</x:v>
      </x:c>
      <x:c r="G1628" t="n">
        <x:v>7382</x:v>
      </x:c>
      <x:c r="H1628" t="str">
        <x:v>Fully attended</x:v>
      </x:c>
      <x:c r="I1628" t="str">
        <x:v>Yes</x:v>
      </x:c>
    </x:row>
    <x:row r="1629">
      <x:c r="A1629" t="str">
        <x:v>Jacob Ndemirio</x:v>
      </x:c>
      <x:c r="B1629" t="str">
        <x:v>Tanzania</x:v>
      </x:c>
      <x:c r="C1629" t="str">
        <x:v>TZ</x:v>
      </x:c>
      <x:c r="D1629" t="str">
        <x:v>jacob.ndemirio@pwc.com</x:v>
      </x:c>
      <x:c r="E1629" t="str">
        <x:v>Option 2</x:v>
      </x:c>
      <x:c r="F1629" t="n">
        <x:v>0</x:v>
      </x:c>
      <x:c r="G1629" t="n">
        <x:v>0</x:v>
      </x:c>
      <x:c r="H1629" t="str">
        <x:v>Did not attend</x:v>
      </x:c>
      <x:c r="I1629" t="str">
        <x:v>No</x:v>
      </x:c>
    </x:row>
    <x:row r="1630">
      <x:c r="A1630" t="str">
        <x:v>Jacob Ndemirio</x:v>
      </x:c>
      <x:c r="B1630" t="str">
        <x:v>Tanzania</x:v>
      </x:c>
      <x:c r="C1630" t="str">
        <x:v>TZ</x:v>
      </x:c>
      <x:c r="D1630" t="str">
        <x:v>jacob.ndemirio@pwc.com</x:v>
      </x:c>
      <x:c r="E1630" t="str">
        <x:v>Combined</x:v>
      </x:c>
      <x:c r="F1630" t="n">
        <x:v>0.08543981481481482</x:v>
      </x:c>
      <x:c r="G1630" t="n">
        <x:v>7382</x:v>
      </x:c>
      <x:c r="H1630" t="str">
        <x:v>Fully attended</x:v>
      </x:c>
      <x:c r="I1630" t="str">
        <x:v>Yes</x:v>
      </x:c>
    </x:row>
    <x:row r="1631">
      <x:c r="A1631" t="str">
        <x:v>Jahnavi Meetan</x:v>
      </x:c>
      <x:c r="B1631" t="str">
        <x:v>Mauritius</x:v>
      </x:c>
      <x:c r="C1631" t="str">
        <x:v>MU</x:v>
      </x:c>
      <x:c r="D1631" t="str">
        <x:v>jahnavi.meetan@pwc.com</x:v>
      </x:c>
      <x:c r="E1631" t="str">
        <x:v>Option 1</x:v>
      </x:c>
      <x:c r="F1631" t="n">
        <x:v>0</x:v>
      </x:c>
      <x:c r="G1631" t="n">
        <x:v>0</x:v>
      </x:c>
      <x:c r="H1631" t="str">
        <x:v>Did not attend</x:v>
      </x:c>
      <x:c r="I1631" t="str">
        <x:v>No</x:v>
      </x:c>
    </x:row>
    <x:row r="1632">
      <x:c r="A1632" t="str">
        <x:v>Jahnavi Meetan</x:v>
      </x:c>
      <x:c r="B1632" t="str">
        <x:v>Mauritius</x:v>
      </x:c>
      <x:c r="C1632" t="str">
        <x:v>MU</x:v>
      </x:c>
      <x:c r="D1632" t="str">
        <x:v>jahnavi.meetan@pwc.com</x:v>
      </x:c>
      <x:c r="E1632" t="str">
        <x:v>Option 2</x:v>
      </x:c>
      <x:c r="F1632" t="n">
        <x:v>0.06596064814814814</x:v>
      </x:c>
      <x:c r="G1632" t="n">
        <x:v>5699</x:v>
      </x:c>
      <x:c r="H1632" t="str">
        <x:v>Fully attended</x:v>
      </x:c>
      <x:c r="I1632" t="str">
        <x:v>Yes</x:v>
      </x:c>
    </x:row>
    <x:row r="1633">
      <x:c r="A1633" t="str">
        <x:v>Jahnavi Meetan</x:v>
      </x:c>
      <x:c r="B1633" t="str">
        <x:v>Mauritius</x:v>
      </x:c>
      <x:c r="C1633" t="str">
        <x:v>MU</x:v>
      </x:c>
      <x:c r="D1633" t="str">
        <x:v>jahnavi.meetan@pwc.com</x:v>
      </x:c>
      <x:c r="E1633" t="str">
        <x:v>Combined</x:v>
      </x:c>
      <x:c r="F1633" t="n">
        <x:v>0.06596064814814814</x:v>
      </x:c>
      <x:c r="G1633" t="n">
        <x:v>5699</x:v>
      </x:c>
      <x:c r="H1633" t="str">
        <x:v>Fully attended</x:v>
      </x:c>
      <x:c r="I1633" t="str">
        <x:v>Yes</x:v>
      </x:c>
    </x:row>
    <x:row r="1634">
      <x:c r="A1634" t="str">
        <x:v>Jemimah Chella</x:v>
      </x:c>
      <x:c r="B1634" t="str">
        <x:v>Zambia</x:v>
      </x:c>
      <x:c r="C1634" t="str">
        <x:v>ZM</x:v>
      </x:c>
      <x:c r="D1634" t="str">
        <x:v>jemimah.chella@pwc.com</x:v>
      </x:c>
      <x:c r="E1634" t="str">
        <x:v>Option 1</x:v>
      </x:c>
      <x:c r="F1634" t="n">
        <x:v>0</x:v>
      </x:c>
      <x:c r="G1634" t="n">
        <x:v>0</x:v>
      </x:c>
      <x:c r="H1634" t="str">
        <x:v>Did not attend</x:v>
      </x:c>
      <x:c r="I1634" t="str">
        <x:v>No</x:v>
      </x:c>
    </x:row>
    <x:row r="1635">
      <x:c r="A1635" t="str">
        <x:v>Jemimah Chella</x:v>
      </x:c>
      <x:c r="B1635" t="str">
        <x:v>Zambia</x:v>
      </x:c>
      <x:c r="C1635" t="str">
        <x:v>ZM</x:v>
      </x:c>
      <x:c r="D1635" t="str">
        <x:v>jemimah.chella@pwc.com</x:v>
      </x:c>
      <x:c r="E1635" t="str">
        <x:v>Option 2</x:v>
      </x:c>
      <x:c r="F1635" t="n">
        <x:v>0.06733796296296296</x:v>
      </x:c>
      <x:c r="G1635" t="n">
        <x:v>5818</x:v>
      </x:c>
      <x:c r="H1635" t="str">
        <x:v>Fully attended</x:v>
      </x:c>
      <x:c r="I1635" t="str">
        <x:v>Yes</x:v>
      </x:c>
    </x:row>
    <x:row r="1636">
      <x:c r="A1636" t="str">
        <x:v>Jemimah Chella</x:v>
      </x:c>
      <x:c r="B1636" t="str">
        <x:v>Zambia</x:v>
      </x:c>
      <x:c r="C1636" t="str">
        <x:v>ZM</x:v>
      </x:c>
      <x:c r="D1636" t="str">
        <x:v>jemimah.chella@pwc.com</x:v>
      </x:c>
      <x:c r="E1636" t="str">
        <x:v>Combined</x:v>
      </x:c>
      <x:c r="F1636" t="n">
        <x:v>0.06733796296296296</x:v>
      </x:c>
      <x:c r="G1636" t="n">
        <x:v>5818</x:v>
      </x:c>
      <x:c r="H1636" t="str">
        <x:v>Fully attended</x:v>
      </x:c>
      <x:c r="I1636" t="str">
        <x:v>Yes</x:v>
      </x:c>
    </x:row>
    <x:row r="1637">
      <x:c r="A1637" t="str">
        <x:v>Jerry Zaipuna</x:v>
      </x:c>
      <x:c r="B1637" t="str">
        <x:v>Tanzania</x:v>
      </x:c>
      <x:c r="C1637" t="str">
        <x:v>TZ</x:v>
      </x:c>
      <x:c r="D1637" t="str">
        <x:v>jerry.zaipuna@pwc.com</x:v>
      </x:c>
      <x:c r="E1637" t="str">
        <x:v>Option 1</x:v>
      </x:c>
      <x:c r="F1637" t="n">
        <x:v>0</x:v>
      </x:c>
      <x:c r="G1637" t="n">
        <x:v>0</x:v>
      </x:c>
      <x:c r="H1637" t="str">
        <x:v>Did not attend</x:v>
      </x:c>
      <x:c r="I1637" t="str">
        <x:v>No</x:v>
      </x:c>
    </x:row>
    <x:row r="1638">
      <x:c r="A1638" t="str">
        <x:v>Jerry Zaipuna</x:v>
      </x:c>
      <x:c r="B1638" t="str">
        <x:v>Tanzania</x:v>
      </x:c>
      <x:c r="C1638" t="str">
        <x:v>TZ</x:v>
      </x:c>
      <x:c r="D1638" t="str">
        <x:v>jerry.zaipuna@pwc.com</x:v>
      </x:c>
      <x:c r="E1638" t="str">
        <x:v>Option 2</x:v>
      </x:c>
      <x:c r="F1638" t="n">
        <x:v>0.06914351851851852</x:v>
      </x:c>
      <x:c r="G1638" t="n">
        <x:v>5974</x:v>
      </x:c>
      <x:c r="H1638" t="str">
        <x:v>Fully attended</x:v>
      </x:c>
      <x:c r="I1638" t="str">
        <x:v>Yes</x:v>
      </x:c>
    </x:row>
    <x:row r="1639">
      <x:c r="A1639" t="str">
        <x:v>Jerry Zaipuna</x:v>
      </x:c>
      <x:c r="B1639" t="str">
        <x:v>Tanzania</x:v>
      </x:c>
      <x:c r="C1639" t="str">
        <x:v>TZ</x:v>
      </x:c>
      <x:c r="D1639" t="str">
        <x:v>jerry.zaipuna@pwc.com</x:v>
      </x:c>
      <x:c r="E1639" t="str">
        <x:v>Combined</x:v>
      </x:c>
      <x:c r="F1639" t="n">
        <x:v>0.06914351851851852</x:v>
      </x:c>
      <x:c r="G1639" t="n">
        <x:v>5974</x:v>
      </x:c>
      <x:c r="H1639" t="str">
        <x:v>Fully attended</x:v>
      </x:c>
      <x:c r="I1639" t="str">
        <x:v>Yes</x:v>
      </x:c>
    </x:row>
    <x:row r="1640">
      <x:c r="A1640" t="str">
        <x:v>Joel Julian</x:v>
      </x:c>
      <x:c r="B1640" t="str">
        <x:v>Tanzania</x:v>
      </x:c>
      <x:c r="C1640" t="str">
        <x:v>TZ</x:v>
      </x:c>
      <x:c r="D1640" t="str">
        <x:v>joel.julian@pwc.com</x:v>
      </x:c>
      <x:c r="E1640" t="str">
        <x:v>Option 1</x:v>
      </x:c>
      <x:c r="F1640" t="n">
        <x:v>0.04958333333333333</x:v>
      </x:c>
      <x:c r="G1640" t="n">
        <x:v>4284</x:v>
      </x:c>
      <x:c r="H1640" t="str">
        <x:v>Partially attended</x:v>
      </x:c>
      <x:c r="I1640" t="str">
        <x:v>Yes</x:v>
      </x:c>
    </x:row>
    <x:row r="1641">
      <x:c r="A1641" t="str">
        <x:v>Joel Julian</x:v>
      </x:c>
      <x:c r="B1641" t="str">
        <x:v>Tanzania</x:v>
      </x:c>
      <x:c r="C1641" t="str">
        <x:v>TZ</x:v>
      </x:c>
      <x:c r="D1641" t="str">
        <x:v>joel.julian@pwc.com</x:v>
      </x:c>
      <x:c r="E1641" t="str">
        <x:v>Option 2</x:v>
      </x:c>
      <x:c r="F1641" t="n">
        <x:v>0</x:v>
      </x:c>
      <x:c r="G1641" t="n">
        <x:v>0</x:v>
      </x:c>
      <x:c r="H1641" t="str">
        <x:v>Did not attend</x:v>
      </x:c>
      <x:c r="I1641" t="str">
        <x:v>No</x:v>
      </x:c>
    </x:row>
    <x:row r="1642">
      <x:c r="A1642" t="str">
        <x:v>Joel Julian</x:v>
      </x:c>
      <x:c r="B1642" t="str">
        <x:v>Tanzania</x:v>
      </x:c>
      <x:c r="C1642" t="str">
        <x:v>TZ</x:v>
      </x:c>
      <x:c r="D1642" t="str">
        <x:v>joel.julian@pwc.com</x:v>
      </x:c>
      <x:c r="E1642" t="str">
        <x:v>Combined</x:v>
      </x:c>
      <x:c r="F1642" t="n">
        <x:v>0.04958333333333333</x:v>
      </x:c>
      <x:c r="G1642" t="n">
        <x:v>4284</x:v>
      </x:c>
      <x:c r="H1642" t="str">
        <x:v>Partially attended</x:v>
      </x:c>
      <x:c r="I1642" t="str">
        <x:v>Yes</x:v>
      </x:c>
    </x:row>
    <x:row r="1643">
      <x:c r="A1643" t="str">
        <x:v>John Li</x:v>
      </x:c>
      <x:c r="B1643" t="str">
        <x:v>Mauritius</x:v>
      </x:c>
      <x:c r="C1643" t="str">
        <x:v>MU</x:v>
      </x:c>
      <x:c r="D1643" t="str">
        <x:v>john.s.li@pwc.com</x:v>
      </x:c>
      <x:c r="E1643" t="str">
        <x:v>Option 1</x:v>
      </x:c>
      <x:c r="F1643" t="n">
        <x:v>0</x:v>
      </x:c>
      <x:c r="G1643" t="n">
        <x:v>0</x:v>
      </x:c>
      <x:c r="H1643" t="str">
        <x:v>Did not attend</x:v>
      </x:c>
      <x:c r="I1643" t="str">
        <x:v>No</x:v>
      </x:c>
    </x:row>
    <x:row r="1644">
      <x:c r="A1644" t="str">
        <x:v>John Li</x:v>
      </x:c>
      <x:c r="B1644" t="str">
        <x:v>Mauritius</x:v>
      </x:c>
      <x:c r="C1644" t="str">
        <x:v>MU</x:v>
      </x:c>
      <x:c r="D1644" t="str">
        <x:v>john.s.li@pwc.com</x:v>
      </x:c>
      <x:c r="E1644" t="str">
        <x:v>Option 2</x:v>
      </x:c>
      <x:c r="F1644" t="n">
        <x:v>0.051006944444444445</x:v>
      </x:c>
      <x:c r="G1644" t="n">
        <x:v>4407</x:v>
      </x:c>
      <x:c r="H1644" t="str">
        <x:v>Partially attended</x:v>
      </x:c>
      <x:c r="I1644" t="str">
        <x:v>Yes</x:v>
      </x:c>
    </x:row>
    <x:row r="1645">
      <x:c r="A1645" t="str">
        <x:v>John Li</x:v>
      </x:c>
      <x:c r="B1645" t="str">
        <x:v>Mauritius</x:v>
      </x:c>
      <x:c r="C1645" t="str">
        <x:v>MU</x:v>
      </x:c>
      <x:c r="D1645" t="str">
        <x:v>john.s.li@pwc.com</x:v>
      </x:c>
      <x:c r="E1645" t="str">
        <x:v>Combined</x:v>
      </x:c>
      <x:c r="F1645" t="n">
        <x:v>0.051006944444444445</x:v>
      </x:c>
      <x:c r="G1645" t="n">
        <x:v>4407</x:v>
      </x:c>
      <x:c r="H1645" t="str">
        <x:v>Partially attended</x:v>
      </x:c>
      <x:c r="I1645" t="str">
        <x:v>Yes</x:v>
      </x:c>
    </x:row>
    <x:row r="1646">
      <x:c r="A1646" t="str">
        <x:v>JohnBaptist Wachira</x:v>
      </x:c>
      <x:c r="B1646" t="str">
        <x:v>Kenya</x:v>
      </x:c>
      <x:c r="C1646" t="str">
        <x:v>KE</x:v>
      </x:c>
      <x:c r="D1646" t="str">
        <x:v>johnbaptist.wachira@pwc.com</x:v>
      </x:c>
      <x:c r="E1646" t="str">
        <x:v>Option 1</x:v>
      </x:c>
      <x:c r="F1646" t="n">
        <x:v>0.07127314814814815</x:v>
      </x:c>
      <x:c r="G1646" t="n">
        <x:v>6158</x:v>
      </x:c>
      <x:c r="H1646" t="str">
        <x:v>Fully attended</x:v>
      </x:c>
      <x:c r="I1646" t="str">
        <x:v>Yes</x:v>
      </x:c>
    </x:row>
    <x:row r="1647">
      <x:c r="A1647" t="str">
        <x:v>JohnBaptist Wachira</x:v>
      </x:c>
      <x:c r="B1647" t="str">
        <x:v>Kenya</x:v>
      </x:c>
      <x:c r="C1647" t="str">
        <x:v>KE</x:v>
      </x:c>
      <x:c r="D1647" t="str">
        <x:v>johnbaptist.wachira@pwc.com</x:v>
      </x:c>
      <x:c r="E1647" t="str">
        <x:v>Option 2</x:v>
      </x:c>
      <x:c r="F1647" t="n">
        <x:v>0</x:v>
      </x:c>
      <x:c r="G1647" t="n">
        <x:v>0</x:v>
      </x:c>
      <x:c r="H1647" t="str">
        <x:v>Did not attend</x:v>
      </x:c>
      <x:c r="I1647" t="str">
        <x:v>No</x:v>
      </x:c>
    </x:row>
    <x:row r="1648">
      <x:c r="A1648" t="str">
        <x:v>JohnBaptist Wachira</x:v>
      </x:c>
      <x:c r="B1648" t="str">
        <x:v>Kenya</x:v>
      </x:c>
      <x:c r="C1648" t="str">
        <x:v>KE</x:v>
      </x:c>
      <x:c r="D1648" t="str">
        <x:v>johnbaptist.wachira@pwc.com</x:v>
      </x:c>
      <x:c r="E1648" t="str">
        <x:v>Combined</x:v>
      </x:c>
      <x:c r="F1648" t="n">
        <x:v>0.07127314814814815</x:v>
      </x:c>
      <x:c r="G1648" t="n">
        <x:v>6158</x:v>
      </x:c>
      <x:c r="H1648" t="str">
        <x:v>Fully attended</x:v>
      </x:c>
      <x:c r="I1648" t="str">
        <x:v>Yes</x:v>
      </x:c>
    </x:row>
    <x:row r="1649">
      <x:c r="A1649" t="str">
        <x:v>Joseph Temu</x:v>
      </x:c>
      <x:c r="B1649" t="str">
        <x:v>Tanzania</x:v>
      </x:c>
      <x:c r="C1649" t="str">
        <x:v>TZ</x:v>
      </x:c>
      <x:c r="D1649" t="str">
        <x:v>joseph.temu@pwc.com</x:v>
      </x:c>
      <x:c r="E1649" t="str">
        <x:v>Option 1</x:v>
      </x:c>
      <x:c r="F1649" t="n">
        <x:v>0</x:v>
      </x:c>
      <x:c r="G1649" t="n">
        <x:v>0</x:v>
      </x:c>
      <x:c r="H1649" t="str">
        <x:v>Did not attend</x:v>
      </x:c>
      <x:c r="I1649" t="str">
        <x:v>No</x:v>
      </x:c>
    </x:row>
    <x:row r="1650">
      <x:c r="A1650" t="str">
        <x:v>Joseph Temu</x:v>
      </x:c>
      <x:c r="B1650" t="str">
        <x:v>Tanzania</x:v>
      </x:c>
      <x:c r="C1650" t="str">
        <x:v>TZ</x:v>
      </x:c>
      <x:c r="D1650" t="str">
        <x:v>joseph.temu@pwc.com</x:v>
      </x:c>
      <x:c r="E1650" t="str">
        <x:v>Option 2</x:v>
      </x:c>
      <x:c r="F1650" t="n">
        <x:v>0.07605324074074074</x:v>
      </x:c>
      <x:c r="G1650" t="n">
        <x:v>6571</x:v>
      </x:c>
      <x:c r="H1650" t="str">
        <x:v>Fully attended</x:v>
      </x:c>
      <x:c r="I1650" t="str">
        <x:v>Yes</x:v>
      </x:c>
    </x:row>
    <x:row r="1651">
      <x:c r="A1651" t="str">
        <x:v>Joseph Temu</x:v>
      </x:c>
      <x:c r="B1651" t="str">
        <x:v>Tanzania</x:v>
      </x:c>
      <x:c r="C1651" t="str">
        <x:v>TZ</x:v>
      </x:c>
      <x:c r="D1651" t="str">
        <x:v>joseph.temu@pwc.com</x:v>
      </x:c>
      <x:c r="E1651" t="str">
        <x:v>Combined</x:v>
      </x:c>
      <x:c r="F1651" t="n">
        <x:v>0.07605324074074074</x:v>
      </x:c>
      <x:c r="G1651" t="n">
        <x:v>6571</x:v>
      </x:c>
      <x:c r="H1651" t="str">
        <x:v>Fully attended</x:v>
      </x:c>
      <x:c r="I1651" t="str">
        <x:v>Yes</x:v>
      </x:c>
    </x:row>
    <x:row r="1652">
      <x:c r="A1652" t="str">
        <x:v>Joseph Wanjohi</x:v>
      </x:c>
      <x:c r="B1652" t="str">
        <x:v>Kenya</x:v>
      </x:c>
      <x:c r="C1652" t="str">
        <x:v>KE</x:v>
      </x:c>
      <x:c r="D1652" t="str">
        <x:v>joseph.wanjohi@pwc.com</x:v>
      </x:c>
      <x:c r="E1652" t="str">
        <x:v>Option 1</x:v>
      </x:c>
      <x:c r="F1652" t="n">
        <x:v>0</x:v>
      </x:c>
      <x:c r="G1652" t="n">
        <x:v>0</x:v>
      </x:c>
      <x:c r="H1652" t="str">
        <x:v>Did not attend</x:v>
      </x:c>
      <x:c r="I1652" t="str">
        <x:v>No</x:v>
      </x:c>
    </x:row>
    <x:row r="1653">
      <x:c r="A1653" t="str">
        <x:v>Joseph Wanjohi</x:v>
      </x:c>
      <x:c r="B1653" t="str">
        <x:v>Kenya</x:v>
      </x:c>
      <x:c r="C1653" t="str">
        <x:v>KE</x:v>
      </x:c>
      <x:c r="D1653" t="str">
        <x:v>joseph.wanjohi@pwc.com</x:v>
      </x:c>
      <x:c r="E1653" t="str">
        <x:v>Option 2</x:v>
      </x:c>
      <x:c r="F1653" t="n">
        <x:v>0.07461805555555556</x:v>
      </x:c>
      <x:c r="G1653" t="n">
        <x:v>6447</x:v>
      </x:c>
      <x:c r="H1653" t="str">
        <x:v>Fully attended</x:v>
      </x:c>
      <x:c r="I1653" t="str">
        <x:v>Yes</x:v>
      </x:c>
    </x:row>
    <x:row r="1654">
      <x:c r="A1654" t="str">
        <x:v>Joseph Wanjohi</x:v>
      </x:c>
      <x:c r="B1654" t="str">
        <x:v>Kenya</x:v>
      </x:c>
      <x:c r="C1654" t="str">
        <x:v>KE</x:v>
      </x:c>
      <x:c r="D1654" t="str">
        <x:v>joseph.wanjohi@pwc.com</x:v>
      </x:c>
      <x:c r="E1654" t="str">
        <x:v>Combined</x:v>
      </x:c>
      <x:c r="F1654" t="n">
        <x:v>0.07461805555555556</x:v>
      </x:c>
      <x:c r="G1654" t="n">
        <x:v>6447</x:v>
      </x:c>
      <x:c r="H1654" t="str">
        <x:v>Fully attended</x:v>
      </x:c>
      <x:c r="I1654" t="str">
        <x:v>Yes</x:v>
      </x:c>
    </x:row>
    <x:row r="1655">
      <x:c r="A1655" t="str">
        <x:v>Joshua Mololo</x:v>
      </x:c>
      <x:c r="B1655" t="str">
        <x:v>Tanzania</x:v>
      </x:c>
      <x:c r="C1655" t="str">
        <x:v>TZ</x:v>
      </x:c>
      <x:c r="D1655" t="str">
        <x:v>joshua.mololo@pwc.com</x:v>
      </x:c>
      <x:c r="E1655" t="str">
        <x:v>Option 1</x:v>
      </x:c>
      <x:c r="F1655" t="n">
        <x:v>0.08405092592592593</x:v>
      </x:c>
      <x:c r="G1655" t="n">
        <x:v>7262</x:v>
      </x:c>
      <x:c r="H1655" t="str">
        <x:v>Fully attended</x:v>
      </x:c>
      <x:c r="I1655" t="str">
        <x:v>Yes</x:v>
      </x:c>
    </x:row>
    <x:row r="1656">
      <x:c r="A1656" t="str">
        <x:v>Joshua Mololo</x:v>
      </x:c>
      <x:c r="B1656" t="str">
        <x:v>Tanzania</x:v>
      </x:c>
      <x:c r="C1656" t="str">
        <x:v>TZ</x:v>
      </x:c>
      <x:c r="D1656" t="str">
        <x:v>joshua.mololo@pwc.com</x:v>
      </x:c>
      <x:c r="E1656" t="str">
        <x:v>Option 2</x:v>
      </x:c>
      <x:c r="F1656" t="n">
        <x:v>0</x:v>
      </x:c>
      <x:c r="G1656" t="n">
        <x:v>0</x:v>
      </x:c>
      <x:c r="H1656" t="str">
        <x:v>Did not attend</x:v>
      </x:c>
      <x:c r="I1656" t="str">
        <x:v>No</x:v>
      </x:c>
    </x:row>
    <x:row r="1657">
      <x:c r="A1657" t="str">
        <x:v>Joshua Mololo</x:v>
      </x:c>
      <x:c r="B1657" t="str">
        <x:v>Tanzania</x:v>
      </x:c>
      <x:c r="C1657" t="str">
        <x:v>TZ</x:v>
      </x:c>
      <x:c r="D1657" t="str">
        <x:v>joshua.mololo@pwc.com</x:v>
      </x:c>
      <x:c r="E1657" t="str">
        <x:v>Combined</x:v>
      </x:c>
      <x:c r="F1657" t="n">
        <x:v>0.08405092592592593</x:v>
      </x:c>
      <x:c r="G1657" t="n">
        <x:v>7262</x:v>
      </x:c>
      <x:c r="H1657" t="str">
        <x:v>Fully attended</x:v>
      </x:c>
      <x:c r="I1657" t="str">
        <x:v>Yes</x:v>
      </x:c>
    </x:row>
    <x:row r="1658">
      <x:c r="A1658" t="str">
        <x:v>Joshua Nzali</x:v>
      </x:c>
      <x:c r="B1658" t="str">
        <x:v>Tanzania</x:v>
      </x:c>
      <x:c r="C1658" t="str">
        <x:v>TZ</x:v>
      </x:c>
      <x:c r="D1658" t="str">
        <x:v>joshua.nzali@pwc.com</x:v>
      </x:c>
      <x:c r="E1658" t="str">
        <x:v>Option 1</x:v>
      </x:c>
      <x:c r="F1658" t="n">
        <x:v>0</x:v>
      </x:c>
      <x:c r="G1658" t="n">
        <x:v>0</x:v>
      </x:c>
      <x:c r="H1658" t="str">
        <x:v>Did not attend</x:v>
      </x:c>
      <x:c r="I1658" t="str">
        <x:v>No</x:v>
      </x:c>
    </x:row>
    <x:row r="1659">
      <x:c r="A1659" t="str">
        <x:v>Joshua Nzali</x:v>
      </x:c>
      <x:c r="B1659" t="str">
        <x:v>Tanzania</x:v>
      </x:c>
      <x:c r="C1659" t="str">
        <x:v>TZ</x:v>
      </x:c>
      <x:c r="D1659" t="str">
        <x:v>joshua.nzali@pwc.com</x:v>
      </x:c>
      <x:c r="E1659" t="str">
        <x:v>Option 2</x:v>
      </x:c>
      <x:c r="F1659" t="n">
        <x:v>0.09701388888888889</x:v>
      </x:c>
      <x:c r="G1659" t="n">
        <x:v>8382</x:v>
      </x:c>
      <x:c r="H1659" t="str">
        <x:v>Fully attended</x:v>
      </x:c>
      <x:c r="I1659" t="str">
        <x:v>Yes</x:v>
      </x:c>
    </x:row>
    <x:row r="1660">
      <x:c r="A1660" t="str">
        <x:v>Joshua Nzali</x:v>
      </x:c>
      <x:c r="B1660" t="str">
        <x:v>Tanzania</x:v>
      </x:c>
      <x:c r="C1660" t="str">
        <x:v>TZ</x:v>
      </x:c>
      <x:c r="D1660" t="str">
        <x:v>joshua.nzali@pwc.com</x:v>
      </x:c>
      <x:c r="E1660" t="str">
        <x:v>Combined</x:v>
      </x:c>
      <x:c r="F1660" t="n">
        <x:v>0.09701388888888889</x:v>
      </x:c>
      <x:c r="G1660" t="n">
        <x:v>8382</x:v>
      </x:c>
      <x:c r="H1660" t="str">
        <x:v>Fully attended</x:v>
      </x:c>
      <x:c r="I1660" t="str">
        <x:v>Yes</x:v>
      </x:c>
    </x:row>
    <x:row r="1661">
      <x:c r="A1661" t="str">
        <x:v>Josiane Tuyizere</x:v>
      </x:c>
      <x:c r="B1661" t="str">
        <x:v>Rwanda</x:v>
      </x:c>
      <x:c r="C1661" t="str">
        <x:v>RW</x:v>
      </x:c>
      <x:c r="D1661" t="str">
        <x:v>josiane.tuyizere@pwc.com</x:v>
      </x:c>
      <x:c r="E1661" t="str">
        <x:v>Option 1</x:v>
      </x:c>
      <x:c r="F1661" t="n">
        <x:v>0</x:v>
      </x:c>
      <x:c r="G1661" t="n">
        <x:v>0</x:v>
      </x:c>
      <x:c r="H1661" t="str">
        <x:v>Did not attend</x:v>
      </x:c>
      <x:c r="I1661" t="str">
        <x:v>No</x:v>
      </x:c>
    </x:row>
    <x:row r="1662">
      <x:c r="A1662" t="str">
        <x:v>Josiane Tuyizere</x:v>
      </x:c>
      <x:c r="B1662" t="str">
        <x:v>Rwanda</x:v>
      </x:c>
      <x:c r="C1662" t="str">
        <x:v>RW</x:v>
      </x:c>
      <x:c r="D1662" t="str">
        <x:v>josiane.tuyizere@pwc.com</x:v>
      </x:c>
      <x:c r="E1662" t="str">
        <x:v>Option 2</x:v>
      </x:c>
      <x:c r="F1662" t="n">
        <x:v>0.046168981481481484</x:v>
      </x:c>
      <x:c r="G1662" t="n">
        <x:v>3989</x:v>
      </x:c>
      <x:c r="H1662" t="str">
        <x:v>Partially attended</x:v>
      </x:c>
      <x:c r="I1662" t="str">
        <x:v>Yes</x:v>
      </x:c>
    </x:row>
    <x:row r="1663">
      <x:c r="A1663" t="str">
        <x:v>Josiane Tuyizere</x:v>
      </x:c>
      <x:c r="B1663" t="str">
        <x:v>Rwanda</x:v>
      </x:c>
      <x:c r="C1663" t="str">
        <x:v>RW</x:v>
      </x:c>
      <x:c r="D1663" t="str">
        <x:v>josiane.tuyizere@pwc.com</x:v>
      </x:c>
      <x:c r="E1663" t="str">
        <x:v>Combined</x:v>
      </x:c>
      <x:c r="F1663" t="n">
        <x:v>0.046168981481481484</x:v>
      </x:c>
      <x:c r="G1663" t="n">
        <x:v>3989</x:v>
      </x:c>
      <x:c r="H1663" t="str">
        <x:v>Partially attended</x:v>
      </x:c>
      <x:c r="I1663" t="str">
        <x:v>Yes</x:v>
      </x:c>
    </x:row>
    <x:row r="1664">
      <x:c r="A1664" t="str">
        <x:v>Jovia Namulinda</x:v>
      </x:c>
      <x:c r="B1664" t="str">
        <x:v>Uganda</x:v>
      </x:c>
      <x:c r="C1664" t="str">
        <x:v>UG</x:v>
      </x:c>
      <x:c r="D1664" t="str">
        <x:v>jovia.namulinda@pwc.com</x:v>
      </x:c>
      <x:c r="E1664" t="str">
        <x:v>Option 1</x:v>
      </x:c>
      <x:c r="F1664" t="n">
        <x:v>0</x:v>
      </x:c>
      <x:c r="G1664" t="n">
        <x:v>0</x:v>
      </x:c>
      <x:c r="H1664" t="str">
        <x:v>Did not attend</x:v>
      </x:c>
      <x:c r="I1664" t="str">
        <x:v>No</x:v>
      </x:c>
    </x:row>
    <x:row r="1665">
      <x:c r="A1665" t="str">
        <x:v>Jovia Namulinda</x:v>
      </x:c>
      <x:c r="B1665" t="str">
        <x:v>Uganda</x:v>
      </x:c>
      <x:c r="C1665" t="str">
        <x:v>UG</x:v>
      </x:c>
      <x:c r="D1665" t="str">
        <x:v>jovia.namulinda@pwc.com</x:v>
      </x:c>
      <x:c r="E1665" t="str">
        <x:v>Option 2</x:v>
      </x:c>
      <x:c r="F1665" t="n">
        <x:v>0.07059027777777778</x:v>
      </x:c>
      <x:c r="G1665" t="n">
        <x:v>6099</x:v>
      </x:c>
      <x:c r="H1665" t="str">
        <x:v>Fully attended</x:v>
      </x:c>
      <x:c r="I1665" t="str">
        <x:v>Yes</x:v>
      </x:c>
    </x:row>
    <x:row r="1666">
      <x:c r="A1666" t="str">
        <x:v>Jovia Namulinda</x:v>
      </x:c>
      <x:c r="B1666" t="str">
        <x:v>Uganda</x:v>
      </x:c>
      <x:c r="C1666" t="str">
        <x:v>UG</x:v>
      </x:c>
      <x:c r="D1666" t="str">
        <x:v>jovia.namulinda@pwc.com</x:v>
      </x:c>
      <x:c r="E1666" t="str">
        <x:v>Combined</x:v>
      </x:c>
      <x:c r="F1666" t="n">
        <x:v>0.07059027777777778</x:v>
      </x:c>
      <x:c r="G1666" t="n">
        <x:v>6099</x:v>
      </x:c>
      <x:c r="H1666" t="str">
        <x:v>Fully attended</x:v>
      </x:c>
      <x:c r="I1666" t="str">
        <x:v>Yes</x:v>
      </x:c>
    </x:row>
    <x:row r="1667">
      <x:c r="A1667" t="str">
        <x:v>Judith Okoyo</x:v>
      </x:c>
      <x:c r="B1667" t="str">
        <x:v>Kenya</x:v>
      </x:c>
      <x:c r="C1667" t="str">
        <x:v>KE</x:v>
      </x:c>
      <x:c r="D1667" t="str">
        <x:v>judith.okoyo@pwc.com</x:v>
      </x:c>
      <x:c r="E1667" t="str">
        <x:v>Option 1</x:v>
      </x:c>
      <x:c r="F1667" t="n">
        <x:v>0.048414351851851854</x:v>
      </x:c>
      <x:c r="G1667" t="n">
        <x:v>4183</x:v>
      </x:c>
      <x:c r="H1667" t="str">
        <x:v>Partially attended</x:v>
      </x:c>
      <x:c r="I1667" t="str">
        <x:v>Yes</x:v>
      </x:c>
    </x:row>
    <x:row r="1668">
      <x:c r="A1668" t="str">
        <x:v>Judith Okoyo</x:v>
      </x:c>
      <x:c r="B1668" t="str">
        <x:v>Kenya</x:v>
      </x:c>
      <x:c r="C1668" t="str">
        <x:v>KE</x:v>
      </x:c>
      <x:c r="D1668" t="str">
        <x:v>judith.okoyo@pwc.com</x:v>
      </x:c>
      <x:c r="E1668" t="str">
        <x:v>Option 2</x:v>
      </x:c>
      <x:c r="F1668" t="n">
        <x:v>0</x:v>
      </x:c>
      <x:c r="G1668" t="n">
        <x:v>0</x:v>
      </x:c>
      <x:c r="H1668" t="str">
        <x:v>Did not attend</x:v>
      </x:c>
      <x:c r="I1668" t="str">
        <x:v>No</x:v>
      </x:c>
    </x:row>
    <x:row r="1669">
      <x:c r="A1669" t="str">
        <x:v>Judith Okoyo</x:v>
      </x:c>
      <x:c r="B1669" t="str">
        <x:v>Kenya</x:v>
      </x:c>
      <x:c r="C1669" t="str">
        <x:v>KE</x:v>
      </x:c>
      <x:c r="D1669" t="str">
        <x:v>judith.okoyo@pwc.com</x:v>
      </x:c>
      <x:c r="E1669" t="str">
        <x:v>Combined</x:v>
      </x:c>
      <x:c r="F1669" t="n">
        <x:v>0.048414351851851854</x:v>
      </x:c>
      <x:c r="G1669" t="n">
        <x:v>4183</x:v>
      </x:c>
      <x:c r="H1669" t="str">
        <x:v>Partially attended</x:v>
      </x:c>
      <x:c r="I1669" t="str">
        <x:v>Yes</x:v>
      </x:c>
    </x:row>
    <x:row r="1670">
      <x:c r="A1670" t="str">
        <x:v>Karan Raggoo</x:v>
      </x:c>
      <x:c r="B1670" t="str">
        <x:v>Mauritius</x:v>
      </x:c>
      <x:c r="C1670" t="str">
        <x:v>MU</x:v>
      </x:c>
      <x:c r="D1670" t="str">
        <x:v>karan.raggoo@pwc.com</x:v>
      </x:c>
      <x:c r="E1670" t="str">
        <x:v>Option 1</x:v>
      </x:c>
      <x:c r="F1670" t="n">
        <x:v>0.0019097222222222222</x:v>
      </x:c>
      <x:c r="G1670" t="n">
        <x:v>165</x:v>
      </x:c>
      <x:c r="H1670" t="str">
        <x:v>Partially attended</x:v>
      </x:c>
      <x:c r="I1670" t="str">
        <x:v>Yes</x:v>
      </x:c>
    </x:row>
    <x:row r="1671">
      <x:c r="A1671" t="str">
        <x:v>Karan Raggoo</x:v>
      </x:c>
      <x:c r="B1671" t="str">
        <x:v>Mauritius</x:v>
      </x:c>
      <x:c r="C1671" t="str">
        <x:v>MU</x:v>
      </x:c>
      <x:c r="D1671" t="str">
        <x:v>karan.raggoo@pwc.com</x:v>
      </x:c>
      <x:c r="E1671" t="str">
        <x:v>Option 2</x:v>
      </x:c>
      <x:c r="F1671" t="n">
        <x:v>0</x:v>
      </x:c>
      <x:c r="G1671" t="n">
        <x:v>0</x:v>
      </x:c>
      <x:c r="H1671" t="str">
        <x:v>Did not attend</x:v>
      </x:c>
      <x:c r="I1671" t="str">
        <x:v>No</x:v>
      </x:c>
    </x:row>
    <x:row r="1672">
      <x:c r="A1672" t="str">
        <x:v>Karan Raggoo</x:v>
      </x:c>
      <x:c r="B1672" t="str">
        <x:v>Mauritius</x:v>
      </x:c>
      <x:c r="C1672" t="str">
        <x:v>MU</x:v>
      </x:c>
      <x:c r="D1672" t="str">
        <x:v>karan.raggoo@pwc.com</x:v>
      </x:c>
      <x:c r="E1672" t="str">
        <x:v>Combined</x:v>
      </x:c>
      <x:c r="F1672" t="n">
        <x:v>0.0019097222222222222</x:v>
      </x:c>
      <x:c r="G1672" t="n">
        <x:v>165</x:v>
      </x:c>
      <x:c r="H1672" t="str">
        <x:v>Partially attended</x:v>
      </x:c>
      <x:c r="I1672" t="str">
        <x:v>Yes</x:v>
      </x:c>
    </x:row>
    <x:row r="1673">
      <x:c r="A1673" t="str">
        <x:v>Karen Cha Sow King</x:v>
      </x:c>
      <x:c r="B1673" t="str">
        <x:v>Mauritius</x:v>
      </x:c>
      <x:c r="C1673" t="str">
        <x:v>MU</x:v>
      </x:c>
      <x:c r="D1673" t="str">
        <x:v>karen.cha.sow.k.king@pwc.com</x:v>
      </x:c>
      <x:c r="E1673" t="str">
        <x:v>Option 1</x:v>
      </x:c>
      <x:c r="F1673" t="n">
        <x:v>0.0804861111111111</x:v>
      </x:c>
      <x:c r="G1673" t="n">
        <x:v>6954</x:v>
      </x:c>
      <x:c r="H1673" t="str">
        <x:v>Fully attended</x:v>
      </x:c>
      <x:c r="I1673" t="str">
        <x:v>Yes</x:v>
      </x:c>
    </x:row>
    <x:row r="1674">
      <x:c r="A1674" t="str">
        <x:v>Karen Cha Sow King</x:v>
      </x:c>
      <x:c r="B1674" t="str">
        <x:v>Mauritius</x:v>
      </x:c>
      <x:c r="C1674" t="str">
        <x:v>MU</x:v>
      </x:c>
      <x:c r="D1674" t="str">
        <x:v>karen.cha.sow.k.king@pwc.com</x:v>
      </x:c>
      <x:c r="E1674" t="str">
        <x:v>Option 2</x:v>
      </x:c>
      <x:c r="F1674" t="n">
        <x:v>0</x:v>
      </x:c>
      <x:c r="G1674" t="n">
        <x:v>0</x:v>
      </x:c>
      <x:c r="H1674" t="str">
        <x:v>Did not attend</x:v>
      </x:c>
      <x:c r="I1674" t="str">
        <x:v>No</x:v>
      </x:c>
    </x:row>
    <x:row r="1675">
      <x:c r="A1675" t="str">
        <x:v>Karen Cha Sow King</x:v>
      </x:c>
      <x:c r="B1675" t="str">
        <x:v>Mauritius</x:v>
      </x:c>
      <x:c r="C1675" t="str">
        <x:v>MU</x:v>
      </x:c>
      <x:c r="D1675" t="str">
        <x:v>karen.cha.sow.k.king@pwc.com</x:v>
      </x:c>
      <x:c r="E1675" t="str">
        <x:v>Combined</x:v>
      </x:c>
      <x:c r="F1675" t="n">
        <x:v>0.0804861111111111</x:v>
      </x:c>
      <x:c r="G1675" t="n">
        <x:v>6954</x:v>
      </x:c>
      <x:c r="H1675" t="str">
        <x:v>Fully attended</x:v>
      </x:c>
      <x:c r="I1675" t="str">
        <x:v>Yes</x:v>
      </x:c>
    </x:row>
    <x:row r="1676">
      <x:c r="A1676" t="str">
        <x:v>Katai Nakazwe</x:v>
      </x:c>
      <x:c r="B1676" t="str">
        <x:v>Zambia</x:v>
      </x:c>
      <x:c r="C1676" t="str">
        <x:v>ZM</x:v>
      </x:c>
      <x:c r="D1676" t="str">
        <x:v>katai.nakazwe@pwc.com</x:v>
      </x:c>
      <x:c r="E1676" t="str">
        <x:v>Option 1</x:v>
      </x:c>
      <x:c r="F1676" t="n">
        <x:v>0.09431712962962963</x:v>
      </x:c>
      <x:c r="G1676" t="n">
        <x:v>8149</x:v>
      </x:c>
      <x:c r="H1676" t="str">
        <x:v>Fully attended</x:v>
      </x:c>
      <x:c r="I1676" t="str">
        <x:v>Yes</x:v>
      </x:c>
    </x:row>
    <x:row r="1677">
      <x:c r="A1677" t="str">
        <x:v>Katai Nakazwe</x:v>
      </x:c>
      <x:c r="B1677" t="str">
        <x:v>Zambia</x:v>
      </x:c>
      <x:c r="C1677" t="str">
        <x:v>ZM</x:v>
      </x:c>
      <x:c r="D1677" t="str">
        <x:v>katai.nakazwe@pwc.com</x:v>
      </x:c>
      <x:c r="E1677" t="str">
        <x:v>Option 2</x:v>
      </x:c>
      <x:c r="F1677" t="n">
        <x:v>0</x:v>
      </x:c>
      <x:c r="G1677" t="n">
        <x:v>0</x:v>
      </x:c>
      <x:c r="H1677" t="str">
        <x:v>Did not attend</x:v>
      </x:c>
      <x:c r="I1677" t="str">
        <x:v>No</x:v>
      </x:c>
    </x:row>
    <x:row r="1678">
      <x:c r="A1678" t="str">
        <x:v>Katai Nakazwe</x:v>
      </x:c>
      <x:c r="B1678" t="str">
        <x:v>Zambia</x:v>
      </x:c>
      <x:c r="C1678" t="str">
        <x:v>ZM</x:v>
      </x:c>
      <x:c r="D1678" t="str">
        <x:v>katai.nakazwe@pwc.com</x:v>
      </x:c>
      <x:c r="E1678" t="str">
        <x:v>Combined</x:v>
      </x:c>
      <x:c r="F1678" t="n">
        <x:v>0.09431712962962963</x:v>
      </x:c>
      <x:c r="G1678" t="n">
        <x:v>8149</x:v>
      </x:c>
      <x:c r="H1678" t="str">
        <x:v>Fully attended</x:v>
      </x:c>
      <x:c r="I1678" t="str">
        <x:v>Yes</x:v>
      </x:c>
    </x:row>
    <x:row r="1679">
      <x:c r="A1679" t="str">
        <x:v>Katayi Kachinda</x:v>
      </x:c>
      <x:c r="B1679" t="str">
        <x:v>Zambia</x:v>
      </x:c>
      <x:c r="C1679" t="str">
        <x:v>ZM</x:v>
      </x:c>
      <x:c r="D1679" t="str">
        <x:v>katayi.kachinda@pwc.com</x:v>
      </x:c>
      <x:c r="E1679" t="str">
        <x:v>Option 1</x:v>
      </x:c>
      <x:c r="F1679" t="n">
        <x:v>0</x:v>
      </x:c>
      <x:c r="G1679" t="n">
        <x:v>0</x:v>
      </x:c>
      <x:c r="H1679" t="str">
        <x:v>Did not attend</x:v>
      </x:c>
      <x:c r="I1679" t="str">
        <x:v>No</x:v>
      </x:c>
    </x:row>
    <x:row r="1680">
      <x:c r="A1680" t="str">
        <x:v>Katayi Kachinda</x:v>
      </x:c>
      <x:c r="B1680" t="str">
        <x:v>Zambia</x:v>
      </x:c>
      <x:c r="C1680" t="str">
        <x:v>ZM</x:v>
      </x:c>
      <x:c r="D1680" t="str">
        <x:v>katayi.kachinda@pwc.com</x:v>
      </x:c>
      <x:c r="E1680" t="str">
        <x:v>Option 2</x:v>
      </x:c>
      <x:c r="F1680" t="n">
        <x:v>0.047280092592592596</x:v>
      </x:c>
      <x:c r="G1680" t="n">
        <x:v>4085</x:v>
      </x:c>
      <x:c r="H1680" t="str">
        <x:v>Partially attended</x:v>
      </x:c>
      <x:c r="I1680" t="str">
        <x:v>Yes</x:v>
      </x:c>
    </x:row>
    <x:row r="1681">
      <x:c r="A1681" t="str">
        <x:v>Katayi Kachinda</x:v>
      </x:c>
      <x:c r="B1681" t="str">
        <x:v>Zambia</x:v>
      </x:c>
      <x:c r="C1681" t="str">
        <x:v>ZM</x:v>
      </x:c>
      <x:c r="D1681" t="str">
        <x:v>katayi.kachinda@pwc.com</x:v>
      </x:c>
      <x:c r="E1681" t="str">
        <x:v>Combined</x:v>
      </x:c>
      <x:c r="F1681" t="n">
        <x:v>0.047280092592592596</x:v>
      </x:c>
      <x:c r="G1681" t="n">
        <x:v>4085</x:v>
      </x:c>
      <x:c r="H1681" t="str">
        <x:v>Partially attended</x:v>
      </x:c>
      <x:c r="I1681" t="str">
        <x:v>Yes</x:v>
      </x:c>
    </x:row>
    <x:row r="1682">
      <x:c r="A1682" t="str">
        <x:v>Kaunda Mwenya</x:v>
      </x:c>
      <x:c r="B1682" t="str">
        <x:v>Zambia</x:v>
      </x:c>
      <x:c r="C1682" t="str">
        <x:v>ZM</x:v>
      </x:c>
      <x:c r="D1682" t="str">
        <x:v>kaunda.j.mwenya@pwc.com</x:v>
      </x:c>
      <x:c r="E1682" t="str">
        <x:v>Option 1</x:v>
      </x:c>
      <x:c r="F1682" t="n">
        <x:v>0</x:v>
      </x:c>
      <x:c r="G1682" t="n">
        <x:v>0</x:v>
      </x:c>
      <x:c r="H1682" t="str">
        <x:v>Did not attend</x:v>
      </x:c>
      <x:c r="I1682" t="str">
        <x:v>No</x:v>
      </x:c>
    </x:row>
    <x:row r="1683">
      <x:c r="A1683" t="str">
        <x:v>Kaunda Mwenya</x:v>
      </x:c>
      <x:c r="B1683" t="str">
        <x:v>Zambia</x:v>
      </x:c>
      <x:c r="C1683" t="str">
        <x:v>ZM</x:v>
      </x:c>
      <x:c r="D1683" t="str">
        <x:v>kaunda.j.mwenya@pwc.com</x:v>
      </x:c>
      <x:c r="E1683" t="str">
        <x:v>Option 2</x:v>
      </x:c>
      <x:c r="F1683" t="n">
        <x:v>0.05296296296296296</x:v>
      </x:c>
      <x:c r="G1683" t="n">
        <x:v>4576</x:v>
      </x:c>
      <x:c r="H1683" t="str">
        <x:v>Partially attended</x:v>
      </x:c>
      <x:c r="I1683" t="str">
        <x:v>Yes</x:v>
      </x:c>
    </x:row>
    <x:row r="1684">
      <x:c r="A1684" t="str">
        <x:v>Kaunda Mwenya</x:v>
      </x:c>
      <x:c r="B1684" t="str">
        <x:v>Zambia</x:v>
      </x:c>
      <x:c r="C1684" t="str">
        <x:v>ZM</x:v>
      </x:c>
      <x:c r="D1684" t="str">
        <x:v>kaunda.j.mwenya@pwc.com</x:v>
      </x:c>
      <x:c r="E1684" t="str">
        <x:v>Combined</x:v>
      </x:c>
      <x:c r="F1684" t="n">
        <x:v>0.05296296296296296</x:v>
      </x:c>
      <x:c r="G1684" t="n">
        <x:v>4576</x:v>
      </x:c>
      <x:c r="H1684" t="str">
        <x:v>Partially attended</x:v>
      </x:c>
      <x:c r="I1684" t="str">
        <x:v>Yes</x:v>
      </x:c>
    </x:row>
    <x:row r="1685">
      <x:c r="A1685" t="str">
        <x:v>Kelly Alowo</x:v>
      </x:c>
      <x:c r="B1685" t="str">
        <x:v>Uganda</x:v>
      </x:c>
      <x:c r="C1685" t="str">
        <x:v>UG</x:v>
      </x:c>
      <x:c r="D1685" t="str">
        <x:v>kelly.alowo@pwc.com</x:v>
      </x:c>
      <x:c r="E1685" t="str">
        <x:v>Option 1</x:v>
      </x:c>
      <x:c r="F1685" t="n">
        <x:v>0</x:v>
      </x:c>
      <x:c r="G1685" t="n">
        <x:v>0</x:v>
      </x:c>
      <x:c r="H1685" t="str">
        <x:v>Did not attend</x:v>
      </x:c>
      <x:c r="I1685" t="str">
        <x:v>No</x:v>
      </x:c>
    </x:row>
    <x:row r="1686">
      <x:c r="A1686" t="str">
        <x:v>Kelly Alowo</x:v>
      </x:c>
      <x:c r="B1686" t="str">
        <x:v>Uganda</x:v>
      </x:c>
      <x:c r="C1686" t="str">
        <x:v>UG</x:v>
      </x:c>
      <x:c r="D1686" t="str">
        <x:v>kelly.alowo@pwc.com</x:v>
      </x:c>
      <x:c r="E1686" t="str">
        <x:v>Option 2</x:v>
      </x:c>
      <x:c r="F1686" t="n">
        <x:v>0.07127314814814815</x:v>
      </x:c>
      <x:c r="G1686" t="n">
        <x:v>6158</x:v>
      </x:c>
      <x:c r="H1686" t="str">
        <x:v>Fully attended</x:v>
      </x:c>
      <x:c r="I1686" t="str">
        <x:v>Yes</x:v>
      </x:c>
    </x:row>
    <x:row r="1687">
      <x:c r="A1687" t="str">
        <x:v>Kelly Alowo</x:v>
      </x:c>
      <x:c r="B1687" t="str">
        <x:v>Uganda</x:v>
      </x:c>
      <x:c r="C1687" t="str">
        <x:v>UG</x:v>
      </x:c>
      <x:c r="D1687" t="str">
        <x:v>kelly.alowo@pwc.com</x:v>
      </x:c>
      <x:c r="E1687" t="str">
        <x:v>Combined</x:v>
      </x:c>
      <x:c r="F1687" t="n">
        <x:v>0.07127314814814815</x:v>
      </x:c>
      <x:c r="G1687" t="n">
        <x:v>6158</x:v>
      </x:c>
      <x:c r="H1687" t="str">
        <x:v>Fully attended</x:v>
      </x:c>
      <x:c r="I1687" t="str">
        <x:v>Yes</x:v>
      </x:c>
    </x:row>
    <x:row r="1688">
      <x:c r="A1688" t="str">
        <x:v>Kelly Shema</x:v>
      </x:c>
      <x:c r="B1688" t="str">
        <x:v>Rwanda</x:v>
      </x:c>
      <x:c r="C1688" t="str">
        <x:v>RW</x:v>
      </x:c>
      <x:c r="D1688" t="str">
        <x:v>kelly.shema@pwc.com</x:v>
      </x:c>
      <x:c r="E1688" t="str">
        <x:v>Option 1</x:v>
      </x:c>
      <x:c r="F1688" t="n">
        <x:v>0.03125</x:v>
      </x:c>
      <x:c r="G1688" t="n">
        <x:v>2700</x:v>
      </x:c>
      <x:c r="H1688" t="str">
        <x:v>Partially attended</x:v>
      </x:c>
      <x:c r="I1688" t="str">
        <x:v>Yes</x:v>
      </x:c>
    </x:row>
    <x:row r="1689">
      <x:c r="A1689" t="str">
        <x:v>Kelly Shema</x:v>
      </x:c>
      <x:c r="B1689" t="str">
        <x:v>Rwanda</x:v>
      </x:c>
      <x:c r="C1689" t="str">
        <x:v>RW</x:v>
      </x:c>
      <x:c r="D1689" t="str">
        <x:v>kelly.shema@pwc.com</x:v>
      </x:c>
      <x:c r="E1689" t="str">
        <x:v>Option 2</x:v>
      </x:c>
      <x:c r="F1689" t="n">
        <x:v>0</x:v>
      </x:c>
      <x:c r="G1689" t="n">
        <x:v>0</x:v>
      </x:c>
      <x:c r="H1689" t="str">
        <x:v>Did not attend</x:v>
      </x:c>
      <x:c r="I1689" t="str">
        <x:v>No</x:v>
      </x:c>
    </x:row>
    <x:row r="1690">
      <x:c r="A1690" t="str">
        <x:v>Kelly Shema</x:v>
      </x:c>
      <x:c r="B1690" t="str">
        <x:v>Rwanda</x:v>
      </x:c>
      <x:c r="C1690" t="str">
        <x:v>RW</x:v>
      </x:c>
      <x:c r="D1690" t="str">
        <x:v>kelly.shema@pwc.com</x:v>
      </x:c>
      <x:c r="E1690" t="str">
        <x:v>Combined</x:v>
      </x:c>
      <x:c r="F1690" t="n">
        <x:v>0.03125</x:v>
      </x:c>
      <x:c r="G1690" t="n">
        <x:v>2700</x:v>
      </x:c>
      <x:c r="H1690" t="str">
        <x:v>Partially attended</x:v>
      </x:c>
      <x:c r="I1690" t="str">
        <x:v>Yes</x:v>
      </x:c>
    </x:row>
    <x:row r="1691">
      <x:c r="A1691" t="str">
        <x:v>Kelvin Mlagala</x:v>
      </x:c>
      <x:c r="B1691" t="str">
        <x:v>Tanzania</x:v>
      </x:c>
      <x:c r="C1691" t="str">
        <x:v>TZ</x:v>
      </x:c>
      <x:c r="D1691" t="str">
        <x:v>kelvin.mlagala@pwc.com</x:v>
      </x:c>
      <x:c r="E1691" t="str">
        <x:v>Option 1</x:v>
      </x:c>
      <x:c r="F1691" t="n">
        <x:v>0.03878472222222222</x:v>
      </x:c>
      <x:c r="G1691" t="n">
        <x:v>3351</x:v>
      </x:c>
      <x:c r="H1691" t="str">
        <x:v>Partially attended</x:v>
      </x:c>
      <x:c r="I1691" t="str">
        <x:v>Yes</x:v>
      </x:c>
    </x:row>
    <x:row r="1692">
      <x:c r="A1692" t="str">
        <x:v>Kelvin Mlagala</x:v>
      </x:c>
      <x:c r="B1692" t="str">
        <x:v>Tanzania</x:v>
      </x:c>
      <x:c r="C1692" t="str">
        <x:v>TZ</x:v>
      </x:c>
      <x:c r="D1692" t="str">
        <x:v>kelvin.mlagala@pwc.com</x:v>
      </x:c>
      <x:c r="E1692" t="str">
        <x:v>Option 2</x:v>
      </x:c>
      <x:c r="F1692" t="n">
        <x:v>0</x:v>
      </x:c>
      <x:c r="G1692" t="n">
        <x:v>0</x:v>
      </x:c>
      <x:c r="H1692" t="str">
        <x:v>Did not attend</x:v>
      </x:c>
      <x:c r="I1692" t="str">
        <x:v>No</x:v>
      </x:c>
    </x:row>
    <x:row r="1693">
      <x:c r="A1693" t="str">
        <x:v>Kelvin Mlagala</x:v>
      </x:c>
      <x:c r="B1693" t="str">
        <x:v>Tanzania</x:v>
      </x:c>
      <x:c r="C1693" t="str">
        <x:v>TZ</x:v>
      </x:c>
      <x:c r="D1693" t="str">
        <x:v>kelvin.mlagala@pwc.com</x:v>
      </x:c>
      <x:c r="E1693" t="str">
        <x:v>Combined</x:v>
      </x:c>
      <x:c r="F1693" t="n">
        <x:v>0.03878472222222222</x:v>
      </x:c>
      <x:c r="G1693" t="n">
        <x:v>3351</x:v>
      </x:c>
      <x:c r="H1693" t="str">
        <x:v>Partially attended</x:v>
      </x:c>
      <x:c r="I1693" t="str">
        <x:v>Yes</x:v>
      </x:c>
    </x:row>
    <x:row r="1694">
      <x:c r="A1694" t="str">
        <x:v>Kesha Seeputhy</x:v>
      </x:c>
      <x:c r="B1694" t="str">
        <x:v>Mauritius</x:v>
      </x:c>
      <x:c r="C1694" t="str">
        <x:v>MU</x:v>
      </x:c>
      <x:c r="D1694" t="str">
        <x:v>kesha.seeputhy@pwc.com</x:v>
      </x:c>
      <x:c r="E1694" t="str">
        <x:v>Option 1</x:v>
      </x:c>
      <x:c r="F1694" t="n">
        <x:v>0</x:v>
      </x:c>
      <x:c r="G1694" t="n">
        <x:v>0</x:v>
      </x:c>
      <x:c r="H1694" t="str">
        <x:v>Did not attend</x:v>
      </x:c>
      <x:c r="I1694" t="str">
        <x:v>No</x:v>
      </x:c>
    </x:row>
    <x:row r="1695">
      <x:c r="A1695" t="str">
        <x:v>Kesha Seeputhy</x:v>
      </x:c>
      <x:c r="B1695" t="str">
        <x:v>Mauritius</x:v>
      </x:c>
      <x:c r="C1695" t="str">
        <x:v>MU</x:v>
      </x:c>
      <x:c r="D1695" t="str">
        <x:v>kesha.seeputhy@pwc.com</x:v>
      </x:c>
      <x:c r="E1695" t="str">
        <x:v>Option 2</x:v>
      </x:c>
      <x:c r="F1695" t="n">
        <x:v>0.07582175925925926</x:v>
      </x:c>
      <x:c r="G1695" t="n">
        <x:v>6551</x:v>
      </x:c>
      <x:c r="H1695" t="str">
        <x:v>Fully attended</x:v>
      </x:c>
      <x:c r="I1695" t="str">
        <x:v>Yes</x:v>
      </x:c>
    </x:row>
    <x:row r="1696">
      <x:c r="A1696" t="str">
        <x:v>Kesha Seeputhy</x:v>
      </x:c>
      <x:c r="B1696" t="str">
        <x:v>Mauritius</x:v>
      </x:c>
      <x:c r="C1696" t="str">
        <x:v>MU</x:v>
      </x:c>
      <x:c r="D1696" t="str">
        <x:v>kesha.seeputhy@pwc.com</x:v>
      </x:c>
      <x:c r="E1696" t="str">
        <x:v>Combined</x:v>
      </x:c>
      <x:c r="F1696" t="n">
        <x:v>0.07582175925925926</x:v>
      </x:c>
      <x:c r="G1696" t="n">
        <x:v>6551</x:v>
      </x:c>
      <x:c r="H1696" t="str">
        <x:v>Fully attended</x:v>
      </x:c>
      <x:c r="I1696" t="str">
        <x:v>Yes</x:v>
      </x:c>
    </x:row>
    <x:row r="1697">
      <x:c r="A1697" t="str">
        <x:v>Keshika Nuthoo</x:v>
      </x:c>
      <x:c r="B1697" t="str">
        <x:v>Mauritius</x:v>
      </x:c>
      <x:c r="C1697" t="str">
        <x:v>MU</x:v>
      </x:c>
      <x:c r="D1697" t="str">
        <x:v>keshika.nuthoo@pwc.com</x:v>
      </x:c>
      <x:c r="E1697" t="str">
        <x:v>Option 1</x:v>
      </x:c>
      <x:c r="F1697" t="n">
        <x:v>0</x:v>
      </x:c>
      <x:c r="G1697" t="n">
        <x:v>0</x:v>
      </x:c>
      <x:c r="H1697" t="str">
        <x:v>Did not attend</x:v>
      </x:c>
      <x:c r="I1697" t="str">
        <x:v>No</x:v>
      </x:c>
    </x:row>
    <x:row r="1698">
      <x:c r="A1698" t="str">
        <x:v>Keshika Nuthoo</x:v>
      </x:c>
      <x:c r="B1698" t="str">
        <x:v>Mauritius</x:v>
      </x:c>
      <x:c r="C1698" t="str">
        <x:v>MU</x:v>
      </x:c>
      <x:c r="D1698" t="str">
        <x:v>keshika.nuthoo@pwc.com</x:v>
      </x:c>
      <x:c r="E1698" t="str">
        <x:v>Option 2</x:v>
      </x:c>
      <x:c r="F1698" t="n">
        <x:v>0.05443287037037037</x:v>
      </x:c>
      <x:c r="G1698" t="n">
        <x:v>4703</x:v>
      </x:c>
      <x:c r="H1698" t="str">
        <x:v>Partially attended</x:v>
      </x:c>
      <x:c r="I1698" t="str">
        <x:v>Yes</x:v>
      </x:c>
    </x:row>
    <x:row r="1699">
      <x:c r="A1699" t="str">
        <x:v>Keshika Nuthoo</x:v>
      </x:c>
      <x:c r="B1699" t="str">
        <x:v>Mauritius</x:v>
      </x:c>
      <x:c r="C1699" t="str">
        <x:v>MU</x:v>
      </x:c>
      <x:c r="D1699" t="str">
        <x:v>keshika.nuthoo@pwc.com</x:v>
      </x:c>
      <x:c r="E1699" t="str">
        <x:v>Combined</x:v>
      </x:c>
      <x:c r="F1699" t="n">
        <x:v>0.05443287037037037</x:v>
      </x:c>
      <x:c r="G1699" t="n">
        <x:v>4703</x:v>
      </x:c>
      <x:c r="H1699" t="str">
        <x:v>Partially attended</x:v>
      </x:c>
      <x:c r="I1699" t="str">
        <x:v>Yes</x:v>
      </x:c>
    </x:row>
    <x:row r="1700">
      <x:c r="A1700" t="str">
        <x:v>Keziah Muchiri</x:v>
      </x:c>
      <x:c r="B1700" t="str">
        <x:v>Kenya</x:v>
      </x:c>
      <x:c r="C1700" t="str">
        <x:v>KE</x:v>
      </x:c>
      <x:c r="D1700" t="str">
        <x:v>keziah.muchiri@pwc.com</x:v>
      </x:c>
      <x:c r="E1700" t="str">
        <x:v>Option 1</x:v>
      </x:c>
      <x:c r="F1700" t="n">
        <x:v>0</x:v>
      </x:c>
      <x:c r="G1700" t="n">
        <x:v>0</x:v>
      </x:c>
      <x:c r="H1700" t="str">
        <x:v>Did not attend</x:v>
      </x:c>
      <x:c r="I1700" t="str">
        <x:v>No</x:v>
      </x:c>
    </x:row>
    <x:row r="1701">
      <x:c r="A1701" t="str">
        <x:v>Keziah Muchiri</x:v>
      </x:c>
      <x:c r="B1701" t="str">
        <x:v>Kenya</x:v>
      </x:c>
      <x:c r="C1701" t="str">
        <x:v>KE</x:v>
      </x:c>
      <x:c r="D1701" t="str">
        <x:v>keziah.muchiri@pwc.com</x:v>
      </x:c>
      <x:c r="E1701" t="str">
        <x:v>Option 2</x:v>
      </x:c>
      <x:c r="F1701" t="n">
        <x:v>0.07855324074074074</x:v>
      </x:c>
      <x:c r="G1701" t="n">
        <x:v>6787</x:v>
      </x:c>
      <x:c r="H1701" t="str">
        <x:v>Fully attended</x:v>
      </x:c>
      <x:c r="I1701" t="str">
        <x:v>Yes</x:v>
      </x:c>
    </x:row>
    <x:row r="1702">
      <x:c r="A1702" t="str">
        <x:v>Keziah Muchiri</x:v>
      </x:c>
      <x:c r="B1702" t="str">
        <x:v>Kenya</x:v>
      </x:c>
      <x:c r="C1702" t="str">
        <x:v>KE</x:v>
      </x:c>
      <x:c r="D1702" t="str">
        <x:v>keziah.muchiri@pwc.com</x:v>
      </x:c>
      <x:c r="E1702" t="str">
        <x:v>Combined</x:v>
      </x:c>
      <x:c r="F1702" t="n">
        <x:v>0.07855324074074074</x:v>
      </x:c>
      <x:c r="G1702" t="n">
        <x:v>6787</x:v>
      </x:c>
      <x:c r="H1702" t="str">
        <x:v>Fully attended</x:v>
      </x:c>
      <x:c r="I1702" t="str">
        <x:v>Yes</x:v>
      </x:c>
    </x:row>
    <x:row r="1703">
      <x:c r="A1703" t="str">
        <x:v>Khushal Newoor</x:v>
      </x:c>
      <x:c r="B1703" t="str">
        <x:v>Mauritius</x:v>
      </x:c>
      <x:c r="C1703" t="str">
        <x:v>MU</x:v>
      </x:c>
      <x:c r="D1703" t="str">
        <x:v>khushal.newoor@pwc.com</x:v>
      </x:c>
      <x:c r="E1703" t="str">
        <x:v>Option 1</x:v>
      </x:c>
      <x:c r="F1703" t="n">
        <x:v>0</x:v>
      </x:c>
      <x:c r="G1703" t="n">
        <x:v>0</x:v>
      </x:c>
      <x:c r="H1703" t="str">
        <x:v>Did not attend</x:v>
      </x:c>
      <x:c r="I1703" t="str">
        <x:v>No</x:v>
      </x:c>
    </x:row>
    <x:row r="1704">
      <x:c r="A1704" t="str">
        <x:v>Khushal Newoor</x:v>
      </x:c>
      <x:c r="B1704" t="str">
        <x:v>Mauritius</x:v>
      </x:c>
      <x:c r="C1704" t="str">
        <x:v>MU</x:v>
      </x:c>
      <x:c r="D1704" t="str">
        <x:v>khushal.newoor@pwc.com</x:v>
      </x:c>
      <x:c r="E1704" t="str">
        <x:v>Option 2</x:v>
      </x:c>
      <x:c r="F1704" t="n">
        <x:v>0.06502314814814815</x:v>
      </x:c>
      <x:c r="G1704" t="n">
        <x:v>5618</x:v>
      </x:c>
      <x:c r="H1704" t="str">
        <x:v>Fully attended</x:v>
      </x:c>
      <x:c r="I1704" t="str">
        <x:v>Yes</x:v>
      </x:c>
    </x:row>
    <x:row r="1705">
      <x:c r="A1705" t="str">
        <x:v>Khushal Newoor</x:v>
      </x:c>
      <x:c r="B1705" t="str">
        <x:v>Mauritius</x:v>
      </x:c>
      <x:c r="C1705" t="str">
        <x:v>MU</x:v>
      </x:c>
      <x:c r="D1705" t="str">
        <x:v>khushal.newoor@pwc.com</x:v>
      </x:c>
      <x:c r="E1705" t="str">
        <x:v>Combined</x:v>
      </x:c>
      <x:c r="F1705" t="n">
        <x:v>0.06502314814814815</x:v>
      </x:c>
      <x:c r="G1705" t="n">
        <x:v>5618</x:v>
      </x:c>
      <x:c r="H1705" t="str">
        <x:v>Fully attended</x:v>
      </x:c>
      <x:c r="I1705" t="str">
        <x:v>Yes</x:v>
      </x:c>
    </x:row>
    <x:row r="1706">
      <x:c r="A1706" t="str">
        <x:v>Kunda Musolo</x:v>
      </x:c>
      <x:c r="B1706" t="str">
        <x:v>Zambia</x:v>
      </x:c>
      <x:c r="C1706" t="str">
        <x:v>ZM</x:v>
      </x:c>
      <x:c r="D1706" t="str">
        <x:v>kunda.musolo@pwc.com</x:v>
      </x:c>
      <x:c r="E1706" t="str">
        <x:v>Option 1</x:v>
      </x:c>
      <x:c r="F1706" t="n">
        <x:v>0.06224537037037037</x:v>
      </x:c>
      <x:c r="G1706" t="n">
        <x:v>5378</x:v>
      </x:c>
      <x:c r="H1706" t="str">
        <x:v>Partially attended</x:v>
      </x:c>
      <x:c r="I1706" t="str">
        <x:v>Yes</x:v>
      </x:c>
    </x:row>
    <x:row r="1707">
      <x:c r="A1707" t="str">
        <x:v>Kunda Musolo</x:v>
      </x:c>
      <x:c r="B1707" t="str">
        <x:v>Zambia</x:v>
      </x:c>
      <x:c r="C1707" t="str">
        <x:v>ZM</x:v>
      </x:c>
      <x:c r="D1707" t="str">
        <x:v>kunda.musolo@pwc.com</x:v>
      </x:c>
      <x:c r="E1707" t="str">
        <x:v>Option 2</x:v>
      </x:c>
      <x:c r="F1707" t="n">
        <x:v>0</x:v>
      </x:c>
      <x:c r="G1707" t="n">
        <x:v>0</x:v>
      </x:c>
      <x:c r="H1707" t="str">
        <x:v>Did not attend</x:v>
      </x:c>
      <x:c r="I1707" t="str">
        <x:v>No</x:v>
      </x:c>
    </x:row>
    <x:row r="1708">
      <x:c r="A1708" t="str">
        <x:v>Kunda Musolo</x:v>
      </x:c>
      <x:c r="B1708" t="str">
        <x:v>Zambia</x:v>
      </x:c>
      <x:c r="C1708" t="str">
        <x:v>ZM</x:v>
      </x:c>
      <x:c r="D1708" t="str">
        <x:v>kunda.musolo@pwc.com</x:v>
      </x:c>
      <x:c r="E1708" t="str">
        <x:v>Combined</x:v>
      </x:c>
      <x:c r="F1708" t="n">
        <x:v>0.06224537037037037</x:v>
      </x:c>
      <x:c r="G1708" t="n">
        <x:v>5378</x:v>
      </x:c>
      <x:c r="H1708" t="str">
        <x:v>Partially attended</x:v>
      </x:c>
      <x:c r="I1708" t="str">
        <x:v>Yes</x:v>
      </x:c>
    </x:row>
    <x:row r="1709">
      <x:c r="A1709" t="str">
        <x:v>Lage Kasaro</x:v>
      </x:c>
      <x:c r="B1709" t="str">
        <x:v>Zambia</x:v>
      </x:c>
      <x:c r="C1709" t="str">
        <x:v>ZM</x:v>
      </x:c>
      <x:c r="D1709" t="str">
        <x:v>lage.kasaro@pwc.com</x:v>
      </x:c>
      <x:c r="E1709" t="str">
        <x:v>Option 1</x:v>
      </x:c>
      <x:c r="F1709" t="n">
        <x:v>0</x:v>
      </x:c>
      <x:c r="G1709" t="n">
        <x:v>0</x:v>
      </x:c>
      <x:c r="H1709" t="str">
        <x:v>Did not attend</x:v>
      </x:c>
      <x:c r="I1709" t="str">
        <x:v>No</x:v>
      </x:c>
    </x:row>
    <x:row r="1710">
      <x:c r="A1710" t="str">
        <x:v>Lage Kasaro</x:v>
      </x:c>
      <x:c r="B1710" t="str">
        <x:v>Zambia</x:v>
      </x:c>
      <x:c r="C1710" t="str">
        <x:v>ZM</x:v>
      </x:c>
      <x:c r="D1710" t="str">
        <x:v>lage.kasaro@pwc.com</x:v>
      </x:c>
      <x:c r="E1710" t="str">
        <x:v>Option 2</x:v>
      </x:c>
      <x:c r="F1710" t="n">
        <x:v>0.06234953703703704</x:v>
      </x:c>
      <x:c r="G1710" t="n">
        <x:v>5387</x:v>
      </x:c>
      <x:c r="H1710" t="str">
        <x:v>Partially attended</x:v>
      </x:c>
      <x:c r="I1710" t="str">
        <x:v>Yes</x:v>
      </x:c>
    </x:row>
    <x:row r="1711">
      <x:c r="A1711" t="str">
        <x:v>Lage Kasaro</x:v>
      </x:c>
      <x:c r="B1711" t="str">
        <x:v>Zambia</x:v>
      </x:c>
      <x:c r="C1711" t="str">
        <x:v>ZM</x:v>
      </x:c>
      <x:c r="D1711" t="str">
        <x:v>lage.kasaro@pwc.com</x:v>
      </x:c>
      <x:c r="E1711" t="str">
        <x:v>Combined</x:v>
      </x:c>
      <x:c r="F1711" t="n">
        <x:v>0.06234953703703704</x:v>
      </x:c>
      <x:c r="G1711" t="n">
        <x:v>5387</x:v>
      </x:c>
      <x:c r="H1711" t="str">
        <x:v>Partially attended</x:v>
      </x:c>
      <x:c r="I1711" t="str">
        <x:v>Yes</x:v>
      </x:c>
    </x:row>
    <x:row r="1712">
      <x:c r="A1712" t="str">
        <x:v>Longo Sikazwe</x:v>
      </x:c>
      <x:c r="B1712" t="str">
        <x:v>Zambia</x:v>
      </x:c>
      <x:c r="C1712" t="str">
        <x:v>ZM</x:v>
      </x:c>
      <x:c r="D1712" t="str">
        <x:v>longo.sikazwe@pwc.com</x:v>
      </x:c>
      <x:c r="E1712" t="str">
        <x:v>Option 1</x:v>
      </x:c>
      <x:c r="F1712" t="n">
        <x:v>0</x:v>
      </x:c>
      <x:c r="G1712" t="n">
        <x:v>0</x:v>
      </x:c>
      <x:c r="H1712" t="str">
        <x:v>Did not attend</x:v>
      </x:c>
      <x:c r="I1712" t="str">
        <x:v>No</x:v>
      </x:c>
    </x:row>
    <x:row r="1713">
      <x:c r="A1713" t="str">
        <x:v>Longo Sikazwe</x:v>
      </x:c>
      <x:c r="B1713" t="str">
        <x:v>Zambia</x:v>
      </x:c>
      <x:c r="C1713" t="str">
        <x:v>ZM</x:v>
      </x:c>
      <x:c r="D1713" t="str">
        <x:v>longo.sikazwe@pwc.com</x:v>
      </x:c>
      <x:c r="E1713" t="str">
        <x:v>Option 2</x:v>
      </x:c>
      <x:c r="F1713" t="n">
        <x:v>0.08032407407407408</x:v>
      </x:c>
      <x:c r="G1713" t="n">
        <x:v>6940</x:v>
      </x:c>
      <x:c r="H1713" t="str">
        <x:v>Fully attended</x:v>
      </x:c>
      <x:c r="I1713" t="str">
        <x:v>Yes</x:v>
      </x:c>
    </x:row>
    <x:row r="1714">
      <x:c r="A1714" t="str">
        <x:v>Longo Sikazwe</x:v>
      </x:c>
      <x:c r="B1714" t="str">
        <x:v>Zambia</x:v>
      </x:c>
      <x:c r="C1714" t="str">
        <x:v>ZM</x:v>
      </x:c>
      <x:c r="D1714" t="str">
        <x:v>longo.sikazwe@pwc.com</x:v>
      </x:c>
      <x:c r="E1714" t="str">
        <x:v>Combined</x:v>
      </x:c>
      <x:c r="F1714" t="n">
        <x:v>0.08032407407407408</x:v>
      </x:c>
      <x:c r="G1714" t="n">
        <x:v>6940</x:v>
      </x:c>
      <x:c r="H1714" t="str">
        <x:v>Fully attended</x:v>
      </x:c>
      <x:c r="I1714" t="str">
        <x:v>Yes</x:v>
      </x:c>
    </x:row>
    <x:row r="1715">
      <x:c r="A1715" t="str">
        <x:v>Lovena Kullean</x:v>
      </x:c>
      <x:c r="B1715" t="str">
        <x:v>Mauritius</x:v>
      </x:c>
      <x:c r="C1715" t="str">
        <x:v>MU</x:v>
      </x:c>
      <x:c r="D1715" t="str">
        <x:v>lovena.kullean@pwc.com</x:v>
      </x:c>
      <x:c r="E1715" t="str">
        <x:v>Option 1</x:v>
      </x:c>
      <x:c r="F1715" t="n">
        <x:v>0</x:v>
      </x:c>
      <x:c r="G1715" t="n">
        <x:v>0</x:v>
      </x:c>
      <x:c r="H1715" t="str">
        <x:v>Did not attend</x:v>
      </x:c>
      <x:c r="I1715" t="str">
        <x:v>No</x:v>
      </x:c>
    </x:row>
    <x:row r="1716">
      <x:c r="A1716" t="str">
        <x:v>Lovena Kullean</x:v>
      </x:c>
      <x:c r="B1716" t="str">
        <x:v>Mauritius</x:v>
      </x:c>
      <x:c r="C1716" t="str">
        <x:v>MU</x:v>
      </x:c>
      <x:c r="D1716" t="str">
        <x:v>lovena.kullean@pwc.com</x:v>
      </x:c>
      <x:c r="E1716" t="str">
        <x:v>Option 2</x:v>
      </x:c>
      <x:c r="F1716" t="n">
        <x:v>0.08313657407407407</x:v>
      </x:c>
      <x:c r="G1716" t="n">
        <x:v>7183</x:v>
      </x:c>
      <x:c r="H1716" t="str">
        <x:v>Fully attended</x:v>
      </x:c>
      <x:c r="I1716" t="str">
        <x:v>Yes</x:v>
      </x:c>
    </x:row>
    <x:row r="1717">
      <x:c r="A1717" t="str">
        <x:v>Lovena Kullean</x:v>
      </x:c>
      <x:c r="B1717" t="str">
        <x:v>Mauritius</x:v>
      </x:c>
      <x:c r="C1717" t="str">
        <x:v>MU</x:v>
      </x:c>
      <x:c r="D1717" t="str">
        <x:v>lovena.kullean@pwc.com</x:v>
      </x:c>
      <x:c r="E1717" t="str">
        <x:v>Combined</x:v>
      </x:c>
      <x:c r="F1717" t="n">
        <x:v>0.08313657407407407</x:v>
      </x:c>
      <x:c r="G1717" t="n">
        <x:v>7183</x:v>
      </x:c>
      <x:c r="H1717" t="str">
        <x:v>Fully attended</x:v>
      </x:c>
      <x:c r="I1717" t="str">
        <x:v>Yes</x:v>
      </x:c>
    </x:row>
    <x:row r="1718">
      <x:c r="A1718" t="str">
        <x:v>Malike Uwizeyimana</x:v>
      </x:c>
      <x:c r="B1718" t="str">
        <x:v>Rwanda</x:v>
      </x:c>
      <x:c r="C1718" t="str">
        <x:v>RW</x:v>
      </x:c>
      <x:c r="D1718" t="str">
        <x:v>malike.uwizeyimana@pwc.com</x:v>
      </x:c>
      <x:c r="E1718" t="str">
        <x:v>Option 1</x:v>
      </x:c>
      <x:c r="F1718" t="n">
        <x:v>0.07266203703703704</x:v>
      </x:c>
      <x:c r="G1718" t="n">
        <x:v>6278</x:v>
      </x:c>
      <x:c r="H1718" t="str">
        <x:v>Fully attended</x:v>
      </x:c>
      <x:c r="I1718" t="str">
        <x:v>Yes</x:v>
      </x:c>
    </x:row>
    <x:row r="1719">
      <x:c r="A1719" t="str">
        <x:v>Malike Uwizeyimana</x:v>
      </x:c>
      <x:c r="B1719" t="str">
        <x:v>Rwanda</x:v>
      </x:c>
      <x:c r="C1719" t="str">
        <x:v>RW</x:v>
      </x:c>
      <x:c r="D1719" t="str">
        <x:v>malike.uwizeyimana@pwc.com</x:v>
      </x:c>
      <x:c r="E1719" t="str">
        <x:v>Option 2</x:v>
      </x:c>
      <x:c r="F1719" t="n">
        <x:v>0</x:v>
      </x:c>
      <x:c r="G1719" t="n">
        <x:v>0</x:v>
      </x:c>
      <x:c r="H1719" t="str">
        <x:v>Did not attend</x:v>
      </x:c>
      <x:c r="I1719" t="str">
        <x:v>No</x:v>
      </x:c>
    </x:row>
    <x:row r="1720">
      <x:c r="A1720" t="str">
        <x:v>Malike Uwizeyimana</x:v>
      </x:c>
      <x:c r="B1720" t="str">
        <x:v>Rwanda</x:v>
      </x:c>
      <x:c r="C1720" t="str">
        <x:v>RW</x:v>
      </x:c>
      <x:c r="D1720" t="str">
        <x:v>malike.uwizeyimana@pwc.com</x:v>
      </x:c>
      <x:c r="E1720" t="str">
        <x:v>Combined</x:v>
      </x:c>
      <x:c r="F1720" t="n">
        <x:v>0.07266203703703704</x:v>
      </x:c>
      <x:c r="G1720" t="n">
        <x:v>6278</x:v>
      </x:c>
      <x:c r="H1720" t="str">
        <x:v>Fully attended</x:v>
      </x:c>
      <x:c r="I1720" t="str">
        <x:v>Yes</x:v>
      </x:c>
    </x:row>
    <x:row r="1721">
      <x:c r="A1721" t="str">
        <x:v>Mamba Hachongo</x:v>
      </x:c>
      <x:c r="B1721" t="str">
        <x:v>Zambia</x:v>
      </x:c>
      <x:c r="C1721" t="str">
        <x:v>ZM</x:v>
      </x:c>
      <x:c r="D1721" t="str">
        <x:v>mamba.hachongo@pwc.com</x:v>
      </x:c>
      <x:c r="E1721" t="str">
        <x:v>Option 1</x:v>
      </x:c>
      <x:c r="F1721" t="n">
        <x:v>0</x:v>
      </x:c>
      <x:c r="G1721" t="n">
        <x:v>0</x:v>
      </x:c>
      <x:c r="H1721" t="str">
        <x:v>Did not attend</x:v>
      </x:c>
      <x:c r="I1721" t="str">
        <x:v>No</x:v>
      </x:c>
    </x:row>
    <x:row r="1722">
      <x:c r="A1722" t="str">
        <x:v>Mamba Hachongo</x:v>
      </x:c>
      <x:c r="B1722" t="str">
        <x:v>Zambia</x:v>
      </x:c>
      <x:c r="C1722" t="str">
        <x:v>ZM</x:v>
      </x:c>
      <x:c r="D1722" t="str">
        <x:v>mamba.hachongo@pwc.com</x:v>
      </x:c>
      <x:c r="E1722" t="str">
        <x:v>Option 2</x:v>
      </x:c>
      <x:c r="F1722" t="n">
        <x:v>0.0459375</x:v>
      </x:c>
      <x:c r="G1722" t="n">
        <x:v>3969</x:v>
      </x:c>
      <x:c r="H1722" t="str">
        <x:v>Partially attended</x:v>
      </x:c>
      <x:c r="I1722" t="str">
        <x:v>Yes</x:v>
      </x:c>
    </x:row>
    <x:row r="1723">
      <x:c r="A1723" t="str">
        <x:v>Mamba Hachongo</x:v>
      </x:c>
      <x:c r="B1723" t="str">
        <x:v>Zambia</x:v>
      </x:c>
      <x:c r="C1723" t="str">
        <x:v>ZM</x:v>
      </x:c>
      <x:c r="D1723" t="str">
        <x:v>mamba.hachongo@pwc.com</x:v>
      </x:c>
      <x:c r="E1723" t="str">
        <x:v>Combined</x:v>
      </x:c>
      <x:c r="F1723" t="n">
        <x:v>0.0459375</x:v>
      </x:c>
      <x:c r="G1723" t="n">
        <x:v>3969</x:v>
      </x:c>
      <x:c r="H1723" t="str">
        <x:v>Partially attended</x:v>
      </x:c>
      <x:c r="I1723" t="str">
        <x:v>Yes</x:v>
      </x:c>
    </x:row>
    <x:row r="1724">
      <x:c r="A1724" t="str">
        <x:v>Manisha Chensiah</x:v>
      </x:c>
      <x:c r="B1724" t="str">
        <x:v>Mauritius</x:v>
      </x:c>
      <x:c r="C1724" t="str">
        <x:v>MU</x:v>
      </x:c>
      <x:c r="D1724" t="str">
        <x:v>manisha.c.chensiah@pwc.com</x:v>
      </x:c>
      <x:c r="E1724" t="str">
        <x:v>Option 1</x:v>
      </x:c>
      <x:c r="F1724" t="n">
        <x:v>0</x:v>
      </x:c>
      <x:c r="G1724" t="n">
        <x:v>0</x:v>
      </x:c>
      <x:c r="H1724" t="str">
        <x:v>Did not attend</x:v>
      </x:c>
      <x:c r="I1724" t="str">
        <x:v>No</x:v>
      </x:c>
    </x:row>
    <x:row r="1725">
      <x:c r="A1725" t="str">
        <x:v>Manisha Chensiah</x:v>
      </x:c>
      <x:c r="B1725" t="str">
        <x:v>Mauritius</x:v>
      </x:c>
      <x:c r="C1725" t="str">
        <x:v>MU</x:v>
      </x:c>
      <x:c r="D1725" t="str">
        <x:v>manisha.c.chensiah@pwc.com</x:v>
      </x:c>
      <x:c r="E1725" t="str">
        <x:v>Option 2</x:v>
      </x:c>
      <x:c r="F1725" t="n">
        <x:v>0.08157407407407408</x:v>
      </x:c>
      <x:c r="G1725" t="n">
        <x:v>7048</x:v>
      </x:c>
      <x:c r="H1725" t="str">
        <x:v>Fully attended</x:v>
      </x:c>
      <x:c r="I1725" t="str">
        <x:v>Yes</x:v>
      </x:c>
    </x:row>
    <x:row r="1726">
      <x:c r="A1726" t="str">
        <x:v>Manisha Chensiah</x:v>
      </x:c>
      <x:c r="B1726" t="str">
        <x:v>Mauritius</x:v>
      </x:c>
      <x:c r="C1726" t="str">
        <x:v>MU</x:v>
      </x:c>
      <x:c r="D1726" t="str">
        <x:v>manisha.c.chensiah@pwc.com</x:v>
      </x:c>
      <x:c r="E1726" t="str">
        <x:v>Combined</x:v>
      </x:c>
      <x:c r="F1726" t="n">
        <x:v>0.08157407407407408</x:v>
      </x:c>
      <x:c r="G1726" t="n">
        <x:v>7048</x:v>
      </x:c>
      <x:c r="H1726" t="str">
        <x:v>Fully attended</x:v>
      </x:c>
      <x:c r="I1726" t="str">
        <x:v>Yes</x:v>
      </x:c>
    </x:row>
    <x:row r="1727">
      <x:c r="A1727" t="str">
        <x:v>Margaret Akinyi</x:v>
      </x:c>
      <x:c r="B1727" t="str">
        <x:v>Kenya</x:v>
      </x:c>
      <x:c r="C1727" t="str">
        <x:v>KE</x:v>
      </x:c>
      <x:c r="D1727" t="str">
        <x:v>margaret.akinyi@pwc.com</x:v>
      </x:c>
      <x:c r="E1727" t="str">
        <x:v>Option 1</x:v>
      </x:c>
      <x:c r="F1727" t="n">
        <x:v>0</x:v>
      </x:c>
      <x:c r="G1727" t="n">
        <x:v>0</x:v>
      </x:c>
      <x:c r="H1727" t="str">
        <x:v>Did not attend</x:v>
      </x:c>
      <x:c r="I1727" t="str">
        <x:v>No</x:v>
      </x:c>
    </x:row>
    <x:row r="1728">
      <x:c r="A1728" t="str">
        <x:v>Margaret Akinyi</x:v>
      </x:c>
      <x:c r="B1728" t="str">
        <x:v>Kenya</x:v>
      </x:c>
      <x:c r="C1728" t="str">
        <x:v>KE</x:v>
      </x:c>
      <x:c r="D1728" t="str">
        <x:v>margaret.akinyi@pwc.com</x:v>
      </x:c>
      <x:c r="E1728" t="str">
        <x:v>Option 2</x:v>
      </x:c>
      <x:c r="F1728" t="n">
        <x:v>0.04269675925925926</x:v>
      </x:c>
      <x:c r="G1728" t="n">
        <x:v>3689</x:v>
      </x:c>
      <x:c r="H1728" t="str">
        <x:v>Partially attended</x:v>
      </x:c>
      <x:c r="I1728" t="str">
        <x:v>Yes</x:v>
      </x:c>
    </x:row>
    <x:row r="1729">
      <x:c r="A1729" t="str">
        <x:v>Margaret Akinyi</x:v>
      </x:c>
      <x:c r="B1729" t="str">
        <x:v>Kenya</x:v>
      </x:c>
      <x:c r="C1729" t="str">
        <x:v>KE</x:v>
      </x:c>
      <x:c r="D1729" t="str">
        <x:v>margaret.akinyi@pwc.com</x:v>
      </x:c>
      <x:c r="E1729" t="str">
        <x:v>Combined</x:v>
      </x:c>
      <x:c r="F1729" t="n">
        <x:v>0.04269675925925926</x:v>
      </x:c>
      <x:c r="G1729" t="n">
        <x:v>3689</x:v>
      </x:c>
      <x:c r="H1729" t="str">
        <x:v>Partially attended</x:v>
      </x:c>
      <x:c r="I1729" t="str">
        <x:v>Yes</x:v>
      </x:c>
    </x:row>
    <x:row r="1730">
      <x:c r="A1730" t="str">
        <x:v>Maria Amasi</x:v>
      </x:c>
      <x:c r="B1730" t="str">
        <x:v>Tanzania</x:v>
      </x:c>
      <x:c r="C1730" t="str">
        <x:v>TZ</x:v>
      </x:c>
      <x:c r="D1730" t="str">
        <x:v>maria.amasi@pwc.com</x:v>
      </x:c>
      <x:c r="E1730" t="str">
        <x:v>Option 1</x:v>
      </x:c>
      <x:c r="F1730" t="n">
        <x:v>0.0784375</x:v>
      </x:c>
      <x:c r="G1730" t="n">
        <x:v>6777</x:v>
      </x:c>
      <x:c r="H1730" t="str">
        <x:v>Fully attended</x:v>
      </x:c>
      <x:c r="I1730" t="str">
        <x:v>Yes</x:v>
      </x:c>
    </x:row>
    <x:row r="1731">
      <x:c r="A1731" t="str">
        <x:v>Maria Amasi</x:v>
      </x:c>
      <x:c r="B1731" t="str">
        <x:v>Tanzania</x:v>
      </x:c>
      <x:c r="C1731" t="str">
        <x:v>TZ</x:v>
      </x:c>
      <x:c r="D1731" t="str">
        <x:v>maria.amasi@pwc.com</x:v>
      </x:c>
      <x:c r="E1731" t="str">
        <x:v>Option 2</x:v>
      </x:c>
      <x:c r="F1731" t="n">
        <x:v>0.04699074074074074</x:v>
      </x:c>
      <x:c r="G1731" t="n">
        <x:v>4060</x:v>
      </x:c>
      <x:c r="H1731" t="str">
        <x:v>Partially attended</x:v>
      </x:c>
      <x:c r="I1731" t="str">
        <x:v>Yes</x:v>
      </x:c>
    </x:row>
    <x:row r="1732">
      <x:c r="A1732" t="str">
        <x:v>Maria Amasi</x:v>
      </x:c>
      <x:c r="B1732" t="str">
        <x:v>Tanzania</x:v>
      </x:c>
      <x:c r="C1732" t="str">
        <x:v>TZ</x:v>
      </x:c>
      <x:c r="D1732" t="str">
        <x:v>maria.amasi@pwc.com</x:v>
      </x:c>
      <x:c r="E1732" t="str">
        <x:v>Combined</x:v>
      </x:c>
      <x:c r="F1732" t="n">
        <x:v>0.12542824074074074</x:v>
      </x:c>
      <x:c r="G1732" t="n">
        <x:v>10837</x:v>
      </x:c>
      <x:c r="H1732" t="str">
        <x:v>Fully attended</x:v>
      </x:c>
      <x:c r="I1732" t="str">
        <x:v>Yes</x:v>
      </x:c>
    </x:row>
    <x:row r="1733">
      <x:c r="A1733" t="str">
        <x:v>Marion Basil</x:v>
      </x:c>
      <x:c r="B1733" t="str">
        <x:v>Kenya</x:v>
      </x:c>
      <x:c r="C1733" t="str">
        <x:v>KE</x:v>
      </x:c>
      <x:c r="D1733" t="str">
        <x:v>marion.basil@pwc.com</x:v>
      </x:c>
      <x:c r="E1733" t="str">
        <x:v>Option 1</x:v>
      </x:c>
      <x:c r="F1733" t="n">
        <x:v>0.07146990740740741</x:v>
      </x:c>
      <x:c r="G1733" t="n">
        <x:v>6175</x:v>
      </x:c>
      <x:c r="H1733" t="str">
        <x:v>Fully attended</x:v>
      </x:c>
      <x:c r="I1733" t="str">
        <x:v>Yes</x:v>
      </x:c>
    </x:row>
    <x:row r="1734">
      <x:c r="A1734" t="str">
        <x:v>Marion Basil</x:v>
      </x:c>
      <x:c r="B1734" t="str">
        <x:v>Kenya</x:v>
      </x:c>
      <x:c r="C1734" t="str">
        <x:v>KE</x:v>
      </x:c>
      <x:c r="D1734" t="str">
        <x:v>marion.basil@pwc.com</x:v>
      </x:c>
      <x:c r="E1734" t="str">
        <x:v>Option 2</x:v>
      </x:c>
      <x:c r="F1734" t="n">
        <x:v>0.054699074074074074</x:v>
      </x:c>
      <x:c r="G1734" t="n">
        <x:v>4726</x:v>
      </x:c>
      <x:c r="H1734" t="str">
        <x:v>Partially attended</x:v>
      </x:c>
      <x:c r="I1734" t="str">
        <x:v>Yes</x:v>
      </x:c>
    </x:row>
    <x:row r="1735">
      <x:c r="A1735" t="str">
        <x:v>Marion Basil</x:v>
      </x:c>
      <x:c r="B1735" t="str">
        <x:v>Kenya</x:v>
      </x:c>
      <x:c r="C1735" t="str">
        <x:v>KE</x:v>
      </x:c>
      <x:c r="D1735" t="str">
        <x:v>marion.basil@pwc.com</x:v>
      </x:c>
      <x:c r="E1735" t="str">
        <x:v>Combined</x:v>
      </x:c>
      <x:c r="F1735" t="n">
        <x:v>0.12616898148148148</x:v>
      </x:c>
      <x:c r="G1735" t="n">
        <x:v>10901</x:v>
      </x:c>
      <x:c r="H1735" t="str">
        <x:v>Fully attended</x:v>
      </x:c>
      <x:c r="I1735" t="str">
        <x:v>Yes</x:v>
      </x:c>
    </x:row>
    <x:row r="1736">
      <x:c r="A1736" t="str">
        <x:v>Martin Niyonkuru</x:v>
      </x:c>
      <x:c r="B1736" t="str">
        <x:v>Rwanda</x:v>
      </x:c>
      <x:c r="C1736" t="str">
        <x:v>RW</x:v>
      </x:c>
      <x:c r="D1736" t="str">
        <x:v>yves.m.niyonkuru@pwc.com</x:v>
      </x:c>
      <x:c r="E1736" t="str">
        <x:v>Option 1</x:v>
      </x:c>
      <x:c r="F1736" t="n">
        <x:v>0.06528935185185185</x:v>
      </x:c>
      <x:c r="G1736" t="n">
        <x:v>5641</x:v>
      </x:c>
      <x:c r="H1736" t="str">
        <x:v>Fully attended</x:v>
      </x:c>
      <x:c r="I1736" t="str">
        <x:v>Yes</x:v>
      </x:c>
    </x:row>
    <x:row r="1737">
      <x:c r="A1737" t="str">
        <x:v>Martin Niyonkuru</x:v>
      </x:c>
      <x:c r="B1737" t="str">
        <x:v>Rwanda</x:v>
      </x:c>
      <x:c r="C1737" t="str">
        <x:v>RW</x:v>
      </x:c>
      <x:c r="D1737" t="str">
        <x:v>yves.m.niyonkuru@pwc.com</x:v>
      </x:c>
      <x:c r="E1737" t="str">
        <x:v>Option 2</x:v>
      </x:c>
      <x:c r="F1737" t="n">
        <x:v>0</x:v>
      </x:c>
      <x:c r="G1737" t="n">
        <x:v>0</x:v>
      </x:c>
      <x:c r="H1737" t="str">
        <x:v>Did not attend</x:v>
      </x:c>
      <x:c r="I1737" t="str">
        <x:v>No</x:v>
      </x:c>
    </x:row>
    <x:row r="1738">
      <x:c r="A1738" t="str">
        <x:v>Martin Niyonkuru</x:v>
      </x:c>
      <x:c r="B1738" t="str">
        <x:v>Rwanda</x:v>
      </x:c>
      <x:c r="C1738" t="str">
        <x:v>RW</x:v>
      </x:c>
      <x:c r="D1738" t="str">
        <x:v>yves.m.niyonkuru@pwc.com</x:v>
      </x:c>
      <x:c r="E1738" t="str">
        <x:v>Combined</x:v>
      </x:c>
      <x:c r="F1738" t="n">
        <x:v>0.06528935185185185</x:v>
      </x:c>
      <x:c r="G1738" t="n">
        <x:v>5641</x:v>
      </x:c>
      <x:c r="H1738" t="str">
        <x:v>Fully attended</x:v>
      </x:c>
      <x:c r="I1738" t="str">
        <x:v>Yes</x:v>
      </x:c>
    </x:row>
    <x:row r="1739">
      <x:c r="A1739" t="str">
        <x:v>Mary Lisa Leong</x:v>
      </x:c>
      <x:c r="B1739" t="str">
        <x:v>Mauritius</x:v>
      </x:c>
      <x:c r="C1739" t="str">
        <x:v>MU</x:v>
      </x:c>
      <x:c r="D1739" t="str">
        <x:v>mary.lisa.leong@pwc.com</x:v>
      </x:c>
      <x:c r="E1739" t="str">
        <x:v>Option 1</x:v>
      </x:c>
      <x:c r="F1739" t="n">
        <x:v>0</x:v>
      </x:c>
      <x:c r="G1739" t="n">
        <x:v>0</x:v>
      </x:c>
      <x:c r="H1739" t="str">
        <x:v>Did not attend</x:v>
      </x:c>
      <x:c r="I1739" t="str">
        <x:v>No</x:v>
      </x:c>
    </x:row>
    <x:row r="1740">
      <x:c r="A1740" t="str">
        <x:v>Mary Lisa Leong</x:v>
      </x:c>
      <x:c r="B1740" t="str">
        <x:v>Mauritius</x:v>
      </x:c>
      <x:c r="C1740" t="str">
        <x:v>MU</x:v>
      </x:c>
      <x:c r="D1740" t="str">
        <x:v>mary.lisa.leong@pwc.com</x:v>
      </x:c>
      <x:c r="E1740" t="str">
        <x:v>Option 2</x:v>
      </x:c>
      <x:c r="F1740" t="n">
        <x:v>0.05707175925925926</x:v>
      </x:c>
      <x:c r="G1740" t="n">
        <x:v>4931</x:v>
      </x:c>
      <x:c r="H1740" t="str">
        <x:v>Partially attended</x:v>
      </x:c>
      <x:c r="I1740" t="str">
        <x:v>Yes</x:v>
      </x:c>
    </x:row>
    <x:row r="1741">
      <x:c r="A1741" t="str">
        <x:v>Mary Lisa Leong</x:v>
      </x:c>
      <x:c r="B1741" t="str">
        <x:v>Mauritius</x:v>
      </x:c>
      <x:c r="C1741" t="str">
        <x:v>MU</x:v>
      </x:c>
      <x:c r="D1741" t="str">
        <x:v>mary.lisa.leong@pwc.com</x:v>
      </x:c>
      <x:c r="E1741" t="str">
        <x:v>Combined</x:v>
      </x:c>
      <x:c r="F1741" t="n">
        <x:v>0.05707175925925926</x:v>
      </x:c>
      <x:c r="G1741" t="n">
        <x:v>4931</x:v>
      </x:c>
      <x:c r="H1741" t="str">
        <x:v>Partially attended</x:v>
      </x:c>
      <x:c r="I1741" t="str">
        <x:v>Yes</x:v>
      </x:c>
    </x:row>
    <x:row r="1742">
      <x:c r="A1742" t="str">
        <x:v>Maryam Majid</x:v>
      </x:c>
      <x:c r="B1742" t="str">
        <x:v>Tanzania</x:v>
      </x:c>
      <x:c r="C1742" t="str">
        <x:v>TZ</x:v>
      </x:c>
      <x:c r="D1742" t="str">
        <x:v>maryam.majid@pwc.com</x:v>
      </x:c>
      <x:c r="E1742" t="str">
        <x:v>Option 1</x:v>
      </x:c>
      <x:c r="F1742" t="n">
        <x:v>0.07731481481481481</x:v>
      </x:c>
      <x:c r="G1742" t="n">
        <x:v>6680</x:v>
      </x:c>
      <x:c r="H1742" t="str">
        <x:v>Fully attended</x:v>
      </x:c>
      <x:c r="I1742" t="str">
        <x:v>Yes</x:v>
      </x:c>
    </x:row>
    <x:row r="1743">
      <x:c r="A1743" t="str">
        <x:v>Maryam Majid</x:v>
      </x:c>
      <x:c r="B1743" t="str">
        <x:v>Tanzania</x:v>
      </x:c>
      <x:c r="C1743" t="str">
        <x:v>TZ</x:v>
      </x:c>
      <x:c r="D1743" t="str">
        <x:v>maryam.majid@pwc.com</x:v>
      </x:c>
      <x:c r="E1743" t="str">
        <x:v>Option 2</x:v>
      </x:c>
      <x:c r="F1743" t="n">
        <x:v>0</x:v>
      </x:c>
      <x:c r="G1743" t="n">
        <x:v>0</x:v>
      </x:c>
      <x:c r="H1743" t="str">
        <x:v>Did not attend</x:v>
      </x:c>
      <x:c r="I1743" t="str">
        <x:v>No</x:v>
      </x:c>
    </x:row>
    <x:row r="1744">
      <x:c r="A1744" t="str">
        <x:v>Maryam Majid</x:v>
      </x:c>
      <x:c r="B1744" t="str">
        <x:v>Tanzania</x:v>
      </x:c>
      <x:c r="C1744" t="str">
        <x:v>TZ</x:v>
      </x:c>
      <x:c r="D1744" t="str">
        <x:v>maryam.majid@pwc.com</x:v>
      </x:c>
      <x:c r="E1744" t="str">
        <x:v>Combined</x:v>
      </x:c>
      <x:c r="F1744" t="n">
        <x:v>0.07731481481481481</x:v>
      </x:c>
      <x:c r="G1744" t="n">
        <x:v>6680</x:v>
      </x:c>
      <x:c r="H1744" t="str">
        <x:v>Fully attended</x:v>
      </x:c>
      <x:c r="I1744" t="str">
        <x:v>Yes</x:v>
      </x:c>
    </x:row>
    <x:row r="1745">
      <x:c r="A1745" t="str">
        <x:v>Massooto Maurice</x:v>
      </x:c>
      <x:c r="B1745" t="str">
        <x:v>Uganda</x:v>
      </x:c>
      <x:c r="C1745" t="str">
        <x:v>UG</x:v>
      </x:c>
      <x:c r="D1745" t="str">
        <x:v>massooto.maurice@pwc.com</x:v>
      </x:c>
      <x:c r="E1745" t="str">
        <x:v>Option 1</x:v>
      </x:c>
      <x:c r="F1745" t="n">
        <x:v>0.08991898148148147</x:v>
      </x:c>
      <x:c r="G1745" t="n">
        <x:v>7769</x:v>
      </x:c>
      <x:c r="H1745" t="str">
        <x:v>Fully attended</x:v>
      </x:c>
      <x:c r="I1745" t="str">
        <x:v>Yes</x:v>
      </x:c>
    </x:row>
    <x:row r="1746">
      <x:c r="A1746" t="str">
        <x:v>Massooto Maurice</x:v>
      </x:c>
      <x:c r="B1746" t="str">
        <x:v>Uganda</x:v>
      </x:c>
      <x:c r="C1746" t="str">
        <x:v>UG</x:v>
      </x:c>
      <x:c r="D1746" t="str">
        <x:v>massooto.maurice@pwc.com</x:v>
      </x:c>
      <x:c r="E1746" t="str">
        <x:v>Option 2</x:v>
      </x:c>
      <x:c r="F1746" t="n">
        <x:v>0</x:v>
      </x:c>
      <x:c r="G1746" t="n">
        <x:v>0</x:v>
      </x:c>
      <x:c r="H1746" t="str">
        <x:v>Did not attend</x:v>
      </x:c>
      <x:c r="I1746" t="str">
        <x:v>No</x:v>
      </x:c>
    </x:row>
    <x:row r="1747">
      <x:c r="A1747" t="str">
        <x:v>Massooto Maurice</x:v>
      </x:c>
      <x:c r="B1747" t="str">
        <x:v>Uganda</x:v>
      </x:c>
      <x:c r="C1747" t="str">
        <x:v>UG</x:v>
      </x:c>
      <x:c r="D1747" t="str">
        <x:v>massooto.maurice@pwc.com</x:v>
      </x:c>
      <x:c r="E1747" t="str">
        <x:v>Combined</x:v>
      </x:c>
      <x:c r="F1747" t="n">
        <x:v>0.08991898148148147</x:v>
      </x:c>
      <x:c r="G1747" t="n">
        <x:v>7769</x:v>
      </x:c>
      <x:c r="H1747" t="str">
        <x:v>Fully attended</x:v>
      </x:c>
      <x:c r="I1747" t="str">
        <x:v>Yes</x:v>
      </x:c>
    </x:row>
    <x:row r="1748">
      <x:c r="A1748" t="str">
        <x:v>Maureen Isagi</x:v>
      </x:c>
      <x:c r="B1748" t="str">
        <x:v>Kenya</x:v>
      </x:c>
      <x:c r="C1748" t="str">
        <x:v>KE</x:v>
      </x:c>
      <x:c r="D1748" t="str">
        <x:v>maureen.isagi@pwc.com</x:v>
      </x:c>
      <x:c r="E1748" t="str">
        <x:v>Option 1</x:v>
      </x:c>
      <x:c r="F1748" t="n">
        <x:v>0</x:v>
      </x:c>
      <x:c r="G1748" t="n">
        <x:v>0</x:v>
      </x:c>
      <x:c r="H1748" t="str">
        <x:v>Did not attend</x:v>
      </x:c>
      <x:c r="I1748" t="str">
        <x:v>No</x:v>
      </x:c>
    </x:row>
    <x:row r="1749">
      <x:c r="A1749" t="str">
        <x:v>Maureen Isagi</x:v>
      </x:c>
      <x:c r="B1749" t="str">
        <x:v>Kenya</x:v>
      </x:c>
      <x:c r="C1749" t="str">
        <x:v>KE</x:v>
      </x:c>
      <x:c r="D1749" t="str">
        <x:v>maureen.isagi@pwc.com</x:v>
      </x:c>
      <x:c r="E1749" t="str">
        <x:v>Option 2</x:v>
      </x:c>
      <x:c r="F1749" t="n">
        <x:v>0.0574537037037037</x:v>
      </x:c>
      <x:c r="G1749" t="n">
        <x:v>4964</x:v>
      </x:c>
      <x:c r="H1749" t="str">
        <x:v>Partially attended</x:v>
      </x:c>
      <x:c r="I1749" t="str">
        <x:v>Yes</x:v>
      </x:c>
    </x:row>
    <x:row r="1750">
      <x:c r="A1750" t="str">
        <x:v>Maureen Isagi</x:v>
      </x:c>
      <x:c r="B1750" t="str">
        <x:v>Kenya</x:v>
      </x:c>
      <x:c r="C1750" t="str">
        <x:v>KE</x:v>
      </x:c>
      <x:c r="D1750" t="str">
        <x:v>maureen.isagi@pwc.com</x:v>
      </x:c>
      <x:c r="E1750" t="str">
        <x:v>Combined</x:v>
      </x:c>
      <x:c r="F1750" t="n">
        <x:v>0.0574537037037037</x:v>
      </x:c>
      <x:c r="G1750" t="n">
        <x:v>4964</x:v>
      </x:c>
      <x:c r="H1750" t="str">
        <x:v>Partially attended</x:v>
      </x:c>
      <x:c r="I1750" t="str">
        <x:v>Yes</x:v>
      </x:c>
    </x:row>
    <x:row r="1751">
      <x:c r="A1751" t="str">
        <x:v>Maurine Cheptoo</x:v>
      </x:c>
      <x:c r="B1751" t="str">
        <x:v>Kenya</x:v>
      </x:c>
      <x:c r="C1751" t="str">
        <x:v>KE</x:v>
      </x:c>
      <x:c r="D1751" t="str">
        <x:v>maurine.cheptoo@pwc.com</x:v>
      </x:c>
      <x:c r="E1751" t="str">
        <x:v>Option 1</x:v>
      </x:c>
      <x:c r="F1751" t="n">
        <x:v>0.07084490740740741</x:v>
      </x:c>
      <x:c r="G1751" t="n">
        <x:v>6121</x:v>
      </x:c>
      <x:c r="H1751" t="str">
        <x:v>Fully attended</x:v>
      </x:c>
      <x:c r="I1751" t="str">
        <x:v>Yes</x:v>
      </x:c>
    </x:row>
    <x:row r="1752">
      <x:c r="A1752" t="str">
        <x:v>Maurine Cheptoo</x:v>
      </x:c>
      <x:c r="B1752" t="str">
        <x:v>Kenya</x:v>
      </x:c>
      <x:c r="C1752" t="str">
        <x:v>KE</x:v>
      </x:c>
      <x:c r="D1752" t="str">
        <x:v>maurine.cheptoo@pwc.com</x:v>
      </x:c>
      <x:c r="E1752" t="str">
        <x:v>Option 2</x:v>
      </x:c>
      <x:c r="F1752" t="n">
        <x:v>0</x:v>
      </x:c>
      <x:c r="G1752" t="n">
        <x:v>0</x:v>
      </x:c>
      <x:c r="H1752" t="str">
        <x:v>Did not attend</x:v>
      </x:c>
      <x:c r="I1752" t="str">
        <x:v>No</x:v>
      </x:c>
    </x:row>
    <x:row r="1753">
      <x:c r="A1753" t="str">
        <x:v>Maurine Cheptoo</x:v>
      </x:c>
      <x:c r="B1753" t="str">
        <x:v>Kenya</x:v>
      </x:c>
      <x:c r="C1753" t="str">
        <x:v>KE</x:v>
      </x:c>
      <x:c r="D1753" t="str">
        <x:v>maurine.cheptoo@pwc.com</x:v>
      </x:c>
      <x:c r="E1753" t="str">
        <x:v>Combined</x:v>
      </x:c>
      <x:c r="F1753" t="n">
        <x:v>0.07084490740740741</x:v>
      </x:c>
      <x:c r="G1753" t="n">
        <x:v>6121</x:v>
      </x:c>
      <x:c r="H1753" t="str">
        <x:v>Fully attended</x:v>
      </x:c>
      <x:c r="I1753" t="str">
        <x:v>Yes</x:v>
      </x:c>
    </x:row>
    <x:row r="1754">
      <x:c r="A1754" t="str">
        <x:v>Mellisa Nassaka</x:v>
      </x:c>
      <x:c r="B1754" t="str">
        <x:v>Uganda</x:v>
      </x:c>
      <x:c r="C1754" t="str">
        <x:v>UG</x:v>
      </x:c>
      <x:c r="D1754" t="str">
        <x:v>mellisa.nassaka@pwc.com</x:v>
      </x:c>
      <x:c r="E1754" t="str">
        <x:v>Option 1</x:v>
      </x:c>
      <x:c r="F1754" t="n">
        <x:v>0</x:v>
      </x:c>
      <x:c r="G1754" t="n">
        <x:v>0</x:v>
      </x:c>
      <x:c r="H1754" t="str">
        <x:v>Did not attend</x:v>
      </x:c>
      <x:c r="I1754" t="str">
        <x:v>No</x:v>
      </x:c>
    </x:row>
    <x:row r="1755">
      <x:c r="A1755" t="str">
        <x:v>Mellisa Nassaka</x:v>
      </x:c>
      <x:c r="B1755" t="str">
        <x:v>Uganda</x:v>
      </x:c>
      <x:c r="C1755" t="str">
        <x:v>UG</x:v>
      </x:c>
      <x:c r="D1755" t="str">
        <x:v>mellisa.nassaka@pwc.com</x:v>
      </x:c>
      <x:c r="E1755" t="str">
        <x:v>Option 2</x:v>
      </x:c>
      <x:c r="F1755" t="n">
        <x:v>0.08057870370370371</x:v>
      </x:c>
      <x:c r="G1755" t="n">
        <x:v>6962</x:v>
      </x:c>
      <x:c r="H1755" t="str">
        <x:v>Fully attended</x:v>
      </x:c>
      <x:c r="I1755" t="str">
        <x:v>Yes</x:v>
      </x:c>
    </x:row>
    <x:row r="1756">
      <x:c r="A1756" t="str">
        <x:v>Mellisa Nassaka</x:v>
      </x:c>
      <x:c r="B1756" t="str">
        <x:v>Uganda</x:v>
      </x:c>
      <x:c r="C1756" t="str">
        <x:v>UG</x:v>
      </x:c>
      <x:c r="D1756" t="str">
        <x:v>mellisa.nassaka@pwc.com</x:v>
      </x:c>
      <x:c r="E1756" t="str">
        <x:v>Combined</x:v>
      </x:c>
      <x:c r="F1756" t="n">
        <x:v>0.08057870370370371</x:v>
      </x:c>
      <x:c r="G1756" t="n">
        <x:v>6962</x:v>
      </x:c>
      <x:c r="H1756" t="str">
        <x:v>Fully attended</x:v>
      </x:c>
      <x:c r="I1756" t="str">
        <x:v>Yes</x:v>
      </x:c>
    </x:row>
    <x:row r="1757">
      <x:c r="A1757" t="str">
        <x:v>Melvin Xavier</x:v>
      </x:c>
      <x:c r="B1757" t="str">
        <x:v>Zambia</x:v>
      </x:c>
      <x:c r="C1757" t="str">
        <x:v>ZM</x:v>
      </x:c>
      <x:c r="D1757" t="str">
        <x:v>melvin.xavier@pwc.com</x:v>
      </x:c>
      <x:c r="E1757" t="str">
        <x:v>Option 1</x:v>
      </x:c>
      <x:c r="F1757" t="n">
        <x:v>0</x:v>
      </x:c>
      <x:c r="G1757" t="n">
        <x:v>0</x:v>
      </x:c>
      <x:c r="H1757" t="str">
        <x:v>Did not attend</x:v>
      </x:c>
      <x:c r="I1757" t="str">
        <x:v>No</x:v>
      </x:c>
    </x:row>
    <x:row r="1758">
      <x:c r="A1758" t="str">
        <x:v>Melvin Xavier</x:v>
      </x:c>
      <x:c r="B1758" t="str">
        <x:v>Zambia</x:v>
      </x:c>
      <x:c r="C1758" t="str">
        <x:v>ZM</x:v>
      </x:c>
      <x:c r="D1758" t="str">
        <x:v>melvin.xavier@pwc.com</x:v>
      </x:c>
      <x:c r="E1758" t="str">
        <x:v>Option 2</x:v>
      </x:c>
      <x:c r="F1758" t="n">
        <x:v>0.061875</x:v>
      </x:c>
      <x:c r="G1758" t="n">
        <x:v>5346</x:v>
      </x:c>
      <x:c r="H1758" t="str">
        <x:v>Partially attended</x:v>
      </x:c>
      <x:c r="I1758" t="str">
        <x:v>Yes</x:v>
      </x:c>
    </x:row>
    <x:row r="1759">
      <x:c r="A1759" t="str">
        <x:v>Melvin Xavier</x:v>
      </x:c>
      <x:c r="B1759" t="str">
        <x:v>Zambia</x:v>
      </x:c>
      <x:c r="C1759" t="str">
        <x:v>ZM</x:v>
      </x:c>
      <x:c r="D1759" t="str">
        <x:v>melvin.xavier@pwc.com</x:v>
      </x:c>
      <x:c r="E1759" t="str">
        <x:v>Combined</x:v>
      </x:c>
      <x:c r="F1759" t="n">
        <x:v>0.061875</x:v>
      </x:c>
      <x:c r="G1759" t="n">
        <x:v>5346</x:v>
      </x:c>
      <x:c r="H1759" t="str">
        <x:v>Partially attended</x:v>
      </x:c>
      <x:c r="I1759" t="str">
        <x:v>Yes</x:v>
      </x:c>
    </x:row>
    <x:row r="1760">
      <x:c r="A1760" t="str">
        <x:v>Mercy Kosta</x:v>
      </x:c>
      <x:c r="B1760" t="str">
        <x:v>Zambia</x:v>
      </x:c>
      <x:c r="C1760" t="str">
        <x:v>ZM</x:v>
      </x:c>
      <x:c r="D1760" t="str">
        <x:v>mercy.kosta@pwc.com</x:v>
      </x:c>
      <x:c r="E1760" t="str">
        <x:v>Option 1</x:v>
      </x:c>
      <x:c r="F1760" t="n">
        <x:v>0.04967592592592593</x:v>
      </x:c>
      <x:c r="G1760" t="n">
        <x:v>4292</x:v>
      </x:c>
      <x:c r="H1760" t="str">
        <x:v>Partially attended</x:v>
      </x:c>
      <x:c r="I1760" t="str">
        <x:v>Yes</x:v>
      </x:c>
    </x:row>
    <x:row r="1761">
      <x:c r="A1761" t="str">
        <x:v>Mercy Kosta</x:v>
      </x:c>
      <x:c r="B1761" t="str">
        <x:v>Zambia</x:v>
      </x:c>
      <x:c r="C1761" t="str">
        <x:v>ZM</x:v>
      </x:c>
      <x:c r="D1761" t="str">
        <x:v>mercy.kosta@pwc.com</x:v>
      </x:c>
      <x:c r="E1761" t="str">
        <x:v>Option 2</x:v>
      </x:c>
      <x:c r="F1761" t="n">
        <x:v>0</x:v>
      </x:c>
      <x:c r="G1761" t="n">
        <x:v>0</x:v>
      </x:c>
      <x:c r="H1761" t="str">
        <x:v>Did not attend</x:v>
      </x:c>
      <x:c r="I1761" t="str">
        <x:v>No</x:v>
      </x:c>
    </x:row>
    <x:row r="1762">
      <x:c r="A1762" t="str">
        <x:v>Mercy Kosta</x:v>
      </x:c>
      <x:c r="B1762" t="str">
        <x:v>Zambia</x:v>
      </x:c>
      <x:c r="C1762" t="str">
        <x:v>ZM</x:v>
      </x:c>
      <x:c r="D1762" t="str">
        <x:v>mercy.kosta@pwc.com</x:v>
      </x:c>
      <x:c r="E1762" t="str">
        <x:v>Combined</x:v>
      </x:c>
      <x:c r="F1762" t="n">
        <x:v>0.04967592592592593</x:v>
      </x:c>
      <x:c r="G1762" t="n">
        <x:v>4292</x:v>
      </x:c>
      <x:c r="H1762" t="str">
        <x:v>Partially attended</x:v>
      </x:c>
      <x:c r="I1762" t="str">
        <x:v>Yes</x:v>
      </x:c>
    </x:row>
    <x:row r="1763">
      <x:c r="A1763" t="str">
        <x:v>Mercy Muraya</x:v>
      </x:c>
      <x:c r="B1763" t="str">
        <x:v>Kenya</x:v>
      </x:c>
      <x:c r="C1763" t="str">
        <x:v>KE</x:v>
      </x:c>
      <x:c r="D1763" t="str">
        <x:v>mercy.muraya@pwc.com</x:v>
      </x:c>
      <x:c r="E1763" t="str">
        <x:v>Option 1</x:v>
      </x:c>
      <x:c r="F1763" t="n">
        <x:v>0</x:v>
      </x:c>
      <x:c r="G1763" t="n">
        <x:v>0</x:v>
      </x:c>
      <x:c r="H1763" t="str">
        <x:v>Did not attend</x:v>
      </x:c>
      <x:c r="I1763" t="str">
        <x:v>No</x:v>
      </x:c>
    </x:row>
    <x:row r="1764">
      <x:c r="A1764" t="str">
        <x:v>Mercy Muraya</x:v>
      </x:c>
      <x:c r="B1764" t="str">
        <x:v>Kenya</x:v>
      </x:c>
      <x:c r="C1764" t="str">
        <x:v>KE</x:v>
      </x:c>
      <x:c r="D1764" t="str">
        <x:v>mercy.muraya@pwc.com</x:v>
      </x:c>
      <x:c r="E1764" t="str">
        <x:v>Option 2</x:v>
      </x:c>
      <x:c r="F1764" t="n">
        <x:v>0.020555555555555556</x:v>
      </x:c>
      <x:c r="G1764" t="n">
        <x:v>1776</x:v>
      </x:c>
      <x:c r="H1764" t="str">
        <x:v>Partially attended</x:v>
      </x:c>
      <x:c r="I1764" t="str">
        <x:v>Yes</x:v>
      </x:c>
    </x:row>
    <x:row r="1765">
      <x:c r="A1765" t="str">
        <x:v>Mercy Muraya</x:v>
      </x:c>
      <x:c r="B1765" t="str">
        <x:v>Kenya</x:v>
      </x:c>
      <x:c r="C1765" t="str">
        <x:v>KE</x:v>
      </x:c>
      <x:c r="D1765" t="str">
        <x:v>mercy.muraya@pwc.com</x:v>
      </x:c>
      <x:c r="E1765" t="str">
        <x:v>Combined</x:v>
      </x:c>
      <x:c r="F1765" t="n">
        <x:v>0.020555555555555556</x:v>
      </x:c>
      <x:c r="G1765" t="n">
        <x:v>1776</x:v>
      </x:c>
      <x:c r="H1765" t="str">
        <x:v>Partially attended</x:v>
      </x:c>
      <x:c r="I1765" t="str">
        <x:v>Yes</x:v>
      </x:c>
    </x:row>
    <x:row r="1766">
      <x:c r="A1766" t="str">
        <x:v>Meydini Maslamony</x:v>
      </x:c>
      <x:c r="B1766" t="str">
        <x:v>Mauritius</x:v>
      </x:c>
      <x:c r="C1766" t="str">
        <x:v>MU</x:v>
      </x:c>
      <x:c r="D1766" t="str">
        <x:v>meydini.maslamony@pwc.com</x:v>
      </x:c>
      <x:c r="E1766" t="str">
        <x:v>Option 1</x:v>
      </x:c>
      <x:c r="F1766" t="n">
        <x:v>0</x:v>
      </x:c>
      <x:c r="G1766" t="n">
        <x:v>0</x:v>
      </x:c>
      <x:c r="H1766" t="str">
        <x:v>Did not attend</x:v>
      </x:c>
      <x:c r="I1766" t="str">
        <x:v>No</x:v>
      </x:c>
    </x:row>
    <x:row r="1767">
      <x:c r="A1767" t="str">
        <x:v>Meydini Maslamony</x:v>
      </x:c>
      <x:c r="B1767" t="str">
        <x:v>Mauritius</x:v>
      </x:c>
      <x:c r="C1767" t="str">
        <x:v>MU</x:v>
      </x:c>
      <x:c r="D1767" t="str">
        <x:v>meydini.maslamony@pwc.com</x:v>
      </x:c>
      <x:c r="E1767" t="str">
        <x:v>Option 2</x:v>
      </x:c>
      <x:c r="F1767" t="n">
        <x:v>0.08824074074074074</x:v>
      </x:c>
      <x:c r="G1767" t="n">
        <x:v>7624</x:v>
      </x:c>
      <x:c r="H1767" t="str">
        <x:v>Fully attended</x:v>
      </x:c>
      <x:c r="I1767" t="str">
        <x:v>Yes</x:v>
      </x:c>
    </x:row>
    <x:row r="1768">
      <x:c r="A1768" t="str">
        <x:v>Meydini Maslamony</x:v>
      </x:c>
      <x:c r="B1768" t="str">
        <x:v>Mauritius</x:v>
      </x:c>
      <x:c r="C1768" t="str">
        <x:v>MU</x:v>
      </x:c>
      <x:c r="D1768" t="str">
        <x:v>meydini.maslamony@pwc.com</x:v>
      </x:c>
      <x:c r="E1768" t="str">
        <x:v>Combined</x:v>
      </x:c>
      <x:c r="F1768" t="n">
        <x:v>0.08824074074074074</x:v>
      </x:c>
      <x:c r="G1768" t="n">
        <x:v>7624</x:v>
      </x:c>
      <x:c r="H1768" t="str">
        <x:v>Fully attended</x:v>
      </x:c>
      <x:c r="I1768" t="str">
        <x:v>Yes</x:v>
      </x:c>
    </x:row>
    <x:row r="1769">
      <x:c r="A1769" t="str">
        <x:v>Mike Oyange</x:v>
      </x:c>
      <x:c r="B1769" t="str">
        <x:v>Kenya</x:v>
      </x:c>
      <x:c r="C1769" t="str">
        <x:v>KE</x:v>
      </x:c>
      <x:c r="D1769" t="str">
        <x:v>mike.oyange@pwc.com</x:v>
      </x:c>
      <x:c r="E1769" t="str">
        <x:v>Option 1</x:v>
      </x:c>
      <x:c r="F1769" t="n">
        <x:v>0</x:v>
      </x:c>
      <x:c r="G1769" t="n">
        <x:v>0</x:v>
      </x:c>
      <x:c r="H1769" t="str">
        <x:v>Did not attend</x:v>
      </x:c>
      <x:c r="I1769" t="str">
        <x:v>No</x:v>
      </x:c>
    </x:row>
    <x:row r="1770">
      <x:c r="A1770" t="str">
        <x:v>Mike Oyange</x:v>
      </x:c>
      <x:c r="B1770" t="str">
        <x:v>Kenya</x:v>
      </x:c>
      <x:c r="C1770" t="str">
        <x:v>KE</x:v>
      </x:c>
      <x:c r="D1770" t="str">
        <x:v>mike.oyange@pwc.com</x:v>
      </x:c>
      <x:c r="E1770" t="str">
        <x:v>Option 2</x:v>
      </x:c>
      <x:c r="F1770" t="n">
        <x:v>0.0784375</x:v>
      </x:c>
      <x:c r="G1770" t="n">
        <x:v>6777</x:v>
      </x:c>
      <x:c r="H1770" t="str">
        <x:v>Fully attended</x:v>
      </x:c>
      <x:c r="I1770" t="str">
        <x:v>Yes</x:v>
      </x:c>
    </x:row>
    <x:row r="1771">
      <x:c r="A1771" t="str">
        <x:v>Mike Oyange</x:v>
      </x:c>
      <x:c r="B1771" t="str">
        <x:v>Kenya</x:v>
      </x:c>
      <x:c r="C1771" t="str">
        <x:v>KE</x:v>
      </x:c>
      <x:c r="D1771" t="str">
        <x:v>mike.oyange@pwc.com</x:v>
      </x:c>
      <x:c r="E1771" t="str">
        <x:v>Combined</x:v>
      </x:c>
      <x:c r="F1771" t="n">
        <x:v>0.0784375</x:v>
      </x:c>
      <x:c r="G1771" t="n">
        <x:v>6777</x:v>
      </x:c>
      <x:c r="H1771" t="str">
        <x:v>Fully attended</x:v>
      </x:c>
      <x:c r="I1771" t="str">
        <x:v>Yes</x:v>
      </x:c>
    </x:row>
    <x:row r="1772">
      <x:c r="A1772" t="str">
        <x:v>Mohammedsani Sherefa</x:v>
      </x:c>
      <x:c r="B1772" t="str">
        <x:v>Kenya</x:v>
      </x:c>
      <x:c r="C1772" t="str">
        <x:v>KE</x:v>
      </x:c>
      <x:c r="D1772" t="str">
        <x:v>mohammedsani.sherefa@pwc.com</x:v>
      </x:c>
      <x:c r="E1772" t="str">
        <x:v>Option 1</x:v>
      </x:c>
      <x:c r="F1772" t="n">
        <x:v>0</x:v>
      </x:c>
      <x:c r="G1772" t="n">
        <x:v>0</x:v>
      </x:c>
      <x:c r="H1772" t="str">
        <x:v>Did not attend</x:v>
      </x:c>
      <x:c r="I1772" t="str">
        <x:v>No</x:v>
      </x:c>
    </x:row>
    <x:row r="1773">
      <x:c r="A1773" t="str">
        <x:v>Mohammedsani Sherefa</x:v>
      </x:c>
      <x:c r="B1773" t="str">
        <x:v>Kenya</x:v>
      </x:c>
      <x:c r="C1773" t="str">
        <x:v>KE</x:v>
      </x:c>
      <x:c r="D1773" t="str">
        <x:v>mohammedsani.sherefa@pwc.com</x:v>
      </x:c>
      <x:c r="E1773" t="str">
        <x:v>Option 2</x:v>
      </x:c>
      <x:c r="F1773" t="n">
        <x:v>0.07280092592592592</x:v>
      </x:c>
      <x:c r="G1773" t="n">
        <x:v>6290</x:v>
      </x:c>
      <x:c r="H1773" t="str">
        <x:v>Fully attended</x:v>
      </x:c>
      <x:c r="I1773" t="str">
        <x:v>Yes</x:v>
      </x:c>
    </x:row>
    <x:row r="1774">
      <x:c r="A1774" t="str">
        <x:v>Mohammedsani Sherefa</x:v>
      </x:c>
      <x:c r="B1774" t="str">
        <x:v>Kenya</x:v>
      </x:c>
      <x:c r="C1774" t="str">
        <x:v>KE</x:v>
      </x:c>
      <x:c r="D1774" t="str">
        <x:v>mohammedsani.sherefa@pwc.com</x:v>
      </x:c>
      <x:c r="E1774" t="str">
        <x:v>Combined</x:v>
      </x:c>
      <x:c r="F1774" t="n">
        <x:v>0.07280092592592592</x:v>
      </x:c>
      <x:c r="G1774" t="n">
        <x:v>6290</x:v>
      </x:c>
      <x:c r="H1774" t="str">
        <x:v>Fully attended</x:v>
      </x:c>
      <x:c r="I1774" t="str">
        <x:v>Yes</x:v>
      </x:c>
    </x:row>
    <x:row r="1775">
      <x:c r="A1775" t="str">
        <x:v>Moses Mutuku</x:v>
      </x:c>
      <x:c r="B1775" t="str">
        <x:v>Kenya</x:v>
      </x:c>
      <x:c r="C1775" t="str">
        <x:v>KE</x:v>
      </x:c>
      <x:c r="D1775" t="str">
        <x:v>moses.mutuku@pwc.com</x:v>
      </x:c>
      <x:c r="E1775" t="str">
        <x:v>Option 1</x:v>
      </x:c>
      <x:c r="F1775" t="n">
        <x:v>0</x:v>
      </x:c>
      <x:c r="G1775" t="n">
        <x:v>0</x:v>
      </x:c>
      <x:c r="H1775" t="str">
        <x:v>Did not attend</x:v>
      </x:c>
      <x:c r="I1775" t="str">
        <x:v>No</x:v>
      </x:c>
    </x:row>
    <x:row r="1776">
      <x:c r="A1776" t="str">
        <x:v>Moses Mutuku</x:v>
      </x:c>
      <x:c r="B1776" t="str">
        <x:v>Kenya</x:v>
      </x:c>
      <x:c r="C1776" t="str">
        <x:v>KE</x:v>
      </x:c>
      <x:c r="D1776" t="str">
        <x:v>moses.mutuku@pwc.com</x:v>
      </x:c>
      <x:c r="E1776" t="str">
        <x:v>Option 2</x:v>
      </x:c>
      <x:c r="F1776" t="n">
        <x:v>0.08138888888888889</x:v>
      </x:c>
      <x:c r="G1776" t="n">
        <x:v>7032</x:v>
      </x:c>
      <x:c r="H1776" t="str">
        <x:v>Fully attended</x:v>
      </x:c>
      <x:c r="I1776" t="str">
        <x:v>Yes</x:v>
      </x:c>
    </x:row>
    <x:row r="1777">
      <x:c r="A1777" t="str">
        <x:v>Moses Mutuku</x:v>
      </x:c>
      <x:c r="B1777" t="str">
        <x:v>Kenya</x:v>
      </x:c>
      <x:c r="C1777" t="str">
        <x:v>KE</x:v>
      </x:c>
      <x:c r="D1777" t="str">
        <x:v>moses.mutuku@pwc.com</x:v>
      </x:c>
      <x:c r="E1777" t="str">
        <x:v>Combined</x:v>
      </x:c>
      <x:c r="F1777" t="n">
        <x:v>0.08138888888888889</x:v>
      </x:c>
      <x:c r="G1777" t="n">
        <x:v>7032</x:v>
      </x:c>
      <x:c r="H1777" t="str">
        <x:v>Fully attended</x:v>
      </x:c>
      <x:c r="I1777" t="str">
        <x:v>Yes</x:v>
      </x:c>
    </x:row>
    <x:row r="1778">
      <x:c r="A1778" t="str">
        <x:v>Moureen Ongaga</x:v>
      </x:c>
      <x:c r="B1778" t="str">
        <x:v>Kenya</x:v>
      </x:c>
      <x:c r="C1778" t="str">
        <x:v>KE</x:v>
      </x:c>
      <x:c r="D1778" t="str">
        <x:v>moureen.ongaga@pwc.com</x:v>
      </x:c>
      <x:c r="E1778" t="str">
        <x:v>Option 1</x:v>
      </x:c>
      <x:c r="F1778" t="n">
        <x:v>0.0575</x:v>
      </x:c>
      <x:c r="G1778" t="n">
        <x:v>4968</x:v>
      </x:c>
      <x:c r="H1778" t="str">
        <x:v>Partially attended</x:v>
      </x:c>
      <x:c r="I1778" t="str">
        <x:v>Yes</x:v>
      </x:c>
    </x:row>
    <x:row r="1779">
      <x:c r="A1779" t="str">
        <x:v>Moureen Ongaga</x:v>
      </x:c>
      <x:c r="B1779" t="str">
        <x:v>Kenya</x:v>
      </x:c>
      <x:c r="C1779" t="str">
        <x:v>KE</x:v>
      </x:c>
      <x:c r="D1779" t="str">
        <x:v>moureen.ongaga@pwc.com</x:v>
      </x:c>
      <x:c r="E1779" t="str">
        <x:v>Option 2</x:v>
      </x:c>
      <x:c r="F1779" t="n">
        <x:v>0</x:v>
      </x:c>
      <x:c r="G1779" t="n">
        <x:v>0</x:v>
      </x:c>
      <x:c r="H1779" t="str">
        <x:v>Did not attend</x:v>
      </x:c>
      <x:c r="I1779" t="str">
        <x:v>No</x:v>
      </x:c>
    </x:row>
    <x:row r="1780">
      <x:c r="A1780" t="str">
        <x:v>Moureen Ongaga</x:v>
      </x:c>
      <x:c r="B1780" t="str">
        <x:v>Kenya</x:v>
      </x:c>
      <x:c r="C1780" t="str">
        <x:v>KE</x:v>
      </x:c>
      <x:c r="D1780" t="str">
        <x:v>moureen.ongaga@pwc.com</x:v>
      </x:c>
      <x:c r="E1780" t="str">
        <x:v>Combined</x:v>
      </x:c>
      <x:c r="F1780" t="n">
        <x:v>0.0575</x:v>
      </x:c>
      <x:c r="G1780" t="n">
        <x:v>4968</x:v>
      </x:c>
      <x:c r="H1780" t="str">
        <x:v>Partially attended</x:v>
      </x:c>
      <x:c r="I1780" t="str">
        <x:v>Yes</x:v>
      </x:c>
    </x:row>
    <x:row r="1781">
      <x:c r="A1781" t="str">
        <x:v>Mukota Chungu</x:v>
      </x:c>
      <x:c r="B1781" t="str">
        <x:v>Zambia</x:v>
      </x:c>
      <x:c r="C1781" t="str">
        <x:v>ZM</x:v>
      </x:c>
      <x:c r="D1781" t="str">
        <x:v>mukota.chungu@pwc.com</x:v>
      </x:c>
      <x:c r="E1781" t="str">
        <x:v>Option 1</x:v>
      </x:c>
      <x:c r="F1781" t="n">
        <x:v>0.07865740740740741</x:v>
      </x:c>
      <x:c r="G1781" t="n">
        <x:v>6796</x:v>
      </x:c>
      <x:c r="H1781" t="str">
        <x:v>Fully attended</x:v>
      </x:c>
      <x:c r="I1781" t="str">
        <x:v>Yes</x:v>
      </x:c>
    </x:row>
    <x:row r="1782">
      <x:c r="A1782" t="str">
        <x:v>Mukota Chungu</x:v>
      </x:c>
      <x:c r="B1782" t="str">
        <x:v>Zambia</x:v>
      </x:c>
      <x:c r="C1782" t="str">
        <x:v>ZM</x:v>
      </x:c>
      <x:c r="D1782" t="str">
        <x:v>mukota.chungu@pwc.com</x:v>
      </x:c>
      <x:c r="E1782" t="str">
        <x:v>Option 2</x:v>
      </x:c>
      <x:c r="F1782" t="n">
        <x:v>0</x:v>
      </x:c>
      <x:c r="G1782" t="n">
        <x:v>0</x:v>
      </x:c>
      <x:c r="H1782" t="str">
        <x:v>Did not attend</x:v>
      </x:c>
      <x:c r="I1782" t="str">
        <x:v>No</x:v>
      </x:c>
    </x:row>
    <x:row r="1783">
      <x:c r="A1783" t="str">
        <x:v>Mukota Chungu</x:v>
      </x:c>
      <x:c r="B1783" t="str">
        <x:v>Zambia</x:v>
      </x:c>
      <x:c r="C1783" t="str">
        <x:v>ZM</x:v>
      </x:c>
      <x:c r="D1783" t="str">
        <x:v>mukota.chungu@pwc.com</x:v>
      </x:c>
      <x:c r="E1783" t="str">
        <x:v>Combined</x:v>
      </x:c>
      <x:c r="F1783" t="n">
        <x:v>0.07865740740740741</x:v>
      </x:c>
      <x:c r="G1783" t="n">
        <x:v>6796</x:v>
      </x:c>
      <x:c r="H1783" t="str">
        <x:v>Fully attended</x:v>
      </x:c>
      <x:c r="I1783" t="str">
        <x:v>Yes</x:v>
      </x:c>
    </x:row>
    <x:row r="1784">
      <x:c r="A1784" t="str">
        <x:v>Mukundi Makhado</x:v>
      </x:c>
      <x:c r="B1784" t="str">
        <x:v>South Africa</x:v>
      </x:c>
      <x:c r="C1784" t="str">
        <x:v>ZA</x:v>
      </x:c>
      <x:c r="D1784" t="str">
        <x:v>mukundi.makhado@pwc.com</x:v>
      </x:c>
      <x:c r="E1784" t="str">
        <x:v>Option 1</x:v>
      </x:c>
      <x:c r="F1784" t="n">
        <x:v>0.071875</x:v>
      </x:c>
      <x:c r="G1784" t="n">
        <x:v>6210</x:v>
      </x:c>
      <x:c r="H1784" t="str">
        <x:v>Fully attended</x:v>
      </x:c>
      <x:c r="I1784" t="str">
        <x:v>Yes</x:v>
      </x:c>
    </x:row>
    <x:row r="1785">
      <x:c r="A1785" t="str">
        <x:v>Mukundi Makhado</x:v>
      </x:c>
      <x:c r="B1785" t="str">
        <x:v>South Africa</x:v>
      </x:c>
      <x:c r="C1785" t="str">
        <x:v>ZA</x:v>
      </x:c>
      <x:c r="D1785" t="str">
        <x:v>mukundi.makhado@pwc.com</x:v>
      </x:c>
      <x:c r="E1785" t="str">
        <x:v>Option 2</x:v>
      </x:c>
      <x:c r="F1785" t="n">
        <x:v>0</x:v>
      </x:c>
      <x:c r="G1785" t="n">
        <x:v>0</x:v>
      </x:c>
      <x:c r="H1785" t="str">
        <x:v>Did not attend</x:v>
      </x:c>
      <x:c r="I1785" t="str">
        <x:v>No</x:v>
      </x:c>
    </x:row>
    <x:row r="1786">
      <x:c r="A1786" t="str">
        <x:v>Mukundi Makhado</x:v>
      </x:c>
      <x:c r="B1786" t="str">
        <x:v>South Africa</x:v>
      </x:c>
      <x:c r="C1786" t="str">
        <x:v>ZA</x:v>
      </x:c>
      <x:c r="D1786" t="str">
        <x:v>mukundi.makhado@pwc.com</x:v>
      </x:c>
      <x:c r="E1786" t="str">
        <x:v>Combined</x:v>
      </x:c>
      <x:c r="F1786" t="n">
        <x:v>0.071875</x:v>
      </x:c>
      <x:c r="G1786" t="n">
        <x:v>6210</x:v>
      </x:c>
      <x:c r="H1786" t="str">
        <x:v>Fully attended</x:v>
      </x:c>
      <x:c r="I1786" t="str">
        <x:v>Yes</x:v>
      </x:c>
    </x:row>
    <x:row r="1787">
      <x:c r="A1787" t="str">
        <x:v>Mustansir Ebrahimjee</x:v>
      </x:c>
      <x:c r="B1787" t="str">
        <x:v>Kenya</x:v>
      </x:c>
      <x:c r="C1787" t="str">
        <x:v>KE</x:v>
      </x:c>
      <x:c r="D1787" t="str">
        <x:v>mustansir.ebrahimjee@pwc.com</x:v>
      </x:c>
      <x:c r="E1787" t="str">
        <x:v>Option 1</x:v>
      </x:c>
      <x:c r="F1787" t="n">
        <x:v>0</x:v>
      </x:c>
      <x:c r="G1787" t="n">
        <x:v>0</x:v>
      </x:c>
      <x:c r="H1787" t="str">
        <x:v>Did not attend</x:v>
      </x:c>
      <x:c r="I1787" t="str">
        <x:v>No</x:v>
      </x:c>
    </x:row>
    <x:row r="1788">
      <x:c r="A1788" t="str">
        <x:v>Mustansir Ebrahimjee</x:v>
      </x:c>
      <x:c r="B1788" t="str">
        <x:v>Kenya</x:v>
      </x:c>
      <x:c r="C1788" t="str">
        <x:v>KE</x:v>
      </x:c>
      <x:c r="D1788" t="str">
        <x:v>mustansir.ebrahimjee@pwc.com</x:v>
      </x:c>
      <x:c r="E1788" t="str">
        <x:v>Option 2</x:v>
      </x:c>
      <x:c r="F1788" t="n">
        <x:v>0.08744212962962963</x:v>
      </x:c>
      <x:c r="G1788" t="n">
        <x:v>7555</x:v>
      </x:c>
      <x:c r="H1788" t="str">
        <x:v>Fully attended</x:v>
      </x:c>
      <x:c r="I1788" t="str">
        <x:v>Yes</x:v>
      </x:c>
    </x:row>
    <x:row r="1789">
      <x:c r="A1789" t="str">
        <x:v>Mustansir Ebrahimjee</x:v>
      </x:c>
      <x:c r="B1789" t="str">
        <x:v>Kenya</x:v>
      </x:c>
      <x:c r="C1789" t="str">
        <x:v>KE</x:v>
      </x:c>
      <x:c r="D1789" t="str">
        <x:v>mustansir.ebrahimjee@pwc.com</x:v>
      </x:c>
      <x:c r="E1789" t="str">
        <x:v>Combined</x:v>
      </x:c>
      <x:c r="F1789" t="n">
        <x:v>0.08744212962962963</x:v>
      </x:c>
      <x:c r="G1789" t="n">
        <x:v>7555</x:v>
      </x:c>
      <x:c r="H1789" t="str">
        <x:v>Fully attended</x:v>
      </x:c>
      <x:c r="I1789" t="str">
        <x:v>Yes</x:v>
      </x:c>
    </x:row>
    <x:row r="1790">
      <x:c r="A1790" t="str">
        <x:v>Mutale Chibwe</x:v>
      </x:c>
      <x:c r="B1790" t="str">
        <x:v>Zambia</x:v>
      </x:c>
      <x:c r="C1790" t="str">
        <x:v>ZM</x:v>
      </x:c>
      <x:c r="D1790" t="str">
        <x:v>mutale.chibwe@pwc.com</x:v>
      </x:c>
      <x:c r="E1790" t="str">
        <x:v>Option 1</x:v>
      </x:c>
      <x:c r="F1790" t="n">
        <x:v>0.04546296296296296</x:v>
      </x:c>
      <x:c r="G1790" t="n">
        <x:v>3928</x:v>
      </x:c>
      <x:c r="H1790" t="str">
        <x:v>Partially attended</x:v>
      </x:c>
      <x:c r="I1790" t="str">
        <x:v>Yes</x:v>
      </x:c>
    </x:row>
    <x:row r="1791">
      <x:c r="A1791" t="str">
        <x:v>Mutale Chibwe</x:v>
      </x:c>
      <x:c r="B1791" t="str">
        <x:v>Zambia</x:v>
      </x:c>
      <x:c r="C1791" t="str">
        <x:v>ZM</x:v>
      </x:c>
      <x:c r="D1791" t="str">
        <x:v>mutale.chibwe@pwc.com</x:v>
      </x:c>
      <x:c r="E1791" t="str">
        <x:v>Option 2</x:v>
      </x:c>
      <x:c r="F1791" t="n">
        <x:v>0</x:v>
      </x:c>
      <x:c r="G1791" t="n">
        <x:v>0</x:v>
      </x:c>
      <x:c r="H1791" t="str">
        <x:v>Did not attend</x:v>
      </x:c>
      <x:c r="I1791" t="str">
        <x:v>No</x:v>
      </x:c>
    </x:row>
    <x:row r="1792">
      <x:c r="A1792" t="str">
        <x:v>Mutale Chibwe</x:v>
      </x:c>
      <x:c r="B1792" t="str">
        <x:v>Zambia</x:v>
      </x:c>
      <x:c r="C1792" t="str">
        <x:v>ZM</x:v>
      </x:c>
      <x:c r="D1792" t="str">
        <x:v>mutale.chibwe@pwc.com</x:v>
      </x:c>
      <x:c r="E1792" t="str">
        <x:v>Combined</x:v>
      </x:c>
      <x:c r="F1792" t="n">
        <x:v>0.04546296296296296</x:v>
      </x:c>
      <x:c r="G1792" t="n">
        <x:v>3928</x:v>
      </x:c>
      <x:c r="H1792" t="str">
        <x:v>Partially attended</x:v>
      </x:c>
      <x:c r="I1792" t="str">
        <x:v>Yes</x:v>
      </x:c>
    </x:row>
    <x:row r="1793">
      <x:c r="A1793" t="str">
        <x:v>Mutale Mulubwa</x:v>
      </x:c>
      <x:c r="B1793" t="str">
        <x:v>Zambia</x:v>
      </x:c>
      <x:c r="C1793" t="str">
        <x:v>ZM</x:v>
      </x:c>
      <x:c r="D1793" t="str">
        <x:v>mutale.mulubwa@pwc.com</x:v>
      </x:c>
      <x:c r="E1793" t="str">
        <x:v>Option 1</x:v>
      </x:c>
      <x:c r="F1793" t="n">
        <x:v>0.15199074074074073</x:v>
      </x:c>
      <x:c r="G1793" t="n">
        <x:v>13132</x:v>
      </x:c>
      <x:c r="H1793" t="str">
        <x:v>Fully attended</x:v>
      </x:c>
      <x:c r="I1793" t="str">
        <x:v>Yes</x:v>
      </x:c>
    </x:row>
    <x:row r="1794">
      <x:c r="A1794" t="str">
        <x:v>Mutale Mulubwa</x:v>
      </x:c>
      <x:c r="B1794" t="str">
        <x:v>Zambia</x:v>
      </x:c>
      <x:c r="C1794" t="str">
        <x:v>ZM</x:v>
      </x:c>
      <x:c r="D1794" t="str">
        <x:v>mutale.mulubwa@pwc.com</x:v>
      </x:c>
      <x:c r="E1794" t="str">
        <x:v>Option 2</x:v>
      </x:c>
      <x:c r="F1794" t="n">
        <x:v>0</x:v>
      </x:c>
      <x:c r="G1794" t="n">
        <x:v>0</x:v>
      </x:c>
      <x:c r="H1794" t="str">
        <x:v>Did not attend</x:v>
      </x:c>
      <x:c r="I1794" t="str">
        <x:v>No</x:v>
      </x:c>
    </x:row>
    <x:row r="1795">
      <x:c r="A1795" t="str">
        <x:v>Mutale Mulubwa</x:v>
      </x:c>
      <x:c r="B1795" t="str">
        <x:v>Zambia</x:v>
      </x:c>
      <x:c r="C1795" t="str">
        <x:v>ZM</x:v>
      </x:c>
      <x:c r="D1795" t="str">
        <x:v>mutale.mulubwa@pwc.com</x:v>
      </x:c>
      <x:c r="E1795" t="str">
        <x:v>Combined</x:v>
      </x:c>
      <x:c r="F1795" t="n">
        <x:v>0.15199074074074073</x:v>
      </x:c>
      <x:c r="G1795" t="n">
        <x:v>13132</x:v>
      </x:c>
      <x:c r="H1795" t="str">
        <x:v>Fully attended</x:v>
      </x:c>
      <x:c r="I1795" t="str">
        <x:v>Yes</x:v>
      </x:c>
    </x:row>
    <x:row r="1796">
      <x:c r="A1796" t="str">
        <x:v>Najim Mwanga</x:v>
      </x:c>
      <x:c r="B1796" t="str">
        <x:v>Tanzania</x:v>
      </x:c>
      <x:c r="C1796" t="str">
        <x:v>TZ</x:v>
      </x:c>
      <x:c r="D1796" t="str">
        <x:v>najim.mwanga@pwc.com</x:v>
      </x:c>
      <x:c r="E1796" t="str">
        <x:v>Option 1</x:v>
      </x:c>
      <x:c r="F1796" t="n">
        <x:v>0.08672453703703703</x:v>
      </x:c>
      <x:c r="G1796" t="n">
        <x:v>7493</x:v>
      </x:c>
      <x:c r="H1796" t="str">
        <x:v>Fully attended</x:v>
      </x:c>
      <x:c r="I1796" t="str">
        <x:v>Yes</x:v>
      </x:c>
    </x:row>
    <x:row r="1797">
      <x:c r="A1797" t="str">
        <x:v>Najim Mwanga</x:v>
      </x:c>
      <x:c r="B1797" t="str">
        <x:v>Tanzania</x:v>
      </x:c>
      <x:c r="C1797" t="str">
        <x:v>TZ</x:v>
      </x:c>
      <x:c r="D1797" t="str">
        <x:v>najim.mwanga@pwc.com</x:v>
      </x:c>
      <x:c r="E1797" t="str">
        <x:v>Option 2</x:v>
      </x:c>
      <x:c r="F1797" t="n">
        <x:v>0.023136574074074073</x:v>
      </x:c>
      <x:c r="G1797" t="n">
        <x:v>1999</x:v>
      </x:c>
      <x:c r="H1797" t="str">
        <x:v>Partially attended</x:v>
      </x:c>
      <x:c r="I1797" t="str">
        <x:v>Yes</x:v>
      </x:c>
    </x:row>
    <x:row r="1798">
      <x:c r="A1798" t="str">
        <x:v>Najim Mwanga</x:v>
      </x:c>
      <x:c r="B1798" t="str">
        <x:v>Tanzania</x:v>
      </x:c>
      <x:c r="C1798" t="str">
        <x:v>TZ</x:v>
      </x:c>
      <x:c r="D1798" t="str">
        <x:v>najim.mwanga@pwc.com</x:v>
      </x:c>
      <x:c r="E1798" t="str">
        <x:v>Combined</x:v>
      </x:c>
      <x:c r="F1798" t="n">
        <x:v>0.1098611111111111</x:v>
      </x:c>
      <x:c r="G1798" t="n">
        <x:v>9492</x:v>
      </x:c>
      <x:c r="H1798" t="str">
        <x:v>Fully attended</x:v>
      </x:c>
      <x:c r="I1798" t="str">
        <x:v>Yes</x:v>
      </x:c>
    </x:row>
    <x:row r="1799">
      <x:c r="A1799" t="str">
        <x:v>Nancy Mwangi</x:v>
      </x:c>
      <x:c r="B1799" t="str">
        <x:v>Kenya</x:v>
      </x:c>
      <x:c r="C1799" t="str">
        <x:v>KE</x:v>
      </x:c>
      <x:c r="D1799" t="str">
        <x:v>nancy.mwangi@pwc.com</x:v>
      </x:c>
      <x:c r="E1799" t="str">
        <x:v>Option 1</x:v>
      </x:c>
      <x:c r="F1799" t="n">
        <x:v>0.0005787037037037037</x:v>
      </x:c>
      <x:c r="G1799" t="n">
        <x:v>50</x:v>
      </x:c>
      <x:c r="H1799" t="str">
        <x:v>Partially attended</x:v>
      </x:c>
      <x:c r="I1799" t="str">
        <x:v>Yes</x:v>
      </x:c>
    </x:row>
    <x:row r="1800">
      <x:c r="A1800" t="str">
        <x:v>Nancy Mwangi</x:v>
      </x:c>
      <x:c r="B1800" t="str">
        <x:v>Kenya</x:v>
      </x:c>
      <x:c r="C1800" t="str">
        <x:v>KE</x:v>
      </x:c>
      <x:c r="D1800" t="str">
        <x:v>nancy.mwangi@pwc.com</x:v>
      </x:c>
      <x:c r="E1800" t="str">
        <x:v>Option 2</x:v>
      </x:c>
      <x:c r="F1800" t="n">
        <x:v>0</x:v>
      </x:c>
      <x:c r="G1800" t="n">
        <x:v>0</x:v>
      </x:c>
      <x:c r="H1800" t="str">
        <x:v>Did not attend</x:v>
      </x:c>
      <x:c r="I1800" t="str">
        <x:v>No</x:v>
      </x:c>
    </x:row>
    <x:row r="1801">
      <x:c r="A1801" t="str">
        <x:v>Nancy Mwangi</x:v>
      </x:c>
      <x:c r="B1801" t="str">
        <x:v>Kenya</x:v>
      </x:c>
      <x:c r="C1801" t="str">
        <x:v>KE</x:v>
      </x:c>
      <x:c r="D1801" t="str">
        <x:v>nancy.mwangi@pwc.com</x:v>
      </x:c>
      <x:c r="E1801" t="str">
        <x:v>Combined</x:v>
      </x:c>
      <x:c r="F1801" t="n">
        <x:v>0.0005787037037037037</x:v>
      </x:c>
      <x:c r="G1801" t="n">
        <x:v>50</x:v>
      </x:c>
      <x:c r="H1801" t="str">
        <x:v>Partially attended</x:v>
      </x:c>
      <x:c r="I1801" t="str">
        <x:v>Yes</x:v>
      </x:c>
    </x:row>
    <x:row r="1802">
      <x:c r="A1802" t="str">
        <x:v>Nancy Shamge</x:v>
      </x:c>
      <x:c r="B1802" t="str">
        <x:v>Tanzania</x:v>
      </x:c>
      <x:c r="C1802" t="str">
        <x:v>TZ</x:v>
      </x:c>
      <x:c r="D1802" t="str">
        <x:v>nancy.shamge@pwc.com</x:v>
      </x:c>
      <x:c r="E1802" t="str">
        <x:v>Option 1</x:v>
      </x:c>
      <x:c r="F1802" t="n">
        <x:v>0.07805555555555556</x:v>
      </x:c>
      <x:c r="G1802" t="n">
        <x:v>6744</x:v>
      </x:c>
      <x:c r="H1802" t="str">
        <x:v>Fully attended</x:v>
      </x:c>
      <x:c r="I1802" t="str">
        <x:v>Yes</x:v>
      </x:c>
    </x:row>
    <x:row r="1803">
      <x:c r="A1803" t="str">
        <x:v>Nancy Shamge</x:v>
      </x:c>
      <x:c r="B1803" t="str">
        <x:v>Tanzania</x:v>
      </x:c>
      <x:c r="C1803" t="str">
        <x:v>TZ</x:v>
      </x:c>
      <x:c r="D1803" t="str">
        <x:v>nancy.shamge@pwc.com</x:v>
      </x:c>
      <x:c r="E1803" t="str">
        <x:v>Option 2</x:v>
      </x:c>
      <x:c r="F1803" t="n">
        <x:v>0.0016435185185185185</x:v>
      </x:c>
      <x:c r="G1803" t="n">
        <x:v>142</x:v>
      </x:c>
      <x:c r="H1803" t="str">
        <x:v>Partially attended</x:v>
      </x:c>
      <x:c r="I1803" t="str">
        <x:v>Yes</x:v>
      </x:c>
    </x:row>
    <x:row r="1804">
      <x:c r="A1804" t="str">
        <x:v>Nancy Shamge</x:v>
      </x:c>
      <x:c r="B1804" t="str">
        <x:v>Tanzania</x:v>
      </x:c>
      <x:c r="C1804" t="str">
        <x:v>TZ</x:v>
      </x:c>
      <x:c r="D1804" t="str">
        <x:v>nancy.shamge@pwc.com</x:v>
      </x:c>
      <x:c r="E1804" t="str">
        <x:v>Combined</x:v>
      </x:c>
      <x:c r="F1804" t="n">
        <x:v>0.07969907407407407</x:v>
      </x:c>
      <x:c r="G1804" t="n">
        <x:v>6886</x:v>
      </x:c>
      <x:c r="H1804" t="str">
        <x:v>Fully attended</x:v>
      </x:c>
      <x:c r="I1804" t="str">
        <x:v>Yes</x:v>
      </x:c>
    </x:row>
    <x:row r="1805">
      <x:c r="A1805" t="str">
        <x:v>Nanita Nalule</x:v>
      </x:c>
      <x:c r="B1805" t="str">
        <x:v>Uganda</x:v>
      </x:c>
      <x:c r="C1805" t="str">
        <x:v>UG</x:v>
      </x:c>
      <x:c r="D1805" t="str">
        <x:v>nanita.nalule@pwc.com</x:v>
      </x:c>
      <x:c r="E1805" t="str">
        <x:v>Option 1</x:v>
      </x:c>
      <x:c r="F1805" t="n">
        <x:v>0.08583333333333333</x:v>
      </x:c>
      <x:c r="G1805" t="n">
        <x:v>7416</x:v>
      </x:c>
      <x:c r="H1805" t="str">
        <x:v>Fully attended</x:v>
      </x:c>
      <x:c r="I1805" t="str">
        <x:v>Yes</x:v>
      </x:c>
    </x:row>
    <x:row r="1806">
      <x:c r="A1806" t="str">
        <x:v>Nanita Nalule</x:v>
      </x:c>
      <x:c r="B1806" t="str">
        <x:v>Uganda</x:v>
      </x:c>
      <x:c r="C1806" t="str">
        <x:v>UG</x:v>
      </x:c>
      <x:c r="D1806" t="str">
        <x:v>nanita.nalule@pwc.com</x:v>
      </x:c>
      <x:c r="E1806" t="str">
        <x:v>Option 2</x:v>
      </x:c>
      <x:c r="F1806" t="n">
        <x:v>0</x:v>
      </x:c>
      <x:c r="G1806" t="n">
        <x:v>0</x:v>
      </x:c>
      <x:c r="H1806" t="str">
        <x:v>Did not attend</x:v>
      </x:c>
      <x:c r="I1806" t="str">
        <x:v>No</x:v>
      </x:c>
    </x:row>
    <x:row r="1807">
      <x:c r="A1807" t="str">
        <x:v>Nanita Nalule</x:v>
      </x:c>
      <x:c r="B1807" t="str">
        <x:v>Uganda</x:v>
      </x:c>
      <x:c r="C1807" t="str">
        <x:v>UG</x:v>
      </x:c>
      <x:c r="D1807" t="str">
        <x:v>nanita.nalule@pwc.com</x:v>
      </x:c>
      <x:c r="E1807" t="str">
        <x:v>Combined</x:v>
      </x:c>
      <x:c r="F1807" t="n">
        <x:v>0.08583333333333333</x:v>
      </x:c>
      <x:c r="G1807" t="n">
        <x:v>7416</x:v>
      </x:c>
      <x:c r="H1807" t="str">
        <x:v>Fully attended</x:v>
      </x:c>
      <x:c r="I1807" t="str">
        <x:v>Yes</x:v>
      </x:c>
    </x:row>
    <x:row r="1808">
      <x:c r="A1808" t="str">
        <x:v>Nardos Demeke</x:v>
      </x:c>
      <x:c r="B1808" t="str">
        <x:v>Kenya</x:v>
      </x:c>
      <x:c r="C1808" t="str">
        <x:v>KE</x:v>
      </x:c>
      <x:c r="D1808" t="str">
        <x:v>nardos.demeke@pwc.com</x:v>
      </x:c>
      <x:c r="E1808" t="str">
        <x:v>Option 1</x:v>
      </x:c>
      <x:c r="F1808" t="n">
        <x:v>0</x:v>
      </x:c>
      <x:c r="G1808" t="n">
        <x:v>0</x:v>
      </x:c>
      <x:c r="H1808" t="str">
        <x:v>Did not attend</x:v>
      </x:c>
      <x:c r="I1808" t="str">
        <x:v>No</x:v>
      </x:c>
    </x:row>
    <x:row r="1809">
      <x:c r="A1809" t="str">
        <x:v>Nardos Demeke</x:v>
      </x:c>
      <x:c r="B1809" t="str">
        <x:v>Kenya</x:v>
      </x:c>
      <x:c r="C1809" t="str">
        <x:v>KE</x:v>
      </x:c>
      <x:c r="D1809" t="str">
        <x:v>nardos.demeke@pwc.com</x:v>
      </x:c>
      <x:c r="E1809" t="str">
        <x:v>Option 2</x:v>
      </x:c>
      <x:c r="F1809" t="n">
        <x:v>0.13792824074074075</x:v>
      </x:c>
      <x:c r="G1809" t="n">
        <x:v>11917</x:v>
      </x:c>
      <x:c r="H1809" t="str">
        <x:v>Fully attended</x:v>
      </x:c>
      <x:c r="I1809" t="str">
        <x:v>Yes</x:v>
      </x:c>
    </x:row>
    <x:row r="1810">
      <x:c r="A1810" t="str">
        <x:v>Nardos Demeke</x:v>
      </x:c>
      <x:c r="B1810" t="str">
        <x:v>Kenya</x:v>
      </x:c>
      <x:c r="C1810" t="str">
        <x:v>KE</x:v>
      </x:c>
      <x:c r="D1810" t="str">
        <x:v>nardos.demeke@pwc.com</x:v>
      </x:c>
      <x:c r="E1810" t="str">
        <x:v>Combined</x:v>
      </x:c>
      <x:c r="F1810" t="n">
        <x:v>0.13792824074074075</x:v>
      </x:c>
      <x:c r="G1810" t="n">
        <x:v>11917</x:v>
      </x:c>
      <x:c r="H1810" t="str">
        <x:v>Fully attended</x:v>
      </x:c>
      <x:c r="I1810" t="str">
        <x:v>Yes</x:v>
      </x:c>
    </x:row>
    <x:row r="1811">
      <x:c r="A1811" t="str">
        <x:v>Narsis Makori</x:v>
      </x:c>
      <x:c r="B1811" t="str">
        <x:v>Tanzania</x:v>
      </x:c>
      <x:c r="C1811" t="str">
        <x:v>TZ</x:v>
      </x:c>
      <x:c r="D1811" t="str">
        <x:v>narsis.m.makori@pwc.com</x:v>
      </x:c>
      <x:c r="E1811" t="str">
        <x:v>Option 1</x:v>
      </x:c>
      <x:c r="F1811" t="n">
        <x:v>0.07378472222222222</x:v>
      </x:c>
      <x:c r="G1811" t="n">
        <x:v>6375</x:v>
      </x:c>
      <x:c r="H1811" t="str">
        <x:v>Fully attended</x:v>
      </x:c>
      <x:c r="I1811" t="str">
        <x:v>Yes</x:v>
      </x:c>
    </x:row>
    <x:row r="1812">
      <x:c r="A1812" t="str">
        <x:v>Narsis Makori</x:v>
      </x:c>
      <x:c r="B1812" t="str">
        <x:v>Tanzania</x:v>
      </x:c>
      <x:c r="C1812" t="str">
        <x:v>TZ</x:v>
      </x:c>
      <x:c r="D1812" t="str">
        <x:v>narsis.m.makori@pwc.com</x:v>
      </x:c>
      <x:c r="E1812" t="str">
        <x:v>Option 2</x:v>
      </x:c>
      <x:c r="F1812" t="n">
        <x:v>0</x:v>
      </x:c>
      <x:c r="G1812" t="n">
        <x:v>0</x:v>
      </x:c>
      <x:c r="H1812" t="str">
        <x:v>Did not attend</x:v>
      </x:c>
      <x:c r="I1812" t="str">
        <x:v>No</x:v>
      </x:c>
    </x:row>
    <x:row r="1813">
      <x:c r="A1813" t="str">
        <x:v>Narsis Makori</x:v>
      </x:c>
      <x:c r="B1813" t="str">
        <x:v>Tanzania</x:v>
      </x:c>
      <x:c r="C1813" t="str">
        <x:v>TZ</x:v>
      </x:c>
      <x:c r="D1813" t="str">
        <x:v>narsis.m.makori@pwc.com</x:v>
      </x:c>
      <x:c r="E1813" t="str">
        <x:v>Combined</x:v>
      </x:c>
      <x:c r="F1813" t="n">
        <x:v>0.07378472222222222</x:v>
      </x:c>
      <x:c r="G1813" t="n">
        <x:v>6375</x:v>
      </x:c>
      <x:c r="H1813" t="str">
        <x:v>Fully attended</x:v>
      </x:c>
      <x:c r="I1813" t="str">
        <x:v>Yes</x:v>
      </x:c>
    </x:row>
    <x:row r="1814">
      <x:c r="A1814" t="str">
        <x:v>Natasha Kakokota</x:v>
      </x:c>
      <x:c r="B1814" t="str">
        <x:v>Zambia</x:v>
      </x:c>
      <x:c r="C1814" t="str">
        <x:v>ZM</x:v>
      </x:c>
      <x:c r="D1814" t="str">
        <x:v>natasha.kakokota@pwc.com</x:v>
      </x:c>
      <x:c r="E1814" t="str">
        <x:v>Option 1</x:v>
      </x:c>
      <x:c r="F1814" t="n">
        <x:v>0</x:v>
      </x:c>
      <x:c r="G1814" t="n">
        <x:v>0</x:v>
      </x:c>
      <x:c r="H1814" t="str">
        <x:v>Did not attend</x:v>
      </x:c>
      <x:c r="I1814" t="str">
        <x:v>No</x:v>
      </x:c>
    </x:row>
    <x:row r="1815">
      <x:c r="A1815" t="str">
        <x:v>Natasha Kakokota</x:v>
      </x:c>
      <x:c r="B1815" t="str">
        <x:v>Zambia</x:v>
      </x:c>
      <x:c r="C1815" t="str">
        <x:v>ZM</x:v>
      </x:c>
      <x:c r="D1815" t="str">
        <x:v>natasha.kakokota@pwc.com</x:v>
      </x:c>
      <x:c r="E1815" t="str">
        <x:v>Option 2</x:v>
      </x:c>
      <x:c r="F1815" t="n">
        <x:v>0.08703703703703704</x:v>
      </x:c>
      <x:c r="G1815" t="n">
        <x:v>7520</x:v>
      </x:c>
      <x:c r="H1815" t="str">
        <x:v>Fully attended</x:v>
      </x:c>
      <x:c r="I1815" t="str">
        <x:v>Yes</x:v>
      </x:c>
    </x:row>
    <x:row r="1816">
      <x:c r="A1816" t="str">
        <x:v>Natasha Kakokota</x:v>
      </x:c>
      <x:c r="B1816" t="str">
        <x:v>Zambia</x:v>
      </x:c>
      <x:c r="C1816" t="str">
        <x:v>ZM</x:v>
      </x:c>
      <x:c r="D1816" t="str">
        <x:v>natasha.kakokota@pwc.com</x:v>
      </x:c>
      <x:c r="E1816" t="str">
        <x:v>Combined</x:v>
      </x:c>
      <x:c r="F1816" t="n">
        <x:v>0.08703703703703704</x:v>
      </x:c>
      <x:c r="G1816" t="n">
        <x:v>7520</x:v>
      </x:c>
      <x:c r="H1816" t="str">
        <x:v>Fully attended</x:v>
      </x:c>
      <x:c r="I1816" t="str">
        <x:v>Yes</x:v>
      </x:c>
    </x:row>
    <x:row r="1817">
      <x:c r="A1817" t="str">
        <x:v>Neetisha Devi Cheekhooree</x:v>
      </x:c>
      <x:c r="B1817" t="str">
        <x:v>Mauritius</x:v>
      </x:c>
      <x:c r="C1817" t="str">
        <x:v>MU</x:v>
      </x:c>
      <x:c r="D1817" t="str">
        <x:v>neetisha.cheekhooree@pwc.com</x:v>
      </x:c>
      <x:c r="E1817" t="str">
        <x:v>Option 1</x:v>
      </x:c>
      <x:c r="F1817" t="n">
        <x:v>0.0008449074074074074</x:v>
      </x:c>
      <x:c r="G1817" t="n">
        <x:v>73</x:v>
      </x:c>
      <x:c r="H1817" t="str">
        <x:v>Partially attended</x:v>
      </x:c>
      <x:c r="I1817" t="str">
        <x:v>Yes</x:v>
      </x:c>
    </x:row>
    <x:row r="1818">
      <x:c r="A1818" t="str">
        <x:v>Neetisha Devi Cheekhooree</x:v>
      </x:c>
      <x:c r="B1818" t="str">
        <x:v>Mauritius</x:v>
      </x:c>
      <x:c r="C1818" t="str">
        <x:v>MU</x:v>
      </x:c>
      <x:c r="D1818" t="str">
        <x:v>neetisha.cheekhooree@pwc.com</x:v>
      </x:c>
      <x:c r="E1818" t="str">
        <x:v>Option 2</x:v>
      </x:c>
      <x:c r="F1818" t="n">
        <x:v>0.0853587962962963</x:v>
      </x:c>
      <x:c r="G1818" t="n">
        <x:v>7375</x:v>
      </x:c>
      <x:c r="H1818" t="str">
        <x:v>Fully attended</x:v>
      </x:c>
      <x:c r="I1818" t="str">
        <x:v>Yes</x:v>
      </x:c>
    </x:row>
    <x:row r="1819">
      <x:c r="A1819" t="str">
        <x:v>Neetisha Devi Cheekhooree</x:v>
      </x:c>
      <x:c r="B1819" t="str">
        <x:v>Mauritius</x:v>
      </x:c>
      <x:c r="C1819" t="str">
        <x:v>MU</x:v>
      </x:c>
      <x:c r="D1819" t="str">
        <x:v>neetisha.cheekhooree@pwc.com</x:v>
      </x:c>
      <x:c r="E1819" t="str">
        <x:v>Combined</x:v>
      </x:c>
      <x:c r="F1819" t="n">
        <x:v>0.0862037037037037</x:v>
      </x:c>
      <x:c r="G1819" t="n">
        <x:v>7448</x:v>
      </x:c>
      <x:c r="H1819" t="str">
        <x:v>Fully attended</x:v>
      </x:c>
      <x:c r="I1819" t="str">
        <x:v>Yes</x:v>
      </x:c>
    </x:row>
    <x:row r="1820">
      <x:c r="A1820" t="str">
        <x:v>Nigel Clint</x:v>
      </x:c>
      <x:c r="B1820" t="str">
        <x:v>Kenya</x:v>
      </x:c>
      <x:c r="C1820" t="str">
        <x:v>KE</x:v>
      </x:c>
      <x:c r="D1820" t="str">
        <x:v>nigel.clint@pwc.com</x:v>
      </x:c>
      <x:c r="E1820" t="str">
        <x:v>Option 1</x:v>
      </x:c>
      <x:c r="F1820" t="n">
        <x:v>0</x:v>
      </x:c>
      <x:c r="G1820" t="n">
        <x:v>0</x:v>
      </x:c>
      <x:c r="H1820" t="str">
        <x:v>Did not attend</x:v>
      </x:c>
      <x:c r="I1820" t="str">
        <x:v>No</x:v>
      </x:c>
    </x:row>
    <x:row r="1821">
      <x:c r="A1821" t="str">
        <x:v>Nigel Clint</x:v>
      </x:c>
      <x:c r="B1821" t="str">
        <x:v>Kenya</x:v>
      </x:c>
      <x:c r="C1821" t="str">
        <x:v>KE</x:v>
      </x:c>
      <x:c r="D1821" t="str">
        <x:v>nigel.clint@pwc.com</x:v>
      </x:c>
      <x:c r="E1821" t="str">
        <x:v>Option 2</x:v>
      </x:c>
      <x:c r="F1821" t="n">
        <x:v>0.041712962962962966</x:v>
      </x:c>
      <x:c r="G1821" t="n">
        <x:v>3604</x:v>
      </x:c>
      <x:c r="H1821" t="str">
        <x:v>Partially attended</x:v>
      </x:c>
      <x:c r="I1821" t="str">
        <x:v>Yes</x:v>
      </x:c>
    </x:row>
    <x:row r="1822">
      <x:c r="A1822" t="str">
        <x:v>Nigel Clint</x:v>
      </x:c>
      <x:c r="B1822" t="str">
        <x:v>Kenya</x:v>
      </x:c>
      <x:c r="C1822" t="str">
        <x:v>KE</x:v>
      </x:c>
      <x:c r="D1822" t="str">
        <x:v>nigel.clint@pwc.com</x:v>
      </x:c>
      <x:c r="E1822" t="str">
        <x:v>Combined</x:v>
      </x:c>
      <x:c r="F1822" t="n">
        <x:v>0.041712962962962966</x:v>
      </x:c>
      <x:c r="G1822" t="n">
        <x:v>3604</x:v>
      </x:c>
      <x:c r="H1822" t="str">
        <x:v>Partially attended</x:v>
      </x:c>
      <x:c r="I1822" t="str">
        <x:v>Yes</x:v>
      </x:c>
    </x:row>
    <x:row r="1823">
      <x:c r="A1823" t="str">
        <x:v>Nivenda Govindramen</x:v>
      </x:c>
      <x:c r="B1823" t="str">
        <x:v>Mauritius</x:v>
      </x:c>
      <x:c r="C1823" t="str">
        <x:v>MU</x:v>
      </x:c>
      <x:c r="D1823" t="str">
        <x:v>nivenda.govindramen@pwc.com</x:v>
      </x:c>
      <x:c r="E1823" t="str">
        <x:v>Option 1</x:v>
      </x:c>
      <x:c r="F1823" t="n">
        <x:v>0.06645833333333333</x:v>
      </x:c>
      <x:c r="G1823" t="n">
        <x:v>5742</x:v>
      </x:c>
      <x:c r="H1823" t="str">
        <x:v>Fully attended</x:v>
      </x:c>
      <x:c r="I1823" t="str">
        <x:v>Yes</x:v>
      </x:c>
    </x:row>
    <x:row r="1824">
      <x:c r="A1824" t="str">
        <x:v>Nivenda Govindramen</x:v>
      </x:c>
      <x:c r="B1824" t="str">
        <x:v>Mauritius</x:v>
      </x:c>
      <x:c r="C1824" t="str">
        <x:v>MU</x:v>
      </x:c>
      <x:c r="D1824" t="str">
        <x:v>nivenda.govindramen@pwc.com</x:v>
      </x:c>
      <x:c r="E1824" t="str">
        <x:v>Option 2</x:v>
      </x:c>
      <x:c r="F1824" t="n">
        <x:v>0</x:v>
      </x:c>
      <x:c r="G1824" t="n">
        <x:v>0</x:v>
      </x:c>
      <x:c r="H1824" t="str">
        <x:v>Did not attend</x:v>
      </x:c>
      <x:c r="I1824" t="str">
        <x:v>No</x:v>
      </x:c>
    </x:row>
    <x:row r="1825">
      <x:c r="A1825" t="str">
        <x:v>Nivenda Govindramen</x:v>
      </x:c>
      <x:c r="B1825" t="str">
        <x:v>Mauritius</x:v>
      </x:c>
      <x:c r="C1825" t="str">
        <x:v>MU</x:v>
      </x:c>
      <x:c r="D1825" t="str">
        <x:v>nivenda.govindramen@pwc.com</x:v>
      </x:c>
      <x:c r="E1825" t="str">
        <x:v>Combined</x:v>
      </x:c>
      <x:c r="F1825" t="n">
        <x:v>0.06645833333333333</x:v>
      </x:c>
      <x:c r="G1825" t="n">
        <x:v>5742</x:v>
      </x:c>
      <x:c r="H1825" t="str">
        <x:v>Fully attended</x:v>
      </x:c>
      <x:c r="I1825" t="str">
        <x:v>Yes</x:v>
      </x:c>
    </x:row>
    <x:row r="1826">
      <x:c r="A1826" t="str">
        <x:v>Noah Tembo</x:v>
      </x:c>
      <x:c r="B1826" t="str">
        <x:v>Zambia</x:v>
      </x:c>
      <x:c r="C1826" t="str">
        <x:v>ZM</x:v>
      </x:c>
      <x:c r="D1826" t="str">
        <x:v>noah.tembo@pwc.com</x:v>
      </x:c>
      <x:c r="E1826" t="str">
        <x:v>Option 1</x:v>
      </x:c>
      <x:c r="F1826" t="n">
        <x:v>0</x:v>
      </x:c>
      <x:c r="G1826" t="n">
        <x:v>0</x:v>
      </x:c>
      <x:c r="H1826" t="str">
        <x:v>Did not attend</x:v>
      </x:c>
      <x:c r="I1826" t="str">
        <x:v>No</x:v>
      </x:c>
    </x:row>
    <x:row r="1827">
      <x:c r="A1827" t="str">
        <x:v>Noah Tembo</x:v>
      </x:c>
      <x:c r="B1827" t="str">
        <x:v>Zambia</x:v>
      </x:c>
      <x:c r="C1827" t="str">
        <x:v>ZM</x:v>
      </x:c>
      <x:c r="D1827" t="str">
        <x:v>noah.tembo@pwc.com</x:v>
      </x:c>
      <x:c r="E1827" t="str">
        <x:v>Option 2</x:v>
      </x:c>
      <x:c r="F1827" t="n">
        <x:v>0.04462962962962963</x:v>
      </x:c>
      <x:c r="G1827" t="n">
        <x:v>3856</x:v>
      </x:c>
      <x:c r="H1827" t="str">
        <x:v>Partially attended</x:v>
      </x:c>
      <x:c r="I1827" t="str">
        <x:v>Yes</x:v>
      </x:c>
    </x:row>
    <x:row r="1828">
      <x:c r="A1828" t="str">
        <x:v>Noah Tembo</x:v>
      </x:c>
      <x:c r="B1828" t="str">
        <x:v>Zambia</x:v>
      </x:c>
      <x:c r="C1828" t="str">
        <x:v>ZM</x:v>
      </x:c>
      <x:c r="D1828" t="str">
        <x:v>noah.tembo@pwc.com</x:v>
      </x:c>
      <x:c r="E1828" t="str">
        <x:v>Combined</x:v>
      </x:c>
      <x:c r="F1828" t="n">
        <x:v>0.04462962962962963</x:v>
      </x:c>
      <x:c r="G1828" t="n">
        <x:v>3856</x:v>
      </x:c>
      <x:c r="H1828" t="str">
        <x:v>Partially attended</x:v>
      </x:c>
      <x:c r="I1828" t="str">
        <x:v>Yes</x:v>
      </x:c>
    </x:row>
    <x:row r="1829">
      <x:c r="A1829" t="str">
        <x:v>Nuhu Mandy</x:v>
      </x:c>
      <x:c r="B1829" t="str">
        <x:v>Tanzania</x:v>
      </x:c>
      <x:c r="C1829" t="str">
        <x:v>TZ</x:v>
      </x:c>
      <x:c r="D1829" t="str">
        <x:v>nuhu.mandy@pwc.com</x:v>
      </x:c>
      <x:c r="E1829" t="str">
        <x:v>Option 1</x:v>
      </x:c>
      <x:c r="F1829" t="n">
        <x:v>0.08592592592592592</x:v>
      </x:c>
      <x:c r="G1829" t="n">
        <x:v>7424</x:v>
      </x:c>
      <x:c r="H1829" t="str">
        <x:v>Fully attended</x:v>
      </x:c>
      <x:c r="I1829" t="str">
        <x:v>Yes</x:v>
      </x:c>
    </x:row>
    <x:row r="1830">
      <x:c r="A1830" t="str">
        <x:v>Nuhu Mandy</x:v>
      </x:c>
      <x:c r="B1830" t="str">
        <x:v>Tanzania</x:v>
      </x:c>
      <x:c r="C1830" t="str">
        <x:v>TZ</x:v>
      </x:c>
      <x:c r="D1830" t="str">
        <x:v>nuhu.mandy@pwc.com</x:v>
      </x:c>
      <x:c r="E1830" t="str">
        <x:v>Option 2</x:v>
      </x:c>
      <x:c r="F1830" t="n">
        <x:v>0</x:v>
      </x:c>
      <x:c r="G1830" t="n">
        <x:v>0</x:v>
      </x:c>
      <x:c r="H1830" t="str">
        <x:v>Did not attend</x:v>
      </x:c>
      <x:c r="I1830" t="str">
        <x:v>No</x:v>
      </x:c>
    </x:row>
    <x:row r="1831">
      <x:c r="A1831" t="str">
        <x:v>Nuhu Mandy</x:v>
      </x:c>
      <x:c r="B1831" t="str">
        <x:v>Tanzania</x:v>
      </x:c>
      <x:c r="C1831" t="str">
        <x:v>TZ</x:v>
      </x:c>
      <x:c r="D1831" t="str">
        <x:v>nuhu.mandy@pwc.com</x:v>
      </x:c>
      <x:c r="E1831" t="str">
        <x:v>Combined</x:v>
      </x:c>
      <x:c r="F1831" t="n">
        <x:v>0.08592592592592592</x:v>
      </x:c>
      <x:c r="G1831" t="n">
        <x:v>7424</x:v>
      </x:c>
      <x:c r="H1831" t="str">
        <x:v>Fully attended</x:v>
      </x:c>
      <x:c r="I1831" t="str">
        <x:v>Yes</x:v>
      </x:c>
    </x:row>
    <x:row r="1832">
      <x:c r="A1832" t="str">
        <x:v>Obeid Mluha</x:v>
      </x:c>
      <x:c r="B1832" t="str">
        <x:v>Tanzania</x:v>
      </x:c>
      <x:c r="C1832" t="str">
        <x:v>TZ</x:v>
      </x:c>
      <x:c r="D1832" t="str">
        <x:v>obeid.mluha@pwc.com</x:v>
      </x:c>
      <x:c r="E1832" t="str">
        <x:v>Option 1</x:v>
      </x:c>
      <x:c r="F1832" t="n">
        <x:v>0</x:v>
      </x:c>
      <x:c r="G1832" t="n">
        <x:v>0</x:v>
      </x:c>
      <x:c r="H1832" t="str">
        <x:v>Did not attend</x:v>
      </x:c>
      <x:c r="I1832" t="str">
        <x:v>No</x:v>
      </x:c>
    </x:row>
    <x:row r="1833">
      <x:c r="A1833" t="str">
        <x:v>Obeid Mluha</x:v>
      </x:c>
      <x:c r="B1833" t="str">
        <x:v>Tanzania</x:v>
      </x:c>
      <x:c r="C1833" t="str">
        <x:v>TZ</x:v>
      </x:c>
      <x:c r="D1833" t="str">
        <x:v>obeid.mluha@pwc.com</x:v>
      </x:c>
      <x:c r="E1833" t="str">
        <x:v>Option 2</x:v>
      </x:c>
      <x:c r="F1833" t="n">
        <x:v>0.07755787037037037</x:v>
      </x:c>
      <x:c r="G1833" t="n">
        <x:v>6701</x:v>
      </x:c>
      <x:c r="H1833" t="str">
        <x:v>Fully attended</x:v>
      </x:c>
      <x:c r="I1833" t="str">
        <x:v>Yes</x:v>
      </x:c>
    </x:row>
    <x:row r="1834">
      <x:c r="A1834" t="str">
        <x:v>Obeid Mluha</x:v>
      </x:c>
      <x:c r="B1834" t="str">
        <x:v>Tanzania</x:v>
      </x:c>
      <x:c r="C1834" t="str">
        <x:v>TZ</x:v>
      </x:c>
      <x:c r="D1834" t="str">
        <x:v>obeid.mluha@pwc.com</x:v>
      </x:c>
      <x:c r="E1834" t="str">
        <x:v>Combined</x:v>
      </x:c>
      <x:c r="F1834" t="n">
        <x:v>0.07755787037037037</x:v>
      </x:c>
      <x:c r="G1834" t="n">
        <x:v>6701</x:v>
      </x:c>
      <x:c r="H1834" t="str">
        <x:v>Fully attended</x:v>
      </x:c>
      <x:c r="I1834" t="str">
        <x:v>Yes</x:v>
      </x:c>
    </x:row>
    <x:row r="1835">
      <x:c r="A1835" t="str">
        <x:v>Oscar Malogo</x:v>
      </x:c>
      <x:c r="B1835" t="str">
        <x:v>Tanzania</x:v>
      </x:c>
      <x:c r="C1835" t="str">
        <x:v>TZ</x:v>
      </x:c>
      <x:c r="D1835" t="str">
        <x:v>oscar.malogo@pwc.com</x:v>
      </x:c>
      <x:c r="E1835" t="str">
        <x:v>Option 1</x:v>
      </x:c>
      <x:c r="F1835" t="n">
        <x:v>0</x:v>
      </x:c>
      <x:c r="G1835" t="n">
        <x:v>0</x:v>
      </x:c>
      <x:c r="H1835" t="str">
        <x:v>Did not attend</x:v>
      </x:c>
      <x:c r="I1835" t="str">
        <x:v>No</x:v>
      </x:c>
    </x:row>
    <x:row r="1836">
      <x:c r="A1836" t="str">
        <x:v>Oscar Malogo</x:v>
      </x:c>
      <x:c r="B1836" t="str">
        <x:v>Tanzania</x:v>
      </x:c>
      <x:c r="C1836" t="str">
        <x:v>TZ</x:v>
      </x:c>
      <x:c r="D1836" t="str">
        <x:v>oscar.malogo@pwc.com</x:v>
      </x:c>
      <x:c r="E1836" t="str">
        <x:v>Option 2</x:v>
      </x:c>
      <x:c r="F1836" t="n">
        <x:v>0.048240740740740744</x:v>
      </x:c>
      <x:c r="G1836" t="n">
        <x:v>4168</x:v>
      </x:c>
      <x:c r="H1836" t="str">
        <x:v>Partially attended</x:v>
      </x:c>
      <x:c r="I1836" t="str">
        <x:v>Yes</x:v>
      </x:c>
    </x:row>
    <x:row r="1837">
      <x:c r="A1837" t="str">
        <x:v>Oscar Malogo</x:v>
      </x:c>
      <x:c r="B1837" t="str">
        <x:v>Tanzania</x:v>
      </x:c>
      <x:c r="C1837" t="str">
        <x:v>TZ</x:v>
      </x:c>
      <x:c r="D1837" t="str">
        <x:v>oscar.malogo@pwc.com</x:v>
      </x:c>
      <x:c r="E1837" t="str">
        <x:v>Combined</x:v>
      </x:c>
      <x:c r="F1837" t="n">
        <x:v>0.048240740740740744</x:v>
      </x:c>
      <x:c r="G1837" t="n">
        <x:v>4168</x:v>
      </x:c>
      <x:c r="H1837" t="str">
        <x:v>Partially attended</x:v>
      </x:c>
      <x:c r="I1837" t="str">
        <x:v>Yes</x:v>
      </x:c>
    </x:row>
    <x:row r="1838">
      <x:c r="A1838" t="str">
        <x:v>Ouwais Allymeeah</x:v>
      </x:c>
      <x:c r="B1838" t="str">
        <x:v>Mauritius</x:v>
      </x:c>
      <x:c r="C1838" t="str">
        <x:v>MU</x:v>
      </x:c>
      <x:c r="D1838" t="str">
        <x:v>ouwais.allymeeah@pwc.com</x:v>
      </x:c>
      <x:c r="E1838" t="str">
        <x:v>Option 1</x:v>
      </x:c>
      <x:c r="F1838" t="n">
        <x:v>0</x:v>
      </x:c>
      <x:c r="G1838" t="n">
        <x:v>0</x:v>
      </x:c>
      <x:c r="H1838" t="str">
        <x:v>Did not attend</x:v>
      </x:c>
      <x:c r="I1838" t="str">
        <x:v>No</x:v>
      </x:c>
    </x:row>
    <x:row r="1839">
      <x:c r="A1839" t="str">
        <x:v>Ouwais Allymeeah</x:v>
      </x:c>
      <x:c r="B1839" t="str">
        <x:v>Mauritius</x:v>
      </x:c>
      <x:c r="C1839" t="str">
        <x:v>MU</x:v>
      </x:c>
      <x:c r="D1839" t="str">
        <x:v>ouwais.allymeeah@pwc.com</x:v>
      </x:c>
      <x:c r="E1839" t="str">
        <x:v>Option 2</x:v>
      </x:c>
      <x:c r="F1839" t="n">
        <x:v>0.08702546296296296</x:v>
      </x:c>
      <x:c r="G1839" t="n">
        <x:v>7519</x:v>
      </x:c>
      <x:c r="H1839" t="str">
        <x:v>Fully attended</x:v>
      </x:c>
      <x:c r="I1839" t="str">
        <x:v>Yes</x:v>
      </x:c>
    </x:row>
    <x:row r="1840">
      <x:c r="A1840" t="str">
        <x:v>Ouwais Allymeeah</x:v>
      </x:c>
      <x:c r="B1840" t="str">
        <x:v>Mauritius</x:v>
      </x:c>
      <x:c r="C1840" t="str">
        <x:v>MU</x:v>
      </x:c>
      <x:c r="D1840" t="str">
        <x:v>ouwais.allymeeah@pwc.com</x:v>
      </x:c>
      <x:c r="E1840" t="str">
        <x:v>Combined</x:v>
      </x:c>
      <x:c r="F1840" t="n">
        <x:v>0.08702546296296296</x:v>
      </x:c>
      <x:c r="G1840" t="n">
        <x:v>7519</x:v>
      </x:c>
      <x:c r="H1840" t="str">
        <x:v>Fully attended</x:v>
      </x:c>
      <x:c r="I1840" t="str">
        <x:v>Yes</x:v>
      </x:c>
    </x:row>
    <x:row r="1841">
      <x:c r="A1841" t="str">
        <x:v>Penlope Bainomugisha</x:v>
      </x:c>
      <x:c r="B1841" t="str">
        <x:v>Rwanda</x:v>
      </x:c>
      <x:c r="C1841" t="str">
        <x:v>RW</x:v>
      </x:c>
      <x:c r="D1841" t="str">
        <x:v>penlope.bainomugisha@pwc.com</x:v>
      </x:c>
      <x:c r="E1841" t="str">
        <x:v>Option 1</x:v>
      </x:c>
      <x:c r="F1841" t="n">
        <x:v>0.07881944444444444</x:v>
      </x:c>
      <x:c r="G1841" t="n">
        <x:v>6810</x:v>
      </x:c>
      <x:c r="H1841" t="str">
        <x:v>Fully attended</x:v>
      </x:c>
      <x:c r="I1841" t="str">
        <x:v>Yes</x:v>
      </x:c>
    </x:row>
    <x:row r="1842">
      <x:c r="A1842" t="str">
        <x:v>Penlope Bainomugisha</x:v>
      </x:c>
      <x:c r="B1842" t="str">
        <x:v>Rwanda</x:v>
      </x:c>
      <x:c r="C1842" t="str">
        <x:v>RW</x:v>
      </x:c>
      <x:c r="D1842" t="str">
        <x:v>penlope.bainomugisha@pwc.com</x:v>
      </x:c>
      <x:c r="E1842" t="str">
        <x:v>Option 2</x:v>
      </x:c>
      <x:c r="F1842" t="n">
        <x:v>0</x:v>
      </x:c>
      <x:c r="G1842" t="n">
        <x:v>0</x:v>
      </x:c>
      <x:c r="H1842" t="str">
        <x:v>Did not attend</x:v>
      </x:c>
      <x:c r="I1842" t="str">
        <x:v>No</x:v>
      </x:c>
    </x:row>
    <x:row r="1843">
      <x:c r="A1843" t="str">
        <x:v>Penlope Bainomugisha</x:v>
      </x:c>
      <x:c r="B1843" t="str">
        <x:v>Rwanda</x:v>
      </x:c>
      <x:c r="C1843" t="str">
        <x:v>RW</x:v>
      </x:c>
      <x:c r="D1843" t="str">
        <x:v>penlope.bainomugisha@pwc.com</x:v>
      </x:c>
      <x:c r="E1843" t="str">
        <x:v>Combined</x:v>
      </x:c>
      <x:c r="F1843" t="n">
        <x:v>0.07881944444444444</x:v>
      </x:c>
      <x:c r="G1843" t="n">
        <x:v>6810</x:v>
      </x:c>
      <x:c r="H1843" t="str">
        <x:v>Fully attended</x:v>
      </x:c>
      <x:c r="I1843" t="str">
        <x:v>Yes</x:v>
      </x:c>
    </x:row>
    <x:row r="1844">
      <x:c r="A1844" t="str">
        <x:v>Peter Ndaki</x:v>
      </x:c>
      <x:c r="B1844" t="str">
        <x:v>Tanzania</x:v>
      </x:c>
      <x:c r="C1844" t="str">
        <x:v>TZ</x:v>
      </x:c>
      <x:c r="D1844" t="str">
        <x:v>peter.ndaki@pwc.com</x:v>
      </x:c>
      <x:c r="E1844" t="str">
        <x:v>Option 1</x:v>
      </x:c>
      <x:c r="F1844" t="n">
        <x:v>0.0002777777777777778</x:v>
      </x:c>
      <x:c r="G1844" t="n">
        <x:v>24</x:v>
      </x:c>
      <x:c r="H1844" t="str">
        <x:v>Partially attended</x:v>
      </x:c>
      <x:c r="I1844" t="str">
        <x:v>Yes</x:v>
      </x:c>
    </x:row>
    <x:row r="1845">
      <x:c r="A1845" t="str">
        <x:v>Peter Ndaki</x:v>
      </x:c>
      <x:c r="B1845" t="str">
        <x:v>Tanzania</x:v>
      </x:c>
      <x:c r="C1845" t="str">
        <x:v>TZ</x:v>
      </x:c>
      <x:c r="D1845" t="str">
        <x:v>peter.ndaki@pwc.com</x:v>
      </x:c>
      <x:c r="E1845" t="str">
        <x:v>Option 2</x:v>
      </x:c>
      <x:c r="F1845" t="n">
        <x:v>0</x:v>
      </x:c>
      <x:c r="G1845" t="n">
        <x:v>0</x:v>
      </x:c>
      <x:c r="H1845" t="str">
        <x:v>Did not attend</x:v>
      </x:c>
      <x:c r="I1845" t="str">
        <x:v>No</x:v>
      </x:c>
    </x:row>
    <x:row r="1846">
      <x:c r="A1846" t="str">
        <x:v>Peter Ndaki</x:v>
      </x:c>
      <x:c r="B1846" t="str">
        <x:v>Tanzania</x:v>
      </x:c>
      <x:c r="C1846" t="str">
        <x:v>TZ</x:v>
      </x:c>
      <x:c r="D1846" t="str">
        <x:v>peter.ndaki@pwc.com</x:v>
      </x:c>
      <x:c r="E1846" t="str">
        <x:v>Combined</x:v>
      </x:c>
      <x:c r="F1846" t="n">
        <x:v>0.0002777777777777778</x:v>
      </x:c>
      <x:c r="G1846" t="n">
        <x:v>24</x:v>
      </x:c>
      <x:c r="H1846" t="str">
        <x:v>Partially attended</x:v>
      </x:c>
      <x:c r="I1846" t="str">
        <x:v>Yes</x:v>
      </x:c>
    </x:row>
    <x:row r="1847">
      <x:c r="A1847" t="str">
        <x:v>Peter Placid</x:v>
      </x:c>
      <x:c r="B1847" t="str">
        <x:v>Tanzania</x:v>
      </x:c>
      <x:c r="C1847" t="str">
        <x:v>TZ</x:v>
      </x:c>
      <x:c r="D1847" t="str">
        <x:v>peter.placid@pwc.com</x:v>
      </x:c>
      <x:c r="E1847" t="str">
        <x:v>Option 1</x:v>
      </x:c>
      <x:c r="F1847" t="n">
        <x:v>0.05590277777777778</x:v>
      </x:c>
      <x:c r="G1847" t="n">
        <x:v>4830</x:v>
      </x:c>
      <x:c r="H1847" t="str">
        <x:v>Partially attended</x:v>
      </x:c>
      <x:c r="I1847" t="str">
        <x:v>Yes</x:v>
      </x:c>
    </x:row>
    <x:row r="1848">
      <x:c r="A1848" t="str">
        <x:v>Peter Placid</x:v>
      </x:c>
      <x:c r="B1848" t="str">
        <x:v>Tanzania</x:v>
      </x:c>
      <x:c r="C1848" t="str">
        <x:v>TZ</x:v>
      </x:c>
      <x:c r="D1848" t="str">
        <x:v>peter.placid@pwc.com</x:v>
      </x:c>
      <x:c r="E1848" t="str">
        <x:v>Option 2</x:v>
      </x:c>
      <x:c r="F1848" t="n">
        <x:v>0.025300925925925925</x:v>
      </x:c>
      <x:c r="G1848" t="n">
        <x:v>2186</x:v>
      </x:c>
      <x:c r="H1848" t="str">
        <x:v>Partially attended</x:v>
      </x:c>
      <x:c r="I1848" t="str">
        <x:v>Yes</x:v>
      </x:c>
    </x:row>
    <x:row r="1849">
      <x:c r="A1849" t="str">
        <x:v>Peter Placid</x:v>
      </x:c>
      <x:c r="B1849" t="str">
        <x:v>Tanzania</x:v>
      </x:c>
      <x:c r="C1849" t="str">
        <x:v>TZ</x:v>
      </x:c>
      <x:c r="D1849" t="str">
        <x:v>peter.placid@pwc.com</x:v>
      </x:c>
      <x:c r="E1849" t="str">
        <x:v>Combined</x:v>
      </x:c>
      <x:c r="F1849" t="n">
        <x:v>0.08120370370370371</x:v>
      </x:c>
      <x:c r="G1849" t="n">
        <x:v>7016</x:v>
      </x:c>
      <x:c r="H1849" t="str">
        <x:v>Fully attended</x:v>
      </x:c>
      <x:c r="I1849" t="str">
        <x:v>Yes</x:v>
      </x:c>
    </x:row>
    <x:row r="1850">
      <x:c r="A1850" t="str">
        <x:v>Phanastone Yongo</x:v>
      </x:c>
      <x:c r="B1850" t="str">
        <x:v>Kenya</x:v>
      </x:c>
      <x:c r="C1850" t="str">
        <x:v>KE</x:v>
      </x:c>
      <x:c r="D1850" t="str">
        <x:v>phanastone.yongo@pwc.com</x:v>
      </x:c>
      <x:c r="E1850" t="str">
        <x:v>Option 1</x:v>
      </x:c>
      <x:c r="F1850" t="n">
        <x:v>0.08672453703703703</x:v>
      </x:c>
      <x:c r="G1850" t="n">
        <x:v>7493</x:v>
      </x:c>
      <x:c r="H1850" t="str">
        <x:v>Fully attended</x:v>
      </x:c>
      <x:c r="I1850" t="str">
        <x:v>Yes</x:v>
      </x:c>
    </x:row>
    <x:row r="1851">
      <x:c r="A1851" t="str">
        <x:v>Phanastone Yongo</x:v>
      </x:c>
      <x:c r="B1851" t="str">
        <x:v>Kenya</x:v>
      </x:c>
      <x:c r="C1851" t="str">
        <x:v>KE</x:v>
      </x:c>
      <x:c r="D1851" t="str">
        <x:v>phanastone.yongo@pwc.com</x:v>
      </x:c>
      <x:c r="E1851" t="str">
        <x:v>Option 2</x:v>
      </x:c>
      <x:c r="F1851" t="n">
        <x:v>0</x:v>
      </x:c>
      <x:c r="G1851" t="n">
        <x:v>0</x:v>
      </x:c>
      <x:c r="H1851" t="str">
        <x:v>Did not attend</x:v>
      </x:c>
      <x:c r="I1851" t="str">
        <x:v>No</x:v>
      </x:c>
    </x:row>
    <x:row r="1852">
      <x:c r="A1852" t="str">
        <x:v>Phanastone Yongo</x:v>
      </x:c>
      <x:c r="B1852" t="str">
        <x:v>Kenya</x:v>
      </x:c>
      <x:c r="C1852" t="str">
        <x:v>KE</x:v>
      </x:c>
      <x:c r="D1852" t="str">
        <x:v>phanastone.yongo@pwc.com</x:v>
      </x:c>
      <x:c r="E1852" t="str">
        <x:v>Combined</x:v>
      </x:c>
      <x:c r="F1852" t="n">
        <x:v>0.08672453703703703</x:v>
      </x:c>
      <x:c r="G1852" t="n">
        <x:v>7493</x:v>
      </x:c>
      <x:c r="H1852" t="str">
        <x:v>Fully attended</x:v>
      </x:c>
      <x:c r="I1852" t="str">
        <x:v>Yes</x:v>
      </x:c>
    </x:row>
    <x:row r="1853">
      <x:c r="A1853" t="str">
        <x:v>Phelister Odhiambo</x:v>
      </x:c>
      <x:c r="B1853" t="str">
        <x:v>Kenya</x:v>
      </x:c>
      <x:c r="C1853" t="str">
        <x:v>KE</x:v>
      </x:c>
      <x:c r="D1853" t="str">
        <x:v>phelister.odhiambo@pwc.com</x:v>
      </x:c>
      <x:c r="E1853" t="str">
        <x:v>Option 1</x:v>
      </x:c>
      <x:c r="F1853" t="n">
        <x:v>0</x:v>
      </x:c>
      <x:c r="G1853" t="n">
        <x:v>0</x:v>
      </x:c>
      <x:c r="H1853" t="str">
        <x:v>Did not attend</x:v>
      </x:c>
      <x:c r="I1853" t="str">
        <x:v>No</x:v>
      </x:c>
    </x:row>
    <x:row r="1854">
      <x:c r="A1854" t="str">
        <x:v>Phelister Odhiambo</x:v>
      </x:c>
      <x:c r="B1854" t="str">
        <x:v>Kenya</x:v>
      </x:c>
      <x:c r="C1854" t="str">
        <x:v>KE</x:v>
      </x:c>
      <x:c r="D1854" t="str">
        <x:v>phelister.odhiambo@pwc.com</x:v>
      </x:c>
      <x:c r="E1854" t="str">
        <x:v>Option 2</x:v>
      </x:c>
      <x:c r="F1854" t="n">
        <x:v>0.04228009259259259</x:v>
      </x:c>
      <x:c r="G1854" t="n">
        <x:v>3653</x:v>
      </x:c>
      <x:c r="H1854" t="str">
        <x:v>Partially attended</x:v>
      </x:c>
      <x:c r="I1854" t="str">
        <x:v>Yes</x:v>
      </x:c>
    </x:row>
    <x:row r="1855">
      <x:c r="A1855" t="str">
        <x:v>Phelister Odhiambo</x:v>
      </x:c>
      <x:c r="B1855" t="str">
        <x:v>Kenya</x:v>
      </x:c>
      <x:c r="C1855" t="str">
        <x:v>KE</x:v>
      </x:c>
      <x:c r="D1855" t="str">
        <x:v>phelister.odhiambo@pwc.com</x:v>
      </x:c>
      <x:c r="E1855" t="str">
        <x:v>Combined</x:v>
      </x:c>
      <x:c r="F1855" t="n">
        <x:v>0.04228009259259259</x:v>
      </x:c>
      <x:c r="G1855" t="n">
        <x:v>3653</x:v>
      </x:c>
      <x:c r="H1855" t="str">
        <x:v>Partially attended</x:v>
      </x:c>
      <x:c r="I1855" t="str">
        <x:v>Yes</x:v>
      </x:c>
    </x:row>
    <x:row r="1856">
      <x:c r="A1856" t="str">
        <x:v>Praxy Kanana</x:v>
      </x:c>
      <x:c r="B1856" t="str">
        <x:v>Kenya</x:v>
      </x:c>
      <x:c r="C1856" t="str">
        <x:v>KE</x:v>
      </x:c>
      <x:c r="D1856" t="str">
        <x:v>praxy.kanana@pwc.com</x:v>
      </x:c>
      <x:c r="E1856" t="str">
        <x:v>Option 1</x:v>
      </x:c>
      <x:c r="F1856" t="n">
        <x:v>0</x:v>
      </x:c>
      <x:c r="G1856" t="n">
        <x:v>0</x:v>
      </x:c>
      <x:c r="H1856" t="str">
        <x:v>Did not attend</x:v>
      </x:c>
      <x:c r="I1856" t="str">
        <x:v>No</x:v>
      </x:c>
    </x:row>
    <x:row r="1857">
      <x:c r="A1857" t="str">
        <x:v>Praxy Kanana</x:v>
      </x:c>
      <x:c r="B1857" t="str">
        <x:v>Kenya</x:v>
      </x:c>
      <x:c r="C1857" t="str">
        <x:v>KE</x:v>
      </x:c>
      <x:c r="D1857" t="str">
        <x:v>praxy.kanana@pwc.com</x:v>
      </x:c>
      <x:c r="E1857" t="str">
        <x:v>Option 2</x:v>
      </x:c>
      <x:c r="F1857" t="n">
        <x:v>0.08211805555555556</x:v>
      </x:c>
      <x:c r="G1857" t="n">
        <x:v>7095</x:v>
      </x:c>
      <x:c r="H1857" t="str">
        <x:v>Fully attended</x:v>
      </x:c>
      <x:c r="I1857" t="str">
        <x:v>Yes</x:v>
      </x:c>
    </x:row>
    <x:row r="1858">
      <x:c r="A1858" t="str">
        <x:v>Praxy Kanana</x:v>
      </x:c>
      <x:c r="B1858" t="str">
        <x:v>Kenya</x:v>
      </x:c>
      <x:c r="C1858" t="str">
        <x:v>KE</x:v>
      </x:c>
      <x:c r="D1858" t="str">
        <x:v>praxy.kanana@pwc.com</x:v>
      </x:c>
      <x:c r="E1858" t="str">
        <x:v>Combined</x:v>
      </x:c>
      <x:c r="F1858" t="n">
        <x:v>0.08211805555555556</x:v>
      </x:c>
      <x:c r="G1858" t="n">
        <x:v>7095</x:v>
      </x:c>
      <x:c r="H1858" t="str">
        <x:v>Fully attended</x:v>
      </x:c>
      <x:c r="I1858" t="str">
        <x:v>Yes</x:v>
      </x:c>
    </x:row>
    <x:row r="1859">
      <x:c r="A1859" t="str">
        <x:v>Priscilla Mirembe</x:v>
      </x:c>
      <x:c r="B1859" t="str">
        <x:v>Uganda</x:v>
      </x:c>
      <x:c r="C1859" t="str">
        <x:v>UG</x:v>
      </x:c>
      <x:c r="D1859" t="str">
        <x:v>priscilla.mirembe@pwc.com</x:v>
      </x:c>
      <x:c r="E1859" t="str">
        <x:v>Option 1</x:v>
      </x:c>
      <x:c r="F1859" t="n">
        <x:v>0</x:v>
      </x:c>
      <x:c r="G1859" t="n">
        <x:v>0</x:v>
      </x:c>
      <x:c r="H1859" t="str">
        <x:v>Did not attend</x:v>
      </x:c>
      <x:c r="I1859" t="str">
        <x:v>No</x:v>
      </x:c>
    </x:row>
    <x:row r="1860">
      <x:c r="A1860" t="str">
        <x:v>Priscilla Mirembe</x:v>
      </x:c>
      <x:c r="B1860" t="str">
        <x:v>Uganda</x:v>
      </x:c>
      <x:c r="C1860" t="str">
        <x:v>UG</x:v>
      </x:c>
      <x:c r="D1860" t="str">
        <x:v>priscilla.mirembe@pwc.com</x:v>
      </x:c>
      <x:c r="E1860" t="str">
        <x:v>Option 2</x:v>
      </x:c>
      <x:c r="F1860" t="n">
        <x:v>0.08285879629629629</x:v>
      </x:c>
      <x:c r="G1860" t="n">
        <x:v>7159</x:v>
      </x:c>
      <x:c r="H1860" t="str">
        <x:v>Fully attended</x:v>
      </x:c>
      <x:c r="I1860" t="str">
        <x:v>Yes</x:v>
      </x:c>
    </x:row>
    <x:row r="1861">
      <x:c r="A1861" t="str">
        <x:v>Priscilla Mirembe</x:v>
      </x:c>
      <x:c r="B1861" t="str">
        <x:v>Uganda</x:v>
      </x:c>
      <x:c r="C1861" t="str">
        <x:v>UG</x:v>
      </x:c>
      <x:c r="D1861" t="str">
        <x:v>priscilla.mirembe@pwc.com</x:v>
      </x:c>
      <x:c r="E1861" t="str">
        <x:v>Combined</x:v>
      </x:c>
      <x:c r="F1861" t="n">
        <x:v>0.08285879629629629</x:v>
      </x:c>
      <x:c r="G1861" t="n">
        <x:v>7159</x:v>
      </x:c>
      <x:c r="H1861" t="str">
        <x:v>Fully attended</x:v>
      </x:c>
      <x:c r="I1861" t="str">
        <x:v>Yes</x:v>
      </x:c>
    </x:row>
    <x:row r="1862">
      <x:c r="A1862" t="str">
        <x:v>Pritika Roy</x:v>
      </x:c>
      <x:c r="B1862" t="str">
        <x:v>Mauritius</x:v>
      </x:c>
      <x:c r="C1862" t="str">
        <x:v>MU</x:v>
      </x:c>
      <x:c r="D1862" t="str">
        <x:v>pritika.roy@pwc.com</x:v>
      </x:c>
      <x:c r="E1862" t="str">
        <x:v>Option 1</x:v>
      </x:c>
      <x:c r="F1862" t="n">
        <x:v>0</x:v>
      </x:c>
      <x:c r="G1862" t="n">
        <x:v>0</x:v>
      </x:c>
      <x:c r="H1862" t="str">
        <x:v>Did not attend</x:v>
      </x:c>
      <x:c r="I1862" t="str">
        <x:v>No</x:v>
      </x:c>
    </x:row>
    <x:row r="1863">
      <x:c r="A1863" t="str">
        <x:v>Pritika Roy</x:v>
      </x:c>
      <x:c r="B1863" t="str">
        <x:v>Mauritius</x:v>
      </x:c>
      <x:c r="C1863" t="str">
        <x:v>MU</x:v>
      </x:c>
      <x:c r="D1863" t="str">
        <x:v>pritika.roy@pwc.com</x:v>
      </x:c>
      <x:c r="E1863" t="str">
        <x:v>Option 2</x:v>
      </x:c>
      <x:c r="F1863" t="n">
        <x:v>0.05990740740740741</x:v>
      </x:c>
      <x:c r="G1863" t="n">
        <x:v>5176</x:v>
      </x:c>
      <x:c r="H1863" t="str">
        <x:v>Partially attended</x:v>
      </x:c>
      <x:c r="I1863" t="str">
        <x:v>Yes</x:v>
      </x:c>
    </x:row>
    <x:row r="1864">
      <x:c r="A1864" t="str">
        <x:v>Pritika Roy</x:v>
      </x:c>
      <x:c r="B1864" t="str">
        <x:v>Mauritius</x:v>
      </x:c>
      <x:c r="C1864" t="str">
        <x:v>MU</x:v>
      </x:c>
      <x:c r="D1864" t="str">
        <x:v>pritika.roy@pwc.com</x:v>
      </x:c>
      <x:c r="E1864" t="str">
        <x:v>Combined</x:v>
      </x:c>
      <x:c r="F1864" t="n">
        <x:v>0.05990740740740741</x:v>
      </x:c>
      <x:c r="G1864" t="n">
        <x:v>5176</x:v>
      </x:c>
      <x:c r="H1864" t="str">
        <x:v>Partially attended</x:v>
      </x:c>
      <x:c r="I1864" t="str">
        <x:v>Yes</x:v>
      </x:c>
    </x:row>
    <x:row r="1865">
      <x:c r="A1865" t="str">
        <x:v>Rachel Mduma</x:v>
      </x:c>
      <x:c r="B1865" t="str">
        <x:v>Tanzania</x:v>
      </x:c>
      <x:c r="C1865" t="str">
        <x:v>TZ</x:v>
      </x:c>
      <x:c r="D1865" t="str">
        <x:v>rachel.mduma@pwc.com</x:v>
      </x:c>
      <x:c r="E1865" t="str">
        <x:v>Option 1</x:v>
      </x:c>
      <x:c r="F1865" t="n">
        <x:v>0</x:v>
      </x:c>
      <x:c r="G1865" t="n">
        <x:v>0</x:v>
      </x:c>
      <x:c r="H1865" t="str">
        <x:v>Did not attend</x:v>
      </x:c>
      <x:c r="I1865" t="str">
        <x:v>No</x:v>
      </x:c>
    </x:row>
    <x:row r="1866">
      <x:c r="A1866" t="str">
        <x:v>Rachel Mduma</x:v>
      </x:c>
      <x:c r="B1866" t="str">
        <x:v>Tanzania</x:v>
      </x:c>
      <x:c r="C1866" t="str">
        <x:v>TZ</x:v>
      </x:c>
      <x:c r="D1866" t="str">
        <x:v>rachel.mduma@pwc.com</x:v>
      </x:c>
      <x:c r="E1866" t="str">
        <x:v>Option 2</x:v>
      </x:c>
      <x:c r="F1866" t="n">
        <x:v>0.014178240740740741</x:v>
      </x:c>
      <x:c r="G1866" t="n">
        <x:v>1225</x:v>
      </x:c>
      <x:c r="H1866" t="str">
        <x:v>Partially attended</x:v>
      </x:c>
      <x:c r="I1866" t="str">
        <x:v>Yes</x:v>
      </x:c>
    </x:row>
    <x:row r="1867">
      <x:c r="A1867" t="str">
        <x:v>Rachel Mduma</x:v>
      </x:c>
      <x:c r="B1867" t="str">
        <x:v>Tanzania</x:v>
      </x:c>
      <x:c r="C1867" t="str">
        <x:v>TZ</x:v>
      </x:c>
      <x:c r="D1867" t="str">
        <x:v>rachel.mduma@pwc.com</x:v>
      </x:c>
      <x:c r="E1867" t="str">
        <x:v>Combined</x:v>
      </x:c>
      <x:c r="F1867" t="n">
        <x:v>0.014178240740740741</x:v>
      </x:c>
      <x:c r="G1867" t="n">
        <x:v>1225</x:v>
      </x:c>
      <x:c r="H1867" t="str">
        <x:v>Partially attended</x:v>
      </x:c>
      <x:c r="I1867" t="str">
        <x:v>Yes</x:v>
      </x:c>
    </x:row>
    <x:row r="1868">
      <x:c r="A1868" t="str">
        <x:v>Rael Sumahili</x:v>
      </x:c>
      <x:c r="B1868" t="str">
        <x:v>Rwanda</x:v>
      </x:c>
      <x:c r="C1868" t="str">
        <x:v>RW</x:v>
      </x:c>
      <x:c r="D1868" t="str">
        <x:v>rael.sumahili@pwc.com</x:v>
      </x:c>
      <x:c r="E1868" t="str">
        <x:v>Option 1</x:v>
      </x:c>
      <x:c r="F1868" t="n">
        <x:v>0</x:v>
      </x:c>
      <x:c r="G1868" t="n">
        <x:v>0</x:v>
      </x:c>
      <x:c r="H1868" t="str">
        <x:v>Did not attend</x:v>
      </x:c>
      <x:c r="I1868" t="str">
        <x:v>No</x:v>
      </x:c>
    </x:row>
    <x:row r="1869">
      <x:c r="A1869" t="str">
        <x:v>Rael Sumahili</x:v>
      </x:c>
      <x:c r="B1869" t="str">
        <x:v>Rwanda</x:v>
      </x:c>
      <x:c r="C1869" t="str">
        <x:v>RW</x:v>
      </x:c>
      <x:c r="D1869" t="str">
        <x:v>rael.sumahili@pwc.com</x:v>
      </x:c>
      <x:c r="E1869" t="str">
        <x:v>Option 2</x:v>
      </x:c>
      <x:c r="F1869" t="n">
        <x:v>0.0691087962962963</x:v>
      </x:c>
      <x:c r="G1869" t="n">
        <x:v>5971</x:v>
      </x:c>
      <x:c r="H1869" t="str">
        <x:v>Fully attended</x:v>
      </x:c>
      <x:c r="I1869" t="str">
        <x:v>Yes</x:v>
      </x:c>
    </x:row>
    <x:row r="1870">
      <x:c r="A1870" t="str">
        <x:v>Rael Sumahili</x:v>
      </x:c>
      <x:c r="B1870" t="str">
        <x:v>Rwanda</x:v>
      </x:c>
      <x:c r="C1870" t="str">
        <x:v>RW</x:v>
      </x:c>
      <x:c r="D1870" t="str">
        <x:v>rael.sumahili@pwc.com</x:v>
      </x:c>
      <x:c r="E1870" t="str">
        <x:v>Combined</x:v>
      </x:c>
      <x:c r="F1870" t="n">
        <x:v>0.0691087962962963</x:v>
      </x:c>
      <x:c r="G1870" t="n">
        <x:v>5971</x:v>
      </x:c>
      <x:c r="H1870" t="str">
        <x:v>Fully attended</x:v>
      </x:c>
      <x:c r="I1870" t="str">
        <x:v>Yes</x:v>
      </x:c>
    </x:row>
    <x:row r="1871">
      <x:c r="A1871" t="str">
        <x:v>Raissah Ramdianee</x:v>
      </x:c>
      <x:c r="B1871" t="str">
        <x:v>Mauritius</x:v>
      </x:c>
      <x:c r="C1871" t="str">
        <x:v>MU</x:v>
      </x:c>
      <x:c r="D1871" t="str">
        <x:v>raissah.ramdianee@pwc.com</x:v>
      </x:c>
      <x:c r="E1871" t="str">
        <x:v>Option 1</x:v>
      </x:c>
      <x:c r="F1871" t="n">
        <x:v>0</x:v>
      </x:c>
      <x:c r="G1871" t="n">
        <x:v>0</x:v>
      </x:c>
      <x:c r="H1871" t="str">
        <x:v>Did not attend</x:v>
      </x:c>
      <x:c r="I1871" t="str">
        <x:v>No</x:v>
      </x:c>
    </x:row>
    <x:row r="1872">
      <x:c r="A1872" t="str">
        <x:v>Raissah Ramdianee</x:v>
      </x:c>
      <x:c r="B1872" t="str">
        <x:v>Mauritius</x:v>
      </x:c>
      <x:c r="C1872" t="str">
        <x:v>MU</x:v>
      </x:c>
      <x:c r="D1872" t="str">
        <x:v>raissah.ramdianee@pwc.com</x:v>
      </x:c>
      <x:c r="E1872" t="str">
        <x:v>Option 2</x:v>
      </x:c>
      <x:c r="F1872" t="n">
        <x:v>0.08028935185185185</x:v>
      </x:c>
      <x:c r="G1872" t="n">
        <x:v>6937</x:v>
      </x:c>
      <x:c r="H1872" t="str">
        <x:v>Fully attended</x:v>
      </x:c>
      <x:c r="I1872" t="str">
        <x:v>Yes</x:v>
      </x:c>
    </x:row>
    <x:row r="1873">
      <x:c r="A1873" t="str">
        <x:v>Raissah Ramdianee</x:v>
      </x:c>
      <x:c r="B1873" t="str">
        <x:v>Mauritius</x:v>
      </x:c>
      <x:c r="C1873" t="str">
        <x:v>MU</x:v>
      </x:c>
      <x:c r="D1873" t="str">
        <x:v>raissah.ramdianee@pwc.com</x:v>
      </x:c>
      <x:c r="E1873" t="str">
        <x:v>Combined</x:v>
      </x:c>
      <x:c r="F1873" t="n">
        <x:v>0.08028935185185185</x:v>
      </x:c>
      <x:c r="G1873" t="n">
        <x:v>6937</x:v>
      </x:c>
      <x:c r="H1873" t="str">
        <x:v>Fully attended</x:v>
      </x:c>
      <x:c r="I1873" t="str">
        <x:v>Yes</x:v>
      </x:c>
    </x:row>
    <x:row r="1874">
      <x:c r="A1874" t="str">
        <x:v>Raj Ghunowa</x:v>
      </x:c>
      <x:c r="B1874" t="str">
        <x:v>Mauritius</x:v>
      </x:c>
      <x:c r="C1874" t="str">
        <x:v>MU</x:v>
      </x:c>
      <x:c r="D1874" t="str">
        <x:v>ghunowa.raj@pwc.com</x:v>
      </x:c>
      <x:c r="E1874" t="str">
        <x:v>Option 1</x:v>
      </x:c>
      <x:c r="F1874" t="n">
        <x:v>0</x:v>
      </x:c>
      <x:c r="G1874" t="n">
        <x:v>0</x:v>
      </x:c>
      <x:c r="H1874" t="str">
        <x:v>Did not attend</x:v>
      </x:c>
      <x:c r="I1874" t="str">
        <x:v>No</x:v>
      </x:c>
    </x:row>
    <x:row r="1875">
      <x:c r="A1875" t="str">
        <x:v>Raj Ghunowa</x:v>
      </x:c>
      <x:c r="B1875" t="str">
        <x:v>Mauritius</x:v>
      </x:c>
      <x:c r="C1875" t="str">
        <x:v>MU</x:v>
      </x:c>
      <x:c r="D1875" t="str">
        <x:v>ghunowa.raj@pwc.com</x:v>
      </x:c>
      <x:c r="E1875" t="str">
        <x:v>Option 2</x:v>
      </x:c>
      <x:c r="F1875" t="n">
        <x:v>0.06278935185185185</x:v>
      </x:c>
      <x:c r="G1875" t="n">
        <x:v>5425</x:v>
      </x:c>
      <x:c r="H1875" t="str">
        <x:v>Fully attended</x:v>
      </x:c>
      <x:c r="I1875" t="str">
        <x:v>Yes</x:v>
      </x:c>
    </x:row>
    <x:row r="1876">
      <x:c r="A1876" t="str">
        <x:v>Raj Ghunowa</x:v>
      </x:c>
      <x:c r="B1876" t="str">
        <x:v>Mauritius</x:v>
      </x:c>
      <x:c r="C1876" t="str">
        <x:v>MU</x:v>
      </x:c>
      <x:c r="D1876" t="str">
        <x:v>ghunowa.raj@pwc.com</x:v>
      </x:c>
      <x:c r="E1876" t="str">
        <x:v>Combined</x:v>
      </x:c>
      <x:c r="F1876" t="n">
        <x:v>0.06278935185185185</x:v>
      </x:c>
      <x:c r="G1876" t="n">
        <x:v>5425</x:v>
      </x:c>
      <x:c r="H1876" t="str">
        <x:v>Fully attended</x:v>
      </x:c>
      <x:c r="I1876" t="str">
        <x:v>Yes</x:v>
      </x:c>
    </x:row>
    <x:row r="1877">
      <x:c r="A1877" t="str">
        <x:v>Ramadhani Mshana</x:v>
      </x:c>
      <x:c r="B1877" t="str">
        <x:v>Tanzania</x:v>
      </x:c>
      <x:c r="C1877" t="str">
        <x:v>TZ</x:v>
      </x:c>
      <x:c r="D1877" t="str">
        <x:v>ramadhani.mshana@pwc.com</x:v>
      </x:c>
      <x:c r="E1877" t="str">
        <x:v>Option 1</x:v>
      </x:c>
      <x:c r="F1877" t="n">
        <x:v>0.1091550925925926</x:v>
      </x:c>
      <x:c r="G1877" t="n">
        <x:v>9431</x:v>
      </x:c>
      <x:c r="H1877" t="str">
        <x:v>Fully attended</x:v>
      </x:c>
      <x:c r="I1877" t="str">
        <x:v>Yes</x:v>
      </x:c>
    </x:row>
    <x:row r="1878">
      <x:c r="A1878" t="str">
        <x:v>Ramadhani Mshana</x:v>
      </x:c>
      <x:c r="B1878" t="str">
        <x:v>Tanzania</x:v>
      </x:c>
      <x:c r="C1878" t="str">
        <x:v>TZ</x:v>
      </x:c>
      <x:c r="D1878" t="str">
        <x:v>ramadhani.mshana@pwc.com</x:v>
      </x:c>
      <x:c r="E1878" t="str">
        <x:v>Option 2</x:v>
      </x:c>
      <x:c r="F1878" t="n">
        <x:v>0</x:v>
      </x:c>
      <x:c r="G1878" t="n">
        <x:v>0</x:v>
      </x:c>
      <x:c r="H1878" t="str">
        <x:v>Did not attend</x:v>
      </x:c>
      <x:c r="I1878" t="str">
        <x:v>No</x:v>
      </x:c>
    </x:row>
    <x:row r="1879">
      <x:c r="A1879" t="str">
        <x:v>Ramadhani Mshana</x:v>
      </x:c>
      <x:c r="B1879" t="str">
        <x:v>Tanzania</x:v>
      </x:c>
      <x:c r="C1879" t="str">
        <x:v>TZ</x:v>
      </x:c>
      <x:c r="D1879" t="str">
        <x:v>ramadhani.mshana@pwc.com</x:v>
      </x:c>
      <x:c r="E1879" t="str">
        <x:v>Combined</x:v>
      </x:c>
      <x:c r="F1879" t="n">
        <x:v>0.1091550925925926</x:v>
      </x:c>
      <x:c r="G1879" t="n">
        <x:v>9431</x:v>
      </x:c>
      <x:c r="H1879" t="str">
        <x:v>Fully attended</x:v>
      </x:c>
      <x:c r="I1879" t="str">
        <x:v>Yes</x:v>
      </x:c>
    </x:row>
    <x:row r="1880">
      <x:c r="A1880" t="str">
        <x:v>Rayhaan Cadersa</x:v>
      </x:c>
      <x:c r="B1880" t="str">
        <x:v>Mauritius</x:v>
      </x:c>
      <x:c r="C1880" t="str">
        <x:v>MU</x:v>
      </x:c>
      <x:c r="D1880" t="str">
        <x:v>rayhaan.cadersa@pwc.com</x:v>
      </x:c>
      <x:c r="E1880" t="str">
        <x:v>Option 1</x:v>
      </x:c>
      <x:c r="F1880" t="n">
        <x:v>0.0024652777777777776</x:v>
      </x:c>
      <x:c r="G1880" t="n">
        <x:v>213</x:v>
      </x:c>
      <x:c r="H1880" t="str">
        <x:v>Partially attended</x:v>
      </x:c>
      <x:c r="I1880" t="str">
        <x:v>Yes</x:v>
      </x:c>
    </x:row>
    <x:row r="1881">
      <x:c r="A1881" t="str">
        <x:v>Rayhaan Cadersa</x:v>
      </x:c>
      <x:c r="B1881" t="str">
        <x:v>Mauritius</x:v>
      </x:c>
      <x:c r="C1881" t="str">
        <x:v>MU</x:v>
      </x:c>
      <x:c r="D1881" t="str">
        <x:v>rayhaan.cadersa@pwc.com</x:v>
      </x:c>
      <x:c r="E1881" t="str">
        <x:v>Option 2</x:v>
      </x:c>
      <x:c r="F1881" t="n">
        <x:v>0.08412037037037037</x:v>
      </x:c>
      <x:c r="G1881" t="n">
        <x:v>7268</x:v>
      </x:c>
      <x:c r="H1881" t="str">
        <x:v>Fully attended</x:v>
      </x:c>
      <x:c r="I1881" t="str">
        <x:v>Yes</x:v>
      </x:c>
    </x:row>
    <x:row r="1882">
      <x:c r="A1882" t="str">
        <x:v>Rayhaan Cadersa</x:v>
      </x:c>
      <x:c r="B1882" t="str">
        <x:v>Mauritius</x:v>
      </x:c>
      <x:c r="C1882" t="str">
        <x:v>MU</x:v>
      </x:c>
      <x:c r="D1882" t="str">
        <x:v>rayhaan.cadersa@pwc.com</x:v>
      </x:c>
      <x:c r="E1882" t="str">
        <x:v>Combined</x:v>
      </x:c>
      <x:c r="F1882" t="n">
        <x:v>0.08658564814814815</x:v>
      </x:c>
      <x:c r="G1882" t="n">
        <x:v>7481</x:v>
      </x:c>
      <x:c r="H1882" t="str">
        <x:v>Fully attended</x:v>
      </x:c>
      <x:c r="I1882" t="str">
        <x:v>Yes</x:v>
      </x:c>
    </x:row>
    <x:row r="1883">
      <x:c r="A1883" t="str">
        <x:v>Rebecca Kayiteesi</x:v>
      </x:c>
      <x:c r="B1883" t="str">
        <x:v>Uganda</x:v>
      </x:c>
      <x:c r="C1883" t="str">
        <x:v>UG</x:v>
      </x:c>
      <x:c r="D1883" t="str">
        <x:v>rebecca.kayiteesi@pwc.com</x:v>
      </x:c>
      <x:c r="E1883" t="str">
        <x:v>Option 1</x:v>
      </x:c>
      <x:c r="F1883" t="n">
        <x:v>0</x:v>
      </x:c>
      <x:c r="G1883" t="n">
        <x:v>0</x:v>
      </x:c>
      <x:c r="H1883" t="str">
        <x:v>Did not attend</x:v>
      </x:c>
      <x:c r="I1883" t="str">
        <x:v>No</x:v>
      </x:c>
    </x:row>
    <x:row r="1884">
      <x:c r="A1884" t="str">
        <x:v>Rebecca Kayiteesi</x:v>
      </x:c>
      <x:c r="B1884" t="str">
        <x:v>Uganda</x:v>
      </x:c>
      <x:c r="C1884" t="str">
        <x:v>UG</x:v>
      </x:c>
      <x:c r="D1884" t="str">
        <x:v>rebecca.kayiteesi@pwc.com</x:v>
      </x:c>
      <x:c r="E1884" t="str">
        <x:v>Option 2</x:v>
      </x:c>
      <x:c r="F1884" t="n">
        <x:v>0.07871527777777777</x:v>
      </x:c>
      <x:c r="G1884" t="n">
        <x:v>6801</x:v>
      </x:c>
      <x:c r="H1884" t="str">
        <x:v>Fully attended</x:v>
      </x:c>
      <x:c r="I1884" t="str">
        <x:v>Yes</x:v>
      </x:c>
    </x:row>
    <x:row r="1885">
      <x:c r="A1885" t="str">
        <x:v>Rebecca Kayiteesi</x:v>
      </x:c>
      <x:c r="B1885" t="str">
        <x:v>Uganda</x:v>
      </x:c>
      <x:c r="C1885" t="str">
        <x:v>UG</x:v>
      </x:c>
      <x:c r="D1885" t="str">
        <x:v>rebecca.kayiteesi@pwc.com</x:v>
      </x:c>
      <x:c r="E1885" t="str">
        <x:v>Combined</x:v>
      </x:c>
      <x:c r="F1885" t="n">
        <x:v>0.07871527777777777</x:v>
      </x:c>
      <x:c r="G1885" t="n">
        <x:v>6801</x:v>
      </x:c>
      <x:c r="H1885" t="str">
        <x:v>Fully attended</x:v>
      </x:c>
      <x:c r="I1885" t="str">
        <x:v>Yes</x:v>
      </x:c>
    </x:row>
    <x:row r="1886">
      <x:c r="A1886" t="str">
        <x:v>Rebecca Osunga</x:v>
      </x:c>
      <x:c r="B1886" t="str">
        <x:v>Kenya</x:v>
      </x:c>
      <x:c r="C1886" t="str">
        <x:v>KE</x:v>
      </x:c>
      <x:c r="D1886" t="str">
        <x:v>rebecca.osunga@pwc.com</x:v>
      </x:c>
      <x:c r="E1886" t="str">
        <x:v>Option 1</x:v>
      </x:c>
      <x:c r="F1886" t="n">
        <x:v>0.05689814814814815</x:v>
      </x:c>
      <x:c r="G1886" t="n">
        <x:v>4916</x:v>
      </x:c>
      <x:c r="H1886" t="str">
        <x:v>Partially attended</x:v>
      </x:c>
      <x:c r="I1886" t="str">
        <x:v>Yes</x:v>
      </x:c>
    </x:row>
    <x:row r="1887">
      <x:c r="A1887" t="str">
        <x:v>Rebecca Osunga</x:v>
      </x:c>
      <x:c r="B1887" t="str">
        <x:v>Kenya</x:v>
      </x:c>
      <x:c r="C1887" t="str">
        <x:v>KE</x:v>
      </x:c>
      <x:c r="D1887" t="str">
        <x:v>rebecca.osunga@pwc.com</x:v>
      </x:c>
      <x:c r="E1887" t="str">
        <x:v>Option 2</x:v>
      </x:c>
      <x:c r="F1887" t="n">
        <x:v>0.038078703703703705</x:v>
      </x:c>
      <x:c r="G1887" t="n">
        <x:v>3290</x:v>
      </x:c>
      <x:c r="H1887" t="str">
        <x:v>Partially attended</x:v>
      </x:c>
      <x:c r="I1887" t="str">
        <x:v>Yes</x:v>
      </x:c>
    </x:row>
    <x:row r="1888">
      <x:c r="A1888" t="str">
        <x:v>Rebecca Osunga</x:v>
      </x:c>
      <x:c r="B1888" t="str">
        <x:v>Kenya</x:v>
      </x:c>
      <x:c r="C1888" t="str">
        <x:v>KE</x:v>
      </x:c>
      <x:c r="D1888" t="str">
        <x:v>rebecca.osunga@pwc.com</x:v>
      </x:c>
      <x:c r="E1888" t="str">
        <x:v>Combined</x:v>
      </x:c>
      <x:c r="F1888" t="n">
        <x:v>0.09497685185185185</x:v>
      </x:c>
      <x:c r="G1888" t="n">
        <x:v>8206</x:v>
      </x:c>
      <x:c r="H1888" t="str">
        <x:v>Fully attended</x:v>
      </x:c>
      <x:c r="I1888" t="str">
        <x:v>Yes</x:v>
      </x:c>
    </x:row>
    <x:row r="1889">
      <x:c r="A1889" t="str">
        <x:v>Ria Munogee</x:v>
      </x:c>
      <x:c r="B1889" t="str">
        <x:v>Mauritius</x:v>
      </x:c>
      <x:c r="C1889" t="str">
        <x:v>MU</x:v>
      </x:c>
      <x:c r="D1889" t="str">
        <x:v>leenam.munogee@pwc.com</x:v>
      </x:c>
      <x:c r="E1889" t="str">
        <x:v>Option 1</x:v>
      </x:c>
      <x:c r="F1889" t="n">
        <x:v>0.0006828703703703704</x:v>
      </x:c>
      <x:c r="G1889" t="n">
        <x:v>59</x:v>
      </x:c>
      <x:c r="H1889" t="str">
        <x:v>Partially attended</x:v>
      </x:c>
      <x:c r="I1889" t="str">
        <x:v>Yes</x:v>
      </x:c>
    </x:row>
    <x:row r="1890">
      <x:c r="A1890" t="str">
        <x:v>Ria Munogee</x:v>
      </x:c>
      <x:c r="B1890" t="str">
        <x:v>Mauritius</x:v>
      </x:c>
      <x:c r="C1890" t="str">
        <x:v>MU</x:v>
      </x:c>
      <x:c r="D1890" t="str">
        <x:v>leenam.munogee@pwc.com</x:v>
      </x:c>
      <x:c r="E1890" t="str">
        <x:v>Option 2</x:v>
      </x:c>
      <x:c r="F1890" t="n">
        <x:v>0.08321759259259259</x:v>
      </x:c>
      <x:c r="G1890" t="n">
        <x:v>7190</x:v>
      </x:c>
      <x:c r="H1890" t="str">
        <x:v>Fully attended</x:v>
      </x:c>
      <x:c r="I1890" t="str">
        <x:v>Yes</x:v>
      </x:c>
    </x:row>
    <x:row r="1891">
      <x:c r="A1891" t="str">
        <x:v>Ria Munogee</x:v>
      </x:c>
      <x:c r="B1891" t="str">
        <x:v>Mauritius</x:v>
      </x:c>
      <x:c r="C1891" t="str">
        <x:v>MU</x:v>
      </x:c>
      <x:c r="D1891" t="str">
        <x:v>leenam.munogee@pwc.com</x:v>
      </x:c>
      <x:c r="E1891" t="str">
        <x:v>Combined</x:v>
      </x:c>
      <x:c r="F1891" t="n">
        <x:v>0.08390046296296297</x:v>
      </x:c>
      <x:c r="G1891" t="n">
        <x:v>7249</x:v>
      </x:c>
      <x:c r="H1891" t="str">
        <x:v>Fully attended</x:v>
      </x:c>
      <x:c r="I1891" t="str">
        <x:v>Yes</x:v>
      </x:c>
    </x:row>
    <x:row r="1892">
      <x:c r="A1892" t="str">
        <x:v>Rohan Peter</x:v>
      </x:c>
      <x:c r="B1892" t="str">
        <x:v>Mauritius</x:v>
      </x:c>
      <x:c r="C1892" t="str">
        <x:v>MU</x:v>
      </x:c>
      <x:c r="D1892" t="str">
        <x:v>rohan.peter@pwc.com</x:v>
      </x:c>
      <x:c r="E1892" t="str">
        <x:v>Option 1</x:v>
      </x:c>
      <x:c r="F1892" t="n">
        <x:v>0.05028935185185185</x:v>
      </x:c>
      <x:c r="G1892" t="n">
        <x:v>4345</x:v>
      </x:c>
      <x:c r="H1892" t="str">
        <x:v>Partially attended</x:v>
      </x:c>
      <x:c r="I1892" t="str">
        <x:v>Yes</x:v>
      </x:c>
    </x:row>
    <x:row r="1893">
      <x:c r="A1893" t="str">
        <x:v>Rohan Peter</x:v>
      </x:c>
      <x:c r="B1893" t="str">
        <x:v>Mauritius</x:v>
      </x:c>
      <x:c r="C1893" t="str">
        <x:v>MU</x:v>
      </x:c>
      <x:c r="D1893" t="str">
        <x:v>rohan.peter@pwc.com</x:v>
      </x:c>
      <x:c r="E1893" t="str">
        <x:v>Option 2</x:v>
      </x:c>
      <x:c r="F1893" t="n">
        <x:v>0</x:v>
      </x:c>
      <x:c r="G1893" t="n">
        <x:v>0</x:v>
      </x:c>
      <x:c r="H1893" t="str">
        <x:v>Did not attend</x:v>
      </x:c>
      <x:c r="I1893" t="str">
        <x:v>No</x:v>
      </x:c>
    </x:row>
    <x:row r="1894">
      <x:c r="A1894" t="str">
        <x:v>Rohan Peter</x:v>
      </x:c>
      <x:c r="B1894" t="str">
        <x:v>Mauritius</x:v>
      </x:c>
      <x:c r="C1894" t="str">
        <x:v>MU</x:v>
      </x:c>
      <x:c r="D1894" t="str">
        <x:v>rohan.peter@pwc.com</x:v>
      </x:c>
      <x:c r="E1894" t="str">
        <x:v>Combined</x:v>
      </x:c>
      <x:c r="F1894" t="n">
        <x:v>0.05028935185185185</x:v>
      </x:c>
      <x:c r="G1894" t="n">
        <x:v>4345</x:v>
      </x:c>
      <x:c r="H1894" t="str">
        <x:v>Partially attended</x:v>
      </x:c>
      <x:c r="I1894" t="str">
        <x:v>Yes</x:v>
      </x:c>
    </x:row>
    <x:row r="1895">
      <x:c r="A1895" t="str">
        <x:v>Rose Banda</x:v>
      </x:c>
      <x:c r="B1895" t="str">
        <x:v>Zambia</x:v>
      </x:c>
      <x:c r="C1895" t="str">
        <x:v>ZM</x:v>
      </x:c>
      <x:c r="D1895" t="str">
        <x:v>rose.banda@pwc.com</x:v>
      </x:c>
      <x:c r="E1895" t="str">
        <x:v>Option 1</x:v>
      </x:c>
      <x:c r="F1895" t="n">
        <x:v>0.06018518518518518</x:v>
      </x:c>
      <x:c r="G1895" t="n">
        <x:v>5200</x:v>
      </x:c>
      <x:c r="H1895" t="str">
        <x:v>Partially attended</x:v>
      </x:c>
      <x:c r="I1895" t="str">
        <x:v>Yes</x:v>
      </x:c>
    </x:row>
    <x:row r="1896">
      <x:c r="A1896" t="str">
        <x:v>Rose Banda</x:v>
      </x:c>
      <x:c r="B1896" t="str">
        <x:v>Zambia</x:v>
      </x:c>
      <x:c r="C1896" t="str">
        <x:v>ZM</x:v>
      </x:c>
      <x:c r="D1896" t="str">
        <x:v>rose.banda@pwc.com</x:v>
      </x:c>
      <x:c r="E1896" t="str">
        <x:v>Option 2</x:v>
      </x:c>
      <x:c r="F1896" t="n">
        <x:v>0</x:v>
      </x:c>
      <x:c r="G1896" t="n">
        <x:v>0</x:v>
      </x:c>
      <x:c r="H1896" t="str">
        <x:v>Did not attend</x:v>
      </x:c>
      <x:c r="I1896" t="str">
        <x:v>No</x:v>
      </x:c>
    </x:row>
    <x:row r="1897">
      <x:c r="A1897" t="str">
        <x:v>Rose Banda</x:v>
      </x:c>
      <x:c r="B1897" t="str">
        <x:v>Zambia</x:v>
      </x:c>
      <x:c r="C1897" t="str">
        <x:v>ZM</x:v>
      </x:c>
      <x:c r="D1897" t="str">
        <x:v>rose.banda@pwc.com</x:v>
      </x:c>
      <x:c r="E1897" t="str">
        <x:v>Combined</x:v>
      </x:c>
      <x:c r="F1897" t="n">
        <x:v>0.06018518518518518</x:v>
      </x:c>
      <x:c r="G1897" t="n">
        <x:v>5200</x:v>
      </x:c>
      <x:c r="H1897" t="str">
        <x:v>Partially attended</x:v>
      </x:c>
      <x:c r="I1897" t="str">
        <x:v>Yes</x:v>
      </x:c>
    </x:row>
    <x:row r="1898">
      <x:c r="A1898" t="str">
        <x:v>Ruth Uwera</x:v>
      </x:c>
      <x:c r="B1898" t="str">
        <x:v>Rwanda</x:v>
      </x:c>
      <x:c r="C1898" t="str">
        <x:v>RW</x:v>
      </x:c>
      <x:c r="D1898" t="str">
        <x:v>ruth.uwera@pwc.com</x:v>
      </x:c>
      <x:c r="E1898" t="str">
        <x:v>Option 1</x:v>
      </x:c>
      <x:c r="F1898" t="n">
        <x:v>0.04380787037037037</x:v>
      </x:c>
      <x:c r="G1898" t="n">
        <x:v>3785</x:v>
      </x:c>
      <x:c r="H1898" t="str">
        <x:v>Partially attended</x:v>
      </x:c>
      <x:c r="I1898" t="str">
        <x:v>Yes</x:v>
      </x:c>
    </x:row>
    <x:row r="1899">
      <x:c r="A1899" t="str">
        <x:v>Ruth Uwera</x:v>
      </x:c>
      <x:c r="B1899" t="str">
        <x:v>Rwanda</x:v>
      </x:c>
      <x:c r="C1899" t="str">
        <x:v>RW</x:v>
      </x:c>
      <x:c r="D1899" t="str">
        <x:v>ruth.uwera@pwc.com</x:v>
      </x:c>
      <x:c r="E1899" t="str">
        <x:v>Option 2</x:v>
      </x:c>
      <x:c r="F1899" t="n">
        <x:v>0</x:v>
      </x:c>
      <x:c r="G1899" t="n">
        <x:v>0</x:v>
      </x:c>
      <x:c r="H1899" t="str">
        <x:v>Did not attend</x:v>
      </x:c>
      <x:c r="I1899" t="str">
        <x:v>No</x:v>
      </x:c>
    </x:row>
    <x:row r="1900">
      <x:c r="A1900" t="str">
        <x:v>Ruth Uwera</x:v>
      </x:c>
      <x:c r="B1900" t="str">
        <x:v>Rwanda</x:v>
      </x:c>
      <x:c r="C1900" t="str">
        <x:v>RW</x:v>
      </x:c>
      <x:c r="D1900" t="str">
        <x:v>ruth.uwera@pwc.com</x:v>
      </x:c>
      <x:c r="E1900" t="str">
        <x:v>Combined</x:v>
      </x:c>
      <x:c r="F1900" t="n">
        <x:v>0.04380787037037037</x:v>
      </x:c>
      <x:c r="G1900" t="n">
        <x:v>3785</x:v>
      </x:c>
      <x:c r="H1900" t="str">
        <x:v>Partially attended</x:v>
      </x:c>
      <x:c r="I1900" t="str">
        <x:v>Yes</x:v>
      </x:c>
    </x:row>
    <x:row r="1901">
      <x:c r="A1901" t="str">
        <x:v>Sabryya Moos</x:v>
      </x:c>
      <x:c r="B1901" t="str">
        <x:v>Mauritius</x:v>
      </x:c>
      <x:c r="C1901" t="str">
        <x:v>MU</x:v>
      </x:c>
      <x:c r="D1901" t="str">
        <x:v>sabryya.moos@pwc.com</x:v>
      </x:c>
      <x:c r="E1901" t="str">
        <x:v>Option 1</x:v>
      </x:c>
      <x:c r="F1901" t="n">
        <x:v>0.07174768518518519</x:v>
      </x:c>
      <x:c r="G1901" t="n">
        <x:v>6199</x:v>
      </x:c>
      <x:c r="H1901" t="str">
        <x:v>Fully attended</x:v>
      </x:c>
      <x:c r="I1901" t="str">
        <x:v>Yes</x:v>
      </x:c>
    </x:row>
    <x:row r="1902">
      <x:c r="A1902" t="str">
        <x:v>Sabryya Moos</x:v>
      </x:c>
      <x:c r="B1902" t="str">
        <x:v>Mauritius</x:v>
      </x:c>
      <x:c r="C1902" t="str">
        <x:v>MU</x:v>
      </x:c>
      <x:c r="D1902" t="str">
        <x:v>sabryya.moos@pwc.com</x:v>
      </x:c>
      <x:c r="E1902" t="str">
        <x:v>Option 2</x:v>
      </x:c>
      <x:c r="F1902" t="n">
        <x:v>0</x:v>
      </x:c>
      <x:c r="G1902" t="n">
        <x:v>0</x:v>
      </x:c>
      <x:c r="H1902" t="str">
        <x:v>Did not attend</x:v>
      </x:c>
      <x:c r="I1902" t="str">
        <x:v>No</x:v>
      </x:c>
    </x:row>
    <x:row r="1903">
      <x:c r="A1903" t="str">
        <x:v>Sabryya Moos</x:v>
      </x:c>
      <x:c r="B1903" t="str">
        <x:v>Mauritius</x:v>
      </x:c>
      <x:c r="C1903" t="str">
        <x:v>MU</x:v>
      </x:c>
      <x:c r="D1903" t="str">
        <x:v>sabryya.moos@pwc.com</x:v>
      </x:c>
      <x:c r="E1903" t="str">
        <x:v>Combined</x:v>
      </x:c>
      <x:c r="F1903" t="n">
        <x:v>0.07174768518518519</x:v>
      </x:c>
      <x:c r="G1903" t="n">
        <x:v>6199</x:v>
      </x:c>
      <x:c r="H1903" t="str">
        <x:v>Fully attended</x:v>
      </x:c>
      <x:c r="I1903" t="str">
        <x:v>Yes</x:v>
      </x:c>
    </x:row>
    <x:row r="1904">
      <x:c r="A1904" t="str">
        <x:v>Sadia Emamdee</x:v>
      </x:c>
      <x:c r="B1904" t="str">
        <x:v>Mauritius</x:v>
      </x:c>
      <x:c r="C1904" t="str">
        <x:v>MU</x:v>
      </x:c>
      <x:c r="D1904" t="str">
        <x:v>sadia.emamdee@pwc.com</x:v>
      </x:c>
      <x:c r="E1904" t="str">
        <x:v>Option 1</x:v>
      </x:c>
      <x:c r="F1904" t="n">
        <x:v>0</x:v>
      </x:c>
      <x:c r="G1904" t="n">
        <x:v>0</x:v>
      </x:c>
      <x:c r="H1904" t="str">
        <x:v>Did not attend</x:v>
      </x:c>
      <x:c r="I1904" t="str">
        <x:v>No</x:v>
      </x:c>
    </x:row>
    <x:row r="1905">
      <x:c r="A1905" t="str">
        <x:v>Sadia Emamdee</x:v>
      </x:c>
      <x:c r="B1905" t="str">
        <x:v>Mauritius</x:v>
      </x:c>
      <x:c r="C1905" t="str">
        <x:v>MU</x:v>
      </x:c>
      <x:c r="D1905" t="str">
        <x:v>sadia.emamdee@pwc.com</x:v>
      </x:c>
      <x:c r="E1905" t="str">
        <x:v>Option 2</x:v>
      </x:c>
      <x:c r="F1905" t="n">
        <x:v>0.08140046296296297</x:v>
      </x:c>
      <x:c r="G1905" t="n">
        <x:v>7033</x:v>
      </x:c>
      <x:c r="H1905" t="str">
        <x:v>Fully attended</x:v>
      </x:c>
      <x:c r="I1905" t="str">
        <x:v>Yes</x:v>
      </x:c>
    </x:row>
    <x:row r="1906">
      <x:c r="A1906" t="str">
        <x:v>Sadia Emamdee</x:v>
      </x:c>
      <x:c r="B1906" t="str">
        <x:v>Mauritius</x:v>
      </x:c>
      <x:c r="C1906" t="str">
        <x:v>MU</x:v>
      </x:c>
      <x:c r="D1906" t="str">
        <x:v>sadia.emamdee@pwc.com</x:v>
      </x:c>
      <x:c r="E1906" t="str">
        <x:v>Combined</x:v>
      </x:c>
      <x:c r="F1906" t="n">
        <x:v>0.08140046296296297</x:v>
      </x:c>
      <x:c r="G1906" t="n">
        <x:v>7033</x:v>
      </x:c>
      <x:c r="H1906" t="str">
        <x:v>Fully attended</x:v>
      </x:c>
      <x:c r="I1906" t="str">
        <x:v>Yes</x:v>
      </x:c>
    </x:row>
    <x:row r="1907">
      <x:c r="A1907" t="str">
        <x:v>Sadishen Vythilingum</x:v>
      </x:c>
      <x:c r="B1907" t="str">
        <x:v>Mauritius</x:v>
      </x:c>
      <x:c r="C1907" t="str">
        <x:v>MU</x:v>
      </x:c>
      <x:c r="D1907" t="str">
        <x:v>sadishen.vythilingum@pwc.com</x:v>
      </x:c>
      <x:c r="E1907" t="str">
        <x:v>Option 1</x:v>
      </x:c>
      <x:c r="F1907" t="n">
        <x:v>0</x:v>
      </x:c>
      <x:c r="G1907" t="n">
        <x:v>0</x:v>
      </x:c>
      <x:c r="H1907" t="str">
        <x:v>Did not attend</x:v>
      </x:c>
      <x:c r="I1907" t="str">
        <x:v>No</x:v>
      </x:c>
    </x:row>
    <x:row r="1908">
      <x:c r="A1908" t="str">
        <x:v>Sadishen Vythilingum</x:v>
      </x:c>
      <x:c r="B1908" t="str">
        <x:v>Mauritius</x:v>
      </x:c>
      <x:c r="C1908" t="str">
        <x:v>MU</x:v>
      </x:c>
      <x:c r="D1908" t="str">
        <x:v>sadishen.vythilingum@pwc.com</x:v>
      </x:c>
      <x:c r="E1908" t="str">
        <x:v>Option 2</x:v>
      </x:c>
      <x:c r="F1908" t="n">
        <x:v>0.09004629629629629</x:v>
      </x:c>
      <x:c r="G1908" t="n">
        <x:v>7780</x:v>
      </x:c>
      <x:c r="H1908" t="str">
        <x:v>Fully attended</x:v>
      </x:c>
      <x:c r="I1908" t="str">
        <x:v>Yes</x:v>
      </x:c>
    </x:row>
    <x:row r="1909">
      <x:c r="A1909" t="str">
        <x:v>Sadishen Vythilingum</x:v>
      </x:c>
      <x:c r="B1909" t="str">
        <x:v>Mauritius</x:v>
      </x:c>
      <x:c r="C1909" t="str">
        <x:v>MU</x:v>
      </x:c>
      <x:c r="D1909" t="str">
        <x:v>sadishen.vythilingum@pwc.com</x:v>
      </x:c>
      <x:c r="E1909" t="str">
        <x:v>Combined</x:v>
      </x:c>
      <x:c r="F1909" t="n">
        <x:v>0.09004629629629629</x:v>
      </x:c>
      <x:c r="G1909" t="n">
        <x:v>7780</x:v>
      </x:c>
      <x:c r="H1909" t="str">
        <x:v>Fully attended</x:v>
      </x:c>
      <x:c r="I1909" t="str">
        <x:v>Yes</x:v>
      </x:c>
    </x:row>
    <x:row r="1910">
      <x:c r="A1910" t="str">
        <x:v>Safia Abdulkadir</x:v>
      </x:c>
      <x:c r="B1910" t="str">
        <x:v>Kenya</x:v>
      </x:c>
      <x:c r="C1910" t="str">
        <x:v>KE</x:v>
      </x:c>
      <x:c r="D1910" t="str">
        <x:v>safia.abdulkadir@pwc.com</x:v>
      </x:c>
      <x:c r="E1910" t="str">
        <x:v>Option 1</x:v>
      </x:c>
      <x:c r="F1910" t="n">
        <x:v>0.010844907407407407</x:v>
      </x:c>
      <x:c r="G1910" t="n">
        <x:v>937</x:v>
      </x:c>
      <x:c r="H1910" t="str">
        <x:v>Partially attended</x:v>
      </x:c>
      <x:c r="I1910" t="str">
        <x:v>Yes</x:v>
      </x:c>
    </x:row>
    <x:row r="1911">
      <x:c r="A1911" t="str">
        <x:v>Safia Abdulkadir</x:v>
      </x:c>
      <x:c r="B1911" t="str">
        <x:v>Kenya</x:v>
      </x:c>
      <x:c r="C1911" t="str">
        <x:v>KE</x:v>
      </x:c>
      <x:c r="D1911" t="str">
        <x:v>safia.abdulkadir@pwc.com</x:v>
      </x:c>
      <x:c r="E1911" t="str">
        <x:v>Option 2</x:v>
      </x:c>
      <x:c r="F1911" t="n">
        <x:v>0</x:v>
      </x:c>
      <x:c r="G1911" t="n">
        <x:v>0</x:v>
      </x:c>
      <x:c r="H1911" t="str">
        <x:v>Did not attend</x:v>
      </x:c>
      <x:c r="I1911" t="str">
        <x:v>No</x:v>
      </x:c>
    </x:row>
    <x:row r="1912">
      <x:c r="A1912" t="str">
        <x:v>Safia Abdulkadir</x:v>
      </x:c>
      <x:c r="B1912" t="str">
        <x:v>Kenya</x:v>
      </x:c>
      <x:c r="C1912" t="str">
        <x:v>KE</x:v>
      </x:c>
      <x:c r="D1912" t="str">
        <x:v>safia.abdulkadir@pwc.com</x:v>
      </x:c>
      <x:c r="E1912" t="str">
        <x:v>Combined</x:v>
      </x:c>
      <x:c r="F1912" t="n">
        <x:v>0.010844907407407407</x:v>
      </x:c>
      <x:c r="G1912" t="n">
        <x:v>937</x:v>
      </x:c>
      <x:c r="H1912" t="str">
        <x:v>Partially attended</x:v>
      </x:c>
      <x:c r="I1912" t="str">
        <x:v>Yes</x:v>
      </x:c>
    </x:row>
    <x:row r="1913">
      <x:c r="A1913" t="str">
        <x:v>Sahil Ramyed</x:v>
      </x:c>
      <x:c r="B1913" t="str">
        <x:v>Mauritius</x:v>
      </x:c>
      <x:c r="C1913" t="str">
        <x:v>MU</x:v>
      </x:c>
      <x:c r="D1913" t="str">
        <x:v>sahil.ramyed@pwc.com</x:v>
      </x:c>
      <x:c r="E1913" t="str">
        <x:v>Option 1</x:v>
      </x:c>
      <x:c r="F1913" t="n">
        <x:v>0</x:v>
      </x:c>
      <x:c r="G1913" t="n">
        <x:v>0</x:v>
      </x:c>
      <x:c r="H1913" t="str">
        <x:v>Did not attend</x:v>
      </x:c>
      <x:c r="I1913" t="str">
        <x:v>No</x:v>
      </x:c>
    </x:row>
    <x:row r="1914">
      <x:c r="A1914" t="str">
        <x:v>Sahil Ramyed</x:v>
      </x:c>
      <x:c r="B1914" t="str">
        <x:v>Mauritius</x:v>
      </x:c>
      <x:c r="C1914" t="str">
        <x:v>MU</x:v>
      </x:c>
      <x:c r="D1914" t="str">
        <x:v>sahil.ramyed@pwc.com</x:v>
      </x:c>
      <x:c r="E1914" t="str">
        <x:v>Option 2</x:v>
      </x:c>
      <x:c r="F1914" t="n">
        <x:v>0.054247685185185184</x:v>
      </x:c>
      <x:c r="G1914" t="n">
        <x:v>4687</x:v>
      </x:c>
      <x:c r="H1914" t="str">
        <x:v>Partially attended</x:v>
      </x:c>
      <x:c r="I1914" t="str">
        <x:v>Yes</x:v>
      </x:c>
    </x:row>
    <x:row r="1915">
      <x:c r="A1915" t="str">
        <x:v>Sahil Ramyed</x:v>
      </x:c>
      <x:c r="B1915" t="str">
        <x:v>Mauritius</x:v>
      </x:c>
      <x:c r="C1915" t="str">
        <x:v>MU</x:v>
      </x:c>
      <x:c r="D1915" t="str">
        <x:v>sahil.ramyed@pwc.com</x:v>
      </x:c>
      <x:c r="E1915" t="str">
        <x:v>Combined</x:v>
      </x:c>
      <x:c r="F1915" t="n">
        <x:v>0.054247685185185184</x:v>
      </x:c>
      <x:c r="G1915" t="n">
        <x:v>4687</x:v>
      </x:c>
      <x:c r="H1915" t="str">
        <x:v>Partially attended</x:v>
      </x:c>
      <x:c r="I1915" t="str">
        <x:v>Yes</x:v>
      </x:c>
    </x:row>
    <x:row r="1916">
      <x:c r="A1916" t="str">
        <x:v>Shafeeka Bauluck</x:v>
      </x:c>
      <x:c r="B1916" t="str">
        <x:v>Mauritius</x:v>
      </x:c>
      <x:c r="C1916" t="str">
        <x:v>MU</x:v>
      </x:c>
      <x:c r="D1916" t="str">
        <x:v>shafeeka.bauluck@pwc.com</x:v>
      </x:c>
      <x:c r="E1916" t="str">
        <x:v>Option 1</x:v>
      </x:c>
      <x:c r="F1916" t="n">
        <x:v>0.010868055555555556</x:v>
      </x:c>
      <x:c r="G1916" t="n">
        <x:v>939</x:v>
      </x:c>
      <x:c r="H1916" t="str">
        <x:v>Partially attended</x:v>
      </x:c>
      <x:c r="I1916" t="str">
        <x:v>Yes</x:v>
      </x:c>
    </x:row>
    <x:row r="1917">
      <x:c r="A1917" t="str">
        <x:v>Shafeeka Bauluck</x:v>
      </x:c>
      <x:c r="B1917" t="str">
        <x:v>Mauritius</x:v>
      </x:c>
      <x:c r="C1917" t="str">
        <x:v>MU</x:v>
      </x:c>
      <x:c r="D1917" t="str">
        <x:v>shafeeka.bauluck@pwc.com</x:v>
      </x:c>
      <x:c r="E1917" t="str">
        <x:v>Option 2</x:v>
      </x:c>
      <x:c r="F1917" t="n">
        <x:v>0</x:v>
      </x:c>
      <x:c r="G1917" t="n">
        <x:v>0</x:v>
      </x:c>
      <x:c r="H1917" t="str">
        <x:v>Did not attend</x:v>
      </x:c>
      <x:c r="I1917" t="str">
        <x:v>No</x:v>
      </x:c>
    </x:row>
    <x:row r="1918">
      <x:c r="A1918" t="str">
        <x:v>Shafeeka Bauluck</x:v>
      </x:c>
      <x:c r="B1918" t="str">
        <x:v>Mauritius</x:v>
      </x:c>
      <x:c r="C1918" t="str">
        <x:v>MU</x:v>
      </x:c>
      <x:c r="D1918" t="str">
        <x:v>shafeeka.bauluck@pwc.com</x:v>
      </x:c>
      <x:c r="E1918" t="str">
        <x:v>Combined</x:v>
      </x:c>
      <x:c r="F1918" t="n">
        <x:v>0.010868055555555556</x:v>
      </x:c>
      <x:c r="G1918" t="n">
        <x:v>939</x:v>
      </x:c>
      <x:c r="H1918" t="str">
        <x:v>Partially attended</x:v>
      </x:c>
      <x:c r="I1918" t="str">
        <x:v>Yes</x:v>
      </x:c>
    </x:row>
    <x:row r="1919">
      <x:c r="A1919" t="str">
        <x:v>Shakil Torabally</x:v>
      </x:c>
      <x:c r="B1919" t="str">
        <x:v>Mauritius</x:v>
      </x:c>
      <x:c r="C1919" t="str">
        <x:v>MU</x:v>
      </x:c>
      <x:c r="D1919" t="str">
        <x:v>shakil.torabally@pwc.com</x:v>
      </x:c>
      <x:c r="E1919" t="str">
        <x:v>Option 1</x:v>
      </x:c>
      <x:c r="F1919" t="n">
        <x:v>0.08659722222222223</x:v>
      </x:c>
      <x:c r="G1919" t="n">
        <x:v>7482</x:v>
      </x:c>
      <x:c r="H1919" t="str">
        <x:v>Fully attended</x:v>
      </x:c>
      <x:c r="I1919" t="str">
        <x:v>Yes</x:v>
      </x:c>
    </x:row>
    <x:row r="1920">
      <x:c r="A1920" t="str">
        <x:v>Shakil Torabally</x:v>
      </x:c>
      <x:c r="B1920" t="str">
        <x:v>Mauritius</x:v>
      </x:c>
      <x:c r="C1920" t="str">
        <x:v>MU</x:v>
      </x:c>
      <x:c r="D1920" t="str">
        <x:v>shakil.torabally@pwc.com</x:v>
      </x:c>
      <x:c r="E1920" t="str">
        <x:v>Option 2</x:v>
      </x:c>
      <x:c r="F1920" t="n">
        <x:v>0</x:v>
      </x:c>
      <x:c r="G1920" t="n">
        <x:v>0</x:v>
      </x:c>
      <x:c r="H1920" t="str">
        <x:v>Did not attend</x:v>
      </x:c>
      <x:c r="I1920" t="str">
        <x:v>No</x:v>
      </x:c>
    </x:row>
    <x:row r="1921">
      <x:c r="A1921" t="str">
        <x:v>Shakil Torabally</x:v>
      </x:c>
      <x:c r="B1921" t="str">
        <x:v>Mauritius</x:v>
      </x:c>
      <x:c r="C1921" t="str">
        <x:v>MU</x:v>
      </x:c>
      <x:c r="D1921" t="str">
        <x:v>shakil.torabally@pwc.com</x:v>
      </x:c>
      <x:c r="E1921" t="str">
        <x:v>Combined</x:v>
      </x:c>
      <x:c r="F1921" t="n">
        <x:v>0.08659722222222223</x:v>
      </x:c>
      <x:c r="G1921" t="n">
        <x:v>7482</x:v>
      </x:c>
      <x:c r="H1921" t="str">
        <x:v>Fully attended</x:v>
      </x:c>
      <x:c r="I1921" t="str">
        <x:v>Yes</x:v>
      </x:c>
    </x:row>
    <x:row r="1922">
      <x:c r="A1922" t="str">
        <x:v>Shania Ersapah</x:v>
      </x:c>
      <x:c r="B1922" t="str">
        <x:v>Mauritius</x:v>
      </x:c>
      <x:c r="C1922" t="str">
        <x:v>MU</x:v>
      </x:c>
      <x:c r="D1922" t="str">
        <x:v>shania.ersapah@pwc.com</x:v>
      </x:c>
      <x:c r="E1922" t="str">
        <x:v>Option 1</x:v>
      </x:c>
      <x:c r="F1922" t="n">
        <x:v>0</x:v>
      </x:c>
      <x:c r="G1922" t="n">
        <x:v>0</x:v>
      </x:c>
      <x:c r="H1922" t="str">
        <x:v>Did not attend</x:v>
      </x:c>
      <x:c r="I1922" t="str">
        <x:v>No</x:v>
      </x:c>
    </x:row>
    <x:row r="1923">
      <x:c r="A1923" t="str">
        <x:v>Shania Ersapah</x:v>
      </x:c>
      <x:c r="B1923" t="str">
        <x:v>Mauritius</x:v>
      </x:c>
      <x:c r="C1923" t="str">
        <x:v>MU</x:v>
      </x:c>
      <x:c r="D1923" t="str">
        <x:v>shania.ersapah@pwc.com</x:v>
      </x:c>
      <x:c r="E1923" t="str">
        <x:v>Option 2</x:v>
      </x:c>
      <x:c r="F1923" t="n">
        <x:v>0.08729166666666667</x:v>
      </x:c>
      <x:c r="G1923" t="n">
        <x:v>7542</x:v>
      </x:c>
      <x:c r="H1923" t="str">
        <x:v>Fully attended</x:v>
      </x:c>
      <x:c r="I1923" t="str">
        <x:v>Yes</x:v>
      </x:c>
    </x:row>
    <x:row r="1924">
      <x:c r="A1924" t="str">
        <x:v>Shania Ersapah</x:v>
      </x:c>
      <x:c r="B1924" t="str">
        <x:v>Mauritius</x:v>
      </x:c>
      <x:c r="C1924" t="str">
        <x:v>MU</x:v>
      </x:c>
      <x:c r="D1924" t="str">
        <x:v>shania.ersapah@pwc.com</x:v>
      </x:c>
      <x:c r="E1924" t="str">
        <x:v>Combined</x:v>
      </x:c>
      <x:c r="F1924" t="n">
        <x:v>0.08729166666666667</x:v>
      </x:c>
      <x:c r="G1924" t="n">
        <x:v>7542</x:v>
      </x:c>
      <x:c r="H1924" t="str">
        <x:v>Fully attended</x:v>
      </x:c>
      <x:c r="I1924" t="str">
        <x:v>Yes</x:v>
      </x:c>
    </x:row>
    <x:row r="1925">
      <x:c r="A1925" t="str">
        <x:v>Sheila Atuhaire</x:v>
      </x:c>
      <x:c r="B1925" t="str">
        <x:v>Uganda</x:v>
      </x:c>
      <x:c r="C1925" t="str">
        <x:v>UG</x:v>
      </x:c>
      <x:c r="D1925" t="str">
        <x:v>sheila.atuhaire@pwc.com</x:v>
      </x:c>
      <x:c r="E1925" t="str">
        <x:v>Option 1</x:v>
      </x:c>
      <x:c r="F1925" t="n">
        <x:v>0</x:v>
      </x:c>
      <x:c r="G1925" t="n">
        <x:v>0</x:v>
      </x:c>
      <x:c r="H1925" t="str">
        <x:v>Did not attend</x:v>
      </x:c>
      <x:c r="I1925" t="str">
        <x:v>No</x:v>
      </x:c>
    </x:row>
    <x:row r="1926">
      <x:c r="A1926" t="str">
        <x:v>Sheila Atuhaire</x:v>
      </x:c>
      <x:c r="B1926" t="str">
        <x:v>Uganda</x:v>
      </x:c>
      <x:c r="C1926" t="str">
        <x:v>UG</x:v>
      </x:c>
      <x:c r="D1926" t="str">
        <x:v>sheila.atuhaire@pwc.com</x:v>
      </x:c>
      <x:c r="E1926" t="str">
        <x:v>Option 2</x:v>
      </x:c>
      <x:c r="F1926" t="n">
        <x:v>0.07653935185185186</x:v>
      </x:c>
      <x:c r="G1926" t="n">
        <x:v>6613</x:v>
      </x:c>
      <x:c r="H1926" t="str">
        <x:v>Fully attended</x:v>
      </x:c>
      <x:c r="I1926" t="str">
        <x:v>Yes</x:v>
      </x:c>
    </x:row>
    <x:row r="1927">
      <x:c r="A1927" t="str">
        <x:v>Sheila Atuhaire</x:v>
      </x:c>
      <x:c r="B1927" t="str">
        <x:v>Uganda</x:v>
      </x:c>
      <x:c r="C1927" t="str">
        <x:v>UG</x:v>
      </x:c>
      <x:c r="D1927" t="str">
        <x:v>sheila.atuhaire@pwc.com</x:v>
      </x:c>
      <x:c r="E1927" t="str">
        <x:v>Combined</x:v>
      </x:c>
      <x:c r="F1927" t="n">
        <x:v>0.07653935185185186</x:v>
      </x:c>
      <x:c r="G1927" t="n">
        <x:v>6613</x:v>
      </x:c>
      <x:c r="H1927" t="str">
        <x:v>Fully attended</x:v>
      </x:c>
      <x:c r="I1927" t="str">
        <x:v>Yes</x:v>
      </x:c>
    </x:row>
    <x:row r="1928">
      <x:c r="A1928" t="str">
        <x:v>Sheila Brelu-Brelu</x:v>
      </x:c>
      <x:c r="B1928" t="str">
        <x:v>Mauritius</x:v>
      </x:c>
      <x:c r="C1928" t="str">
        <x:v>MU</x:v>
      </x:c>
      <x:c r="D1928" t="str">
        <x:v>sheila.brelu-brelu@pwc.com</x:v>
      </x:c>
      <x:c r="E1928" t="str">
        <x:v>Option 1</x:v>
      </x:c>
      <x:c r="F1928" t="n">
        <x:v>0</x:v>
      </x:c>
      <x:c r="G1928" t="n">
        <x:v>0</x:v>
      </x:c>
      <x:c r="H1928" t="str">
        <x:v>Did not attend</x:v>
      </x:c>
      <x:c r="I1928" t="str">
        <x:v>No</x:v>
      </x:c>
    </x:row>
    <x:row r="1929">
      <x:c r="A1929" t="str">
        <x:v>Sheila Brelu-Brelu</x:v>
      </x:c>
      <x:c r="B1929" t="str">
        <x:v>Mauritius</x:v>
      </x:c>
      <x:c r="C1929" t="str">
        <x:v>MU</x:v>
      </x:c>
      <x:c r="D1929" t="str">
        <x:v>sheila.brelu-brelu@pwc.com</x:v>
      </x:c>
      <x:c r="E1929" t="str">
        <x:v>Option 2</x:v>
      </x:c>
      <x:c r="F1929" t="n">
        <x:v>0.053460648148148146</x:v>
      </x:c>
      <x:c r="G1929" t="n">
        <x:v>4619</x:v>
      </x:c>
      <x:c r="H1929" t="str">
        <x:v>Partially attended</x:v>
      </x:c>
      <x:c r="I1929" t="str">
        <x:v>Yes</x:v>
      </x:c>
    </x:row>
    <x:row r="1930">
      <x:c r="A1930" t="str">
        <x:v>Sheila Brelu-Brelu</x:v>
      </x:c>
      <x:c r="B1930" t="str">
        <x:v>Mauritius</x:v>
      </x:c>
      <x:c r="C1930" t="str">
        <x:v>MU</x:v>
      </x:c>
      <x:c r="D1930" t="str">
        <x:v>sheila.brelu-brelu@pwc.com</x:v>
      </x:c>
      <x:c r="E1930" t="str">
        <x:v>Combined</x:v>
      </x:c>
      <x:c r="F1930" t="n">
        <x:v>0.053460648148148146</x:v>
      </x:c>
      <x:c r="G1930" t="n">
        <x:v>4619</x:v>
      </x:c>
      <x:c r="H1930" t="str">
        <x:v>Partially attended</x:v>
      </x:c>
      <x:c r="I1930" t="str">
        <x:v>Yes</x:v>
      </x:c>
    </x:row>
    <x:row r="1931">
      <x:c r="A1931" t="str">
        <x:v>Sofia Hauroo</x:v>
      </x:c>
      <x:c r="B1931" t="str">
        <x:v>Mauritius</x:v>
      </x:c>
      <x:c r="C1931" t="str">
        <x:v>MU</x:v>
      </x:c>
      <x:c r="D1931" t="str">
        <x:v>sofia.hauroo@pwc.com</x:v>
      </x:c>
      <x:c r="E1931" t="str">
        <x:v>Option 1</x:v>
      </x:c>
      <x:c r="F1931" t="n">
        <x:v>0</x:v>
      </x:c>
      <x:c r="G1931" t="n">
        <x:v>0</x:v>
      </x:c>
      <x:c r="H1931" t="str">
        <x:v>Did not attend</x:v>
      </x:c>
      <x:c r="I1931" t="str">
        <x:v>No</x:v>
      </x:c>
    </x:row>
    <x:row r="1932">
      <x:c r="A1932" t="str">
        <x:v>Sofia Hauroo</x:v>
      </x:c>
      <x:c r="B1932" t="str">
        <x:v>Mauritius</x:v>
      </x:c>
      <x:c r="C1932" t="str">
        <x:v>MU</x:v>
      </x:c>
      <x:c r="D1932" t="str">
        <x:v>sofia.hauroo@pwc.com</x:v>
      </x:c>
      <x:c r="E1932" t="str">
        <x:v>Option 2</x:v>
      </x:c>
      <x:c r="F1932" t="n">
        <x:v>0.01670138888888889</x:v>
      </x:c>
      <x:c r="G1932" t="n">
        <x:v>1443</x:v>
      </x:c>
      <x:c r="H1932" t="str">
        <x:v>Partially attended</x:v>
      </x:c>
      <x:c r="I1932" t="str">
        <x:v>Yes</x:v>
      </x:c>
    </x:row>
    <x:row r="1933">
      <x:c r="A1933" t="str">
        <x:v>Sofia Hauroo</x:v>
      </x:c>
      <x:c r="B1933" t="str">
        <x:v>Mauritius</x:v>
      </x:c>
      <x:c r="C1933" t="str">
        <x:v>MU</x:v>
      </x:c>
      <x:c r="D1933" t="str">
        <x:v>sofia.hauroo@pwc.com</x:v>
      </x:c>
      <x:c r="E1933" t="str">
        <x:v>Combined</x:v>
      </x:c>
      <x:c r="F1933" t="n">
        <x:v>0.01670138888888889</x:v>
      </x:c>
      <x:c r="G1933" t="n">
        <x:v>1443</x:v>
      </x:c>
      <x:c r="H1933" t="str">
        <x:v>Partially attended</x:v>
      </x:c>
      <x:c r="I1933" t="str">
        <x:v>Yes</x:v>
      </x:c>
    </x:row>
    <x:row r="1934">
      <x:c r="A1934" t="str">
        <x:v>Stanford Phiri</x:v>
      </x:c>
      <x:c r="B1934" t="str">
        <x:v>Zambia</x:v>
      </x:c>
      <x:c r="C1934" t="str">
        <x:v>ZM</x:v>
      </x:c>
      <x:c r="D1934" t="str">
        <x:v>stanford.m.phiri@pwc.com</x:v>
      </x:c>
      <x:c r="E1934" t="str">
        <x:v>Option 1</x:v>
      </x:c>
      <x:c r="F1934" t="n">
        <x:v>0</x:v>
      </x:c>
      <x:c r="G1934" t="n">
        <x:v>0</x:v>
      </x:c>
      <x:c r="H1934" t="str">
        <x:v>Did not attend</x:v>
      </x:c>
      <x:c r="I1934" t="str">
        <x:v>No</x:v>
      </x:c>
    </x:row>
    <x:row r="1935">
      <x:c r="A1935" t="str">
        <x:v>Stanford Phiri</x:v>
      </x:c>
      <x:c r="B1935" t="str">
        <x:v>Zambia</x:v>
      </x:c>
      <x:c r="C1935" t="str">
        <x:v>ZM</x:v>
      </x:c>
      <x:c r="D1935" t="str">
        <x:v>stanford.m.phiri@pwc.com</x:v>
      </x:c>
      <x:c r="E1935" t="str">
        <x:v>Option 2</x:v>
      </x:c>
      <x:c r="F1935" t="n">
        <x:v>0.0682175925925926</x:v>
      </x:c>
      <x:c r="G1935" t="n">
        <x:v>5894</x:v>
      </x:c>
      <x:c r="H1935" t="str">
        <x:v>Fully attended</x:v>
      </x:c>
      <x:c r="I1935" t="str">
        <x:v>Yes</x:v>
      </x:c>
    </x:row>
    <x:row r="1936">
      <x:c r="A1936" t="str">
        <x:v>Stanford Phiri</x:v>
      </x:c>
      <x:c r="B1936" t="str">
        <x:v>Zambia</x:v>
      </x:c>
      <x:c r="C1936" t="str">
        <x:v>ZM</x:v>
      </x:c>
      <x:c r="D1936" t="str">
        <x:v>stanford.m.phiri@pwc.com</x:v>
      </x:c>
      <x:c r="E1936" t="str">
        <x:v>Combined</x:v>
      </x:c>
      <x:c r="F1936" t="n">
        <x:v>0.0682175925925926</x:v>
      </x:c>
      <x:c r="G1936" t="n">
        <x:v>5894</x:v>
      </x:c>
      <x:c r="H1936" t="str">
        <x:v>Fully attended</x:v>
      </x:c>
      <x:c r="I1936" t="str">
        <x:v>Yes</x:v>
      </x:c>
    </x:row>
    <x:row r="1937">
      <x:c r="A1937" t="str">
        <x:v>Successful Amani</x:v>
      </x:c>
      <x:c r="B1937" t="str">
        <x:v>Tanzania</x:v>
      </x:c>
      <x:c r="C1937" t="str">
        <x:v>TZ</x:v>
      </x:c>
      <x:c r="D1937" t="str">
        <x:v>successful.amani@pwc.com</x:v>
      </x:c>
      <x:c r="E1937" t="str">
        <x:v>Option 1</x:v>
      </x:c>
      <x:c r="F1937" t="n">
        <x:v>0</x:v>
      </x:c>
      <x:c r="G1937" t="n">
        <x:v>0</x:v>
      </x:c>
      <x:c r="H1937" t="str">
        <x:v>Did not attend</x:v>
      </x:c>
      <x:c r="I1937" t="str">
        <x:v>No</x:v>
      </x:c>
    </x:row>
    <x:row r="1938">
      <x:c r="A1938" t="str">
        <x:v>Successful Amani</x:v>
      </x:c>
      <x:c r="B1938" t="str">
        <x:v>Tanzania</x:v>
      </x:c>
      <x:c r="C1938" t="str">
        <x:v>TZ</x:v>
      </x:c>
      <x:c r="D1938" t="str">
        <x:v>successful.amani@pwc.com</x:v>
      </x:c>
      <x:c r="E1938" t="str">
        <x:v>Option 2</x:v>
      </x:c>
      <x:c r="F1938" t="n">
        <x:v>0.08568287037037037</x:v>
      </x:c>
      <x:c r="G1938" t="n">
        <x:v>7403</x:v>
      </x:c>
      <x:c r="H1938" t="str">
        <x:v>Fully attended</x:v>
      </x:c>
      <x:c r="I1938" t="str">
        <x:v>Yes</x:v>
      </x:c>
    </x:row>
    <x:row r="1939">
      <x:c r="A1939" t="str">
        <x:v>Successful Amani</x:v>
      </x:c>
      <x:c r="B1939" t="str">
        <x:v>Tanzania</x:v>
      </x:c>
      <x:c r="C1939" t="str">
        <x:v>TZ</x:v>
      </x:c>
      <x:c r="D1939" t="str">
        <x:v>successful.amani@pwc.com</x:v>
      </x:c>
      <x:c r="E1939" t="str">
        <x:v>Combined</x:v>
      </x:c>
      <x:c r="F1939" t="n">
        <x:v>0.08568287037037037</x:v>
      </x:c>
      <x:c r="G1939" t="n">
        <x:v>7403</x:v>
      </x:c>
      <x:c r="H1939" t="str">
        <x:v>Fully attended</x:v>
      </x:c>
      <x:c r="I1939" t="str">
        <x:v>Yes</x:v>
      </x:c>
    </x:row>
    <x:row r="1940">
      <x:c r="A1940" t="str">
        <x:v>Sudarshani Cooshna</x:v>
      </x:c>
      <x:c r="B1940" t="str">
        <x:v>Mauritius</x:v>
      </x:c>
      <x:c r="C1940" t="str">
        <x:v>MU</x:v>
      </x:c>
      <x:c r="D1940" t="str">
        <x:v>darshani.cooshna@pwc.com</x:v>
      </x:c>
      <x:c r="E1940" t="str">
        <x:v>Option 1</x:v>
      </x:c>
      <x:c r="F1940" t="n">
        <x:v>0.03934027777777778</x:v>
      </x:c>
      <x:c r="G1940" t="n">
        <x:v>3399</x:v>
      </x:c>
      <x:c r="H1940" t="str">
        <x:v>Partially attended</x:v>
      </x:c>
      <x:c r="I1940" t="str">
        <x:v>Yes</x:v>
      </x:c>
    </x:row>
    <x:row r="1941">
      <x:c r="A1941" t="str">
        <x:v>Sudarshani Cooshna</x:v>
      </x:c>
      <x:c r="B1941" t="str">
        <x:v>Mauritius</x:v>
      </x:c>
      <x:c r="C1941" t="str">
        <x:v>MU</x:v>
      </x:c>
      <x:c r="D1941" t="str">
        <x:v>darshani.cooshna@pwc.com</x:v>
      </x:c>
      <x:c r="E1941" t="str">
        <x:v>Option 2</x:v>
      </x:c>
      <x:c r="F1941" t="n">
        <x:v>0.08137731481481482</x:v>
      </x:c>
      <x:c r="G1941" t="n">
        <x:v>7031</x:v>
      </x:c>
      <x:c r="H1941" t="str">
        <x:v>Fully attended</x:v>
      </x:c>
      <x:c r="I1941" t="str">
        <x:v>Yes</x:v>
      </x:c>
    </x:row>
    <x:row r="1942">
      <x:c r="A1942" t="str">
        <x:v>Sudarshani Cooshna</x:v>
      </x:c>
      <x:c r="B1942" t="str">
        <x:v>Mauritius</x:v>
      </x:c>
      <x:c r="C1942" t="str">
        <x:v>MU</x:v>
      </x:c>
      <x:c r="D1942" t="str">
        <x:v>darshani.cooshna@pwc.com</x:v>
      </x:c>
      <x:c r="E1942" t="str">
        <x:v>Combined</x:v>
      </x:c>
      <x:c r="F1942" t="n">
        <x:v>0.1207175925925926</x:v>
      </x:c>
      <x:c r="G1942" t="n">
        <x:v>10430</x:v>
      </x:c>
      <x:c r="H1942" t="str">
        <x:v>Fully attended</x:v>
      </x:c>
      <x:c r="I1942" t="str">
        <x:v>Yes</x:v>
      </x:c>
    </x:row>
    <x:row r="1943">
      <x:c r="A1943" t="str">
        <x:v>Susan Mugera</x:v>
      </x:c>
      <x:c r="B1943" t="str">
        <x:v>Uganda</x:v>
      </x:c>
      <x:c r="C1943" t="str">
        <x:v>UG</x:v>
      </x:c>
      <x:c r="D1943" t="str">
        <x:v>susan.m.mugera@pwc.com</x:v>
      </x:c>
      <x:c r="E1943" t="str">
        <x:v>Option 1</x:v>
      </x:c>
      <x:c r="F1943" t="n">
        <x:v>0</x:v>
      </x:c>
      <x:c r="G1943" t="n">
        <x:v>0</x:v>
      </x:c>
      <x:c r="H1943" t="str">
        <x:v>Did not attend</x:v>
      </x:c>
      <x:c r="I1943" t="str">
        <x:v>No</x:v>
      </x:c>
    </x:row>
    <x:row r="1944">
      <x:c r="A1944" t="str">
        <x:v>Susan Mugera</x:v>
      </x:c>
      <x:c r="B1944" t="str">
        <x:v>Uganda</x:v>
      </x:c>
      <x:c r="C1944" t="str">
        <x:v>UG</x:v>
      </x:c>
      <x:c r="D1944" t="str">
        <x:v>susan.m.mugera@pwc.com</x:v>
      </x:c>
      <x:c r="E1944" t="str">
        <x:v>Option 2</x:v>
      </x:c>
      <x:c r="F1944" t="n">
        <x:v>0.060625</x:v>
      </x:c>
      <x:c r="G1944" t="n">
        <x:v>5238</x:v>
      </x:c>
      <x:c r="H1944" t="str">
        <x:v>Partially attended</x:v>
      </x:c>
      <x:c r="I1944" t="str">
        <x:v>Yes</x:v>
      </x:c>
    </x:row>
    <x:row r="1945">
      <x:c r="A1945" t="str">
        <x:v>Susan Mugera</x:v>
      </x:c>
      <x:c r="B1945" t="str">
        <x:v>Uganda</x:v>
      </x:c>
      <x:c r="C1945" t="str">
        <x:v>UG</x:v>
      </x:c>
      <x:c r="D1945" t="str">
        <x:v>susan.m.mugera@pwc.com</x:v>
      </x:c>
      <x:c r="E1945" t="str">
        <x:v>Combined</x:v>
      </x:c>
      <x:c r="F1945" t="n">
        <x:v>0.060625</x:v>
      </x:c>
      <x:c r="G1945" t="n">
        <x:v>5238</x:v>
      </x:c>
      <x:c r="H1945" t="str">
        <x:v>Partially attended</x:v>
      </x:c>
      <x:c r="I1945" t="str">
        <x:v>Yes</x:v>
      </x:c>
    </x:row>
    <x:row r="1946">
      <x:c r="A1946" t="str">
        <x:v>Sylvia Keter</x:v>
      </x:c>
      <x:c r="B1946" t="str">
        <x:v>Kenya</x:v>
      </x:c>
      <x:c r="C1946" t="str">
        <x:v>KE</x:v>
      </x:c>
      <x:c r="D1946" t="str">
        <x:v>sylvia.keter@pwc.com</x:v>
      </x:c>
      <x:c r="E1946" t="str">
        <x:v>Option 1</x:v>
      </x:c>
      <x:c r="F1946" t="n">
        <x:v>0</x:v>
      </x:c>
      <x:c r="G1946" t="n">
        <x:v>0</x:v>
      </x:c>
      <x:c r="H1946" t="str">
        <x:v>Did not attend</x:v>
      </x:c>
      <x:c r="I1946" t="str">
        <x:v>No</x:v>
      </x:c>
    </x:row>
    <x:row r="1947">
      <x:c r="A1947" t="str">
        <x:v>Sylvia Keter</x:v>
      </x:c>
      <x:c r="B1947" t="str">
        <x:v>Kenya</x:v>
      </x:c>
      <x:c r="C1947" t="str">
        <x:v>KE</x:v>
      </x:c>
      <x:c r="D1947" t="str">
        <x:v>sylvia.keter@pwc.com</x:v>
      </x:c>
      <x:c r="E1947" t="str">
        <x:v>Option 2</x:v>
      </x:c>
      <x:c r="F1947" t="n">
        <x:v>0.011805555555555555</x:v>
      </x:c>
      <x:c r="G1947" t="n">
        <x:v>1020</x:v>
      </x:c>
      <x:c r="H1947" t="str">
        <x:v>Partially attended</x:v>
      </x:c>
      <x:c r="I1947" t="str">
        <x:v>Yes</x:v>
      </x:c>
    </x:row>
    <x:row r="1948">
      <x:c r="A1948" t="str">
        <x:v>Sylvia Keter</x:v>
      </x:c>
      <x:c r="B1948" t="str">
        <x:v>Kenya</x:v>
      </x:c>
      <x:c r="C1948" t="str">
        <x:v>KE</x:v>
      </x:c>
      <x:c r="D1948" t="str">
        <x:v>sylvia.keter@pwc.com</x:v>
      </x:c>
      <x:c r="E1948" t="str">
        <x:v>Combined</x:v>
      </x:c>
      <x:c r="F1948" t="n">
        <x:v>0.011805555555555555</x:v>
      </x:c>
      <x:c r="G1948" t="n">
        <x:v>1020</x:v>
      </x:c>
      <x:c r="H1948" t="str">
        <x:v>Partially attended</x:v>
      </x:c>
      <x:c r="I1948" t="str">
        <x:v>Yes</x:v>
      </x:c>
    </x:row>
    <x:row r="1949">
      <x:c r="A1949" t="str">
        <x:v>Tabo Mwiya</x:v>
      </x:c>
      <x:c r="B1949" t="str">
        <x:v>Zambia</x:v>
      </x:c>
      <x:c r="C1949" t="str">
        <x:v>ZM</x:v>
      </x:c>
      <x:c r="D1949" t="str">
        <x:v>tabo.mwiya@pwc.com</x:v>
      </x:c>
      <x:c r="E1949" t="str">
        <x:v>Option 1</x:v>
      </x:c>
      <x:c r="F1949" t="n">
        <x:v>0</x:v>
      </x:c>
      <x:c r="G1949" t="n">
        <x:v>0</x:v>
      </x:c>
      <x:c r="H1949" t="str">
        <x:v>Did not attend</x:v>
      </x:c>
      <x:c r="I1949" t="str">
        <x:v>No</x:v>
      </x:c>
    </x:row>
    <x:row r="1950">
      <x:c r="A1950" t="str">
        <x:v>Tabo Mwiya</x:v>
      </x:c>
      <x:c r="B1950" t="str">
        <x:v>Zambia</x:v>
      </x:c>
      <x:c r="C1950" t="str">
        <x:v>ZM</x:v>
      </x:c>
      <x:c r="D1950" t="str">
        <x:v>tabo.mwiya@pwc.com</x:v>
      </x:c>
      <x:c r="E1950" t="str">
        <x:v>Option 2</x:v>
      </x:c>
      <x:c r="F1950" t="n">
        <x:v>0.07859953703703704</x:v>
      </x:c>
      <x:c r="G1950" t="n">
        <x:v>6791</x:v>
      </x:c>
      <x:c r="H1950" t="str">
        <x:v>Fully attended</x:v>
      </x:c>
      <x:c r="I1950" t="str">
        <x:v>Yes</x:v>
      </x:c>
    </x:row>
    <x:row r="1951">
      <x:c r="A1951" t="str">
        <x:v>Tabo Mwiya</x:v>
      </x:c>
      <x:c r="B1951" t="str">
        <x:v>Zambia</x:v>
      </x:c>
      <x:c r="C1951" t="str">
        <x:v>ZM</x:v>
      </x:c>
      <x:c r="D1951" t="str">
        <x:v>tabo.mwiya@pwc.com</x:v>
      </x:c>
      <x:c r="E1951" t="str">
        <x:v>Combined</x:v>
      </x:c>
      <x:c r="F1951" t="n">
        <x:v>0.07859953703703704</x:v>
      </x:c>
      <x:c r="G1951" t="n">
        <x:v>6791</x:v>
      </x:c>
      <x:c r="H1951" t="str">
        <x:v>Fully attended</x:v>
      </x:c>
      <x:c r="I1951" t="str">
        <x:v>Yes</x:v>
      </x:c>
    </x:row>
    <x:row r="1952">
      <x:c r="A1952" t="str">
        <x:v>Teresia Kilawe</x:v>
      </x:c>
      <x:c r="B1952" t="str">
        <x:v>Tanzania</x:v>
      </x:c>
      <x:c r="C1952" t="str">
        <x:v>TZ</x:v>
      </x:c>
      <x:c r="D1952" t="str">
        <x:v>teresia.kilawe@pwc.com</x:v>
      </x:c>
      <x:c r="E1952" t="str">
        <x:v>Option 1</x:v>
      </x:c>
      <x:c r="F1952" t="n">
        <x:v>0.0717824074074074</x:v>
      </x:c>
      <x:c r="G1952" t="n">
        <x:v>6202</x:v>
      </x:c>
      <x:c r="H1952" t="str">
        <x:v>Fully attended</x:v>
      </x:c>
      <x:c r="I1952" t="str">
        <x:v>Yes</x:v>
      </x:c>
    </x:row>
    <x:row r="1953">
      <x:c r="A1953" t="str">
        <x:v>Teresia Kilawe</x:v>
      </x:c>
      <x:c r="B1953" t="str">
        <x:v>Tanzania</x:v>
      </x:c>
      <x:c r="C1953" t="str">
        <x:v>TZ</x:v>
      </x:c>
      <x:c r="D1953" t="str">
        <x:v>teresia.kilawe@pwc.com</x:v>
      </x:c>
      <x:c r="E1953" t="str">
        <x:v>Option 2</x:v>
      </x:c>
      <x:c r="F1953" t="n">
        <x:v>0</x:v>
      </x:c>
      <x:c r="G1953" t="n">
        <x:v>0</x:v>
      </x:c>
      <x:c r="H1953" t="str">
        <x:v>Did not attend</x:v>
      </x:c>
      <x:c r="I1953" t="str">
        <x:v>No</x:v>
      </x:c>
    </x:row>
    <x:row r="1954">
      <x:c r="A1954" t="str">
        <x:v>Teresia Kilawe</x:v>
      </x:c>
      <x:c r="B1954" t="str">
        <x:v>Tanzania</x:v>
      </x:c>
      <x:c r="C1954" t="str">
        <x:v>TZ</x:v>
      </x:c>
      <x:c r="D1954" t="str">
        <x:v>teresia.kilawe@pwc.com</x:v>
      </x:c>
      <x:c r="E1954" t="str">
        <x:v>Combined</x:v>
      </x:c>
      <x:c r="F1954" t="n">
        <x:v>0.0717824074074074</x:v>
      </x:c>
      <x:c r="G1954" t="n">
        <x:v>6202</x:v>
      </x:c>
      <x:c r="H1954" t="str">
        <x:v>Fully attended</x:v>
      </x:c>
      <x:c r="I1954" t="str">
        <x:v>Yes</x:v>
      </x:c>
    </x:row>
    <x:row r="1955">
      <x:c r="A1955" t="str">
        <x:v>Theresa Bazudde</x:v>
      </x:c>
      <x:c r="B1955" t="str">
        <x:v>Uganda</x:v>
      </x:c>
      <x:c r="C1955" t="str">
        <x:v>UG</x:v>
      </x:c>
      <x:c r="D1955" t="str">
        <x:v>theresa.bazudde@pwc.com</x:v>
      </x:c>
      <x:c r="E1955" t="str">
        <x:v>Option 1</x:v>
      </x:c>
      <x:c r="F1955" t="n">
        <x:v>0</x:v>
      </x:c>
      <x:c r="G1955" t="n">
        <x:v>0</x:v>
      </x:c>
      <x:c r="H1955" t="str">
        <x:v>Did not attend</x:v>
      </x:c>
      <x:c r="I1955" t="str">
        <x:v>No</x:v>
      </x:c>
    </x:row>
    <x:row r="1956">
      <x:c r="A1956" t="str">
        <x:v>Theresa Bazudde</x:v>
      </x:c>
      <x:c r="B1956" t="str">
        <x:v>Uganda</x:v>
      </x:c>
      <x:c r="C1956" t="str">
        <x:v>UG</x:v>
      </x:c>
      <x:c r="D1956" t="str">
        <x:v>theresa.bazudde@pwc.com</x:v>
      </x:c>
      <x:c r="E1956" t="str">
        <x:v>Option 2</x:v>
      </x:c>
      <x:c r="F1956" t="n">
        <x:v>0.06896990740740741</x:v>
      </x:c>
      <x:c r="G1956" t="n">
        <x:v>5959</x:v>
      </x:c>
      <x:c r="H1956" t="str">
        <x:v>Fully attended</x:v>
      </x:c>
      <x:c r="I1956" t="str">
        <x:v>Yes</x:v>
      </x:c>
    </x:row>
    <x:row r="1957">
      <x:c r="A1957" t="str">
        <x:v>Theresa Bazudde</x:v>
      </x:c>
      <x:c r="B1957" t="str">
        <x:v>Uganda</x:v>
      </x:c>
      <x:c r="C1957" t="str">
        <x:v>UG</x:v>
      </x:c>
      <x:c r="D1957" t="str">
        <x:v>theresa.bazudde@pwc.com</x:v>
      </x:c>
      <x:c r="E1957" t="str">
        <x:v>Combined</x:v>
      </x:c>
      <x:c r="F1957" t="n">
        <x:v>0.06896990740740741</x:v>
      </x:c>
      <x:c r="G1957" t="n">
        <x:v>5959</x:v>
      </x:c>
      <x:c r="H1957" t="str">
        <x:v>Fully attended</x:v>
      </x:c>
      <x:c r="I1957" t="str">
        <x:v>Yes</x:v>
      </x:c>
    </x:row>
    <x:row r="1958">
      <x:c r="A1958" t="str">
        <x:v>Tirzah Atwiine</x:v>
      </x:c>
      <x:c r="B1958" t="str">
        <x:v>Uganda</x:v>
      </x:c>
      <x:c r="C1958" t="str">
        <x:v>UG</x:v>
      </x:c>
      <x:c r="D1958" t="str">
        <x:v>tirzah.atwiine@pwc.com</x:v>
      </x:c>
      <x:c r="E1958" t="str">
        <x:v>Option 1</x:v>
      </x:c>
      <x:c r="F1958" t="n">
        <x:v>0.08449074074074074</x:v>
      </x:c>
      <x:c r="G1958" t="n">
        <x:v>7300</x:v>
      </x:c>
      <x:c r="H1958" t="str">
        <x:v>Fully attended</x:v>
      </x:c>
      <x:c r="I1958" t="str">
        <x:v>Yes</x:v>
      </x:c>
    </x:row>
    <x:row r="1959">
      <x:c r="A1959" t="str">
        <x:v>Tirzah Atwiine</x:v>
      </x:c>
      <x:c r="B1959" t="str">
        <x:v>Uganda</x:v>
      </x:c>
      <x:c r="C1959" t="str">
        <x:v>UG</x:v>
      </x:c>
      <x:c r="D1959" t="str">
        <x:v>tirzah.atwiine@pwc.com</x:v>
      </x:c>
      <x:c r="E1959" t="str">
        <x:v>Option 2</x:v>
      </x:c>
      <x:c r="F1959" t="n">
        <x:v>0</x:v>
      </x:c>
      <x:c r="G1959" t="n">
        <x:v>0</x:v>
      </x:c>
      <x:c r="H1959" t="str">
        <x:v>Did not attend</x:v>
      </x:c>
      <x:c r="I1959" t="str">
        <x:v>No</x:v>
      </x:c>
    </x:row>
    <x:row r="1960">
      <x:c r="A1960" t="str">
        <x:v>Tirzah Atwiine</x:v>
      </x:c>
      <x:c r="B1960" t="str">
        <x:v>Uganda</x:v>
      </x:c>
      <x:c r="C1960" t="str">
        <x:v>UG</x:v>
      </x:c>
      <x:c r="D1960" t="str">
        <x:v>tirzah.atwiine@pwc.com</x:v>
      </x:c>
      <x:c r="E1960" t="str">
        <x:v>Combined</x:v>
      </x:c>
      <x:c r="F1960" t="n">
        <x:v>0.08449074074074074</x:v>
      </x:c>
      <x:c r="G1960" t="n">
        <x:v>7300</x:v>
      </x:c>
      <x:c r="H1960" t="str">
        <x:v>Fully attended</x:v>
      </x:c>
      <x:c r="I1960" t="str">
        <x:v>Yes</x:v>
      </x:c>
    </x:row>
    <x:row r="1961">
      <x:c r="A1961" t="str">
        <x:v>Tushita Ruttun</x:v>
      </x:c>
      <x:c r="B1961" t="str">
        <x:v>Mauritius</x:v>
      </x:c>
      <x:c r="C1961" t="str">
        <x:v>MU</x:v>
      </x:c>
      <x:c r="D1961" t="str">
        <x:v>tushita.ruttun@pwc.com</x:v>
      </x:c>
      <x:c r="E1961" t="str">
        <x:v>Option 1</x:v>
      </x:c>
      <x:c r="F1961" t="n">
        <x:v>0</x:v>
      </x:c>
      <x:c r="G1961" t="n">
        <x:v>0</x:v>
      </x:c>
      <x:c r="H1961" t="str">
        <x:v>Did not attend</x:v>
      </x:c>
      <x:c r="I1961" t="str">
        <x:v>No</x:v>
      </x:c>
    </x:row>
    <x:row r="1962">
      <x:c r="A1962" t="str">
        <x:v>Tushita Ruttun</x:v>
      </x:c>
      <x:c r="B1962" t="str">
        <x:v>Mauritius</x:v>
      </x:c>
      <x:c r="C1962" t="str">
        <x:v>MU</x:v>
      </x:c>
      <x:c r="D1962" t="str">
        <x:v>tushita.ruttun@pwc.com</x:v>
      </x:c>
      <x:c r="E1962" t="str">
        <x:v>Option 2</x:v>
      </x:c>
      <x:c r="F1962" t="n">
        <x:v>0.05361111111111111</x:v>
      </x:c>
      <x:c r="G1962" t="n">
        <x:v>4632</x:v>
      </x:c>
      <x:c r="H1962" t="str">
        <x:v>Partially attended</x:v>
      </x:c>
      <x:c r="I1962" t="str">
        <x:v>Yes</x:v>
      </x:c>
    </x:row>
    <x:row r="1963">
      <x:c r="A1963" t="str">
        <x:v>Tushita Ruttun</x:v>
      </x:c>
      <x:c r="B1963" t="str">
        <x:v>Mauritius</x:v>
      </x:c>
      <x:c r="C1963" t="str">
        <x:v>MU</x:v>
      </x:c>
      <x:c r="D1963" t="str">
        <x:v>tushita.ruttun@pwc.com</x:v>
      </x:c>
      <x:c r="E1963" t="str">
        <x:v>Combined</x:v>
      </x:c>
      <x:c r="F1963" t="n">
        <x:v>0.05361111111111111</x:v>
      </x:c>
      <x:c r="G1963" t="n">
        <x:v>4632</x:v>
      </x:c>
      <x:c r="H1963" t="str">
        <x:v>Partially attended</x:v>
      </x:c>
      <x:c r="I1963" t="str">
        <x:v>Yes</x:v>
      </x:c>
    </x:row>
    <x:row r="1964">
      <x:c r="A1964" t="str">
        <x:v>Umair Moniaruth</x:v>
      </x:c>
      <x:c r="B1964" t="str">
        <x:v>Mauritius</x:v>
      </x:c>
      <x:c r="C1964" t="str">
        <x:v>MU</x:v>
      </x:c>
      <x:c r="D1964" t="str">
        <x:v>umair.moniaruth@pwc.com</x:v>
      </x:c>
      <x:c r="E1964" t="str">
        <x:v>Option 1</x:v>
      </x:c>
      <x:c r="F1964" t="n">
        <x:v>0</x:v>
      </x:c>
      <x:c r="G1964" t="n">
        <x:v>0</x:v>
      </x:c>
      <x:c r="H1964" t="str">
        <x:v>Did not attend</x:v>
      </x:c>
      <x:c r="I1964" t="str">
        <x:v>No</x:v>
      </x:c>
    </x:row>
    <x:row r="1965">
      <x:c r="A1965" t="str">
        <x:v>Umair Moniaruth</x:v>
      </x:c>
      <x:c r="B1965" t="str">
        <x:v>Mauritius</x:v>
      </x:c>
      <x:c r="C1965" t="str">
        <x:v>MU</x:v>
      </x:c>
      <x:c r="D1965" t="str">
        <x:v>umair.moniaruth@pwc.com</x:v>
      </x:c>
      <x:c r="E1965" t="str">
        <x:v>Option 2</x:v>
      </x:c>
      <x:c r="F1965" t="n">
        <x:v>0.08045138888888889</x:v>
      </x:c>
      <x:c r="G1965" t="n">
        <x:v>6951</x:v>
      </x:c>
      <x:c r="H1965" t="str">
        <x:v>Fully attended</x:v>
      </x:c>
      <x:c r="I1965" t="str">
        <x:v>Yes</x:v>
      </x:c>
    </x:row>
    <x:row r="1966">
      <x:c r="A1966" t="str">
        <x:v>Umair Moniaruth</x:v>
      </x:c>
      <x:c r="B1966" t="str">
        <x:v>Mauritius</x:v>
      </x:c>
      <x:c r="C1966" t="str">
        <x:v>MU</x:v>
      </x:c>
      <x:c r="D1966" t="str">
        <x:v>umair.moniaruth@pwc.com</x:v>
      </x:c>
      <x:c r="E1966" t="str">
        <x:v>Combined</x:v>
      </x:c>
      <x:c r="F1966" t="n">
        <x:v>0.08045138888888889</x:v>
      </x:c>
      <x:c r="G1966" t="n">
        <x:v>6951</x:v>
      </x:c>
      <x:c r="H1966" t="str">
        <x:v>Fully attended</x:v>
      </x:c>
      <x:c r="I1966" t="str">
        <x:v>Yes</x:v>
      </x:c>
    </x:row>
    <x:row r="1967">
      <x:c r="A1967" t="str">
        <x:v>Ved Neeraye</x:v>
      </x:c>
      <x:c r="B1967" t="str">
        <x:v>Mauritius</x:v>
      </x:c>
      <x:c r="C1967" t="str">
        <x:v>MU</x:v>
      </x:c>
      <x:c r="D1967" t="str">
        <x:v>vedsagar.neeraye@pwc.com</x:v>
      </x:c>
      <x:c r="E1967" t="str">
        <x:v>Option 1</x:v>
      </x:c>
      <x:c r="F1967" t="n">
        <x:v>0</x:v>
      </x:c>
      <x:c r="G1967" t="n">
        <x:v>0</x:v>
      </x:c>
      <x:c r="H1967" t="str">
        <x:v>Did not attend</x:v>
      </x:c>
      <x:c r="I1967" t="str">
        <x:v>No</x:v>
      </x:c>
    </x:row>
    <x:row r="1968">
      <x:c r="A1968" t="str">
        <x:v>Ved Neeraye</x:v>
      </x:c>
      <x:c r="B1968" t="str">
        <x:v>Mauritius</x:v>
      </x:c>
      <x:c r="C1968" t="str">
        <x:v>MU</x:v>
      </x:c>
      <x:c r="D1968" t="str">
        <x:v>vedsagar.neeraye@pwc.com</x:v>
      </x:c>
      <x:c r="E1968" t="str">
        <x:v>Option 2</x:v>
      </x:c>
      <x:c r="F1968" t="n">
        <x:v>0.08990740740740741</x:v>
      </x:c>
      <x:c r="G1968" t="n">
        <x:v>7768</x:v>
      </x:c>
      <x:c r="H1968" t="str">
        <x:v>Fully attended</x:v>
      </x:c>
      <x:c r="I1968" t="str">
        <x:v>Yes</x:v>
      </x:c>
    </x:row>
    <x:row r="1969">
      <x:c r="A1969" t="str">
        <x:v>Ved Neeraye</x:v>
      </x:c>
      <x:c r="B1969" t="str">
        <x:v>Mauritius</x:v>
      </x:c>
      <x:c r="C1969" t="str">
        <x:v>MU</x:v>
      </x:c>
      <x:c r="D1969" t="str">
        <x:v>vedsagar.neeraye@pwc.com</x:v>
      </x:c>
      <x:c r="E1969" t="str">
        <x:v>Combined</x:v>
      </x:c>
      <x:c r="F1969" t="n">
        <x:v>0.08990740740740741</x:v>
      </x:c>
      <x:c r="G1969" t="n">
        <x:v>7768</x:v>
      </x:c>
      <x:c r="H1969" t="str">
        <x:v>Fully attended</x:v>
      </x:c>
      <x:c r="I1969" t="str">
        <x:v>Yes</x:v>
      </x:c>
    </x:row>
    <x:row r="1970">
      <x:c r="A1970" t="str">
        <x:v>Victor Mbago</x:v>
      </x:c>
      <x:c r="B1970" t="str">
        <x:v>Kenya</x:v>
      </x:c>
      <x:c r="C1970" t="str">
        <x:v>KE</x:v>
      </x:c>
      <x:c r="D1970" t="str">
        <x:v>victor.mbago@pwc.com</x:v>
      </x:c>
      <x:c r="E1970" t="str">
        <x:v>Option 1</x:v>
      </x:c>
      <x:c r="F1970" t="n">
        <x:v>0</x:v>
      </x:c>
      <x:c r="G1970" t="n">
        <x:v>0</x:v>
      </x:c>
      <x:c r="H1970" t="str">
        <x:v>Did not attend</x:v>
      </x:c>
      <x:c r="I1970" t="str">
        <x:v>No</x:v>
      </x:c>
    </x:row>
    <x:row r="1971">
      <x:c r="A1971" t="str">
        <x:v>Victor Mbago</x:v>
      </x:c>
      <x:c r="B1971" t="str">
        <x:v>Kenya</x:v>
      </x:c>
      <x:c r="C1971" t="str">
        <x:v>KE</x:v>
      </x:c>
      <x:c r="D1971" t="str">
        <x:v>victor.mbago@pwc.com</x:v>
      </x:c>
      <x:c r="E1971" t="str">
        <x:v>Option 2</x:v>
      </x:c>
      <x:c r="F1971" t="n">
        <x:v>0.054293981481481485</x:v>
      </x:c>
      <x:c r="G1971" t="n">
        <x:v>4691</x:v>
      </x:c>
      <x:c r="H1971" t="str">
        <x:v>Partially attended</x:v>
      </x:c>
      <x:c r="I1971" t="str">
        <x:v>Yes</x:v>
      </x:c>
    </x:row>
    <x:row r="1972">
      <x:c r="A1972" t="str">
        <x:v>Victor Mbago</x:v>
      </x:c>
      <x:c r="B1972" t="str">
        <x:v>Kenya</x:v>
      </x:c>
      <x:c r="C1972" t="str">
        <x:v>KE</x:v>
      </x:c>
      <x:c r="D1972" t="str">
        <x:v>victor.mbago@pwc.com</x:v>
      </x:c>
      <x:c r="E1972" t="str">
        <x:v>Combined</x:v>
      </x:c>
      <x:c r="F1972" t="n">
        <x:v>0.054293981481481485</x:v>
      </x:c>
      <x:c r="G1972" t="n">
        <x:v>4691</x:v>
      </x:c>
      <x:c r="H1972" t="str">
        <x:v>Partially attended</x:v>
      </x:c>
      <x:c r="I1972" t="str">
        <x:v>Yes</x:v>
      </x:c>
    </x:row>
    <x:row r="1973">
      <x:c r="A1973" t="str">
        <x:v>Victoria Mihayo</x:v>
      </x:c>
      <x:c r="B1973" t="str">
        <x:v>Tanzania</x:v>
      </x:c>
      <x:c r="C1973" t="str">
        <x:v>TZ</x:v>
      </x:c>
      <x:c r="D1973" t="str">
        <x:v>victoria.mihayo@pwc.com</x:v>
      </x:c>
      <x:c r="E1973" t="str">
        <x:v>Option 1</x:v>
      </x:c>
      <x:c r="F1973" t="n">
        <x:v>0</x:v>
      </x:c>
      <x:c r="G1973" t="n">
        <x:v>0</x:v>
      </x:c>
      <x:c r="H1973" t="str">
        <x:v>Did not attend</x:v>
      </x:c>
      <x:c r="I1973" t="str">
        <x:v>No</x:v>
      </x:c>
    </x:row>
    <x:row r="1974">
      <x:c r="A1974" t="str">
        <x:v>Victoria Mihayo</x:v>
      </x:c>
      <x:c r="B1974" t="str">
        <x:v>Tanzania</x:v>
      </x:c>
      <x:c r="C1974" t="str">
        <x:v>TZ</x:v>
      </x:c>
      <x:c r="D1974" t="str">
        <x:v>victoria.mihayo@pwc.com</x:v>
      </x:c>
      <x:c r="E1974" t="str">
        <x:v>Option 2</x:v>
      </x:c>
      <x:c r="F1974" t="n">
        <x:v>0.05925925925925926</x:v>
      </x:c>
      <x:c r="G1974" t="n">
        <x:v>5120</x:v>
      </x:c>
      <x:c r="H1974" t="str">
        <x:v>Partially attended</x:v>
      </x:c>
      <x:c r="I1974" t="str">
        <x:v>Yes</x:v>
      </x:c>
    </x:row>
    <x:row r="1975">
      <x:c r="A1975" t="str">
        <x:v>Victoria Mihayo</x:v>
      </x:c>
      <x:c r="B1975" t="str">
        <x:v>Tanzania</x:v>
      </x:c>
      <x:c r="C1975" t="str">
        <x:v>TZ</x:v>
      </x:c>
      <x:c r="D1975" t="str">
        <x:v>victoria.mihayo@pwc.com</x:v>
      </x:c>
      <x:c r="E1975" t="str">
        <x:v>Combined</x:v>
      </x:c>
      <x:c r="F1975" t="n">
        <x:v>0.05925925925925926</x:v>
      </x:c>
      <x:c r="G1975" t="n">
        <x:v>5120</x:v>
      </x:c>
      <x:c r="H1975" t="str">
        <x:v>Partially attended</x:v>
      </x:c>
      <x:c r="I1975" t="str">
        <x:v>Yes</x:v>
      </x:c>
    </x:row>
    <x:row r="1976">
      <x:c r="A1976" t="str">
        <x:v>Victoria Titus</x:v>
      </x:c>
      <x:c r="B1976" t="str">
        <x:v>Kenya</x:v>
      </x:c>
      <x:c r="C1976" t="str">
        <x:v>KE</x:v>
      </x:c>
      <x:c r="D1976" t="str">
        <x:v>victoria.titus@pwc.com</x:v>
      </x:c>
      <x:c r="E1976" t="str">
        <x:v>Option 1</x:v>
      </x:c>
      <x:c r="F1976" t="n">
        <x:v>0</x:v>
      </x:c>
      <x:c r="G1976" t="n">
        <x:v>0</x:v>
      </x:c>
      <x:c r="H1976" t="str">
        <x:v>Did not attend</x:v>
      </x:c>
      <x:c r="I1976" t="str">
        <x:v>No</x:v>
      </x:c>
    </x:row>
    <x:row r="1977">
      <x:c r="A1977" t="str">
        <x:v>Victoria Titus</x:v>
      </x:c>
      <x:c r="B1977" t="str">
        <x:v>Kenya</x:v>
      </x:c>
      <x:c r="C1977" t="str">
        <x:v>KE</x:v>
      </x:c>
      <x:c r="D1977" t="str">
        <x:v>victoria.titus@pwc.com</x:v>
      </x:c>
      <x:c r="E1977" t="str">
        <x:v>Option 2</x:v>
      </x:c>
      <x:c r="F1977" t="n">
        <x:v>0.08619212962962963</x:v>
      </x:c>
      <x:c r="G1977" t="n">
        <x:v>7447</x:v>
      </x:c>
      <x:c r="H1977" t="str">
        <x:v>Fully attended</x:v>
      </x:c>
      <x:c r="I1977" t="str">
        <x:v>Yes</x:v>
      </x:c>
    </x:row>
    <x:row r="1978">
      <x:c r="A1978" t="str">
        <x:v>Victoria Titus</x:v>
      </x:c>
      <x:c r="B1978" t="str">
        <x:v>Kenya</x:v>
      </x:c>
      <x:c r="C1978" t="str">
        <x:v>KE</x:v>
      </x:c>
      <x:c r="D1978" t="str">
        <x:v>victoria.titus@pwc.com</x:v>
      </x:c>
      <x:c r="E1978" t="str">
        <x:v>Combined</x:v>
      </x:c>
      <x:c r="F1978" t="n">
        <x:v>0.08619212962962963</x:v>
      </x:c>
      <x:c r="G1978" t="n">
        <x:v>7447</x:v>
      </x:c>
      <x:c r="H1978" t="str">
        <x:v>Fully attended</x:v>
      </x:c>
      <x:c r="I1978" t="str">
        <x:v>Yes</x:v>
      </x:c>
    </x:row>
    <x:row r="1979">
      <x:c r="A1979" t="str">
        <x:v>Vivek Allan</x:v>
      </x:c>
      <x:c r="B1979" t="str">
        <x:v>Mauritius</x:v>
      </x:c>
      <x:c r="C1979" t="str">
        <x:v>MU</x:v>
      </x:c>
      <x:c r="D1979" t="str">
        <x:v>vivek.allan@pwc.com</x:v>
      </x:c>
      <x:c r="E1979" t="str">
        <x:v>Option 1</x:v>
      </x:c>
      <x:c r="F1979" t="n">
        <x:v>0</x:v>
      </x:c>
      <x:c r="G1979" t="n">
        <x:v>0</x:v>
      </x:c>
      <x:c r="H1979" t="str">
        <x:v>Did not attend</x:v>
      </x:c>
      <x:c r="I1979" t="str">
        <x:v>No</x:v>
      </x:c>
    </x:row>
    <x:row r="1980">
      <x:c r="A1980" t="str">
        <x:v>Vivek Allan</x:v>
      </x:c>
      <x:c r="B1980" t="str">
        <x:v>Mauritius</x:v>
      </x:c>
      <x:c r="C1980" t="str">
        <x:v>MU</x:v>
      </x:c>
      <x:c r="D1980" t="str">
        <x:v>vivek.allan@pwc.com</x:v>
      </x:c>
      <x:c r="E1980" t="str">
        <x:v>Option 2</x:v>
      </x:c>
      <x:c r="F1980" t="n">
        <x:v>0.07842592592592593</x:v>
      </x:c>
      <x:c r="G1980" t="n">
        <x:v>6776</x:v>
      </x:c>
      <x:c r="H1980" t="str">
        <x:v>Fully attended</x:v>
      </x:c>
      <x:c r="I1980" t="str">
        <x:v>Yes</x:v>
      </x:c>
    </x:row>
    <x:row r="1981">
      <x:c r="A1981" t="str">
        <x:v>Vivek Allan</x:v>
      </x:c>
      <x:c r="B1981" t="str">
        <x:v>Mauritius</x:v>
      </x:c>
      <x:c r="C1981" t="str">
        <x:v>MU</x:v>
      </x:c>
      <x:c r="D1981" t="str">
        <x:v>vivek.allan@pwc.com</x:v>
      </x:c>
      <x:c r="E1981" t="str">
        <x:v>Combined</x:v>
      </x:c>
      <x:c r="F1981" t="n">
        <x:v>0.07842592592592593</x:v>
      </x:c>
      <x:c r="G1981" t="n">
        <x:v>6776</x:v>
      </x:c>
      <x:c r="H1981" t="str">
        <x:v>Fully attended</x:v>
      </x:c>
      <x:c r="I1981" t="str">
        <x:v>Yes</x:v>
      </x:c>
    </x:row>
    <x:row r="1982">
      <x:c r="A1982" t="str">
        <x:v>Vivek Nuckcheddee</x:v>
      </x:c>
      <x:c r="B1982" t="str">
        <x:v>Mauritius</x:v>
      </x:c>
      <x:c r="C1982" t="str">
        <x:v>MU</x:v>
      </x:c>
      <x:c r="D1982" t="str">
        <x:v>vivek.nuckcheddee@pwc.com</x:v>
      </x:c>
      <x:c r="E1982" t="str">
        <x:v>Option 1</x:v>
      </x:c>
      <x:c r="F1982" t="n">
        <x:v>0.04715277777777778</x:v>
      </x:c>
      <x:c r="G1982" t="n">
        <x:v>4074</x:v>
      </x:c>
      <x:c r="H1982" t="str">
        <x:v>Partially attended</x:v>
      </x:c>
      <x:c r="I1982" t="str">
        <x:v>Yes</x:v>
      </x:c>
    </x:row>
    <x:row r="1983">
      <x:c r="A1983" t="str">
        <x:v>Vivek Nuckcheddee</x:v>
      </x:c>
      <x:c r="B1983" t="str">
        <x:v>Mauritius</x:v>
      </x:c>
      <x:c r="C1983" t="str">
        <x:v>MU</x:v>
      </x:c>
      <x:c r="D1983" t="str">
        <x:v>vivek.nuckcheddee@pwc.com</x:v>
      </x:c>
      <x:c r="E1983" t="str">
        <x:v>Option 2</x:v>
      </x:c>
      <x:c r="F1983" t="n">
        <x:v>0.08574074074074074</x:v>
      </x:c>
      <x:c r="G1983" t="n">
        <x:v>7408</x:v>
      </x:c>
      <x:c r="H1983" t="str">
        <x:v>Fully attended</x:v>
      </x:c>
      <x:c r="I1983" t="str">
        <x:v>Yes</x:v>
      </x:c>
    </x:row>
    <x:row r="1984">
      <x:c r="A1984" t="str">
        <x:v>Vivek Nuckcheddee</x:v>
      </x:c>
      <x:c r="B1984" t="str">
        <x:v>Mauritius</x:v>
      </x:c>
      <x:c r="C1984" t="str">
        <x:v>MU</x:v>
      </x:c>
      <x:c r="D1984" t="str">
        <x:v>vivek.nuckcheddee@pwc.com</x:v>
      </x:c>
      <x:c r="E1984" t="str">
        <x:v>Combined</x:v>
      </x:c>
      <x:c r="F1984" t="n">
        <x:v>0.13289351851851852</x:v>
      </x:c>
      <x:c r="G1984" t="n">
        <x:v>11482</x:v>
      </x:c>
      <x:c r="H1984" t="str">
        <x:v>Fully attended</x:v>
      </x:c>
      <x:c r="I1984" t="str">
        <x:v>Yes</x:v>
      </x:c>
    </x:row>
    <x:row r="1985">
      <x:c r="A1985" t="str">
        <x:v>Wambui Gitau</x:v>
      </x:c>
      <x:c r="B1985" t="str">
        <x:v>Kenya</x:v>
      </x:c>
      <x:c r="C1985" t="str">
        <x:v>KE</x:v>
      </x:c>
      <x:c r="D1985" t="str">
        <x:v>wambui.gitau@pwc.com</x:v>
      </x:c>
      <x:c r="E1985" t="str">
        <x:v>Option 1</x:v>
      </x:c>
      <x:c r="F1985" t="n">
        <x:v>0</x:v>
      </x:c>
      <x:c r="G1985" t="n">
        <x:v>0</x:v>
      </x:c>
      <x:c r="H1985" t="str">
        <x:v>Did not attend</x:v>
      </x:c>
      <x:c r="I1985" t="str">
        <x:v>No</x:v>
      </x:c>
    </x:row>
    <x:row r="1986">
      <x:c r="A1986" t="str">
        <x:v>Wambui Gitau</x:v>
      </x:c>
      <x:c r="B1986" t="str">
        <x:v>Kenya</x:v>
      </x:c>
      <x:c r="C1986" t="str">
        <x:v>KE</x:v>
      </x:c>
      <x:c r="D1986" t="str">
        <x:v>wambui.gitau@pwc.com</x:v>
      </x:c>
      <x:c r="E1986" t="str">
        <x:v>Option 2</x:v>
      </x:c>
      <x:c r="F1986" t="n">
        <x:v>0.0030324074074074073</x:v>
      </x:c>
      <x:c r="G1986" t="n">
        <x:v>262</x:v>
      </x:c>
      <x:c r="H1986" t="str">
        <x:v>Partially attended</x:v>
      </x:c>
      <x:c r="I1986" t="str">
        <x:v>Yes</x:v>
      </x:c>
    </x:row>
    <x:row r="1987">
      <x:c r="A1987" t="str">
        <x:v>Wambui Gitau</x:v>
      </x:c>
      <x:c r="B1987" t="str">
        <x:v>Kenya</x:v>
      </x:c>
      <x:c r="C1987" t="str">
        <x:v>KE</x:v>
      </x:c>
      <x:c r="D1987" t="str">
        <x:v>wambui.gitau@pwc.com</x:v>
      </x:c>
      <x:c r="E1987" t="str">
        <x:v>Combined</x:v>
      </x:c>
      <x:c r="F1987" t="n">
        <x:v>0.0030324074074074073</x:v>
      </x:c>
      <x:c r="G1987" t="n">
        <x:v>262</x:v>
      </x:c>
      <x:c r="H1987" t="str">
        <x:v>Partially attended</x:v>
      </x:c>
      <x:c r="I1987" t="str">
        <x:v>Yes</x:v>
      </x:c>
    </x:row>
    <x:row r="1988">
      <x:c r="A1988" t="str">
        <x:v>Witness Meena</x:v>
      </x:c>
      <x:c r="B1988" t="str">
        <x:v>Tanzania</x:v>
      </x:c>
      <x:c r="C1988" t="str">
        <x:v>TZ</x:v>
      </x:c>
      <x:c r="D1988" t="str">
        <x:v>witness.meena@pwc.com</x:v>
      </x:c>
      <x:c r="E1988" t="str">
        <x:v>Option 1</x:v>
      </x:c>
      <x:c r="F1988" t="n">
        <x:v>0.07232638888888888</x:v>
      </x:c>
      <x:c r="G1988" t="n">
        <x:v>6249</x:v>
      </x:c>
      <x:c r="H1988" t="str">
        <x:v>Fully attended</x:v>
      </x:c>
      <x:c r="I1988" t="str">
        <x:v>Yes</x:v>
      </x:c>
    </x:row>
    <x:row r="1989">
      <x:c r="A1989" t="str">
        <x:v>Witness Meena</x:v>
      </x:c>
      <x:c r="B1989" t="str">
        <x:v>Tanzania</x:v>
      </x:c>
      <x:c r="C1989" t="str">
        <x:v>TZ</x:v>
      </x:c>
      <x:c r="D1989" t="str">
        <x:v>witness.meena@pwc.com</x:v>
      </x:c>
      <x:c r="E1989" t="str">
        <x:v>Option 2</x:v>
      </x:c>
      <x:c r="F1989" t="n">
        <x:v>0</x:v>
      </x:c>
      <x:c r="G1989" t="n">
        <x:v>0</x:v>
      </x:c>
      <x:c r="H1989" t="str">
        <x:v>Did not attend</x:v>
      </x:c>
      <x:c r="I1989" t="str">
        <x:v>No</x:v>
      </x:c>
    </x:row>
    <x:row r="1990">
      <x:c r="A1990" t="str">
        <x:v>Witness Meena</x:v>
      </x:c>
      <x:c r="B1990" t="str">
        <x:v>Tanzania</x:v>
      </x:c>
      <x:c r="C1990" t="str">
        <x:v>TZ</x:v>
      </x:c>
      <x:c r="D1990" t="str">
        <x:v>witness.meena@pwc.com</x:v>
      </x:c>
      <x:c r="E1990" t="str">
        <x:v>Combined</x:v>
      </x:c>
      <x:c r="F1990" t="n">
        <x:v>0.07232638888888888</x:v>
      </x:c>
      <x:c r="G1990" t="n">
        <x:v>6249</x:v>
      </x:c>
      <x:c r="H1990" t="str">
        <x:v>Fully attended</x:v>
      </x:c>
      <x:c r="I1990" t="str">
        <x:v>Yes</x:v>
      </x:c>
    </x:row>
    <x:row r="1991">
      <x:c r="A1991" t="str">
        <x:v>Yash Bucchoo</x:v>
      </x:c>
      <x:c r="B1991" t="str">
        <x:v>Mauritius</x:v>
      </x:c>
      <x:c r="C1991" t="str">
        <x:v>MU</x:v>
      </x:c>
      <x:c r="D1991" t="str">
        <x:v>yash.bucchoo@pwc.com</x:v>
      </x:c>
      <x:c r="E1991" t="str">
        <x:v>Option 1</x:v>
      </x:c>
      <x:c r="F1991" t="n">
        <x:v>0</x:v>
      </x:c>
      <x:c r="G1991" t="n">
        <x:v>0</x:v>
      </x:c>
      <x:c r="H1991" t="str">
        <x:v>Did not attend</x:v>
      </x:c>
      <x:c r="I1991" t="str">
        <x:v>No</x:v>
      </x:c>
    </x:row>
    <x:row r="1992">
      <x:c r="A1992" t="str">
        <x:v>Yash Bucchoo</x:v>
      </x:c>
      <x:c r="B1992" t="str">
        <x:v>Mauritius</x:v>
      </x:c>
      <x:c r="C1992" t="str">
        <x:v>MU</x:v>
      </x:c>
      <x:c r="D1992" t="str">
        <x:v>yash.bucchoo@pwc.com</x:v>
      </x:c>
      <x:c r="E1992" t="str">
        <x:v>Option 2</x:v>
      </x:c>
      <x:c r="F1992" t="n">
        <x:v>0.06783564814814814</x:v>
      </x:c>
      <x:c r="G1992" t="n">
        <x:v>5861</x:v>
      </x:c>
      <x:c r="H1992" t="str">
        <x:v>Fully attended</x:v>
      </x:c>
      <x:c r="I1992" t="str">
        <x:v>Yes</x:v>
      </x:c>
    </x:row>
    <x:row r="1993">
      <x:c r="A1993" t="str">
        <x:v>Yash Bucchoo</x:v>
      </x:c>
      <x:c r="B1993" t="str">
        <x:v>Mauritius</x:v>
      </x:c>
      <x:c r="C1993" t="str">
        <x:v>MU</x:v>
      </x:c>
      <x:c r="D1993" t="str">
        <x:v>yash.bucchoo@pwc.com</x:v>
      </x:c>
      <x:c r="E1993" t="str">
        <x:v>Combined</x:v>
      </x:c>
      <x:c r="F1993" t="n">
        <x:v>0.06783564814814814</x:v>
      </x:c>
      <x:c r="G1993" t="n">
        <x:v>5861</x:v>
      </x:c>
      <x:c r="H1993" t="str">
        <x:v>Fully attended</x:v>
      </x:c>
      <x:c r="I1993" t="str">
        <x:v>Yes</x:v>
      </x:c>
    </x:row>
    <x:row r="1994">
      <x:c r="A1994" t="str">
        <x:v>Yashna Kowlessur</x:v>
      </x:c>
      <x:c r="B1994" t="str">
        <x:v>Mauritius</x:v>
      </x:c>
      <x:c r="C1994" t="str">
        <x:v>MU</x:v>
      </x:c>
      <x:c r="D1994" t="str">
        <x:v>yashna.kowlessur@pwc.com</x:v>
      </x:c>
      <x:c r="E1994" t="str">
        <x:v>Option 1</x:v>
      </x:c>
      <x:c r="F1994" t="n">
        <x:v>0</x:v>
      </x:c>
      <x:c r="G1994" t="n">
        <x:v>0</x:v>
      </x:c>
      <x:c r="H1994" t="str">
        <x:v>Did not attend</x:v>
      </x:c>
      <x:c r="I1994" t="str">
        <x:v>No</x:v>
      </x:c>
    </x:row>
    <x:row r="1995">
      <x:c r="A1995" t="str">
        <x:v>Yashna Kowlessur</x:v>
      </x:c>
      <x:c r="B1995" t="str">
        <x:v>Mauritius</x:v>
      </x:c>
      <x:c r="C1995" t="str">
        <x:v>MU</x:v>
      </x:c>
      <x:c r="D1995" t="str">
        <x:v>yashna.kowlessur@pwc.com</x:v>
      </x:c>
      <x:c r="E1995" t="str">
        <x:v>Option 2</x:v>
      </x:c>
      <x:c r="F1995" t="n">
        <x:v>0.0895949074074074</x:v>
      </x:c>
      <x:c r="G1995" t="n">
        <x:v>7741</x:v>
      </x:c>
      <x:c r="H1995" t="str">
        <x:v>Fully attended</x:v>
      </x:c>
      <x:c r="I1995" t="str">
        <x:v>Yes</x:v>
      </x:c>
    </x:row>
    <x:row r="1996">
      <x:c r="A1996" t="str">
        <x:v>Yashna Kowlessur</x:v>
      </x:c>
      <x:c r="B1996" t="str">
        <x:v>Mauritius</x:v>
      </x:c>
      <x:c r="C1996" t="str">
        <x:v>MU</x:v>
      </x:c>
      <x:c r="D1996" t="str">
        <x:v>yashna.kowlessur@pwc.com</x:v>
      </x:c>
      <x:c r="E1996" t="str">
        <x:v>Combined</x:v>
      </x:c>
      <x:c r="F1996" t="n">
        <x:v>0.0895949074074074</x:v>
      </x:c>
      <x:c r="G1996" t="n">
        <x:v>7741</x:v>
      </x:c>
      <x:c r="H1996" t="str">
        <x:v>Fully attended</x:v>
      </x:c>
      <x:c r="I1996" t="str">
        <x:v>Yes</x:v>
      </x:c>
    </x:row>
    <x:row r="1997">
      <x:c r="A1997" t="str">
        <x:v>Yasiirah Peerbux</x:v>
      </x:c>
      <x:c r="B1997" t="str">
        <x:v>Mauritius</x:v>
      </x:c>
      <x:c r="C1997" t="str">
        <x:v>MU</x:v>
      </x:c>
      <x:c r="D1997" t="str">
        <x:v>yasiirah.peerbux@pwc.com</x:v>
      </x:c>
      <x:c r="E1997" t="str">
        <x:v>Option 1</x:v>
      </x:c>
      <x:c r="F1997" t="n">
        <x:v>0.03840277777777778</x:v>
      </x:c>
      <x:c r="G1997" t="n">
        <x:v>3318</x:v>
      </x:c>
      <x:c r="H1997" t="str">
        <x:v>Partially attended</x:v>
      </x:c>
      <x:c r="I1997" t="str">
        <x:v>Yes</x:v>
      </x:c>
    </x:row>
    <x:row r="1998">
      <x:c r="A1998" t="str">
        <x:v>Yasiirah Peerbux</x:v>
      </x:c>
      <x:c r="B1998" t="str">
        <x:v>Mauritius</x:v>
      </x:c>
      <x:c r="C1998" t="str">
        <x:v>MU</x:v>
      </x:c>
      <x:c r="D1998" t="str">
        <x:v>yasiirah.peerbux@pwc.com</x:v>
      </x:c>
      <x:c r="E1998" t="str">
        <x:v>Option 2</x:v>
      </x:c>
      <x:c r="F1998" t="n">
        <x:v>0.08011574074074074</x:v>
      </x:c>
      <x:c r="G1998" t="n">
        <x:v>6922</x:v>
      </x:c>
      <x:c r="H1998" t="str">
        <x:v>Fully attended</x:v>
      </x:c>
      <x:c r="I1998" t="str">
        <x:v>Yes</x:v>
      </x:c>
    </x:row>
    <x:row r="1999">
      <x:c r="A1999" t="str">
        <x:v>Yasiirah Peerbux</x:v>
      </x:c>
      <x:c r="B1999" t="str">
        <x:v>Mauritius</x:v>
      </x:c>
      <x:c r="C1999" t="str">
        <x:v>MU</x:v>
      </x:c>
      <x:c r="D1999" t="str">
        <x:v>yasiirah.peerbux@pwc.com</x:v>
      </x:c>
      <x:c r="E1999" t="str">
        <x:v>Combined</x:v>
      </x:c>
      <x:c r="F1999" t="n">
        <x:v>0.11851851851851852</x:v>
      </x:c>
      <x:c r="G1999" t="n">
        <x:v>10240</x:v>
      </x:c>
      <x:c r="H1999" t="str">
        <x:v>Fully attended</x:v>
      </x:c>
      <x:c r="I1999" t="str">
        <x:v>Yes</x:v>
      </x:c>
    </x:row>
    <x:row r="2000">
      <x:c r="A2000" t="str">
        <x:v>Yohane Mwanza</x:v>
      </x:c>
      <x:c r="B2000" t="str">
        <x:v>Zambia</x:v>
      </x:c>
      <x:c r="C2000" t="str">
        <x:v>ZM</x:v>
      </x:c>
      <x:c r="D2000" t="str">
        <x:v>yohane.y.mwanza@pwc.com</x:v>
      </x:c>
      <x:c r="E2000" t="str">
        <x:v>Option 1</x:v>
      </x:c>
      <x:c r="F2000" t="n">
        <x:v>0</x:v>
      </x:c>
      <x:c r="G2000" t="n">
        <x:v>0</x:v>
      </x:c>
      <x:c r="H2000" t="str">
        <x:v>Did not attend</x:v>
      </x:c>
      <x:c r="I2000" t="str">
        <x:v>No</x:v>
      </x:c>
    </x:row>
    <x:row r="2001">
      <x:c r="A2001" t="str">
        <x:v>Yohane Mwanza</x:v>
      </x:c>
      <x:c r="B2001" t="str">
        <x:v>Zambia</x:v>
      </x:c>
      <x:c r="C2001" t="str">
        <x:v>ZM</x:v>
      </x:c>
      <x:c r="D2001" t="str">
        <x:v>yohane.y.mwanza@pwc.com</x:v>
      </x:c>
      <x:c r="E2001" t="str">
        <x:v>Option 2</x:v>
      </x:c>
      <x:c r="F2001" t="n">
        <x:v>0.07320601851851852</x:v>
      </x:c>
      <x:c r="G2001" t="n">
        <x:v>6325</x:v>
      </x:c>
      <x:c r="H2001" t="str">
        <x:v>Fully attended</x:v>
      </x:c>
      <x:c r="I2001" t="str">
        <x:v>Yes</x:v>
      </x:c>
    </x:row>
    <x:row r="2002">
      <x:c r="A2002" t="str">
        <x:v>Yohane Mwanza</x:v>
      </x:c>
      <x:c r="B2002" t="str">
        <x:v>Zambia</x:v>
      </x:c>
      <x:c r="C2002" t="str">
        <x:v>ZM</x:v>
      </x:c>
      <x:c r="D2002" t="str">
        <x:v>yohane.y.mwanza@pwc.com</x:v>
      </x:c>
      <x:c r="E2002" t="str">
        <x:v>Combined</x:v>
      </x:c>
      <x:c r="F2002" t="n">
        <x:v>0.07320601851851852</x:v>
      </x:c>
      <x:c r="G2002" t="n">
        <x:v>6325</x:v>
      </x:c>
      <x:c r="H2002" t="str">
        <x:v>Fully attended</x:v>
      </x:c>
      <x:c r="I2002" t="str">
        <x:v>Yes</x:v>
      </x:c>
    </x:row>
    <x:row r="2003">
      <x:c r="A2003" t="str">
        <x:v>Yusto Mwaigwisya</x:v>
      </x:c>
      <x:c r="B2003" t="str">
        <x:v>Tanzania</x:v>
      </x:c>
      <x:c r="C2003" t="str">
        <x:v>TZ</x:v>
      </x:c>
      <x:c r="D2003" t="str">
        <x:v>yusto.mwaigwisya@pwc.com</x:v>
      </x:c>
      <x:c r="E2003" t="str">
        <x:v>Option 1</x:v>
      </x:c>
      <x:c r="F2003" t="n">
        <x:v>0.08689814814814815</x:v>
      </x:c>
      <x:c r="G2003" t="n">
        <x:v>7508</x:v>
      </x:c>
      <x:c r="H2003" t="str">
        <x:v>Fully attended</x:v>
      </x:c>
      <x:c r="I2003" t="str">
        <x:v>Yes</x:v>
      </x:c>
    </x:row>
    <x:row r="2004">
      <x:c r="A2004" t="str">
        <x:v>Yusto Mwaigwisya</x:v>
      </x:c>
      <x:c r="B2004" t="str">
        <x:v>Tanzania</x:v>
      </x:c>
      <x:c r="C2004" t="str">
        <x:v>TZ</x:v>
      </x:c>
      <x:c r="D2004" t="str">
        <x:v>yusto.mwaigwisya@pwc.com</x:v>
      </x:c>
      <x:c r="E2004" t="str">
        <x:v>Option 2</x:v>
      </x:c>
      <x:c r="F2004" t="n">
        <x:v>0</x:v>
      </x:c>
      <x:c r="G2004" t="n">
        <x:v>0</x:v>
      </x:c>
      <x:c r="H2004" t="str">
        <x:v>Did not attend</x:v>
      </x:c>
      <x:c r="I2004" t="str">
        <x:v>No</x:v>
      </x:c>
    </x:row>
    <x:row r="2005">
      <x:c r="A2005" t="str">
        <x:v>Yusto Mwaigwisya</x:v>
      </x:c>
      <x:c r="B2005" t="str">
        <x:v>Tanzania</x:v>
      </x:c>
      <x:c r="C2005" t="str">
        <x:v>TZ</x:v>
      </x:c>
      <x:c r="D2005" t="str">
        <x:v>yusto.mwaigwisya@pwc.com</x:v>
      </x:c>
      <x:c r="E2005" t="str">
        <x:v>Combined</x:v>
      </x:c>
      <x:c r="F2005" t="n">
        <x:v>0.08689814814814815</x:v>
      </x:c>
      <x:c r="G2005" t="n">
        <x:v>7508</x:v>
      </x:c>
      <x:c r="H2005" t="str">
        <x:v>Fully attended</x:v>
      </x:c>
      <x:c r="I2005" t="str">
        <x:v>Yes</x:v>
      </x:c>
    </x:row>
    <x:row r="2006">
      <x:c r="A2006" t="str">
        <x:v>Zaynah Burkuth</x:v>
      </x:c>
      <x:c r="B2006" t="str">
        <x:v>Mauritius</x:v>
      </x:c>
      <x:c r="C2006" t="str">
        <x:v>MU</x:v>
      </x:c>
      <x:c r="D2006" t="str">
        <x:v>zaynah.z.burkuth@pwc.com</x:v>
      </x:c>
      <x:c r="E2006" t="str">
        <x:v>Option 1</x:v>
      </x:c>
      <x:c r="F2006" t="n">
        <x:v>0</x:v>
      </x:c>
      <x:c r="G2006" t="n">
        <x:v>0</x:v>
      </x:c>
      <x:c r="H2006" t="str">
        <x:v>Did not attend</x:v>
      </x:c>
      <x:c r="I2006" t="str">
        <x:v>No</x:v>
      </x:c>
    </x:row>
    <x:row r="2007">
      <x:c r="A2007" t="str">
        <x:v>Zaynah Burkuth</x:v>
      </x:c>
      <x:c r="B2007" t="str">
        <x:v>Mauritius</x:v>
      </x:c>
      <x:c r="C2007" t="str">
        <x:v>MU</x:v>
      </x:c>
      <x:c r="D2007" t="str">
        <x:v>zaynah.z.burkuth@pwc.com</x:v>
      </x:c>
      <x:c r="E2007" t="str">
        <x:v>Option 2</x:v>
      </x:c>
      <x:c r="F2007" t="n">
        <x:v>0.08673611111111111</x:v>
      </x:c>
      <x:c r="G2007" t="n">
        <x:v>7494</x:v>
      </x:c>
      <x:c r="H2007" t="str">
        <x:v>Fully attended</x:v>
      </x:c>
      <x:c r="I2007" t="str">
        <x:v>Yes</x:v>
      </x:c>
    </x:row>
    <x:row r="2008">
      <x:c r="A2008" t="str">
        <x:v>Zaynah Burkuth</x:v>
      </x:c>
      <x:c r="B2008" t="str">
        <x:v>Mauritius</x:v>
      </x:c>
      <x:c r="C2008" t="str">
        <x:v>MU</x:v>
      </x:c>
      <x:c r="D2008" t="str">
        <x:v>zaynah.z.burkuth@pwc.com</x:v>
      </x:c>
      <x:c r="E2008" t="str">
        <x:v>Combined</x:v>
      </x:c>
      <x:c r="F2008" t="n">
        <x:v>0.08673611111111111</x:v>
      </x:c>
      <x:c r="G2008" t="n">
        <x:v>7494</x:v>
      </x:c>
      <x:c r="H2008" t="str">
        <x:v>Fully attended</x:v>
      </x:c>
      <x:c r="I2008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6590cfc6133b4e7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58" hidden="0" customWidth="1"/>
    <x:col min="5" max="5" width="20" hidden="0" customWidth="1"/>
    <x:col min="6" max="6" width="32" hidden="0" customWidth="1"/>
    <x:col min="7" max="7" width="36" hidden="0" customWidth="1"/>
    <x:col min="8" max="8" width="52" hidden="0" customWidth="1"/>
  </x:cols>
  <x:sheetData>
    <x:row r="1" ht="28" customHeight="1">
      <x:c r="A1" s="109" t="str">
        <x:v>Check</x:v>
      </x:c>
      <x:c r="B1" s="109" t="str">
        <x:v>Result</x:v>
      </x:c>
      <x:c r="C1" s="109" t="str">
        <x:v>Meaning</x:v>
      </x:c>
      <x:c r="E1" s="28" t="str">
        <x:v>Meeting Report</x:v>
      </x:c>
      <x:c r="F1" s="28" t="str">
        <x:v>Participant Name</x:v>
      </x:c>
      <x:c r="G1" s="28" t="str">
        <x:v>Participant Email</x:v>
      </x:c>
      <x:c r="H1" s="28" t="str">
        <x:v>Reason</x:v>
      </x:c>
    </x:row>
    <x:row r="2">
      <x:c r="A2" s="34" t="str">
        <x:v>Employee rows in source list</x:v>
      </x:c>
      <x:c r="B2" s="34" t="n">
        <x:f>COUNTA('EMA Assurance Employee List'!$A$2:$A$671)</x:f>
        <x:v>670</x:v>
      </x:c>
      <x:c r="C2" s="34" t="str">
        <x:v>Rows 2–671 in EMA Assurance Employee List</x:v>
      </x:c>
      <x:c r="E2" s="34" t="str">
        <x:v>Option 1</x:v>
      </x:c>
      <x:c r="F2" s="34" t="str">
        <x:v>Wilson Judah (Unverified)</x:v>
      </x:c>
      <x:c r="G2" s="34" t="str"/>
      <x:c r="H2" s="34" t="str">
        <x:v>Email missing in source report; cannot match by email.</x:v>
      </x:c>
      <x:c r="J2"/>
    </x:row>
    <x:row r="3">
      <x:c r="A3" s="34" t="str">
        <x:v>Employees included in dashboard</x:v>
      </x:c>
      <x:c r="B3" s="34" t="n">
        <x:f>COUNTA('Employee Attendance'!$A$2:$A$670)</x:f>
        <x:v>669</x:v>
      </x:c>
      <x:c r="C3" s="34" t="str">
        <x:v>Seven supported country codes only; #N/A country excluded</x:v>
      </x:c>
      <x:c r="E3" s="34"/>
      <x:c r="F3" s="34"/>
      <x:c r="G3" s="34"/>
      <x:c r="H3" s="34"/>
      <x:c r="J3"/>
    </x:row>
    <x:row r="4">
      <x:c r="A4" s="34" t="str">
        <x:v>Roster rows excluded for country = #N/A / unsupported</x:v>
      </x:c>
      <x:c r="B4" s="34" t="n">
        <x:f>B2-B3</x:f>
        <x:v>1</x:v>
      </x:c>
      <x:c r="C4" s="34" t="str">
        <x:v>Difference between source-list rows and eligible rows</x:v>
      </x:c>
      <x:c r="E4" s="34"/>
      <x:c r="F4" s="34"/>
      <x:c r="G4" s="34"/>
      <x:c r="H4" s="34"/>
      <x:c r="J4"/>
    </x:row>
    <x:row r="5">
      <x:c r="A5" s="34" t="str">
        <x:v>Unique normalized roster emails</x:v>
      </x:c>
      <x:c r="B5" s="34" t="n">
        <x:f>SUM('EMA Assurance Employee List'!$E$2:$E$671)</x:f>
        <x:v>670</x:v>
      </x:c>
      <x:c r="C5" s="34" t="str">
        <x:v>Emails trimmed/lower-cased; includes 224 added attendees</x:v>
      </x:c>
      <x:c r="E5" s="34"/>
      <x:c r="F5" s="34"/>
      <x:c r="G5" s="34"/>
      <x:c r="H5" s="34"/>
      <x:c r="J5"/>
    </x:row>
    <x:row r="6">
      <x:c r="A6" s="34" t="str">
        <x:v>Duplicate normalized roster emails</x:v>
      </x:c>
      <x:c r="B6" s="34" t="n">
        <x:f>COUNTA('EMA Assurance Employee List'!$D$2:$D$671)-B5</x:f>
        <x:v>0</x:v>
      </x:c>
      <x:c r="C6" s="34" t="str">
        <x:v>Expected 0 for reliable matching</x:v>
      </x:c>
      <x:c r="E6" s="34"/>
      <x:c r="F6" s="34"/>
      <x:c r="G6" s="34"/>
      <x:c r="H6" s="34"/>
    </x:row>
    <x:row r="7">
      <x:c r="A7" s="34" t="str">
        <x:v>Option 1 Participants rows</x:v>
      </x:c>
      <x:c r="B7" s="34" t="n">
        <x:f>COUNTA('Attendance Report - Option 1'!$A$11:$A$315)</x:f>
        <x:v>305</x:v>
      </x:c>
      <x:c r="C7" s="34" t="str">
        <x:v>Participants section rows 11–315 in Option 1</x:v>
      </x:c>
      <x:c r="E7" s="34"/>
      <x:c r="F7" s="34"/>
      <x:c r="G7" s="34"/>
      <x:c r="H7" s="34"/>
    </x:row>
    <x:row r="8">
      <x:c r="A8" s="34" t="str">
        <x:v>Option 1 participants with email</x:v>
      </x:c>
      <x:c r="B8" s="34" t="n">
        <x:f>SUMPRODUCT(--('Attendance Report - Option 1'!$P$11:$P$315&lt;&gt;""))</x:f>
        <x:v>304</x:v>
      </x:c>
      <x:c r="C8" s="34" t="str">
        <x:v>Participant rows with a nonblank email</x:v>
      </x:c>
      <x:c r="E8" s="34"/>
      <x:c r="F8" s="34"/>
      <x:c r="G8" s="34"/>
      <x:c r="H8" s="34"/>
    </x:row>
    <x:row r="9">
      <x:c r="A9" s="34" t="str">
        <x:v>Option 1 matched to EMA roster</x:v>
      </x:c>
      <x:c r="B9" s="34" t="n">
        <x:f>COUNTIF('Attendance Report - Option 1'!$R$11:$R$315,"Yes")</x:f>
        <x:v>304</x:v>
      </x:c>
      <x:c r="C9" s="34" t="str">
        <x:v>Matches by normalized email to expanded Employee Attendance</x:v>
      </x:c>
      <x:c r="E9" s="34"/>
      <x:c r="F9" s="34"/>
      <x:c r="G9" s="34"/>
      <x:c r="H9" s="34"/>
    </x:row>
    <x:row r="10">
      <x:c r="A10" s="34" t="str">
        <x:v>Option 1 participant emails not on roster</x:v>
      </x:c>
      <x:c r="B10" s="34" t="n">
        <x:f>B8-B9</x:f>
        <x:v>0</x:v>
      </x:c>
      <x:c r="C10" s="34" t="str">
        <x:v>Email-bearing participants not matched to expanded roster</x:v>
      </x:c>
      <x:c r="E10" s="34"/>
      <x:c r="F10" s="34"/>
      <x:c r="G10" s="34"/>
      <x:c r="H10" s="34"/>
    </x:row>
    <x:row r="11">
      <x:c r="A11" s="34" t="str">
        <x:v>Option 2 Participants rows</x:v>
      </x:c>
      <x:c r="B11" s="34" t="n">
        <x:f>COUNTA('Attendance Report - Option 2'!$A$11:$A$412)</x:f>
        <x:v>402</x:v>
      </x:c>
      <x:c r="C11" s="34" t="str">
        <x:v>Participants section rows 11–412 in Option 2</x:v>
      </x:c>
      <x:c r="E11" s="34"/>
      <x:c r="F11" s="34"/>
      <x:c r="G11" s="34"/>
      <x:c r="H11" s="34"/>
    </x:row>
    <x:row r="12">
      <x:c r="A12" s="34" t="str">
        <x:v>Option 2 participants with email</x:v>
      </x:c>
      <x:c r="B12" s="34" t="n">
        <x:f>SUMPRODUCT(--('Attendance Report - Option 2'!$P$11:$P$412&lt;&gt;""))</x:f>
        <x:v>402</x:v>
      </x:c>
      <x:c r="C12" s="34" t="str">
        <x:v>Participant rows with a nonblank email</x:v>
      </x:c>
      <x:c r="E12" s="34"/>
      <x:c r="F12" s="34"/>
      <x:c r="G12" s="34"/>
      <x:c r="H12" s="34"/>
    </x:row>
    <x:row r="13">
      <x:c r="A13" s="34" t="str">
        <x:v>Option 2 matched to EMA roster</x:v>
      </x:c>
      <x:c r="B13" s="34" t="n">
        <x:f>COUNTIF('Attendance Report - Option 2'!$R$11:$R$412,"Yes")</x:f>
        <x:v>402</x:v>
      </x:c>
      <x:c r="C13" s="34" t="str">
        <x:v>Matches by normalized email to expanded Employee Attendance</x:v>
      </x:c>
      <x:c r="E13" s="34"/>
      <x:c r="F13" s="34"/>
      <x:c r="G13" s="34"/>
      <x:c r="H13" s="34"/>
    </x:row>
    <x:row r="14">
      <x:c r="A14" s="34" t="str">
        <x:v>Option 2 participant emails not on roster</x:v>
      </x:c>
      <x:c r="B14" s="34" t="n">
        <x:f>B12-B13</x:f>
        <x:v>0</x:v>
      </x:c>
      <x:c r="C14" s="34" t="str">
        <x:v>Email-bearing participants not matched to expanded roster</x:v>
      </x:c>
      <x:c r="E14" s="34"/>
      <x:c r="F14" s="34"/>
      <x:c r="G14" s="34"/>
      <x:c r="H14" s="34"/>
    </x:row>
    <x:row r="15">
      <x:c r="E15" s="34"/>
      <x:c r="F15" s="34"/>
      <x:c r="G15" s="34"/>
      <x:c r="H15" s="34"/>
    </x:row>
    <x:row r="16">
      <x:c r="E16" s="34"/>
      <x:c r="F16" s="34"/>
      <x:c r="G16" s="34"/>
      <x:c r="H16" s="34"/>
    </x:row>
    <x:row r="17">
      <x:c r="E17" s="34"/>
      <x:c r="F17" s="34"/>
      <x:c r="G17" s="34"/>
      <x:c r="H17" s="34"/>
    </x:row>
    <x:row r="18">
      <x:c r="E18" s="34"/>
      <x:c r="F18" s="34"/>
      <x:c r="G18" s="34"/>
      <x:c r="H18" s="34"/>
    </x:row>
    <x:row r="19">
      <x:c r="E19" s="34"/>
      <x:c r="F19" s="34"/>
      <x:c r="G19" s="34"/>
      <x:c r="H19" s="34"/>
    </x:row>
    <x:row r="20">
      <x:c r="E20" s="34"/>
      <x:c r="F20" s="34"/>
      <x:c r="G20" s="34"/>
      <x:c r="H20" s="34"/>
    </x:row>
    <x:row r="21">
      <x:c r="E21" s="34"/>
      <x:c r="F21" s="34"/>
      <x:c r="G21" s="34"/>
      <x:c r="H21" s="34"/>
    </x:row>
    <x:row r="22">
      <x:c r="E22" s="34"/>
      <x:c r="F22" s="34"/>
      <x:c r="G22" s="34"/>
      <x:c r="H22" s="34"/>
    </x:row>
    <x:row r="23">
      <x:c r="E23" s="34"/>
      <x:c r="F23" s="34"/>
      <x:c r="G23" s="34"/>
      <x:c r="H23" s="34"/>
    </x:row>
    <x:row r="24">
      <x:c r="E24" s="34"/>
      <x:c r="F24" s="34"/>
      <x:c r="G24" s="34"/>
      <x:c r="H24" s="34"/>
    </x:row>
    <x:row r="25">
      <x:c r="E25" s="34"/>
      <x:c r="F25" s="34"/>
      <x:c r="G25" s="34"/>
      <x:c r="H25" s="34"/>
    </x:row>
    <x:row r="26">
      <x:c r="E26" s="34"/>
      <x:c r="F26" s="34"/>
      <x:c r="G26" s="34"/>
      <x:c r="H26" s="34"/>
    </x:row>
    <x:row r="27">
      <x:c r="E27" s="34"/>
      <x:c r="F27" s="34"/>
      <x:c r="G27" s="34"/>
      <x:c r="H27" s="34"/>
    </x:row>
    <x:row r="28">
      <x:c r="E28" s="34"/>
      <x:c r="F28" s="34"/>
      <x:c r="G28" s="34"/>
      <x:c r="H28" s="34"/>
    </x:row>
    <x:row r="29">
      <x:c r="E29" s="34"/>
      <x:c r="F29" s="34"/>
      <x:c r="G29" s="34"/>
      <x:c r="H29" s="34"/>
    </x:row>
    <x:row r="30">
      <x:c r="E30" s="34"/>
      <x:c r="F30" s="34"/>
      <x:c r="G30" s="34"/>
      <x:c r="H30" s="34"/>
    </x:row>
    <x:row r="31">
      <x:c r="E31" s="34"/>
      <x:c r="F31" s="34"/>
      <x:c r="G31" s="34"/>
      <x:c r="H31" s="34"/>
    </x:row>
    <x:row r="32">
      <x:c r="E32" s="34"/>
      <x:c r="F32" s="34"/>
      <x:c r="G32" s="34"/>
      <x:c r="H32" s="34"/>
    </x:row>
    <x:row r="33">
      <x:c r="E33" s="34"/>
      <x:c r="F33" s="34"/>
      <x:c r="G33" s="34"/>
      <x:c r="H33" s="34"/>
    </x:row>
    <x:row r="34">
      <x:c r="E34" s="34"/>
      <x:c r="F34" s="34"/>
      <x:c r="G34" s="34"/>
      <x:c r="H34" s="34"/>
    </x:row>
    <x:row r="35">
      <x:c r="E35" s="34"/>
      <x:c r="F35" s="34"/>
      <x:c r="G35" s="34"/>
      <x:c r="H35" s="34"/>
    </x:row>
    <x:row r="36">
      <x:c r="E36" s="34"/>
      <x:c r="F36" s="34"/>
      <x:c r="G36" s="34"/>
      <x:c r="H36" s="34"/>
    </x:row>
    <x:row r="37">
      <x:c r="E37" s="34"/>
      <x:c r="F37" s="34"/>
      <x:c r="G37" s="34"/>
      <x:c r="H37" s="34"/>
    </x:row>
    <x:row r="38">
      <x:c r="E38" s="34"/>
      <x:c r="F38" s="34"/>
      <x:c r="G38" s="34"/>
      <x:c r="H38" s="34"/>
    </x:row>
    <x:row r="39">
      <x:c r="E39" s="34"/>
      <x:c r="F39" s="34"/>
      <x:c r="G39" s="34"/>
      <x:c r="H39" s="34"/>
    </x:row>
    <x:row r="40">
      <x:c r="E40" s="34"/>
      <x:c r="F40" s="34"/>
      <x:c r="G40" s="34"/>
      <x:c r="H40" s="34"/>
    </x:row>
    <x:row r="41">
      <x:c r="E41" s="34"/>
      <x:c r="F41" s="34"/>
      <x:c r="G41" s="34"/>
      <x:c r="H41" s="34"/>
    </x:row>
    <x:row r="42">
      <x:c r="E42" s="34"/>
      <x:c r="F42" s="34"/>
      <x:c r="G42" s="34"/>
      <x:c r="H42" s="34"/>
    </x:row>
    <x:row r="43">
      <x:c r="E43" s="34"/>
      <x:c r="F43" s="34"/>
      <x:c r="G43" s="34"/>
      <x:c r="H43" s="34"/>
    </x:row>
    <x:row r="44">
      <x:c r="E44" s="34"/>
      <x:c r="F44" s="34"/>
      <x:c r="G44" s="34"/>
      <x:c r="H44" s="34"/>
    </x:row>
    <x:row r="45">
      <x:c r="E45" s="34"/>
      <x:c r="F45" s="34"/>
      <x:c r="G45" s="34"/>
      <x:c r="H45" s="34"/>
    </x:row>
    <x:row r="46">
      <x:c r="E46" s="34"/>
      <x:c r="F46" s="34"/>
      <x:c r="G46" s="34"/>
      <x:c r="H46" s="34"/>
    </x:row>
    <x:row r="47">
      <x:c r="E47" s="34"/>
      <x:c r="F47" s="34"/>
      <x:c r="G47" s="34"/>
      <x:c r="H47" s="34"/>
    </x:row>
    <x:row r="48">
      <x:c r="E48" s="34"/>
      <x:c r="F48" s="34"/>
      <x:c r="G48" s="34"/>
      <x:c r="H48" s="34"/>
    </x:row>
    <x:row r="49">
      <x:c r="E49" s="34"/>
      <x:c r="F49" s="34"/>
      <x:c r="G49" s="34"/>
      <x:c r="H49" s="34"/>
    </x:row>
    <x:row r="50">
      <x:c r="E50" s="34"/>
      <x:c r="F50" s="34"/>
      <x:c r="G50" s="34"/>
      <x:c r="H50" s="34"/>
    </x:row>
    <x:row r="51">
      <x:c r="E51" s="34"/>
      <x:c r="F51" s="34"/>
      <x:c r="G51" s="34"/>
      <x:c r="H51" s="34"/>
    </x:row>
    <x:row r="52">
      <x:c r="E52" s="34"/>
      <x:c r="F52" s="34"/>
      <x:c r="G52" s="34"/>
      <x:c r="H52" s="34"/>
    </x:row>
    <x:row r="53">
      <x:c r="E53" s="34"/>
      <x:c r="F53" s="34"/>
      <x:c r="G53" s="34"/>
      <x:c r="H53" s="34"/>
    </x:row>
    <x:row r="54">
      <x:c r="E54" s="34"/>
      <x:c r="F54" s="34"/>
      <x:c r="G54" s="34"/>
      <x:c r="H54" s="34"/>
    </x:row>
    <x:row r="55">
      <x:c r="E55" s="34"/>
      <x:c r="F55" s="34"/>
      <x:c r="G55" s="34"/>
      <x:c r="H55" s="34"/>
    </x:row>
    <x:row r="56">
      <x:c r="E56" s="34"/>
      <x:c r="F56" s="34"/>
      <x:c r="G56" s="34"/>
      <x:c r="H56" s="34"/>
    </x:row>
    <x:row r="57">
      <x:c r="E57" s="34"/>
      <x:c r="F57" s="34"/>
      <x:c r="G57" s="34"/>
      <x:c r="H57" s="34"/>
    </x:row>
    <x:row r="58">
      <x:c r="E58" s="34"/>
      <x:c r="F58" s="34"/>
      <x:c r="G58" s="34"/>
      <x:c r="H58" s="34"/>
    </x:row>
    <x:row r="59">
      <x:c r="E59" s="34"/>
      <x:c r="F59" s="34"/>
      <x:c r="G59" s="34"/>
      <x:c r="H59" s="34"/>
    </x:row>
    <x:row r="60">
      <x:c r="E60" s="34"/>
      <x:c r="F60" s="34"/>
      <x:c r="G60" s="34"/>
      <x:c r="H60" s="34"/>
    </x:row>
    <x:row r="61">
      <x:c r="E61" s="34"/>
      <x:c r="F61" s="34"/>
      <x:c r="G61" s="34"/>
      <x:c r="H61" s="34"/>
    </x:row>
    <x:row r="62">
      <x:c r="E62" s="34"/>
      <x:c r="F62" s="34"/>
      <x:c r="G62" s="34"/>
      <x:c r="H62" s="34"/>
    </x:row>
    <x:row r="63">
      <x:c r="E63" s="34"/>
      <x:c r="F63" s="34"/>
      <x:c r="G63" s="34"/>
      <x:c r="H63" s="34"/>
    </x:row>
    <x:row r="64">
      <x:c r="E64" s="34"/>
      <x:c r="F64" s="34"/>
      <x:c r="G64" s="34"/>
      <x:c r="H64" s="34"/>
    </x:row>
    <x:row r="65">
      <x:c r="E65" s="34"/>
      <x:c r="F65" s="34"/>
      <x:c r="G65" s="34"/>
      <x:c r="H65" s="34"/>
    </x:row>
    <x:row r="66">
      <x:c r="E66" s="34"/>
      <x:c r="F66" s="34"/>
      <x:c r="G66" s="34"/>
      <x:c r="H66" s="34"/>
    </x:row>
    <x:row r="67">
      <x:c r="E67" s="34"/>
      <x:c r="F67" s="34"/>
      <x:c r="G67" s="34"/>
      <x:c r="H67" s="34"/>
    </x:row>
    <x:row r="68">
      <x:c r="E68" s="34"/>
      <x:c r="F68" s="34"/>
      <x:c r="G68" s="34"/>
      <x:c r="H68" s="34"/>
    </x:row>
    <x:row r="69">
      <x:c r="E69" s="34"/>
      <x:c r="F69" s="34"/>
      <x:c r="G69" s="34"/>
      <x:c r="H69" s="34"/>
    </x:row>
    <x:row r="70">
      <x:c r="E70" s="34"/>
      <x:c r="F70" s="34"/>
      <x:c r="G70" s="34"/>
      <x:c r="H70" s="34"/>
    </x:row>
    <x:row r="71">
      <x:c r="E71" s="34"/>
      <x:c r="F71" s="34"/>
      <x:c r="G71" s="34"/>
      <x:c r="H71" s="34"/>
    </x:row>
    <x:row r="72">
      <x:c r="E72" s="34"/>
      <x:c r="F72" s="34"/>
      <x:c r="G72" s="34"/>
      <x:c r="H72" s="34"/>
    </x:row>
    <x:row r="73">
      <x:c r="E73" s="34"/>
      <x:c r="F73" s="34"/>
      <x:c r="G73" s="34"/>
      <x:c r="H73" s="34"/>
    </x:row>
    <x:row r="74">
      <x:c r="E74" s="34"/>
      <x:c r="F74" s="34"/>
      <x:c r="G74" s="34"/>
      <x:c r="H74" s="34"/>
    </x:row>
    <x:row r="75">
      <x:c r="E75" s="34"/>
      <x:c r="F75" s="34"/>
      <x:c r="G75" s="34"/>
      <x:c r="H75" s="34"/>
    </x:row>
    <x:row r="76">
      <x:c r="E76" s="34"/>
      <x:c r="F76" s="34"/>
      <x:c r="G76" s="34"/>
      <x:c r="H76" s="34"/>
    </x:row>
    <x:row r="77">
      <x:c r="E77" s="34"/>
      <x:c r="F77" s="34"/>
      <x:c r="G77" s="34"/>
      <x:c r="H77" s="34"/>
    </x:row>
    <x:row r="78">
      <x:c r="E78" s="34"/>
      <x:c r="F78" s="34"/>
      <x:c r="G78" s="34"/>
      <x:c r="H78" s="34"/>
    </x:row>
    <x:row r="79">
      <x:c r="E79" s="34"/>
      <x:c r="F79" s="34"/>
      <x:c r="G79" s="34"/>
      <x:c r="H79" s="34"/>
    </x:row>
    <x:row r="80">
      <x:c r="E80" s="34"/>
      <x:c r="F80" s="34"/>
      <x:c r="G80" s="34"/>
      <x:c r="H80" s="34"/>
    </x:row>
    <x:row r="81">
      <x:c r="E81" s="34"/>
      <x:c r="F81" s="34"/>
      <x:c r="G81" s="34"/>
      <x:c r="H81" s="34"/>
    </x:row>
    <x:row r="82">
      <x:c r="E82" s="34"/>
      <x:c r="F82" s="34"/>
      <x:c r="G82" s="34"/>
      <x:c r="H82" s="34"/>
    </x:row>
    <x:row r="83">
      <x:c r="E83" s="34"/>
      <x:c r="F83" s="34"/>
      <x:c r="G83" s="34"/>
      <x:c r="H83" s="34"/>
    </x:row>
    <x:row r="84">
      <x:c r="E84" s="34"/>
      <x:c r="F84" s="34"/>
      <x:c r="G84" s="34"/>
      <x:c r="H84" s="34"/>
    </x:row>
    <x:row r="85">
      <x:c r="E85" s="34"/>
      <x:c r="F85" s="34"/>
      <x:c r="G85" s="34"/>
      <x:c r="H85" s="34"/>
    </x:row>
    <x:row r="86">
      <x:c r="E86" s="34"/>
      <x:c r="F86" s="34"/>
      <x:c r="G86" s="34"/>
      <x:c r="H86" s="34"/>
    </x:row>
    <x:row r="87">
      <x:c r="E87" s="34"/>
      <x:c r="F87" s="34"/>
      <x:c r="G87" s="34"/>
      <x:c r="H87" s="34"/>
    </x:row>
    <x:row r="88">
      <x:c r="E88" s="34"/>
      <x:c r="F88" s="34"/>
      <x:c r="G88" s="34"/>
      <x:c r="H88" s="34"/>
    </x:row>
    <x:row r="89">
      <x:c r="E89" s="34"/>
      <x:c r="F89" s="34"/>
      <x:c r="G89" s="34"/>
      <x:c r="H89" s="34"/>
    </x:row>
    <x:row r="90">
      <x:c r="E90" s="34"/>
      <x:c r="F90" s="34"/>
      <x:c r="G90" s="34"/>
      <x:c r="H90" s="34"/>
    </x:row>
    <x:row r="91">
      <x:c r="E91" s="34"/>
      <x:c r="F91" s="34"/>
      <x:c r="G91" s="34"/>
      <x:c r="H91" s="34"/>
    </x:row>
    <x:row r="92">
      <x:c r="E92" s="34"/>
      <x:c r="F92" s="34"/>
      <x:c r="G92" s="34"/>
      <x:c r="H92" s="34"/>
    </x:row>
    <x:row r="93">
      <x:c r="E93" s="34"/>
      <x:c r="F93" s="34"/>
      <x:c r="G93" s="34"/>
      <x:c r="H93" s="34"/>
    </x:row>
    <x:row r="94">
      <x:c r="E94" s="34"/>
      <x:c r="F94" s="34"/>
      <x:c r="G94" s="34"/>
      <x:c r="H94" s="34"/>
    </x:row>
    <x:row r="95">
      <x:c r="E95" s="34"/>
      <x:c r="F95" s="34"/>
      <x:c r="G95" s="34"/>
      <x:c r="H95" s="34"/>
    </x:row>
    <x:row r="96">
      <x:c r="E96" s="34"/>
      <x:c r="F96" s="34"/>
      <x:c r="G96" s="34"/>
      <x:c r="H96" s="34"/>
    </x:row>
    <x:row r="97">
      <x:c r="E97" s="34"/>
      <x:c r="F97" s="34"/>
      <x:c r="G97" s="34"/>
      <x:c r="H97" s="34"/>
    </x:row>
    <x:row r="98">
      <x:c r="E98" s="34"/>
      <x:c r="F98" s="34"/>
      <x:c r="G98" s="34"/>
      <x:c r="H98" s="34"/>
    </x:row>
    <x:row r="99">
      <x:c r="E99" s="34"/>
      <x:c r="F99" s="34"/>
      <x:c r="G99" s="34"/>
      <x:c r="H99" s="34"/>
    </x:row>
    <x:row r="100">
      <x:c r="E100" s="34"/>
      <x:c r="F100" s="34"/>
      <x:c r="G100" s="34"/>
      <x:c r="H100" s="34"/>
    </x:row>
    <x:row r="101">
      <x:c r="E101" s="34"/>
      <x:c r="F101" s="34"/>
      <x:c r="G101" s="34"/>
      <x:c r="H101" s="34"/>
    </x:row>
    <x:row r="102">
      <x:c r="E102" s="34"/>
      <x:c r="F102" s="34"/>
      <x:c r="G102" s="34"/>
      <x:c r="H102" s="34"/>
    </x:row>
    <x:row r="103">
      <x:c r="E103" s="34"/>
      <x:c r="F103" s="34"/>
      <x:c r="G103" s="34"/>
      <x:c r="H103" s="34"/>
    </x:row>
    <x:row r="104">
      <x:c r="E104" s="34"/>
      <x:c r="F104" s="34"/>
      <x:c r="G104" s="34"/>
      <x:c r="H104" s="34"/>
    </x:row>
    <x:row r="105">
      <x:c r="E105" s="34"/>
      <x:c r="F105" s="34"/>
      <x:c r="G105" s="34"/>
      <x:c r="H105" s="34"/>
    </x:row>
    <x:row r="106">
      <x:c r="E106" s="34"/>
      <x:c r="F106" s="34"/>
      <x:c r="G106" s="34"/>
      <x:c r="H106" s="34"/>
    </x:row>
    <x:row r="107">
      <x:c r="E107" s="34"/>
      <x:c r="F107" s="34"/>
      <x:c r="G107" s="34"/>
      <x:c r="H107" s="34"/>
    </x:row>
    <x:row r="108">
      <x:c r="E108" s="34"/>
      <x:c r="F108" s="34"/>
      <x:c r="G108" s="34"/>
      <x:c r="H108" s="34"/>
    </x:row>
    <x:row r="109">
      <x:c r="E109" s="34"/>
      <x:c r="F109" s="34"/>
      <x:c r="G109" s="34"/>
      <x:c r="H109" s="34"/>
    </x:row>
    <x:row r="110">
      <x:c r="E110" s="34"/>
      <x:c r="F110" s="34"/>
      <x:c r="G110" s="34"/>
      <x:c r="H110" s="34"/>
    </x:row>
    <x:row r="111">
      <x:c r="E111" s="34"/>
      <x:c r="F111" s="34"/>
      <x:c r="G111" s="34"/>
      <x:c r="H111" s="34"/>
    </x:row>
    <x:row r="112">
      <x:c r="E112" s="34"/>
      <x:c r="F112" s="34"/>
      <x:c r="G112" s="34"/>
      <x:c r="H112" s="34"/>
    </x:row>
    <x:row r="113">
      <x:c r="E113" s="34"/>
      <x:c r="F113" s="34"/>
      <x:c r="G113" s="34"/>
      <x:c r="H113" s="34"/>
    </x:row>
    <x:row r="114">
      <x:c r="E114" s="34"/>
      <x:c r="F114" s="34"/>
      <x:c r="G114" s="34"/>
      <x:c r="H114" s="34"/>
    </x:row>
    <x:row r="115">
      <x:c r="E115" s="34"/>
      <x:c r="F115" s="34"/>
      <x:c r="G115" s="34"/>
      <x:c r="H115" s="34"/>
    </x:row>
    <x:row r="116">
      <x:c r="E116" s="34"/>
      <x:c r="F116" s="34"/>
      <x:c r="G116" s="34"/>
      <x:c r="H116" s="34"/>
    </x:row>
    <x:row r="117">
      <x:c r="E117" s="34"/>
      <x:c r="F117" s="34"/>
      <x:c r="G117" s="34"/>
      <x:c r="H117" s="34"/>
    </x:row>
    <x:row r="118">
      <x:c r="E118" s="34"/>
      <x:c r="F118" s="34"/>
      <x:c r="G118" s="34"/>
      <x:c r="H118" s="34"/>
    </x:row>
    <x:row r="119">
      <x:c r="E119" s="34"/>
      <x:c r="F119" s="34"/>
      <x:c r="G119" s="34"/>
      <x:c r="H119" s="34"/>
    </x:row>
    <x:row r="120">
      <x:c r="E120" s="34"/>
      <x:c r="F120" s="34"/>
      <x:c r="G120" s="34"/>
      <x:c r="H120" s="34"/>
    </x:row>
    <x:row r="121">
      <x:c r="E121" s="34"/>
      <x:c r="F121" s="34"/>
      <x:c r="G121" s="34"/>
      <x:c r="H121" s="34"/>
    </x:row>
    <x:row r="122">
      <x:c r="E122" s="34"/>
      <x:c r="F122" s="34"/>
      <x:c r="G122" s="34"/>
      <x:c r="H122" s="34"/>
    </x:row>
    <x:row r="123">
      <x:c r="E123" s="34"/>
      <x:c r="F123" s="34"/>
      <x:c r="G123" s="34"/>
      <x:c r="H123" s="34"/>
    </x:row>
    <x:row r="124">
      <x:c r="E124" s="34"/>
      <x:c r="F124" s="34"/>
      <x:c r="G124" s="34"/>
      <x:c r="H124" s="34"/>
    </x:row>
    <x:row r="125">
      <x:c r="E125" s="34"/>
      <x:c r="F125" s="34"/>
      <x:c r="G125" s="34"/>
      <x:c r="H125" s="34"/>
    </x:row>
    <x:row r="126">
      <x:c r="E126" s="34"/>
      <x:c r="F126" s="34"/>
      <x:c r="G126" s="34"/>
      <x:c r="H126" s="34"/>
    </x:row>
    <x:row r="127">
      <x:c r="E127" s="34"/>
      <x:c r="F127" s="34"/>
      <x:c r="G127" s="34"/>
      <x:c r="H127" s="34"/>
    </x:row>
    <x:row r="128">
      <x:c r="E128" s="34"/>
      <x:c r="F128" s="34"/>
      <x:c r="G128" s="34"/>
      <x:c r="H128" s="34"/>
    </x:row>
    <x:row r="129">
      <x:c r="E129" s="34"/>
      <x:c r="F129" s="34"/>
      <x:c r="G129" s="34"/>
      <x:c r="H129" s="34"/>
    </x:row>
    <x:row r="130">
      <x:c r="E130" s="34"/>
      <x:c r="F130" s="34"/>
      <x:c r="G130" s="34"/>
      <x:c r="H130" s="34"/>
    </x:row>
    <x:row r="131">
      <x:c r="E131" s="34"/>
      <x:c r="F131" s="34"/>
      <x:c r="G131" s="34"/>
      <x:c r="H131" s="34"/>
    </x:row>
    <x:row r="132">
      <x:c r="E132" s="34"/>
      <x:c r="F132" s="34"/>
      <x:c r="G132" s="34"/>
      <x:c r="H132" s="34"/>
    </x:row>
    <x:row r="133">
      <x:c r="E133" s="34"/>
      <x:c r="F133" s="34"/>
      <x:c r="G133" s="34"/>
      <x:c r="H133" s="34"/>
    </x:row>
    <x:row r="134">
      <x:c r="E134" s="34"/>
      <x:c r="F134" s="34"/>
      <x:c r="G134" s="34"/>
      <x:c r="H134" s="34"/>
    </x:row>
    <x:row r="135">
      <x:c r="E135" s="34"/>
      <x:c r="F135" s="34"/>
      <x:c r="G135" s="34"/>
      <x:c r="H135" s="34"/>
    </x:row>
    <x:row r="136">
      <x:c r="E136" s="34"/>
      <x:c r="F136" s="34"/>
      <x:c r="G136" s="34"/>
      <x:c r="H136" s="34"/>
    </x:row>
    <x:row r="137">
      <x:c r="E137" s="34"/>
      <x:c r="F137" s="34"/>
      <x:c r="G137" s="34"/>
      <x:c r="H137" s="34"/>
    </x:row>
    <x:row r="138">
      <x:c r="E138" s="34"/>
      <x:c r="F138" s="34"/>
      <x:c r="G138" s="34"/>
      <x:c r="H138" s="34"/>
    </x:row>
    <x:row r="139">
      <x:c r="E139" s="34"/>
      <x:c r="F139" s="34"/>
      <x:c r="G139" s="34"/>
      <x:c r="H139" s="34"/>
    </x:row>
    <x:row r="140">
      <x:c r="E140" s="34"/>
      <x:c r="F140" s="34"/>
      <x:c r="G140" s="34"/>
      <x:c r="H140" s="34"/>
    </x:row>
    <x:row r="141">
      <x:c r="E141" s="34"/>
      <x:c r="F141" s="34"/>
      <x:c r="G141" s="34"/>
      <x:c r="H141" s="34"/>
    </x:row>
    <x:row r="142">
      <x:c r="E142" s="34"/>
      <x:c r="F142" s="34"/>
      <x:c r="G142" s="34"/>
      <x:c r="H142" s="34"/>
    </x:row>
    <x:row r="143">
      <x:c r="E143" s="34"/>
      <x:c r="F143" s="34"/>
      <x:c r="G143" s="34"/>
      <x:c r="H143" s="34"/>
    </x:row>
    <x:row r="144">
      <x:c r="E144" s="34"/>
      <x:c r="F144" s="34"/>
      <x:c r="G144" s="34"/>
      <x:c r="H144" s="34"/>
    </x:row>
    <x:row r="145">
      <x:c r="E145" s="34"/>
      <x:c r="F145" s="34"/>
      <x:c r="G145" s="34"/>
      <x:c r="H145" s="34"/>
    </x:row>
    <x:row r="146">
      <x:c r="E146" s="34"/>
      <x:c r="F146" s="34"/>
      <x:c r="G146" s="34"/>
      <x:c r="H146" s="34"/>
    </x:row>
    <x:row r="147">
      <x:c r="E147" s="34"/>
      <x:c r="F147" s="34"/>
      <x:c r="G147" s="34"/>
      <x:c r="H147" s="34"/>
    </x:row>
    <x:row r="148">
      <x:c r="E148" s="34"/>
      <x:c r="F148" s="34"/>
      <x:c r="G148" s="34"/>
      <x:c r="H148" s="34"/>
    </x:row>
    <x:row r="149">
      <x:c r="E149" s="34"/>
      <x:c r="F149" s="34"/>
      <x:c r="G149" s="34"/>
      <x:c r="H149" s="34"/>
    </x:row>
    <x:row r="150">
      <x:c r="E150" s="34"/>
      <x:c r="F150" s="34"/>
      <x:c r="G150" s="34"/>
      <x:c r="H150" s="34"/>
    </x:row>
    <x:row r="151">
      <x:c r="E151" s="34"/>
      <x:c r="F151" s="34"/>
      <x:c r="G151" s="34"/>
      <x:c r="H151" s="34"/>
    </x:row>
    <x:row r="152">
      <x:c r="E152" s="34"/>
      <x:c r="F152" s="34"/>
      <x:c r="G152" s="34"/>
      <x:c r="H152" s="34"/>
    </x:row>
    <x:row r="153">
      <x:c r="E153" s="34"/>
      <x:c r="F153" s="34"/>
      <x:c r="G153" s="34"/>
      <x:c r="H153" s="34"/>
    </x:row>
    <x:row r="154">
      <x:c r="E154" s="34"/>
      <x:c r="F154" s="34"/>
      <x:c r="G154" s="34"/>
      <x:c r="H154" s="34"/>
    </x:row>
    <x:row r="155">
      <x:c r="E155" s="34"/>
      <x:c r="F155" s="34"/>
      <x:c r="G155" s="34"/>
      <x:c r="H155" s="34"/>
    </x:row>
    <x:row r="156">
      <x:c r="E156" s="34"/>
      <x:c r="F156" s="34"/>
      <x:c r="G156" s="34"/>
      <x:c r="H156" s="34"/>
    </x:row>
    <x:row r="157">
      <x:c r="E157" s="34"/>
      <x:c r="F157" s="34"/>
      <x:c r="G157" s="34"/>
      <x:c r="H157" s="34"/>
    </x:row>
    <x:row r="158">
      <x:c r="E158" s="34"/>
      <x:c r="F158" s="34"/>
      <x:c r="G158" s="34"/>
      <x:c r="H158" s="34"/>
    </x:row>
    <x:row r="159">
      <x:c r="E159" s="34"/>
      <x:c r="F159" s="34"/>
      <x:c r="G159" s="34"/>
      <x:c r="H159" s="34"/>
    </x:row>
    <x:row r="160">
      <x:c r="E160" s="34"/>
      <x:c r="F160" s="34"/>
      <x:c r="G160" s="34"/>
      <x:c r="H160" s="34"/>
    </x:row>
    <x:row r="161">
      <x:c r="E161" s="34"/>
      <x:c r="F161" s="34"/>
      <x:c r="G161" s="34"/>
      <x:c r="H161" s="34"/>
    </x:row>
    <x:row r="162">
      <x:c r="E162" s="34"/>
      <x:c r="F162" s="34"/>
      <x:c r="G162" s="34"/>
      <x:c r="H162" s="34"/>
    </x:row>
    <x:row r="163">
      <x:c r="E163" s="34"/>
      <x:c r="F163" s="34"/>
      <x:c r="G163" s="34"/>
      <x:c r="H163" s="34"/>
    </x:row>
    <x:row r="164">
      <x:c r="E164" s="34"/>
      <x:c r="F164" s="34"/>
      <x:c r="G164" s="34"/>
      <x:c r="H164" s="34"/>
    </x:row>
    <x:row r="165">
      <x:c r="E165" s="34"/>
      <x:c r="F165" s="34"/>
      <x:c r="G165" s="34"/>
      <x:c r="H165" s="34"/>
    </x:row>
    <x:row r="166">
      <x:c r="E166" s="34"/>
      <x:c r="F166" s="34"/>
      <x:c r="G166" s="34"/>
      <x:c r="H166" s="34"/>
    </x:row>
    <x:row r="167">
      <x:c r="E167" s="34"/>
      <x:c r="F167" s="34"/>
      <x:c r="G167" s="34"/>
      <x:c r="H167" s="34"/>
    </x:row>
    <x:row r="168">
      <x:c r="E168" s="34"/>
      <x:c r="F168" s="34"/>
      <x:c r="G168" s="34"/>
      <x:c r="H168" s="34"/>
    </x:row>
    <x:row r="169">
      <x:c r="E169" s="34"/>
      <x:c r="F169" s="34"/>
      <x:c r="G169" s="34"/>
      <x:c r="H169" s="34"/>
    </x:row>
    <x:row r="170">
      <x:c r="E170" s="34"/>
      <x:c r="F170" s="34"/>
      <x:c r="G170" s="34"/>
      <x:c r="H170" s="34"/>
    </x:row>
    <x:row r="171">
      <x:c r="E171" s="34"/>
      <x:c r="F171" s="34"/>
      <x:c r="G171" s="34"/>
      <x:c r="H171" s="34"/>
    </x:row>
    <x:row r="172">
      <x:c r="E172" s="34"/>
      <x:c r="F172" s="34"/>
      <x:c r="G172" s="34"/>
      <x:c r="H172" s="34"/>
    </x:row>
    <x:row r="173">
      <x:c r="E173" s="34"/>
      <x:c r="F173" s="34"/>
      <x:c r="G173" s="34"/>
      <x:c r="H173" s="34"/>
    </x:row>
    <x:row r="174">
      <x:c r="E174" s="34"/>
      <x:c r="F174" s="34"/>
      <x:c r="G174" s="34"/>
      <x:c r="H174" s="34"/>
    </x:row>
    <x:row r="175">
      <x:c r="E175" s="34"/>
      <x:c r="F175" s="34"/>
      <x:c r="G175" s="34"/>
      <x:c r="H175" s="34"/>
    </x:row>
    <x:row r="176">
      <x:c r="E176" s="34"/>
      <x:c r="F176" s="34"/>
      <x:c r="G176" s="34"/>
      <x:c r="H176" s="34"/>
    </x:row>
    <x:row r="177">
      <x:c r="E177" s="34"/>
      <x:c r="F177" s="34"/>
      <x:c r="G177" s="34"/>
      <x:c r="H177" s="34"/>
    </x:row>
    <x:row r="178">
      <x:c r="E178" s="34"/>
      <x:c r="F178" s="34"/>
      <x:c r="G178" s="34"/>
      <x:c r="H178" s="34"/>
    </x:row>
    <x:row r="179">
      <x:c r="E179" s="34"/>
      <x:c r="F179" s="34"/>
      <x:c r="G179" s="34"/>
      <x:c r="H179" s="34"/>
    </x:row>
    <x:row r="180">
      <x:c r="E180" s="34"/>
      <x:c r="F180" s="34"/>
      <x:c r="G180" s="34"/>
      <x:c r="H180" s="34"/>
    </x:row>
    <x:row r="181">
      <x:c r="E181" s="34"/>
      <x:c r="F181" s="34"/>
      <x:c r="G181" s="34"/>
      <x:c r="H181" s="34"/>
    </x:row>
    <x:row r="182">
      <x:c r="E182" s="34"/>
      <x:c r="F182" s="34"/>
      <x:c r="G182" s="34"/>
      <x:c r="H182" s="34"/>
    </x:row>
    <x:row r="183">
      <x:c r="E183" s="34"/>
      <x:c r="F183" s="34"/>
      <x:c r="G183" s="34"/>
      <x:c r="H183" s="34"/>
    </x:row>
    <x:row r="184">
      <x:c r="E184" s="34"/>
      <x:c r="F184" s="34"/>
      <x:c r="G184" s="34"/>
      <x:c r="H184" s="34"/>
    </x:row>
    <x:row r="185">
      <x:c r="E185" s="34"/>
      <x:c r="F185" s="34"/>
      <x:c r="G185" s="34"/>
      <x:c r="H185" s="34"/>
    </x:row>
    <x:row r="186">
      <x:c r="E186" s="34"/>
      <x:c r="F186" s="34"/>
      <x:c r="G186" s="34"/>
      <x:c r="H186" s="34"/>
    </x:row>
    <x:row r="187">
      <x:c r="E187" s="34"/>
      <x:c r="F187" s="34"/>
      <x:c r="G187" s="34"/>
      <x:c r="H187" s="34"/>
    </x:row>
    <x:row r="188">
      <x:c r="E188" s="34"/>
      <x:c r="F188" s="34"/>
      <x:c r="G188" s="34"/>
      <x:c r="H188" s="34"/>
    </x:row>
    <x:row r="189">
      <x:c r="E189" s="34"/>
      <x:c r="F189" s="34"/>
      <x:c r="G189" s="34"/>
      <x:c r="H189" s="34"/>
    </x:row>
    <x:row r="190">
      <x:c r="E190" s="34"/>
      <x:c r="F190" s="34"/>
      <x:c r="G190" s="34"/>
      <x:c r="H190" s="34"/>
    </x:row>
    <x:row r="191">
      <x:c r="E191" s="34"/>
      <x:c r="F191" s="34"/>
      <x:c r="G191" s="34"/>
      <x:c r="H191" s="34"/>
    </x:row>
    <x:row r="192">
      <x:c r="E192" s="34"/>
      <x:c r="F192" s="34"/>
      <x:c r="G192" s="34"/>
      <x:c r="H192" s="34"/>
    </x:row>
    <x:row r="193">
      <x:c r="E193" s="34"/>
      <x:c r="F193" s="34"/>
      <x:c r="G193" s="34"/>
      <x:c r="H193" s="34"/>
    </x:row>
    <x:row r="194">
      <x:c r="E194" s="34"/>
      <x:c r="F194" s="34"/>
      <x:c r="G194" s="34"/>
      <x:c r="H194" s="34"/>
    </x:row>
    <x:row r="195">
      <x:c r="E195" s="34"/>
      <x:c r="F195" s="34"/>
      <x:c r="G195" s="34"/>
      <x:c r="H195" s="34"/>
    </x:row>
    <x:row r="196">
      <x:c r="E196" s="34"/>
      <x:c r="F196" s="34"/>
      <x:c r="G196" s="34"/>
      <x:c r="H196" s="34"/>
    </x:row>
    <x:row r="197">
      <x:c r="E197" s="34"/>
      <x:c r="F197" s="34"/>
      <x:c r="G197" s="34"/>
      <x:c r="H197" s="34"/>
    </x:row>
    <x:row r="198">
      <x:c r="E198" s="34"/>
      <x:c r="F198" s="34"/>
      <x:c r="G198" s="34"/>
      <x:c r="H198" s="34"/>
    </x:row>
    <x:row r="199">
      <x:c r="E199" s="34"/>
      <x:c r="F199" s="34"/>
      <x:c r="G199" s="34"/>
      <x:c r="H199" s="34"/>
    </x:row>
    <x:row r="200">
      <x:c r="E200" s="34"/>
      <x:c r="F200" s="34"/>
      <x:c r="G200" s="34"/>
      <x:c r="H200" s="34"/>
    </x:row>
    <x:row r="201">
      <x:c r="E201" s="34"/>
      <x:c r="F201" s="34"/>
      <x:c r="G201" s="34"/>
      <x:c r="H201" s="34"/>
    </x:row>
    <x:row r="202">
      <x:c r="E202" s="34"/>
      <x:c r="F202" s="34"/>
      <x:c r="G202" s="34"/>
      <x:c r="H202" s="34"/>
    </x:row>
    <x:row r="203">
      <x:c r="E203" s="34"/>
      <x:c r="F203" s="34"/>
      <x:c r="G203" s="34"/>
      <x:c r="H203" s="34"/>
    </x:row>
    <x:row r="204">
      <x:c r="E204" s="34"/>
      <x:c r="F204" s="34"/>
      <x:c r="G204" s="34"/>
      <x:c r="H204" s="34"/>
    </x:row>
    <x:row r="205">
      <x:c r="E205" s="34"/>
      <x:c r="F205" s="34"/>
      <x:c r="G205" s="34"/>
      <x:c r="H205" s="34"/>
    </x:row>
    <x:row r="206">
      <x:c r="E206" s="34"/>
      <x:c r="F206" s="34"/>
      <x:c r="G206" s="34"/>
      <x:c r="H206" s="34"/>
    </x:row>
    <x:row r="207">
      <x:c r="E207" s="34"/>
      <x:c r="F207" s="34"/>
      <x:c r="G207" s="34"/>
      <x:c r="H207" s="34"/>
    </x:row>
    <x:row r="208">
      <x:c r="E208" s="34"/>
      <x:c r="F208" s="34"/>
      <x:c r="G208" s="34"/>
      <x:c r="H208" s="34"/>
    </x:row>
    <x:row r="209">
      <x:c r="E209" s="34"/>
      <x:c r="F209" s="34"/>
      <x:c r="G209" s="34"/>
      <x:c r="H209" s="34"/>
    </x:row>
    <x:row r="210">
      <x:c r="E210" s="34"/>
      <x:c r="F210" s="34"/>
      <x:c r="G210" s="34"/>
      <x:c r="H210" s="34"/>
    </x:row>
    <x:row r="211">
      <x:c r="E211" s="34"/>
      <x:c r="F211" s="34"/>
      <x:c r="G211" s="34"/>
      <x:c r="H211" s="34"/>
    </x:row>
    <x:row r="212">
      <x:c r="E212" s="34"/>
      <x:c r="F212" s="34"/>
      <x:c r="G212" s="34"/>
      <x:c r="H212" s="34"/>
    </x:row>
    <x:row r="213">
      <x:c r="E213" s="34"/>
      <x:c r="F213" s="34"/>
      <x:c r="G213" s="34"/>
      <x:c r="H213" s="34"/>
    </x:row>
    <x:row r="214">
      <x:c r="E214" s="34"/>
      <x:c r="F214" s="34"/>
      <x:c r="G214" s="34"/>
      <x:c r="H214" s="34"/>
    </x:row>
    <x:row r="215">
      <x:c r="E215" s="34"/>
      <x:c r="F215" s="34"/>
      <x:c r="G215" s="34"/>
      <x:c r="H215" s="34"/>
    </x:row>
    <x:row r="216">
      <x:c r="E216" s="34"/>
      <x:c r="F216" s="34"/>
      <x:c r="G216" s="34"/>
      <x:c r="H216" s="34"/>
    </x:row>
    <x:row r="217">
      <x:c r="E217" s="34"/>
      <x:c r="F217" s="34"/>
      <x:c r="G217" s="34"/>
      <x:c r="H217" s="34"/>
    </x:row>
    <x:row r="218">
      <x:c r="E218" s="34"/>
      <x:c r="F218" s="34"/>
      <x:c r="G218" s="34"/>
      <x:c r="H218" s="34"/>
    </x:row>
    <x:row r="219">
      <x:c r="E219" s="34"/>
      <x:c r="F219" s="34"/>
      <x:c r="G219" s="34"/>
      <x:c r="H219" s="34"/>
    </x:row>
    <x:row r="220">
      <x:c r="E220" s="34"/>
      <x:c r="F220" s="34"/>
      <x:c r="G220" s="34"/>
      <x:c r="H220" s="34"/>
    </x:row>
    <x:row r="221">
      <x:c r="E221" s="34"/>
      <x:c r="F221" s="34"/>
      <x:c r="G221" s="34"/>
      <x:c r="H221" s="34"/>
    </x:row>
    <x:row r="222">
      <x:c r="E222" s="34"/>
      <x:c r="F222" s="34"/>
      <x:c r="G222" s="34"/>
      <x:c r="H222" s="34"/>
    </x:row>
    <x:row r="223">
      <x:c r="E223" s="34"/>
      <x:c r="F223" s="34"/>
      <x:c r="G223" s="34"/>
      <x:c r="H223" s="34"/>
    </x:row>
    <x:row r="224">
      <x:c r="E224" s="34"/>
      <x:c r="F224" s="34"/>
      <x:c r="G224" s="34"/>
      <x:c r="H224" s="34"/>
    </x:row>
    <x:row r="225">
      <x:c r="E225" s="34"/>
      <x:c r="F225" s="34"/>
      <x:c r="G225" s="34"/>
      <x:c r="H225" s="34"/>
    </x:row>
    <x:row r="226">
      <x:c r="E226" s="34"/>
      <x:c r="F226" s="34"/>
      <x:c r="G226" s="34"/>
      <x:c r="H226" s="34"/>
    </x:row>
    <x:row r="227">
      <x:c r="E227" s="34"/>
      <x:c r="F227" s="34"/>
      <x:c r="G227" s="34"/>
      <x:c r="H227" s="34"/>
    </x:row>
    <x:row r="228">
      <x:c r="E228" s="34"/>
      <x:c r="F228" s="34"/>
      <x:c r="G228" s="34"/>
      <x:c r="H228" s="34"/>
    </x:row>
    <x:row r="229">
      <x:c r="E229" s="34"/>
      <x:c r="F229" s="34"/>
      <x:c r="G229" s="34"/>
      <x:c r="H229" s="34"/>
    </x:row>
    <x:row r="230">
      <x:c r="E230" s="34"/>
      <x:c r="F230" s="34"/>
      <x:c r="G230" s="34"/>
      <x:c r="H230" s="34"/>
    </x:row>
    <x:row r="231">
      <x:c r="E231" s="34"/>
      <x:c r="F231" s="34"/>
      <x:c r="G231" s="34"/>
      <x:c r="H231" s="34"/>
    </x:row>
    <x:row r="232">
      <x:c r="E232" s="34"/>
      <x:c r="F232" s="34"/>
      <x:c r="G232" s="34"/>
      <x:c r="H232" s="34"/>
    </x:row>
    <x:row r="233">
      <x:c r="E233" s="34"/>
      <x:c r="F233" s="34"/>
      <x:c r="G233" s="34"/>
      <x:c r="H233" s="34"/>
    </x:row>
    <x:row r="234">
      <x:c r="E234" s="34"/>
      <x:c r="F234" s="34"/>
      <x:c r="G234" s="34"/>
      <x:c r="H234" s="34"/>
    </x:row>
    <x:row r="235">
      <x:c r="E235" s="34"/>
      <x:c r="F235" s="34"/>
      <x:c r="G235" s="34"/>
      <x:c r="H235" s="34"/>
    </x:row>
    <x:row r="236">
      <x:c r="E236" s="34"/>
      <x:c r="F236" s="34"/>
      <x:c r="G236" s="34"/>
      <x:c r="H236" s="34"/>
    </x:row>
    <x:row r="237">
      <x:c r="E237" s="34"/>
      <x:c r="F237" s="34"/>
      <x:c r="G237" s="34"/>
      <x:c r="H237" s="34"/>
    </x:row>
    <x:row r="238">
      <x:c r="E238" s="34"/>
      <x:c r="F238" s="34"/>
      <x:c r="G238" s="34"/>
      <x:c r="H238" s="34"/>
    </x:row>
    <x:row r="239">
      <x:c r="E239" s="34"/>
      <x:c r="F239" s="34"/>
      <x:c r="G239" s="34"/>
      <x:c r="H239" s="34"/>
    </x:row>
    <x:row r="240">
      <x:c r="E240" s="34"/>
      <x:c r="F240" s="34"/>
      <x:c r="G240" s="34"/>
      <x:c r="H240" s="34"/>
    </x:row>
    <x:row r="241">
      <x:c r="E241" s="34"/>
      <x:c r="F241" s="34"/>
      <x:c r="G241" s="34"/>
      <x:c r="H241" s="34"/>
    </x:row>
    <x:row r="242">
      <x:c r="E242" s="34"/>
      <x:c r="F242" s="34"/>
      <x:c r="G242" s="34"/>
      <x:c r="H242" s="34"/>
    </x:row>
    <x:row r="243">
      <x:c r="E243" s="34"/>
      <x:c r="F243" s="34"/>
      <x:c r="G243" s="34"/>
      <x:c r="H243" s="34"/>
    </x:row>
    <x:row r="244">
      <x:c r="E244" s="34"/>
      <x:c r="F244" s="34"/>
      <x:c r="G244" s="34"/>
      <x:c r="H244" s="34"/>
    </x:row>
    <x:row r="245">
      <x:c r="E245" s="34"/>
      <x:c r="F245" s="34"/>
      <x:c r="G245" s="34"/>
      <x:c r="H245" s="34"/>
    </x:row>
  </x:sheetData>
  <x:pageMargins left="0.7" right="0.7" top="0.75" bottom="0.75" header="0.3" footer="0.3"/>
  <x:tableParts count="2">
    <x:tablePart xmlns:r="http://schemas.openxmlformats.org/officeDocument/2006/relationships" r:id="R7d18417e44f94c71"/>
    <x:tablePart xmlns:r="http://schemas.openxmlformats.org/officeDocument/2006/relationships" r:id="R43e876a5b4474236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8" hidden="0" customWidth="1"/>
    <x:col min="4" max="4" width="32" hidden="0" customWidth="1"/>
    <x:col min="5" max="5" width="14" hidden="0" customWidth="1"/>
  </x:cols>
  <x:sheetData>
    <x:row r="1" ht="34" customHeight="1">
      <x:c r="A1" s="122" t="str">
        <x:v>EMA ASSURANCE ATTENDANCE DASHBOARD — USER GUIDE</x:v>
      </x:c>
      <x:c r="B1" s="122"/>
      <x:c r="D1" s="144" t="str">
        <x:v>CALCULATION SETTINGS</x:v>
      </x:c>
      <x:c r="E1" s="144"/>
    </x:row>
    <x:row r="2" ht="24" customHeight="1">
      <x:c r="A2" s="123" t="str">
        <x:v>What this workbook contains</x:v>
      </x:c>
      <x:c r="B2" s="123"/>
      <x:c r="D2" s="147" t="str">
        <x:v>Full attendance threshold (seconds)</x:v>
      </x:c>
      <x:c r="E2" s="150" t="n">
        <x:v>5400</x:v>
      </x:c>
    </x:row>
    <x:row r="3" ht="34" customHeight="1">
      <x:c r="A3" s="128" t="str">
        <x:v>Dashboard</x:v>
      </x:c>
      <x:c r="B3" s="90" t="str">
        <x:v>Board-level KPI cards, country breakdown, and charts for Option 1, Option 2 and Combined.</x:v>
      </x:c>
      <x:c r="D3" s="147" t="str">
        <x:v>Equivalent threshold (minutes)</x:v>
      </x:c>
      <x:c r="E3" s="150" t="n">
        <x:f>E2/60</x:f>
        <x:v>90</x:v>
      </x:c>
    </x:row>
    <x:row r="4" ht="34" customHeight="1">
      <x:c r="A4" s="128" t="str">
        <x:v>Employee Attendance</x:v>
      </x:c>
      <x:c r="B4" s="90" t="str">
        <x:v>One row per roster employee, with all three duration totals and status classifications. Filter arrows are available.</x:v>
      </x:c>
    </x:row>
    <x:row r="5" ht="34" customHeight="1">
      <x:c r="A5" s="128" t="str">
        <x:v>Country Summary</x:v>
      </x:c>
      <x:c r="B5" s="90" t="str">
        <x:v>Counts by country for the three meeting views, plus overall meeting totals used by the dashboard charts.</x:v>
      </x:c>
    </x:row>
    <x:row r="6" ht="34" customHeight="1">
      <x:c r="A6" s="128" t="str">
        <x:v>Pivot Data</x:v>
      </x:c>
      <x:c r="B6" s="90" t="str">
        <x:v>Long-format data (one employee × meeting view per row) intended for PivotTables and slicers. The 224 added attendee rows are populated from the current calculated results; rebuild/refresh this source after changing the attendance reports.</x:v>
      </x:c>
    </x:row>
    <x:row r="7" ht="34" customHeight="1">
      <x:c r="A7" s="128" t="str">
        <x:v>Data Quality</x:v>
      </x:c>
      <x:c r="B7" s="90" t="str">
        <x:v>Matching audit and a list of participants in the attendance reports who were not matched to the EMA Assurance roster.</x:v>
      </x:c>
    </x:row>
    <x:row r="8" ht="34" customHeight="1">
      <x:c r="A8" s="123" t="str">
        <x:v>How categories are assigned</x:v>
      </x:c>
      <x:c r="B8" s="123"/>
    </x:row>
    <x:row r="9" ht="34" customHeight="1">
      <x:c r="A9" s="128" t="str">
        <x:v>Fully attended</x:v>
      </x:c>
      <x:c r="B9" s="90" t="str">
        <x:v>Duration is 90 minutes or more.</x:v>
      </x:c>
    </x:row>
    <x:row r="10" ht="34" customHeight="1">
      <x:c r="A10" s="128" t="str">
        <x:v>Partially attended</x:v>
      </x:c>
      <x:c r="B10" s="90" t="str">
        <x:v>Duration is greater than zero but below 90 minutes.</x:v>
      </x:c>
    </x:row>
    <x:row r="11" ht="34" customHeight="1">
      <x:c r="A11" s="128" t="str">
        <x:v>Did not attend</x:v>
      </x:c>
      <x:c r="B11" s="90" t="str">
        <x:v>No matching email in the Participants section, or duration is zero.</x:v>
      </x:c>
    </x:row>
    <x:row r="12" ht="34" customHeight="1">
      <x:c r="A12" s="128" t="str">
        <x:v>Combined</x:v>
      </x:c>
      <x:c r="B12" s="90" t="str">
        <x:v>Option 1 and Option 2 durations are added together, then the 90-minute threshold is applied.</x:v>
      </x:c>
    </x:row>
    <x:row r="13" ht="34" customHeight="1">
      <x:c r="A13" s="128" t="str">
        <x:v>Email matching</x:v>
      </x:c>
      <x:c r="B13" s="90" t="str">
        <x:v>Emails are trimmed of leading/trailing spaces and compared without case sensitivity.</x:v>
      </x:c>
    </x:row>
    <x:row r="14" ht="34" customHeight="1">
      <x:c r="A14" s="128" t="str">
        <x:v>Excluded records</x:v>
      </x:c>
      <x:c r="B14" s="90" t="str">
        <x:v>Rows with country code #N/A are excluded. Attendees not present in EMA Assurance Employee List are listed in Data Quality but not counted in dashboard totals.</x:v>
      </x:c>
    </x:row>
    <x:row r="15" ht="34" customHeight="1">
      <x:c r="A15" s="128" t="str">
        <x:v>Important note about updating</x:v>
      </x:c>
      <x:c r="B15" s="90" t="str">
        <x:v>Core attendance calculations, country summaries, and dashboard KPIs are formula-driven from the Participants sections and roster. The added Pivot Data rows are a calculated snapshot for this report version; rebuild Pivot Data if the source report rows or roster change. Extend participant helper formulas when report row counts change, excluding Sections 3 and 4.</x:v>
      </x:c>
    </x:row>
    <x:row r="16" ht="34" customHeight="1">
      <x:c r="A16" s="128" t="str">
        <x:v>For future slicers</x:v>
      </x:c>
      <x:c r="B16" s="90" t="str">
        <x:v>Use Pivot Data to Insert &gt; PivotTable. Put Country in Rows, Attendance Status in Columns, Employee Name in Values (Count), and Meeting Type in Filters. Select the PivotTable, then PivotTable Analyze &gt; Insert Slicer &gt; choose Country, Meeting Type and Attendance Status.</x:v>
      </x:c>
    </x:row>
  </x:sheetData>
  <x:mergeCells>
    <x:mergeCell ref="A1:B1"/>
    <x:mergeCell ref="A2:B2"/>
    <x:mergeCell ref="A8:B8"/>
    <x:mergeCell ref="D1:E1"/>
  </x:mergeCells>
  <x:pageMargins left="0.7" right="0.7" top="0.75" bottom="0.75" header="0.3" footer="0.3"/>
</x:worksheet>
</file>